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aveExternalLinkValues="0"/>
  <bookViews>
    <workbookView xWindow="420" yWindow="600" windowWidth="17940" windowHeight="11190" tabRatio="844" firstSheet="3" activeTab="3"/>
  </bookViews>
  <sheets>
    <sheet name="Sayfa3" sheetId="2" state="hidden" r:id="rId1"/>
    <sheet name="Sayfa4" sheetId="3" state="hidden" r:id="rId2"/>
    <sheet name="Sayfa5" sheetId="4" state="hidden" r:id="rId3"/>
    <sheet name="TABLO" sheetId="12" r:id="rId4"/>
    <sheet name="STOK DETAY" sheetId="13" r:id="rId5"/>
    <sheet name="ALÜMİNYUM STOK" sheetId="21" r:id="rId6"/>
    <sheet name="STOK" sheetId="22" r:id="rId7"/>
  </sheets>
  <calcPr calcId="144525" iterate="1" fullPrecision="0"/>
</workbook>
</file>

<file path=xl/calcChain.xml><?xml version="1.0" encoding="utf-8"?>
<calcChain xmlns="http://schemas.openxmlformats.org/spreadsheetml/2006/main">
  <c r="C6196" i="13" l="1"/>
  <c r="C6197" i="13"/>
  <c r="C6186" i="13" l="1"/>
  <c r="C6180" i="13" l="1"/>
  <c r="C6179" i="13"/>
  <c r="C6181" i="13"/>
  <c r="EA6185" i="13" l="1"/>
  <c r="O6163" i="13" l="1"/>
  <c r="C6163" i="13" s="1"/>
  <c r="CS6145" i="13" l="1"/>
  <c r="AC6143" i="13" l="1"/>
  <c r="Z6143" i="13"/>
  <c r="CA6134" i="13" l="1"/>
  <c r="BU6134" i="13"/>
  <c r="BO6134" i="13"/>
  <c r="BI6133" i="13"/>
  <c r="AW6133" i="13"/>
  <c r="BO6131" i="13" l="1"/>
  <c r="IN6125" i="13" l="1"/>
  <c r="EA6109" i="13" l="1"/>
  <c r="DE6109" i="13"/>
  <c r="CY6109" i="13"/>
  <c r="CM6109" i="13"/>
  <c r="DE6108" i="13"/>
  <c r="CY6108" i="13"/>
  <c r="CS6108" i="13"/>
  <c r="AW6108" i="13"/>
  <c r="C6095" i="13" l="1"/>
  <c r="C6085" i="13"/>
  <c r="EA6092" i="13" l="1"/>
  <c r="AR6088" i="13" l="1"/>
  <c r="BR6077" i="13" l="1"/>
  <c r="BR6088" i="13" l="1"/>
  <c r="C6077" i="13" l="1"/>
  <c r="AW6073" i="13"/>
  <c r="GO6069" i="13" l="1"/>
  <c r="CY6042" i="13" l="1"/>
  <c r="BU6042" i="13"/>
  <c r="BC6030" i="13" l="1"/>
  <c r="EA6030" i="13"/>
  <c r="DP6030" i="13"/>
  <c r="CS6030" i="13"/>
  <c r="CS6028" i="13" l="1"/>
  <c r="IM6024" i="13" l="1"/>
  <c r="GQ6024" i="13"/>
  <c r="BU6023" i="13" l="1"/>
  <c r="BN6023" i="13"/>
  <c r="BB6023" i="13"/>
  <c r="C6014" i="13" l="1"/>
  <c r="C6008" i="13" l="1"/>
  <c r="C6009" i="13"/>
  <c r="C6010" i="13"/>
  <c r="C6011" i="13"/>
  <c r="C6012" i="13"/>
  <c r="C6015" i="13"/>
  <c r="C6016" i="13"/>
  <c r="C6017" i="13"/>
  <c r="C6013" i="13"/>
  <c r="C6018" i="13"/>
  <c r="C6019" i="13"/>
  <c r="C6020" i="13"/>
  <c r="C6021" i="13"/>
  <c r="C6022" i="13"/>
  <c r="C6023" i="13"/>
  <c r="C6024" i="13"/>
  <c r="C6025" i="13"/>
  <c r="C6026" i="13"/>
  <c r="C6027" i="13"/>
  <c r="C6028" i="13"/>
  <c r="C6029" i="13"/>
  <c r="C6030" i="13"/>
  <c r="C6031" i="13"/>
  <c r="C6032" i="13"/>
  <c r="C6033" i="13"/>
  <c r="C6034" i="13"/>
  <c r="C6035" i="13"/>
  <c r="C6036" i="13"/>
  <c r="C6037" i="13"/>
  <c r="C6038" i="13"/>
  <c r="C6039" i="13"/>
  <c r="C6040" i="13"/>
  <c r="C6041" i="13"/>
  <c r="C6042" i="13"/>
  <c r="C6043" i="13"/>
  <c r="C6044" i="13"/>
  <c r="C6045" i="13"/>
  <c r="C6046" i="13"/>
  <c r="C6047" i="13"/>
  <c r="C6048" i="13"/>
  <c r="C6049" i="13"/>
  <c r="C6050" i="13"/>
  <c r="C6051" i="13"/>
  <c r="C6052" i="13"/>
  <c r="C6053" i="13"/>
  <c r="C6054" i="13"/>
  <c r="C6055" i="13"/>
  <c r="C6056" i="13"/>
  <c r="C6057" i="13"/>
  <c r="C6058" i="13"/>
  <c r="C6059" i="13"/>
  <c r="C6060" i="13"/>
  <c r="C6061" i="13"/>
  <c r="C6062" i="13"/>
  <c r="C6063" i="13"/>
  <c r="C6064" i="13"/>
  <c r="C6065" i="13"/>
  <c r="C6066" i="13"/>
  <c r="C6067" i="13"/>
  <c r="C6068" i="13"/>
  <c r="C6069" i="13"/>
  <c r="C6070" i="13"/>
  <c r="C6071" i="13"/>
  <c r="C6072" i="13"/>
  <c r="C6073" i="13"/>
  <c r="C6074" i="13"/>
  <c r="C6075" i="13"/>
  <c r="C6076" i="13"/>
  <c r="C6078" i="13"/>
  <c r="C6079" i="13"/>
  <c r="C6080" i="13"/>
  <c r="C6081" i="13"/>
  <c r="C6082" i="13"/>
  <c r="C6083" i="13"/>
  <c r="C6084" i="13"/>
  <c r="C6086" i="13"/>
  <c r="C6087" i="13"/>
  <c r="C6088" i="13"/>
  <c r="C6089" i="13"/>
  <c r="C6090" i="13"/>
  <c r="C6091" i="13"/>
  <c r="C6092" i="13"/>
  <c r="C6093" i="13"/>
  <c r="C6094" i="13"/>
  <c r="C6096" i="13"/>
  <c r="C6097" i="13"/>
  <c r="C6098" i="13"/>
  <c r="C6099" i="13"/>
  <c r="C6100" i="13"/>
  <c r="C6102" i="13"/>
  <c r="C6103" i="13"/>
  <c r="C6104" i="13"/>
  <c r="C6105" i="13"/>
  <c r="C6101" i="13"/>
  <c r="C6106" i="13"/>
  <c r="C6107" i="13"/>
  <c r="C6108" i="13"/>
  <c r="C6109" i="13"/>
  <c r="C6110" i="13"/>
  <c r="C6111" i="13"/>
  <c r="C6112" i="13"/>
  <c r="C6113" i="13"/>
  <c r="C6114" i="13"/>
  <c r="C6115" i="13"/>
  <c r="C6116" i="13"/>
  <c r="C6117" i="13"/>
  <c r="C6118" i="13"/>
  <c r="C6119" i="13"/>
  <c r="C6120" i="13"/>
  <c r="C6121" i="13"/>
  <c r="C6122" i="13"/>
  <c r="C6123" i="13"/>
  <c r="C6124" i="13"/>
  <c r="C6125" i="13"/>
  <c r="C6126" i="13"/>
  <c r="C6127" i="13"/>
  <c r="C6128" i="13"/>
  <c r="C6129" i="13"/>
  <c r="C6130" i="13"/>
  <c r="C6131" i="13"/>
  <c r="C6132" i="13"/>
  <c r="C6133" i="13"/>
  <c r="C6134" i="13"/>
  <c r="C6135" i="13"/>
  <c r="C6136" i="13"/>
  <c r="C6137" i="13"/>
  <c r="C6138" i="13"/>
  <c r="C6139" i="13"/>
  <c r="C6140" i="13"/>
  <c r="C6141" i="13"/>
  <c r="C6142" i="13"/>
  <c r="C6143" i="13"/>
  <c r="C6145" i="13"/>
  <c r="C6146" i="13"/>
  <c r="C6144" i="13"/>
  <c r="C6147" i="13"/>
  <c r="C6148" i="13"/>
  <c r="C6149" i="13"/>
  <c r="C6150" i="13"/>
  <c r="C6151" i="13"/>
  <c r="C6152" i="13"/>
  <c r="C6153" i="13"/>
  <c r="C6154" i="13"/>
  <c r="C6155" i="13"/>
  <c r="C6156" i="13"/>
  <c r="C6157" i="13"/>
  <c r="C6158" i="13"/>
  <c r="C6159" i="13"/>
  <c r="C6160" i="13"/>
  <c r="C6161" i="13"/>
  <c r="C6162" i="13"/>
  <c r="C6164" i="13"/>
  <c r="C6165" i="13"/>
  <c r="C6166" i="13"/>
  <c r="C6167" i="13"/>
  <c r="C6168" i="13"/>
  <c r="C6169" i="13"/>
  <c r="C6170" i="13"/>
  <c r="C6171" i="13"/>
  <c r="C6172" i="13"/>
  <c r="C6173" i="13"/>
  <c r="C6174" i="13"/>
  <c r="C6175" i="13"/>
  <c r="C6176" i="13"/>
  <c r="C6177" i="13"/>
  <c r="C6178" i="13"/>
  <c r="C6182" i="13"/>
  <c r="C6183" i="13"/>
  <c r="C6184" i="13"/>
  <c r="C6185" i="13"/>
  <c r="C6187" i="13"/>
  <c r="C6188" i="13"/>
  <c r="C6189" i="13"/>
  <c r="C6190" i="13"/>
  <c r="C6191" i="13"/>
  <c r="C6192" i="13"/>
  <c r="C6194" i="13"/>
  <c r="C6195" i="13"/>
  <c r="C6193" i="13"/>
  <c r="C6198" i="13"/>
  <c r="C6199" i="13"/>
  <c r="C6200" i="13"/>
  <c r="C6201" i="13"/>
  <c r="C6202" i="13"/>
  <c r="C6203" i="13"/>
  <c r="C6204" i="13"/>
  <c r="C6205" i="13"/>
  <c r="C6206" i="13"/>
  <c r="C6207" i="13"/>
  <c r="C6208" i="13"/>
  <c r="C6209" i="13"/>
  <c r="C6210" i="13"/>
  <c r="C6211" i="13"/>
  <c r="C6212" i="13"/>
  <c r="C6213" i="13"/>
  <c r="C6214" i="13"/>
  <c r="C6215" i="13"/>
  <c r="C6216" i="13"/>
  <c r="C6217" i="13"/>
  <c r="C6218" i="13"/>
  <c r="C6219" i="13"/>
  <c r="C6220" i="13"/>
  <c r="C6221" i="13"/>
  <c r="C6222" i="13"/>
  <c r="C6223" i="13"/>
  <c r="C6224" i="13"/>
  <c r="C6225" i="13"/>
  <c r="C6226" i="13"/>
  <c r="C6227" i="13"/>
  <c r="C6228" i="13"/>
  <c r="C6229" i="13"/>
  <c r="C6230" i="13"/>
  <c r="C6231" i="13"/>
  <c r="C6232" i="13"/>
  <c r="C6233" i="13"/>
  <c r="C6234" i="13"/>
  <c r="C6235" i="13"/>
  <c r="C6236" i="13"/>
  <c r="C6237" i="13"/>
  <c r="C6238" i="13"/>
  <c r="C6239" i="13"/>
  <c r="C6240" i="13"/>
  <c r="C6241" i="13"/>
  <c r="C6242" i="13"/>
  <c r="C6243" i="13"/>
  <c r="C6244" i="13"/>
  <c r="C6245" i="13"/>
  <c r="C6246" i="13"/>
  <c r="C6247" i="13"/>
  <c r="C6248" i="13"/>
  <c r="C6249" i="13"/>
  <c r="C6250" i="13"/>
  <c r="C6251" i="13"/>
  <c r="C6252" i="13"/>
  <c r="C6253" i="13"/>
  <c r="C6254" i="13"/>
  <c r="C6255" i="13"/>
  <c r="C6256" i="13"/>
  <c r="C6257" i="13"/>
  <c r="C6258" i="13"/>
  <c r="C6259" i="13"/>
  <c r="C6260" i="13"/>
  <c r="C6261" i="13"/>
  <c r="C6262" i="13"/>
  <c r="C6263" i="13"/>
  <c r="C6264" i="13"/>
  <c r="C6265" i="13"/>
  <c r="C6266" i="13"/>
  <c r="C6267" i="13"/>
  <c r="C6268" i="13"/>
  <c r="C6269" i="13"/>
  <c r="C6270" i="13"/>
  <c r="C6271" i="13"/>
  <c r="C6272" i="13"/>
  <c r="C6273" i="13"/>
  <c r="C6274" i="13"/>
  <c r="C6275" i="13"/>
  <c r="C6276" i="13"/>
  <c r="C6277" i="13"/>
  <c r="C6278" i="13"/>
  <c r="C6279" i="13"/>
  <c r="C6280" i="13"/>
  <c r="C6281" i="13"/>
  <c r="C6282" i="13"/>
  <c r="C6283" i="13"/>
  <c r="C6284" i="13"/>
  <c r="C6285" i="13"/>
  <c r="C6286" i="13"/>
  <c r="C6287" i="13"/>
  <c r="C6288" i="13"/>
  <c r="C6289" i="13"/>
  <c r="C6290" i="13"/>
  <c r="C6291" i="13"/>
  <c r="C6292" i="13"/>
  <c r="C6293" i="13"/>
  <c r="C6294" i="13"/>
  <c r="C6295" i="13"/>
  <c r="C6296" i="13"/>
  <c r="C6297" i="13"/>
  <c r="C6298" i="13"/>
  <c r="C6299" i="13"/>
  <c r="C6300" i="13"/>
  <c r="C6301" i="13"/>
  <c r="C6302" i="13"/>
  <c r="C6303" i="13"/>
  <c r="C6304" i="13"/>
  <c r="C6305" i="13"/>
  <c r="C6306" i="13"/>
  <c r="C6307" i="13"/>
  <c r="C6308" i="13"/>
  <c r="C6309" i="13"/>
  <c r="C6310" i="13"/>
  <c r="C6311" i="13"/>
  <c r="C6312" i="13"/>
  <c r="C6313" i="13"/>
  <c r="C6314" i="13"/>
  <c r="C6315" i="13"/>
  <c r="C6316" i="13"/>
  <c r="C6317" i="13"/>
  <c r="C6318" i="13"/>
  <c r="C6319" i="13"/>
  <c r="C6320" i="13"/>
  <c r="C6321" i="13"/>
  <c r="C6322" i="13"/>
  <c r="C6323" i="13"/>
  <c r="C6324" i="13"/>
  <c r="C6325" i="13"/>
  <c r="C6326" i="13"/>
  <c r="C6327" i="13"/>
  <c r="C6328" i="13"/>
  <c r="C6329" i="13"/>
  <c r="C6330" i="13"/>
  <c r="C6331" i="13"/>
  <c r="C6332" i="13"/>
  <c r="C6333" i="13"/>
  <c r="C6334" i="13"/>
  <c r="C6335" i="13"/>
  <c r="C6336" i="13"/>
  <c r="C6337" i="13"/>
  <c r="C6338" i="13"/>
  <c r="C6339" i="13"/>
  <c r="C6340" i="13"/>
  <c r="C6341" i="13"/>
  <c r="C6342" i="13"/>
  <c r="C6343" i="13"/>
  <c r="C6344" i="13"/>
  <c r="C6345" i="13"/>
  <c r="C6346" i="13"/>
  <c r="C6347" i="13"/>
  <c r="C6348" i="13"/>
  <c r="C6349" i="13"/>
  <c r="C6350" i="13"/>
  <c r="C6351" i="13"/>
  <c r="C6352" i="13"/>
  <c r="C6353" i="13"/>
  <c r="C6354" i="13"/>
  <c r="C6355" i="13"/>
  <c r="C6356" i="13"/>
  <c r="C6357" i="13"/>
  <c r="C6358" i="13"/>
  <c r="C6359" i="13"/>
  <c r="C6360" i="13"/>
  <c r="C6361" i="13"/>
  <c r="C6362" i="13"/>
  <c r="C6363" i="13"/>
  <c r="C6364" i="13"/>
  <c r="C6365" i="13"/>
  <c r="C6366" i="13"/>
  <c r="C6367" i="13"/>
  <c r="C6368" i="13"/>
  <c r="C6369" i="13"/>
  <c r="C6370" i="13"/>
  <c r="C6371" i="13"/>
  <c r="C6372" i="13"/>
  <c r="C6373" i="13"/>
  <c r="C6374" i="13"/>
  <c r="C6375" i="13"/>
  <c r="C6376" i="13"/>
  <c r="C6377" i="13"/>
  <c r="C6378" i="13"/>
  <c r="C6379" i="13"/>
  <c r="C6380" i="13"/>
  <c r="C6381" i="13"/>
  <c r="C6382" i="13"/>
  <c r="C6383" i="13"/>
  <c r="C6384" i="13"/>
  <c r="C6385" i="13"/>
  <c r="C6386" i="13"/>
  <c r="C6387" i="13"/>
  <c r="C6388" i="13"/>
  <c r="C6389" i="13"/>
  <c r="C6390" i="13"/>
  <c r="C6391" i="13"/>
  <c r="C6392" i="13"/>
  <c r="C6393" i="13"/>
  <c r="C6394" i="13"/>
  <c r="C6395" i="13"/>
  <c r="C6396" i="13"/>
  <c r="C6397" i="13"/>
  <c r="C6398" i="13"/>
  <c r="C6399" i="13"/>
  <c r="C6400" i="13"/>
  <c r="C6401" i="13"/>
  <c r="C6402" i="13"/>
  <c r="C6403" i="13"/>
  <c r="C6404" i="13"/>
  <c r="C6405" i="13"/>
  <c r="C6406" i="13"/>
  <c r="C6407" i="13"/>
  <c r="C6408" i="13"/>
  <c r="C6409" i="13"/>
  <c r="C6410" i="13"/>
  <c r="C6411" i="13"/>
  <c r="C6412" i="13"/>
  <c r="C6413" i="13"/>
  <c r="C6414" i="13"/>
  <c r="C6415" i="13"/>
  <c r="C6416" i="13"/>
  <c r="C6417" i="13"/>
  <c r="C6418" i="13"/>
  <c r="C6419" i="13"/>
  <c r="C6420" i="13"/>
  <c r="C6421" i="13"/>
  <c r="C6422" i="13"/>
  <c r="C6423" i="13"/>
  <c r="C6424" i="13"/>
  <c r="C6425" i="13"/>
  <c r="C6426" i="13"/>
  <c r="C6427" i="13"/>
  <c r="C6428" i="13"/>
  <c r="C6429" i="13"/>
  <c r="C6430" i="13"/>
  <c r="C6431" i="13"/>
  <c r="C6432" i="13"/>
  <c r="C6433" i="13"/>
  <c r="C6434" i="13"/>
  <c r="C6435" i="13"/>
  <c r="C6436" i="13"/>
  <c r="C6437" i="13"/>
  <c r="C6438" i="13"/>
  <c r="C6439" i="13"/>
  <c r="C6440" i="13"/>
  <c r="C6441" i="13"/>
  <c r="C6442" i="13"/>
  <c r="C6443" i="13"/>
  <c r="C6444" i="13"/>
  <c r="C6445" i="13"/>
  <c r="C6446" i="13"/>
  <c r="C6447" i="13"/>
  <c r="C6448" i="13"/>
  <c r="C6449" i="13"/>
  <c r="C6450" i="13"/>
  <c r="C6451" i="13"/>
  <c r="C6452" i="13"/>
  <c r="C6453" i="13"/>
  <c r="C6454" i="13"/>
  <c r="C6455" i="13"/>
  <c r="C6456" i="13"/>
  <c r="C6457" i="13"/>
  <c r="C6458" i="13"/>
  <c r="C6459" i="13"/>
  <c r="C6460" i="13"/>
  <c r="C6461" i="13"/>
  <c r="C6462" i="13"/>
  <c r="C6463" i="13"/>
  <c r="C6464" i="13"/>
  <c r="C6465" i="13"/>
  <c r="C6466" i="13"/>
  <c r="C6467" i="13"/>
  <c r="C6468" i="13"/>
  <c r="C6469" i="13"/>
  <c r="C6470" i="13"/>
  <c r="C6471" i="13"/>
  <c r="C6472" i="13"/>
  <c r="C6473" i="13"/>
  <c r="C6474" i="13"/>
  <c r="C6475" i="13"/>
  <c r="C6476" i="13"/>
  <c r="C6477" i="13"/>
  <c r="C6478" i="13"/>
  <c r="C6479" i="13"/>
  <c r="C6480" i="13"/>
  <c r="C6481" i="13"/>
  <c r="C6482" i="13"/>
  <c r="C6483" i="13"/>
  <c r="C6484" i="13"/>
  <c r="C6485" i="13"/>
  <c r="C6486" i="13"/>
  <c r="C6487" i="13"/>
  <c r="C6488" i="13"/>
  <c r="C6489" i="13"/>
  <c r="C6490" i="13"/>
  <c r="C6491" i="13"/>
  <c r="C6492" i="13"/>
  <c r="C6493" i="13"/>
  <c r="C6494" i="13"/>
  <c r="C6495" i="13"/>
  <c r="C6496" i="13"/>
  <c r="C6497" i="13"/>
  <c r="C6498" i="13"/>
  <c r="C6499" i="13"/>
  <c r="C6500" i="13"/>
  <c r="C6501" i="13"/>
  <c r="C6502" i="13"/>
  <c r="C6503" i="13"/>
  <c r="C6504" i="13"/>
  <c r="C6505" i="13"/>
  <c r="C6506" i="13"/>
  <c r="C6507" i="13"/>
  <c r="C6508" i="13"/>
  <c r="C6509" i="13"/>
  <c r="C6510" i="13"/>
  <c r="EC6004" i="13" l="1"/>
  <c r="DW6004" i="13"/>
  <c r="CA5997" i="13" l="1"/>
  <c r="BO5997" i="13"/>
  <c r="DG5982" i="13" l="1"/>
  <c r="CU5982" i="13"/>
  <c r="CM5975" i="13" l="1"/>
  <c r="CG5975" i="13"/>
  <c r="CA5975" i="13"/>
  <c r="BU5975" i="13"/>
  <c r="BI5975" i="13"/>
  <c r="BC5975" i="13"/>
  <c r="BC5972" i="13" l="1"/>
  <c r="CY5972" i="13"/>
  <c r="CM5972" i="13"/>
  <c r="BI5972" i="13"/>
  <c r="CA5962" i="13" l="1"/>
  <c r="AY6" i="13" l="1"/>
  <c r="J21" i="12" l="1"/>
  <c r="H18" i="22"/>
  <c r="CF5947" i="13"/>
  <c r="IN5939" i="13" l="1"/>
  <c r="DU5937" i="13"/>
  <c r="CA5930" i="13" l="1"/>
  <c r="BU5930" i="13"/>
  <c r="BO5930" i="13"/>
  <c r="CG5920" i="13" l="1"/>
  <c r="CA5920" i="13"/>
  <c r="BO5920" i="13"/>
  <c r="IO6" i="13" l="1"/>
  <c r="K95" i="12" l="1"/>
  <c r="I88" i="22"/>
  <c r="CS5904" i="13"/>
  <c r="DK896" i="13" l="1"/>
  <c r="DP5893" i="13" l="1"/>
  <c r="DK5893" i="13"/>
  <c r="DE5893" i="13"/>
  <c r="BI5887" i="13" l="1"/>
  <c r="Z5884" i="13"/>
  <c r="CS5896" i="13" l="1"/>
  <c r="BO5895" i="13"/>
  <c r="BI5895" i="13"/>
  <c r="BO5875" i="13"/>
  <c r="BC5875" i="13"/>
  <c r="G89" i="12" l="1"/>
  <c r="I89" i="12"/>
  <c r="J89" i="12"/>
  <c r="II6" i="13"/>
  <c r="H88" i="12" l="1"/>
  <c r="E88" i="12" s="1"/>
  <c r="F83" i="22"/>
  <c r="J83" i="22" s="1"/>
  <c r="GZ5865" i="13"/>
  <c r="CG5862" i="13" l="1"/>
  <c r="BI5862" i="13"/>
  <c r="V5862" i="13"/>
  <c r="EA5851" i="13" l="1"/>
  <c r="BU5851" i="13"/>
  <c r="C5720" i="13" l="1"/>
  <c r="C5741" i="13"/>
  <c r="DA5832" i="13" l="1"/>
  <c r="V5829" i="13" l="1"/>
  <c r="EA5825" i="13" l="1"/>
  <c r="CA5805" i="13" l="1"/>
  <c r="BU5805" i="13"/>
  <c r="AW5805" i="13"/>
  <c r="AR5805" i="13"/>
  <c r="AN5805" i="13"/>
  <c r="DP5768" i="13" l="1"/>
  <c r="C5768" i="13" s="1"/>
  <c r="C5724" i="13" l="1"/>
  <c r="DA5754" i="13"/>
  <c r="DR5749" i="13"/>
  <c r="DU5733" i="13" l="1"/>
  <c r="H104" i="12" l="1"/>
  <c r="I104" i="12"/>
  <c r="J104" i="12"/>
  <c r="K104" i="12"/>
  <c r="M5714" i="13" l="1"/>
  <c r="C5700" i="13" l="1"/>
  <c r="IJ6" i="13" l="1"/>
  <c r="IK6" i="13"/>
  <c r="IL6" i="13"/>
  <c r="IM6" i="13"/>
  <c r="IN6" i="13"/>
  <c r="IP6" i="13"/>
  <c r="IQ6" i="13"/>
  <c r="IR6" i="13"/>
  <c r="IS6" i="13"/>
  <c r="IT6" i="13"/>
  <c r="IU6" i="13"/>
  <c r="IV6" i="13"/>
  <c r="IW6" i="13"/>
  <c r="G103" i="12" l="1"/>
  <c r="E96" i="22"/>
  <c r="J96" i="22" s="1"/>
  <c r="G102" i="12"/>
  <c r="E95" i="22"/>
  <c r="J95" i="22" s="1"/>
  <c r="G100" i="12"/>
  <c r="E100" i="12" s="1"/>
  <c r="E93" i="22"/>
  <c r="J93" i="22" s="1"/>
  <c r="G98" i="12"/>
  <c r="E98" i="12" s="1"/>
  <c r="E91" i="22"/>
  <c r="J91" i="22" s="1"/>
  <c r="G96" i="12"/>
  <c r="E96" i="12" s="1"/>
  <c r="E89" i="22"/>
  <c r="J89" i="22" s="1"/>
  <c r="F94" i="12"/>
  <c r="D87" i="22"/>
  <c r="J87" i="22" s="1"/>
  <c r="G92" i="12"/>
  <c r="E92" i="12" s="1"/>
  <c r="E85" i="22"/>
  <c r="J85" i="22" s="1"/>
  <c r="G101" i="12"/>
  <c r="E101" i="12" s="1"/>
  <c r="E94" i="22"/>
  <c r="J94" i="22" s="1"/>
  <c r="G99" i="12"/>
  <c r="E99" i="12" s="1"/>
  <c r="E92" i="22"/>
  <c r="J92" i="22" s="1"/>
  <c r="G97" i="12"/>
  <c r="E97" i="12" s="1"/>
  <c r="E90" i="22"/>
  <c r="J90" i="22" s="1"/>
  <c r="F95" i="12"/>
  <c r="E95" i="12" s="1"/>
  <c r="D88" i="22"/>
  <c r="J88" i="22" s="1"/>
  <c r="G93" i="12"/>
  <c r="E93" i="12" s="1"/>
  <c r="E86" i="22"/>
  <c r="J86" i="22" s="1"/>
  <c r="G91" i="12"/>
  <c r="E84" i="22"/>
  <c r="J84" i="22" s="1"/>
  <c r="E94" i="12"/>
  <c r="F104" i="12"/>
  <c r="E91" i="12"/>
  <c r="GX6" i="13"/>
  <c r="W6" i="13"/>
  <c r="G104" i="12" l="1"/>
  <c r="E104" i="12" s="1"/>
  <c r="K14" i="12"/>
  <c r="I11" i="22"/>
  <c r="H66" i="12"/>
  <c r="E66" i="12" s="1"/>
  <c r="F61" i="22"/>
  <c r="J61" i="22" s="1"/>
  <c r="BO5696" i="13"/>
  <c r="DX6" i="13" l="1"/>
  <c r="C5692" i="13"/>
  <c r="ED6" i="13"/>
  <c r="K35" i="12" l="1"/>
  <c r="I32" i="22"/>
  <c r="K34" i="12"/>
  <c r="I31" i="22"/>
  <c r="C5673" i="13"/>
  <c r="BU5676" i="13" l="1"/>
  <c r="CA5674" i="13" l="1"/>
  <c r="EA5634" i="13" l="1"/>
  <c r="DU5634" i="13"/>
  <c r="BU5631" i="13" l="1"/>
  <c r="BI5631" i="13"/>
  <c r="BU5622" i="13"/>
  <c r="BO5622" i="13"/>
  <c r="C5599" i="13" l="1"/>
  <c r="AW5614" i="13" l="1"/>
  <c r="C5584" i="13" l="1"/>
  <c r="C5605" i="13" l="1"/>
  <c r="CA5597" i="13" l="1"/>
  <c r="CG5597" i="13"/>
  <c r="DE5597" i="13"/>
  <c r="BI5597" i="13"/>
  <c r="CG5573" i="13" l="1"/>
  <c r="CA5573" i="13"/>
  <c r="FY6" i="13" l="1"/>
  <c r="FX6" i="13"/>
  <c r="D49" i="22" s="1"/>
  <c r="J52" i="12" l="1"/>
  <c r="H49" i="22"/>
  <c r="AR5560" i="13"/>
  <c r="P5560" i="13"/>
  <c r="AK6" i="13" l="1"/>
  <c r="HB6" i="13"/>
  <c r="HM5560" i="13"/>
  <c r="HY5560" i="13"/>
  <c r="FM6" i="13"/>
  <c r="C6" i="21"/>
  <c r="H18" i="12" l="1"/>
  <c r="E18" i="12" s="1"/>
  <c r="F15" i="22"/>
  <c r="J15" i="22" s="1"/>
  <c r="F47" i="12"/>
  <c r="D44" i="22"/>
  <c r="F68" i="12"/>
  <c r="E68" i="12" s="1"/>
  <c r="D63" i="22"/>
  <c r="J63" i="22" s="1"/>
  <c r="EA5551" i="13"/>
  <c r="DU5551" i="13"/>
  <c r="BI5553" i="13"/>
  <c r="C5539" i="13" l="1"/>
  <c r="EA5541" i="13" l="1"/>
  <c r="CA5541" i="13"/>
  <c r="BO5541" i="13"/>
  <c r="BI5541" i="13"/>
  <c r="C5541" i="13" l="1"/>
  <c r="GG5523" i="13"/>
  <c r="GG6" i="13" s="1"/>
  <c r="GC6" i="13"/>
  <c r="FE6" i="13"/>
  <c r="C5523" i="13"/>
  <c r="J44" i="12" l="1"/>
  <c r="E44" i="12" s="1"/>
  <c r="H41" i="22"/>
  <c r="J41" i="22" s="1"/>
  <c r="J55" i="12"/>
  <c r="E55" i="12" s="1"/>
  <c r="H52" i="22"/>
  <c r="J52" i="22" s="1"/>
  <c r="J53" i="12"/>
  <c r="H50" i="22"/>
  <c r="BO5515" i="13"/>
  <c r="BC5515" i="13"/>
  <c r="AR5515" i="13"/>
  <c r="BU5503" i="13" l="1"/>
  <c r="C5505" i="13"/>
  <c r="C5506" i="13"/>
  <c r="C5507" i="13"/>
  <c r="C5508" i="13"/>
  <c r="C5509" i="13"/>
  <c r="C5511" i="13"/>
  <c r="C5512" i="13"/>
  <c r="C5510" i="13"/>
  <c r="C5513" i="13"/>
  <c r="C5514" i="13"/>
  <c r="C5515" i="13"/>
  <c r="C5516" i="13"/>
  <c r="C5517" i="13"/>
  <c r="C5518" i="13"/>
  <c r="C5519" i="13"/>
  <c r="C5520" i="13"/>
  <c r="C5521" i="13"/>
  <c r="C5522" i="13"/>
  <c r="C5524" i="13"/>
  <c r="C5525" i="13"/>
  <c r="C5526" i="13"/>
  <c r="C5527" i="13"/>
  <c r="C5528" i="13"/>
  <c r="C5529" i="13"/>
  <c r="C5530" i="13"/>
  <c r="C5531" i="13"/>
  <c r="C5532" i="13"/>
  <c r="C5533" i="13"/>
  <c r="C5534" i="13"/>
  <c r="C5535" i="13"/>
  <c r="C5536" i="13"/>
  <c r="C5537" i="13"/>
  <c r="C5538" i="13"/>
  <c r="C5540" i="13"/>
  <c r="C5542" i="13"/>
  <c r="C5543" i="13"/>
  <c r="C5544" i="13"/>
  <c r="C5545" i="13"/>
  <c r="C5546" i="13"/>
  <c r="C5547" i="13"/>
  <c r="C5548" i="13"/>
  <c r="C5549" i="13"/>
  <c r="C5550" i="13"/>
  <c r="C5551" i="13"/>
  <c r="C5552" i="13"/>
  <c r="C5553" i="13"/>
  <c r="C5554" i="13"/>
  <c r="C5555" i="13"/>
  <c r="C5556" i="13"/>
  <c r="C5557" i="13"/>
  <c r="C5558" i="13"/>
  <c r="C5559" i="13"/>
  <c r="C5560" i="13"/>
  <c r="C5562" i="13"/>
  <c r="C5563" i="13"/>
  <c r="C5564" i="13"/>
  <c r="C5565" i="13"/>
  <c r="C5566" i="13"/>
  <c r="C5567" i="13"/>
  <c r="C5568" i="13"/>
  <c r="C5569" i="13"/>
  <c r="C5570" i="13"/>
  <c r="C5571" i="13"/>
  <c r="C5561" i="13"/>
  <c r="C5572" i="13"/>
  <c r="C5573" i="13"/>
  <c r="C5574" i="13"/>
  <c r="C5575" i="13"/>
  <c r="C5576" i="13"/>
  <c r="C5577" i="13"/>
  <c r="C5578" i="13"/>
  <c r="C5579" i="13"/>
  <c r="C5580" i="13"/>
  <c r="C5581" i="13"/>
  <c r="C5582" i="13"/>
  <c r="C5583" i="13"/>
  <c r="C5585" i="13"/>
  <c r="C5586" i="13"/>
  <c r="C5587" i="13"/>
  <c r="C5588" i="13"/>
  <c r="C5589" i="13"/>
  <c r="C5590" i="13"/>
  <c r="C5591" i="13"/>
  <c r="C5592" i="13"/>
  <c r="C5593" i="13"/>
  <c r="C5594" i="13"/>
  <c r="C5595" i="13"/>
  <c r="C5596" i="13"/>
  <c r="C5597" i="13"/>
  <c r="C5598" i="13"/>
  <c r="C5600" i="13"/>
  <c r="C5601" i="13"/>
  <c r="C5602" i="13"/>
  <c r="C5603" i="13"/>
  <c r="C5604" i="13"/>
  <c r="C5606" i="13"/>
  <c r="C5607" i="13"/>
  <c r="C5608" i="13"/>
  <c r="C5609" i="13"/>
  <c r="C5610" i="13"/>
  <c r="C5611" i="13"/>
  <c r="C5612" i="13"/>
  <c r="C5613" i="13"/>
  <c r="C5614" i="13"/>
  <c r="C5615" i="13"/>
  <c r="C5616" i="13"/>
  <c r="C5617" i="13"/>
  <c r="C5618" i="13"/>
  <c r="C5619" i="13"/>
  <c r="C5620" i="13"/>
  <c r="C5621" i="13"/>
  <c r="C5622" i="13"/>
  <c r="C5623" i="13"/>
  <c r="C5624" i="13"/>
  <c r="C5625" i="13"/>
  <c r="C5626" i="13"/>
  <c r="C5627" i="13"/>
  <c r="C5628" i="13"/>
  <c r="C5629" i="13"/>
  <c r="C5630" i="13"/>
  <c r="C5631" i="13"/>
  <c r="C5632" i="13"/>
  <c r="C5633" i="13"/>
  <c r="C5634" i="13"/>
  <c r="C5635" i="13"/>
  <c r="C5636" i="13"/>
  <c r="C5637" i="13"/>
  <c r="C5638" i="13"/>
  <c r="C5639" i="13"/>
  <c r="C5640" i="13"/>
  <c r="C5641" i="13"/>
  <c r="C5642" i="13"/>
  <c r="C5643" i="13"/>
  <c r="C5644" i="13"/>
  <c r="C5645" i="13"/>
  <c r="C5646" i="13"/>
  <c r="C5647" i="13"/>
  <c r="C5648" i="13"/>
  <c r="C5649" i="13"/>
  <c r="C5650" i="13"/>
  <c r="C5651" i="13"/>
  <c r="C5652" i="13"/>
  <c r="C5653" i="13"/>
  <c r="C5654" i="13"/>
  <c r="C5655" i="13"/>
  <c r="C5656" i="13"/>
  <c r="C5657" i="13"/>
  <c r="C5658" i="13"/>
  <c r="C5659" i="13"/>
  <c r="C5660" i="13"/>
  <c r="C5661" i="13"/>
  <c r="C5663" i="13"/>
  <c r="C5662" i="13"/>
  <c r="C5664" i="13"/>
  <c r="C5665" i="13"/>
  <c r="C5666" i="13"/>
  <c r="C5667" i="13"/>
  <c r="C5668" i="13"/>
  <c r="C5669" i="13"/>
  <c r="C5670" i="13"/>
  <c r="C5671" i="13"/>
  <c r="C5672" i="13"/>
  <c r="C5674" i="13"/>
  <c r="C5675" i="13"/>
  <c r="C5676" i="13"/>
  <c r="C5677" i="13"/>
  <c r="C5678" i="13"/>
  <c r="C5679" i="13"/>
  <c r="C5680" i="13"/>
  <c r="C5681" i="13"/>
  <c r="C5682" i="13"/>
  <c r="C5683" i="13"/>
  <c r="C5684" i="13"/>
  <c r="C5685" i="13"/>
  <c r="C5686" i="13"/>
  <c r="C5687" i="13"/>
  <c r="C5689" i="13"/>
  <c r="C5690" i="13"/>
  <c r="C5691" i="13"/>
  <c r="C5688" i="13"/>
  <c r="C5693" i="13"/>
  <c r="C5694" i="13"/>
  <c r="C5695" i="13"/>
  <c r="C5696" i="13"/>
  <c r="C5697" i="13"/>
  <c r="C5698" i="13"/>
  <c r="C5699" i="13"/>
  <c r="C5701" i="13"/>
  <c r="C5702" i="13"/>
  <c r="C5704" i="13"/>
  <c r="C5705" i="13"/>
  <c r="C5706" i="13"/>
  <c r="C5707" i="13"/>
  <c r="C5708" i="13"/>
  <c r="C5703" i="13"/>
  <c r="C5709" i="13"/>
  <c r="C5710" i="13"/>
  <c r="C5711" i="13"/>
  <c r="C5712" i="13"/>
  <c r="C5713" i="13"/>
  <c r="C5714" i="13"/>
  <c r="C5715" i="13"/>
  <c r="C5716" i="13"/>
  <c r="C5717" i="13"/>
  <c r="C5719" i="13"/>
  <c r="C5721" i="13"/>
  <c r="C5718" i="13"/>
  <c r="C5722" i="13"/>
  <c r="C5723" i="13"/>
  <c r="C5725" i="13"/>
  <c r="C5726" i="13"/>
  <c r="C5727" i="13"/>
  <c r="C5728" i="13"/>
  <c r="C5729" i="13"/>
  <c r="C5730" i="13"/>
  <c r="C5731" i="13"/>
  <c r="C5732" i="13"/>
  <c r="C5733" i="13"/>
  <c r="C5734" i="13"/>
  <c r="C5735" i="13"/>
  <c r="C5738" i="13"/>
  <c r="C5739" i="13"/>
  <c r="C5736" i="13"/>
  <c r="C5740" i="13"/>
  <c r="C5742" i="13"/>
  <c r="C5743" i="13"/>
  <c r="C5744" i="13"/>
  <c r="C5745" i="13"/>
  <c r="C5746" i="13"/>
  <c r="C5747" i="13"/>
  <c r="C5748" i="13"/>
  <c r="C5737" i="13"/>
  <c r="C5749" i="13"/>
  <c r="C5750" i="13"/>
  <c r="C5751" i="13"/>
  <c r="C5752" i="13"/>
  <c r="C5753" i="13"/>
  <c r="C5754" i="13"/>
  <c r="C5755" i="13"/>
  <c r="C5757" i="13"/>
  <c r="C5758" i="13"/>
  <c r="C5759" i="13"/>
  <c r="C5756" i="13"/>
  <c r="C5760" i="13"/>
  <c r="C5761" i="13"/>
  <c r="C5762" i="13"/>
  <c r="C5763" i="13"/>
  <c r="C5764" i="13"/>
  <c r="C5765" i="13"/>
  <c r="C5766" i="13"/>
  <c r="C5767" i="13"/>
  <c r="C5769" i="13"/>
  <c r="C5770" i="13"/>
  <c r="C5771" i="13"/>
  <c r="C5772" i="13"/>
  <c r="C5773" i="13"/>
  <c r="C5774" i="13"/>
  <c r="C5775" i="13"/>
  <c r="C5776" i="13"/>
  <c r="C5777" i="13"/>
  <c r="C5778" i="13"/>
  <c r="C5779" i="13"/>
  <c r="C5780" i="13"/>
  <c r="C5781" i="13"/>
  <c r="C5783" i="13"/>
  <c r="C5784" i="13"/>
  <c r="C5785" i="13"/>
  <c r="C5786" i="13"/>
  <c r="C5787" i="13"/>
  <c r="C5788" i="13"/>
  <c r="C5789" i="13"/>
  <c r="C5790" i="13"/>
  <c r="C5791" i="13"/>
  <c r="C5796" i="13"/>
  <c r="C5792" i="13"/>
  <c r="C5793" i="13"/>
  <c r="C5794" i="13"/>
  <c r="C5795" i="13"/>
  <c r="C5797" i="13"/>
  <c r="C5798" i="13"/>
  <c r="C5799" i="13"/>
  <c r="C5800" i="13"/>
  <c r="C5782" i="13"/>
  <c r="C5801" i="13"/>
  <c r="C5803" i="13"/>
  <c r="C5802" i="13"/>
  <c r="C5804" i="13"/>
  <c r="C5805" i="13"/>
  <c r="C5806" i="13"/>
  <c r="C5807" i="13"/>
  <c r="C5808" i="13"/>
  <c r="C5809" i="13"/>
  <c r="C5810" i="13"/>
  <c r="C5811" i="13"/>
  <c r="C5812" i="13"/>
  <c r="C5813" i="13"/>
  <c r="C5814" i="13"/>
  <c r="C5815" i="13"/>
  <c r="C5816" i="13"/>
  <c r="C5817" i="13"/>
  <c r="C5818" i="13"/>
  <c r="C5819" i="13"/>
  <c r="C5820" i="13"/>
  <c r="C5821" i="13"/>
  <c r="C5822" i="13"/>
  <c r="C5823" i="13"/>
  <c r="C5824" i="13"/>
  <c r="C5825" i="13"/>
  <c r="C5826" i="13"/>
  <c r="C5827" i="13"/>
  <c r="C5828" i="13"/>
  <c r="C5829" i="13"/>
  <c r="C5830" i="13"/>
  <c r="C5831" i="13"/>
  <c r="C5832" i="13"/>
  <c r="C5833" i="13"/>
  <c r="C5834" i="13"/>
  <c r="C5835" i="13"/>
  <c r="C5844" i="13"/>
  <c r="C5836" i="13"/>
  <c r="C5837" i="13"/>
  <c r="C5838" i="13"/>
  <c r="C5839" i="13"/>
  <c r="C5840" i="13"/>
  <c r="C5841" i="13"/>
  <c r="C5842" i="13"/>
  <c r="C5843" i="13"/>
  <c r="C5845" i="13"/>
  <c r="C5846" i="13"/>
  <c r="C5847" i="13"/>
  <c r="C5848" i="13"/>
  <c r="C5849" i="13"/>
  <c r="C5850" i="13"/>
  <c r="C5851" i="13"/>
  <c r="C5852" i="13"/>
  <c r="C5853" i="13"/>
  <c r="C5854" i="13"/>
  <c r="C5855" i="13"/>
  <c r="C5856" i="13"/>
  <c r="C5857" i="13"/>
  <c r="C5858" i="13"/>
  <c r="C5859" i="13"/>
  <c r="C5860" i="13"/>
  <c r="C5862" i="13"/>
  <c r="C5863" i="13"/>
  <c r="C5864" i="13"/>
  <c r="C5865" i="13"/>
  <c r="C5866" i="13"/>
  <c r="C5861" i="13"/>
  <c r="C5867" i="13"/>
  <c r="C5868" i="13"/>
  <c r="C5869" i="13"/>
  <c r="C5870" i="13"/>
  <c r="C5871" i="13"/>
  <c r="C5872" i="13"/>
  <c r="C5873" i="13"/>
  <c r="C5874" i="13"/>
  <c r="C5895" i="13"/>
  <c r="C5875" i="13"/>
  <c r="C5896" i="13"/>
  <c r="C5876" i="13"/>
  <c r="C5877" i="13"/>
  <c r="C5878" i="13"/>
  <c r="C5879" i="13"/>
  <c r="C5880" i="13"/>
  <c r="C5881" i="13"/>
  <c r="C5882" i="13"/>
  <c r="C5883" i="13"/>
  <c r="C5884" i="13"/>
  <c r="C5885" i="13"/>
  <c r="C5886" i="13"/>
  <c r="C5887" i="13"/>
  <c r="C5888" i="13"/>
  <c r="C5889" i="13"/>
  <c r="C5890" i="13"/>
  <c r="C5891" i="13"/>
  <c r="C5892" i="13"/>
  <c r="C5893" i="13"/>
  <c r="C5894" i="13"/>
  <c r="C5897" i="13"/>
  <c r="C5898" i="13"/>
  <c r="C5899" i="13"/>
  <c r="C5900" i="13"/>
  <c r="C5901" i="13"/>
  <c r="C5902" i="13"/>
  <c r="C5903" i="13"/>
  <c r="C5904" i="13"/>
  <c r="C5905" i="13"/>
  <c r="C5906" i="13"/>
  <c r="C5907" i="13"/>
  <c r="C5908" i="13"/>
  <c r="C5909" i="13"/>
  <c r="C5910" i="13"/>
  <c r="C5911" i="13"/>
  <c r="C5912" i="13"/>
  <c r="C5913" i="13"/>
  <c r="C5914" i="13"/>
  <c r="C5915" i="13"/>
  <c r="C5916" i="13"/>
  <c r="C5917" i="13"/>
  <c r="C5918" i="13"/>
  <c r="C5919" i="13"/>
  <c r="C5920" i="13"/>
  <c r="C5921" i="13"/>
  <c r="C5922" i="13"/>
  <c r="C5923" i="13"/>
  <c r="C5924" i="13"/>
  <c r="C5925" i="13"/>
  <c r="C5926" i="13"/>
  <c r="C5927" i="13"/>
  <c r="C5928" i="13"/>
  <c r="C5929" i="13"/>
  <c r="C5930" i="13"/>
  <c r="C5931" i="13"/>
  <c r="C5932" i="13"/>
  <c r="C5933" i="13"/>
  <c r="C5934" i="13"/>
  <c r="C5935" i="13"/>
  <c r="C5936" i="13"/>
  <c r="C5937" i="13"/>
  <c r="C5938" i="13"/>
  <c r="C5939" i="13"/>
  <c r="C5940" i="13"/>
  <c r="C5942" i="13"/>
  <c r="C5943" i="13"/>
  <c r="C5944" i="13"/>
  <c r="C5945" i="13"/>
  <c r="C5946" i="13"/>
  <c r="C5947" i="13"/>
  <c r="C5948" i="13"/>
  <c r="C5941" i="13"/>
  <c r="C5949" i="13"/>
  <c r="C5950" i="13"/>
  <c r="C5951" i="13"/>
  <c r="C5952" i="13"/>
  <c r="C5953" i="13"/>
  <c r="C5954" i="13"/>
  <c r="C5955" i="13"/>
  <c r="C5956" i="13"/>
  <c r="C5957" i="13"/>
  <c r="C5958" i="13"/>
  <c r="C5959" i="13"/>
  <c r="C5960" i="13"/>
  <c r="C5961" i="13"/>
  <c r="C5962" i="13"/>
  <c r="C5963" i="13"/>
  <c r="C5964" i="13"/>
  <c r="C5965" i="13"/>
  <c r="C5966" i="13"/>
  <c r="C5967" i="13"/>
  <c r="C5968" i="13"/>
  <c r="C5969" i="13"/>
  <c r="C5970" i="13"/>
  <c r="C5971" i="13"/>
  <c r="C5972" i="13"/>
  <c r="C5973" i="13"/>
  <c r="C5975" i="13"/>
  <c r="C5976" i="13"/>
  <c r="C5977" i="13"/>
  <c r="C5978" i="13"/>
  <c r="C5979" i="13"/>
  <c r="C5974" i="13"/>
  <c r="C5980" i="13"/>
  <c r="C5983" i="13"/>
  <c r="C5984" i="13"/>
  <c r="C5985" i="13"/>
  <c r="C5982" i="13"/>
  <c r="C5986" i="13"/>
  <c r="C5987" i="13"/>
  <c r="C5988" i="13"/>
  <c r="C5981" i="13"/>
  <c r="C5989" i="13"/>
  <c r="C5990" i="13"/>
  <c r="C5991" i="13"/>
  <c r="C5992" i="13"/>
  <c r="C5993" i="13"/>
  <c r="C5994" i="13"/>
  <c r="C5995" i="13"/>
  <c r="C5996" i="13"/>
  <c r="C5997" i="13"/>
  <c r="C5998" i="13"/>
  <c r="C5999" i="13"/>
  <c r="C6000" i="13"/>
  <c r="C6001" i="13"/>
  <c r="C6002" i="13"/>
  <c r="C6003" i="13"/>
  <c r="C6004" i="13"/>
  <c r="C6005" i="13"/>
  <c r="C6006" i="13"/>
  <c r="C6007" i="13"/>
  <c r="CY5501" i="13" l="1"/>
  <c r="HN6" i="13" l="1"/>
  <c r="K74" i="12" l="1"/>
  <c r="I69" i="22"/>
  <c r="BU5485" i="13"/>
  <c r="BI5485" i="13"/>
  <c r="DK5457" i="13" l="1"/>
  <c r="C5392" i="13" l="1"/>
  <c r="Z5391" i="13" l="1"/>
  <c r="AN5388" i="13" l="1"/>
  <c r="BU5388" i="13"/>
  <c r="DE5380" i="13" l="1"/>
  <c r="BI5370" i="13" l="1"/>
  <c r="C5356" i="13" l="1"/>
  <c r="AG5353" i="13" l="1"/>
  <c r="C5330" i="13" l="1"/>
  <c r="C5331" i="13"/>
  <c r="C5332" i="13"/>
  <c r="C5333" i="13"/>
  <c r="C5334" i="13"/>
  <c r="C5335" i="13"/>
  <c r="C5336" i="13"/>
  <c r="C5337" i="13"/>
  <c r="C5338" i="13"/>
  <c r="C5339" i="13"/>
  <c r="C5341" i="13"/>
  <c r="C5342" i="13"/>
  <c r="C5343" i="13"/>
  <c r="C5344" i="13"/>
  <c r="C5345" i="13"/>
  <c r="C5346" i="13"/>
  <c r="C5347" i="13"/>
  <c r="C5348" i="13"/>
  <c r="C5349" i="13"/>
  <c r="C5350" i="13"/>
  <c r="C5351" i="13"/>
  <c r="C5352" i="13"/>
  <c r="C5353" i="13"/>
  <c r="C5354" i="13"/>
  <c r="C5355" i="13"/>
  <c r="C5357" i="13"/>
  <c r="C5358" i="13"/>
  <c r="C5359" i="13"/>
  <c r="C5360" i="13"/>
  <c r="C5361" i="13"/>
  <c r="C5362" i="13"/>
  <c r="C5363" i="13"/>
  <c r="C5364" i="13"/>
  <c r="C5365" i="13"/>
  <c r="C5366" i="13"/>
  <c r="C5367" i="13"/>
  <c r="C5368" i="13"/>
  <c r="C5369" i="13"/>
  <c r="C5370" i="13"/>
  <c r="C5371" i="13"/>
  <c r="C5372" i="13"/>
  <c r="C5373" i="13"/>
  <c r="C5374" i="13"/>
  <c r="C5375" i="13"/>
  <c r="C5376" i="13"/>
  <c r="C5377" i="13"/>
  <c r="C5378" i="13"/>
  <c r="C5379" i="13"/>
  <c r="C5380" i="13"/>
  <c r="C5381" i="13"/>
  <c r="C5382" i="13"/>
  <c r="C5383" i="13"/>
  <c r="C5384" i="13"/>
  <c r="C5385" i="13"/>
  <c r="C5386" i="13"/>
  <c r="C5387" i="13"/>
  <c r="C5388" i="13"/>
  <c r="C5389" i="13"/>
  <c r="C5390" i="13"/>
  <c r="C5391" i="13"/>
  <c r="C5393" i="13"/>
  <c r="C5394" i="13"/>
  <c r="C5395" i="13"/>
  <c r="C5396" i="13"/>
  <c r="C5397" i="13"/>
  <c r="C5398" i="13"/>
  <c r="C5399" i="13"/>
  <c r="C5400" i="13"/>
  <c r="C5401" i="13"/>
  <c r="C5402" i="13"/>
  <c r="C5403" i="13"/>
  <c r="C5404" i="13"/>
  <c r="C5405" i="13"/>
  <c r="C5406" i="13"/>
  <c r="C5407" i="13"/>
  <c r="C5408" i="13"/>
  <c r="C5409" i="13"/>
  <c r="C5410" i="13"/>
  <c r="C5412" i="13"/>
  <c r="C5413" i="13"/>
  <c r="C5414" i="13"/>
  <c r="C5415" i="13"/>
  <c r="C5411" i="13"/>
  <c r="C5416" i="13"/>
  <c r="C5417" i="13"/>
  <c r="C5418" i="13"/>
  <c r="C5419" i="13"/>
  <c r="C5420" i="13"/>
  <c r="C5421" i="13"/>
  <c r="C5422" i="13"/>
  <c r="C5423" i="13"/>
  <c r="C5432" i="13"/>
  <c r="C5424" i="13"/>
  <c r="C5425" i="13"/>
  <c r="C5426" i="13"/>
  <c r="C5427" i="13"/>
  <c r="C5428" i="13"/>
  <c r="C5429" i="13"/>
  <c r="C5430" i="13"/>
  <c r="C5431" i="13"/>
  <c r="C5433" i="13"/>
  <c r="C5434" i="13"/>
  <c r="C5435" i="13"/>
  <c r="C5436" i="13"/>
  <c r="C5449" i="13"/>
  <c r="C5437" i="13"/>
  <c r="C5438" i="13"/>
  <c r="C5439" i="13"/>
  <c r="C5440" i="13"/>
  <c r="C5441" i="13"/>
  <c r="C5442" i="13"/>
  <c r="C5443" i="13"/>
  <c r="C5444" i="13"/>
  <c r="C5445" i="13"/>
  <c r="C5446" i="13"/>
  <c r="C5447" i="13"/>
  <c r="C5448" i="13"/>
  <c r="C5450" i="13"/>
  <c r="C5451" i="13"/>
  <c r="C5452" i="13"/>
  <c r="C5453" i="13"/>
  <c r="C5454" i="13"/>
  <c r="C5455" i="13"/>
  <c r="C5456" i="13"/>
  <c r="C5457" i="13"/>
  <c r="C5458" i="13"/>
  <c r="C5459" i="13"/>
  <c r="C5460" i="13"/>
  <c r="C5461" i="13"/>
  <c r="C5462" i="13"/>
  <c r="C5463" i="13"/>
  <c r="C5464" i="13"/>
  <c r="C5465" i="13"/>
  <c r="C5466" i="13"/>
  <c r="C5467" i="13"/>
  <c r="C5468" i="13"/>
  <c r="C5469" i="13"/>
  <c r="C5470" i="13"/>
  <c r="C5471" i="13"/>
  <c r="C5472" i="13"/>
  <c r="C5473" i="13"/>
  <c r="C5474" i="13"/>
  <c r="C5475" i="13"/>
  <c r="C5476" i="13"/>
  <c r="C5477" i="13"/>
  <c r="C5478" i="13"/>
  <c r="C5479" i="13"/>
  <c r="C5480" i="13"/>
  <c r="C5481" i="13"/>
  <c r="C5482" i="13"/>
  <c r="C5483" i="13"/>
  <c r="C5484" i="13"/>
  <c r="C5485" i="13"/>
  <c r="C5486" i="13"/>
  <c r="C5487" i="13"/>
  <c r="C5488" i="13"/>
  <c r="C5489" i="13"/>
  <c r="C5490" i="13"/>
  <c r="C5491" i="13"/>
  <c r="C5492" i="13"/>
  <c r="C5493" i="13"/>
  <c r="C5494" i="13"/>
  <c r="C5495" i="13"/>
  <c r="C5496" i="13"/>
  <c r="C5497" i="13"/>
  <c r="C5498" i="13"/>
  <c r="C5499" i="13"/>
  <c r="C5500" i="13"/>
  <c r="C5501" i="13"/>
  <c r="C5502" i="13"/>
  <c r="C5503" i="13"/>
  <c r="C5504" i="13"/>
  <c r="GI6" i="13" l="1"/>
  <c r="FN6" i="13"/>
  <c r="FO6" i="13"/>
  <c r="FP6" i="13"/>
  <c r="EU5340" i="13"/>
  <c r="C5340" i="13" s="1"/>
  <c r="J49" i="12" l="1"/>
  <c r="E49" i="12" s="1"/>
  <c r="H46" i="22"/>
  <c r="J46" i="22" s="1"/>
  <c r="J47" i="12"/>
  <c r="E47" i="12" s="1"/>
  <c r="H44" i="22"/>
  <c r="J44" i="22" s="1"/>
  <c r="J48" i="12"/>
  <c r="E48" i="12" s="1"/>
  <c r="H45" i="22"/>
  <c r="J45" i="22" s="1"/>
  <c r="J56" i="12"/>
  <c r="E56" i="12" s="1"/>
  <c r="H53" i="22"/>
  <c r="J53" i="22" s="1"/>
  <c r="CU6" i="13"/>
  <c r="J29" i="12" l="1"/>
  <c r="H26" i="22"/>
  <c r="C5328" i="13"/>
  <c r="BU5320" i="13" l="1"/>
  <c r="CA5300" i="13" l="1"/>
  <c r="CG5300" i="13"/>
  <c r="AR5293" i="13" l="1"/>
  <c r="DZ5276" i="13" l="1"/>
  <c r="EA5276" i="13"/>
  <c r="DU5274" i="13"/>
  <c r="DP5274" i="13"/>
  <c r="BC5268" i="13" l="1"/>
  <c r="AW5268" i="13"/>
  <c r="EU5253" i="13" l="1"/>
  <c r="EQ5253" i="13"/>
  <c r="CS5253" i="13" l="1"/>
  <c r="CG5253" i="13"/>
  <c r="C5187" i="13" l="1"/>
  <c r="BU5240" i="13" l="1"/>
  <c r="BI5240" i="13"/>
  <c r="CS5231" i="13" l="1"/>
  <c r="BO5207" i="13" l="1"/>
  <c r="C5156" i="13" l="1"/>
  <c r="DP5189" i="13" l="1"/>
  <c r="HM5181" i="13" l="1"/>
  <c r="D5151" i="13" l="1"/>
  <c r="ER5145" i="13" l="1"/>
  <c r="EA5124" i="13" l="1"/>
  <c r="CM5108" i="13" l="1"/>
  <c r="CA5098" i="13" l="1"/>
  <c r="AW5090" i="13" l="1"/>
  <c r="AW5089" i="13"/>
  <c r="HY5083" i="13" l="1"/>
  <c r="DU5078" i="13" l="1"/>
  <c r="CG5038" i="13" l="1"/>
  <c r="BI5038" i="13"/>
  <c r="C5031" i="13" l="1"/>
  <c r="CG5027" i="13" l="1"/>
  <c r="C5015" i="13" l="1"/>
  <c r="C5016" i="13"/>
  <c r="C5017" i="13"/>
  <c r="C5018" i="13"/>
  <c r="C5019" i="13"/>
  <c r="C5020" i="13"/>
  <c r="C5021" i="13"/>
  <c r="C5022" i="13"/>
  <c r="C5023" i="13"/>
  <c r="C5024" i="13"/>
  <c r="C5025" i="13"/>
  <c r="C5026" i="13"/>
  <c r="C5027" i="13"/>
  <c r="C5028" i="13"/>
  <c r="C5029" i="13"/>
  <c r="C5030" i="13"/>
  <c r="C5032" i="13"/>
  <c r="C5033" i="13"/>
  <c r="C5034" i="13"/>
  <c r="C5035" i="13"/>
  <c r="C5036" i="13"/>
  <c r="C5037" i="13"/>
  <c r="C5041" i="13"/>
  <c r="C5038" i="13"/>
  <c r="C5039" i="13"/>
  <c r="C5040" i="13"/>
  <c r="C5042" i="13"/>
  <c r="C5043" i="13"/>
  <c r="C5044" i="13"/>
  <c r="C5045" i="13"/>
  <c r="C5046" i="13"/>
  <c r="C5047" i="13"/>
  <c r="C5048" i="13"/>
  <c r="C5049" i="13"/>
  <c r="C5050" i="13"/>
  <c r="C5051" i="13"/>
  <c r="C5052" i="13"/>
  <c r="C5053" i="13"/>
  <c r="C5054" i="13"/>
  <c r="C5055" i="13"/>
  <c r="C5056" i="13"/>
  <c r="C5057" i="13"/>
  <c r="C5058" i="13"/>
  <c r="C5059" i="13"/>
  <c r="C5061" i="13"/>
  <c r="C5062" i="13"/>
  <c r="C5063" i="13"/>
  <c r="C5064" i="13"/>
  <c r="C5060" i="13"/>
  <c r="C5065" i="13"/>
  <c r="C5066" i="13"/>
  <c r="C5067" i="13"/>
  <c r="C5068" i="13"/>
  <c r="C5069" i="13"/>
  <c r="C5070" i="13"/>
  <c r="C5071" i="13"/>
  <c r="C5072" i="13"/>
  <c r="C5073" i="13"/>
  <c r="C5074" i="13"/>
  <c r="C5075" i="13"/>
  <c r="C5076" i="13"/>
  <c r="C5077" i="13"/>
  <c r="C5078" i="13"/>
  <c r="C5079" i="13"/>
  <c r="C5080" i="13"/>
  <c r="C5081" i="13"/>
  <c r="C5082" i="13"/>
  <c r="C5083" i="13"/>
  <c r="C5084" i="13"/>
  <c r="C5085" i="13"/>
  <c r="C5086" i="13"/>
  <c r="C5087" i="13"/>
  <c r="C5088" i="13"/>
  <c r="C5089" i="13"/>
  <c r="C5090" i="13"/>
  <c r="C5091" i="13"/>
  <c r="C5092" i="13"/>
  <c r="C5093" i="13"/>
  <c r="C5094" i="13"/>
  <c r="C5095" i="13"/>
  <c r="C5096" i="13"/>
  <c r="C5097" i="13"/>
  <c r="C5098" i="13"/>
  <c r="C5100" i="13"/>
  <c r="C5101" i="13"/>
  <c r="C5102" i="13"/>
  <c r="C5103" i="13"/>
  <c r="C5099" i="13"/>
  <c r="C5104" i="13"/>
  <c r="C5105" i="13"/>
  <c r="C5106" i="13"/>
  <c r="C5107" i="13"/>
  <c r="C5108" i="13"/>
  <c r="C5109" i="13"/>
  <c r="C5110" i="13"/>
  <c r="C5111" i="13"/>
  <c r="C5112" i="13"/>
  <c r="C5113" i="13"/>
  <c r="C5114" i="13"/>
  <c r="C5115" i="13"/>
  <c r="C5116" i="13"/>
  <c r="C5117" i="13"/>
  <c r="C5118" i="13"/>
  <c r="C5119" i="13"/>
  <c r="C5120" i="13"/>
  <c r="C5121" i="13"/>
  <c r="C5122" i="13"/>
  <c r="C5123" i="13"/>
  <c r="C5124" i="13"/>
  <c r="C5125" i="13"/>
  <c r="C5126" i="13"/>
  <c r="C5127" i="13"/>
  <c r="C5128" i="13"/>
  <c r="C5129" i="13"/>
  <c r="C5130" i="13"/>
  <c r="C5131" i="13"/>
  <c r="C5132" i="13"/>
  <c r="C5133" i="13"/>
  <c r="C5134" i="13"/>
  <c r="C5135" i="13"/>
  <c r="C5136" i="13"/>
  <c r="C5137" i="13"/>
  <c r="C5138" i="13"/>
  <c r="C5139" i="13"/>
  <c r="C5140" i="13"/>
  <c r="C5141" i="13"/>
  <c r="C5142" i="13"/>
  <c r="C5143" i="13"/>
  <c r="C5144" i="13"/>
  <c r="C5145" i="13"/>
  <c r="C5146" i="13"/>
  <c r="C5147" i="13"/>
  <c r="C5148" i="13"/>
  <c r="C5149" i="13"/>
  <c r="C5150" i="13"/>
  <c r="C5151" i="13"/>
  <c r="C5152" i="13"/>
  <c r="C5154" i="13"/>
  <c r="C5155" i="13"/>
  <c r="C5153" i="13"/>
  <c r="C5157" i="13"/>
  <c r="C5158" i="13"/>
  <c r="C5159" i="13"/>
  <c r="C5160" i="13"/>
  <c r="C5161" i="13"/>
  <c r="C5162" i="13"/>
  <c r="C5163" i="13"/>
  <c r="C5164" i="13"/>
  <c r="C5165" i="13"/>
  <c r="C5166" i="13"/>
  <c r="C5167" i="13"/>
  <c r="C5168" i="13"/>
  <c r="C5169" i="13"/>
  <c r="C5170" i="13"/>
  <c r="C5171" i="13"/>
  <c r="C5172" i="13"/>
  <c r="C5173" i="13"/>
  <c r="C5174" i="13"/>
  <c r="C5175" i="13"/>
  <c r="C5176" i="13"/>
  <c r="C5177" i="13"/>
  <c r="C5179" i="13"/>
  <c r="C5180" i="13"/>
  <c r="C5181" i="13"/>
  <c r="C5183" i="13"/>
  <c r="C5184" i="13"/>
  <c r="C5185" i="13"/>
  <c r="C5186" i="13"/>
  <c r="C5188" i="13"/>
  <c r="C5178" i="13"/>
  <c r="C5182" i="13"/>
  <c r="C5189" i="13"/>
  <c r="C5190" i="13"/>
  <c r="C5191" i="13"/>
  <c r="C5192" i="13"/>
  <c r="C5193" i="13"/>
  <c r="C5194" i="13"/>
  <c r="C5195" i="13"/>
  <c r="C5196" i="13"/>
  <c r="C5197" i="13"/>
  <c r="C5198" i="13"/>
  <c r="C5199" i="13"/>
  <c r="C5200" i="13"/>
  <c r="C5201" i="13"/>
  <c r="C5202" i="13"/>
  <c r="C5203" i="13"/>
  <c r="C5204" i="13"/>
  <c r="C5205" i="13"/>
  <c r="C5206" i="13"/>
  <c r="C5207" i="13"/>
  <c r="C5208" i="13"/>
  <c r="C5209" i="13"/>
  <c r="C5210" i="13"/>
  <c r="C5211" i="13"/>
  <c r="C5212" i="13"/>
  <c r="C5213" i="13"/>
  <c r="C5214" i="13"/>
  <c r="C5215" i="13"/>
  <c r="C5216" i="13"/>
  <c r="C5217" i="13"/>
  <c r="C5218" i="13"/>
  <c r="C5219" i="13"/>
  <c r="C5220" i="13"/>
  <c r="C5221" i="13"/>
  <c r="C5222" i="13"/>
  <c r="C5223" i="13"/>
  <c r="C5224" i="13"/>
  <c r="C5225" i="13"/>
  <c r="C5226" i="13"/>
  <c r="C5227" i="13"/>
  <c r="C5228" i="13"/>
  <c r="C5229" i="13"/>
  <c r="C5230" i="13"/>
  <c r="C5231" i="13"/>
  <c r="C5232" i="13"/>
  <c r="C5233" i="13"/>
  <c r="C5234" i="13"/>
  <c r="C5235" i="13"/>
  <c r="C5236" i="13"/>
  <c r="C5237" i="13"/>
  <c r="C5238" i="13"/>
  <c r="C5239" i="13"/>
  <c r="C5240" i="13"/>
  <c r="C5241" i="13"/>
  <c r="C5242" i="13"/>
  <c r="C5243" i="13"/>
  <c r="C5244" i="13"/>
  <c r="C5245" i="13"/>
  <c r="C5246" i="13"/>
  <c r="C5247" i="13"/>
  <c r="C5249" i="13"/>
  <c r="C5248" i="13"/>
  <c r="C5250" i="13"/>
  <c r="C5251" i="13"/>
  <c r="C5252" i="13"/>
  <c r="C5253" i="13"/>
  <c r="C5254" i="13"/>
  <c r="C5255" i="13"/>
  <c r="C5256" i="13"/>
  <c r="C5257" i="13"/>
  <c r="C5258" i="13"/>
  <c r="C5259" i="13"/>
  <c r="C5260" i="13"/>
  <c r="C5261" i="13"/>
  <c r="C5262" i="13"/>
  <c r="C5263" i="13"/>
  <c r="C5264" i="13"/>
  <c r="C5265" i="13"/>
  <c r="C5266" i="13"/>
  <c r="C5267" i="13"/>
  <c r="C5268" i="13"/>
  <c r="C5271" i="13"/>
  <c r="C5269" i="13"/>
  <c r="C5270" i="13"/>
  <c r="C5272" i="13"/>
  <c r="C5273" i="13"/>
  <c r="C5274" i="13"/>
  <c r="C5275" i="13"/>
  <c r="C5276" i="13"/>
  <c r="C5277" i="13"/>
  <c r="C5278" i="13"/>
  <c r="C5279" i="13"/>
  <c r="C5280" i="13"/>
  <c r="C5281" i="13"/>
  <c r="C5282" i="13"/>
  <c r="C5283" i="13"/>
  <c r="C5284" i="13"/>
  <c r="C5285" i="13"/>
  <c r="C5286" i="13"/>
  <c r="C5287" i="13"/>
  <c r="C5288" i="13"/>
  <c r="C5289" i="13"/>
  <c r="C5290" i="13"/>
  <c r="C5291" i="13"/>
  <c r="C5292" i="13"/>
  <c r="C5293" i="13"/>
  <c r="C5294" i="13"/>
  <c r="C5295" i="13"/>
  <c r="C5296" i="13"/>
  <c r="C5297" i="13"/>
  <c r="C5298" i="13"/>
  <c r="C5299" i="13"/>
  <c r="C5300" i="13"/>
  <c r="C5301" i="13"/>
  <c r="C5302" i="13"/>
  <c r="C5303" i="13"/>
  <c r="C5304" i="13"/>
  <c r="C5305" i="13"/>
  <c r="C5306" i="13"/>
  <c r="C5307" i="13"/>
  <c r="C5308" i="13"/>
  <c r="C5309" i="13"/>
  <c r="C5310" i="13"/>
  <c r="C5311" i="13"/>
  <c r="C5312" i="13"/>
  <c r="C5313" i="13"/>
  <c r="C5314" i="13"/>
  <c r="C5315" i="13"/>
  <c r="C5316" i="13"/>
  <c r="C5317" i="13"/>
  <c r="C5318" i="13"/>
  <c r="C5319" i="13"/>
  <c r="C5320" i="13"/>
  <c r="C5321" i="13"/>
  <c r="C5322" i="13"/>
  <c r="C5323" i="13"/>
  <c r="C5324" i="13"/>
  <c r="C5325" i="13"/>
  <c r="C5326" i="13"/>
  <c r="C5327" i="13"/>
  <c r="C5329" i="13"/>
  <c r="V4980" i="13" l="1"/>
  <c r="C4959" i="13" l="1"/>
  <c r="C4960" i="13"/>
  <c r="C4961" i="13"/>
  <c r="BO4953" i="13" l="1"/>
  <c r="CG4951" i="13" l="1"/>
  <c r="EH6" i="13" l="1"/>
  <c r="G33" i="22" s="1"/>
  <c r="AJ6" i="13"/>
  <c r="I14" i="22" s="1"/>
  <c r="K17" i="12" l="1"/>
  <c r="I36" i="12"/>
  <c r="DS4920" i="13"/>
  <c r="DN4920" i="13"/>
  <c r="CY4924" i="13"/>
  <c r="CG4924" i="13"/>
  <c r="C4920" i="13" l="1"/>
  <c r="F7" i="12"/>
  <c r="CD6" i="13" l="1"/>
  <c r="I23" i="22" s="1"/>
  <c r="K26" i="12" l="1"/>
  <c r="BO4891" i="13"/>
  <c r="CM4876" i="13" l="1"/>
  <c r="CM4871" i="13" l="1"/>
  <c r="AR4871" i="13"/>
  <c r="C4852" i="13" l="1"/>
  <c r="BC4860" i="13"/>
  <c r="C4851" i="13"/>
  <c r="EC4850" i="13" l="1"/>
  <c r="BO4848" i="13" l="1"/>
  <c r="C4839" i="13" l="1"/>
  <c r="C4828" i="13" l="1"/>
  <c r="C4793" i="13" l="1"/>
  <c r="EQ4822" i="13" l="1"/>
  <c r="EM4822" i="13"/>
  <c r="DA6" i="13"/>
  <c r="H27" i="22" s="1"/>
  <c r="J30" i="12" l="1"/>
  <c r="CM4816" i="13"/>
  <c r="CG4816" i="13"/>
  <c r="CS4815" i="13"/>
  <c r="CM4815" i="13"/>
  <c r="C4802" i="13" l="1"/>
  <c r="C4787" i="13" l="1"/>
  <c r="CW4786" i="13" l="1"/>
  <c r="CW4785" i="13"/>
  <c r="C4785" i="13" s="1"/>
  <c r="BU4781" i="13" l="1"/>
  <c r="C4716" i="13" l="1"/>
  <c r="C4746" i="13" l="1"/>
  <c r="EA4754" i="13"/>
  <c r="EF4736" i="13" l="1"/>
  <c r="CG4734" i="13"/>
  <c r="C4704" i="13" l="1"/>
  <c r="C4683" i="13" l="1"/>
  <c r="BU4717" i="13" l="1"/>
  <c r="BN4717" i="13"/>
  <c r="BI4717" i="13"/>
  <c r="EM4711" i="13" l="1"/>
  <c r="CF4691" i="13" l="1"/>
  <c r="C4664" i="13"/>
  <c r="BN4684" i="13" l="1"/>
  <c r="C4684" i="13" l="1"/>
  <c r="BG4679" i="13"/>
  <c r="GQ4677" i="13" l="1"/>
  <c r="DY4657" i="13" l="1"/>
  <c r="DS4657" i="13"/>
  <c r="BM4643" i="13" l="1"/>
  <c r="CG4634" i="13" l="1"/>
  <c r="BU4634" i="13"/>
  <c r="BI4634" i="13"/>
  <c r="C4618" i="13" l="1"/>
  <c r="BN4626" i="13"/>
  <c r="AR4615" i="13" l="1"/>
  <c r="AR4613" i="13"/>
  <c r="BU4612" i="13"/>
  <c r="GF6" i="13" l="1"/>
  <c r="H51" i="22" s="1"/>
  <c r="FW6" i="13"/>
  <c r="H48" i="22" s="1"/>
  <c r="FU6" i="13"/>
  <c r="E48" i="22" s="1"/>
  <c r="FL6" i="13"/>
  <c r="H43" i="22" s="1"/>
  <c r="FH6" i="13"/>
  <c r="H42" i="22" s="1"/>
  <c r="CF4609" i="13"/>
  <c r="J46" i="12" l="1"/>
  <c r="J51" i="12"/>
  <c r="J45" i="12"/>
  <c r="J54" i="12"/>
  <c r="AW4604" i="13"/>
  <c r="BH4599" i="13" l="1"/>
  <c r="CF4599" i="13"/>
  <c r="BZ4599" i="13"/>
  <c r="AN4597" i="13" l="1"/>
  <c r="AC4597" i="13"/>
  <c r="CR4596" i="13"/>
  <c r="BO4596" i="13"/>
  <c r="EA4591" i="13" l="1"/>
  <c r="CQ4591" i="13"/>
  <c r="CS4591" i="13"/>
  <c r="BI4591" i="13"/>
  <c r="HM4587" i="13" l="1"/>
  <c r="P4587" i="13"/>
  <c r="P4570" i="13" l="1"/>
  <c r="DY4554" i="13" l="1"/>
  <c r="EA4554" i="13"/>
  <c r="DE4555" i="13" l="1"/>
  <c r="EV6" i="13" l="1"/>
  <c r="H37" i="22" s="1"/>
  <c r="J37" i="22" s="1"/>
  <c r="J40" i="12" l="1"/>
  <c r="E40" i="12" s="1"/>
  <c r="C4545" i="13"/>
  <c r="CY4542" i="13" l="1"/>
  <c r="CM4542" i="13"/>
  <c r="C4538" i="13" l="1"/>
  <c r="C4539" i="13"/>
  <c r="C4540" i="13"/>
  <c r="E4541" i="13"/>
  <c r="C4541" i="13" s="1"/>
  <c r="C4535" i="13"/>
  <c r="G7" i="12"/>
  <c r="H7" i="12"/>
  <c r="I7" i="12"/>
  <c r="J7" i="12"/>
  <c r="C3622" i="13" l="1"/>
  <c r="CG4536" i="13" l="1"/>
  <c r="BO4536" i="13"/>
  <c r="BI4536" i="13"/>
  <c r="AW4530" i="13"/>
  <c r="BI4526" i="13" l="1"/>
  <c r="GM4523" i="13" l="1"/>
  <c r="DM4522" i="13" l="1"/>
  <c r="CS4512" i="13" l="1"/>
  <c r="C4512" i="13" l="1"/>
  <c r="C4513" i="13"/>
  <c r="C4514" i="13"/>
  <c r="C4515" i="13"/>
  <c r="C4516" i="13"/>
  <c r="C4517" i="13"/>
  <c r="C4518" i="13"/>
  <c r="C4519" i="13"/>
  <c r="C4520" i="13"/>
  <c r="C4521" i="13"/>
  <c r="C4522" i="13"/>
  <c r="C4523" i="13"/>
  <c r="C4524" i="13"/>
  <c r="C4525" i="13"/>
  <c r="C4526" i="13"/>
  <c r="C4527" i="13"/>
  <c r="C4529" i="13"/>
  <c r="C4530" i="13"/>
  <c r="C4531" i="13"/>
  <c r="C4532" i="13"/>
  <c r="C4533" i="13"/>
  <c r="C4534" i="13"/>
  <c r="C4536" i="13"/>
  <c r="C4528" i="13"/>
  <c r="C4537" i="13"/>
  <c r="C4542" i="13"/>
  <c r="C4543" i="13"/>
  <c r="C4544" i="13"/>
  <c r="C4546" i="13"/>
  <c r="C4547" i="13"/>
  <c r="C4548" i="13"/>
  <c r="C4549" i="13"/>
  <c r="C4550" i="13"/>
  <c r="C4551" i="13"/>
  <c r="C4552" i="13"/>
  <c r="C4553" i="13"/>
  <c r="C4554" i="13"/>
  <c r="C4555" i="13"/>
  <c r="C4556" i="13"/>
  <c r="C4557" i="13"/>
  <c r="C4558" i="13"/>
  <c r="C4559" i="13"/>
  <c r="C4560" i="13"/>
  <c r="C4561" i="13"/>
  <c r="C4562" i="13"/>
  <c r="C4563" i="13"/>
  <c r="C4564" i="13"/>
  <c r="C4565" i="13"/>
  <c r="C4566" i="13"/>
  <c r="C4567" i="13"/>
  <c r="C4568" i="13"/>
  <c r="C4569" i="13"/>
  <c r="C4572" i="13"/>
  <c r="C4570" i="13"/>
  <c r="C4571" i="13"/>
  <c r="C4573" i="13"/>
  <c r="C4574" i="13"/>
  <c r="C4575" i="13"/>
  <c r="C4576" i="13"/>
  <c r="C4577" i="13"/>
  <c r="C4578" i="13"/>
  <c r="C4579" i="13"/>
  <c r="C4580" i="13"/>
  <c r="C4581" i="13"/>
  <c r="C4582" i="13"/>
  <c r="C4583" i="13"/>
  <c r="C4584" i="13"/>
  <c r="C4585" i="13"/>
  <c r="C4586" i="13"/>
  <c r="C4587" i="13"/>
  <c r="C4588" i="13"/>
  <c r="C4589" i="13"/>
  <c r="C4590" i="13"/>
  <c r="C4591" i="13"/>
  <c r="C4592" i="13"/>
  <c r="C4593" i="13"/>
  <c r="C4594" i="13"/>
  <c r="C4595" i="13"/>
  <c r="C4596" i="13"/>
  <c r="C4597" i="13"/>
  <c r="C4598" i="13"/>
  <c r="C4599" i="13"/>
  <c r="C4600" i="13"/>
  <c r="C4601" i="13"/>
  <c r="C4602" i="13"/>
  <c r="C4603" i="13"/>
  <c r="C4604" i="13"/>
  <c r="C4605" i="13"/>
  <c r="C4606" i="13"/>
  <c r="C4607" i="13"/>
  <c r="C4608" i="13"/>
  <c r="C4609" i="13"/>
  <c r="C4610" i="13"/>
  <c r="C4611" i="13"/>
  <c r="C4612" i="13"/>
  <c r="C4613" i="13"/>
  <c r="C4614" i="13"/>
  <c r="C4615" i="13"/>
  <c r="C4616" i="13"/>
  <c r="C4617" i="13"/>
  <c r="C4619" i="13"/>
  <c r="C4620" i="13"/>
  <c r="C4621" i="13"/>
  <c r="C4622" i="13"/>
  <c r="C4623" i="13"/>
  <c r="C4625" i="13"/>
  <c r="C4626" i="13"/>
  <c r="C4627" i="13"/>
  <c r="C4628" i="13"/>
  <c r="C4624" i="13"/>
  <c r="C4629" i="13"/>
  <c r="C4630" i="13"/>
  <c r="C4631" i="13"/>
  <c r="C4632" i="13"/>
  <c r="C4633" i="13"/>
  <c r="C4634" i="13"/>
  <c r="C4635" i="13"/>
  <c r="C4636" i="13"/>
  <c r="C4637" i="13"/>
  <c r="C4638" i="13"/>
  <c r="C4639" i="13"/>
  <c r="C4640" i="13"/>
  <c r="C4641" i="13"/>
  <c r="C4642" i="13"/>
  <c r="C4645" i="13"/>
  <c r="C4646" i="13"/>
  <c r="C4643" i="13"/>
  <c r="C4644" i="13"/>
  <c r="C4647" i="13"/>
  <c r="C4648" i="13"/>
  <c r="C4649" i="13"/>
  <c r="C4650" i="13"/>
  <c r="C4651" i="13"/>
  <c r="C4652" i="13"/>
  <c r="C4653" i="13"/>
  <c r="C4654" i="13"/>
  <c r="C4656" i="13"/>
  <c r="C4657" i="13"/>
  <c r="C4658" i="13"/>
  <c r="C4659" i="13"/>
  <c r="C4660" i="13"/>
  <c r="C4655" i="13"/>
  <c r="C4661" i="13"/>
  <c r="C4662" i="13"/>
  <c r="C4663" i="13"/>
  <c r="C4665" i="13"/>
  <c r="C4666" i="13"/>
  <c r="C4667" i="13"/>
  <c r="C4668" i="13"/>
  <c r="C4669" i="13"/>
  <c r="C4670" i="13"/>
  <c r="C4671" i="13"/>
  <c r="C4673" i="13"/>
  <c r="C4674" i="13"/>
  <c r="C4675" i="13"/>
  <c r="C4676" i="13"/>
  <c r="C4677" i="13"/>
  <c r="C4678" i="13"/>
  <c r="C4680" i="13"/>
  <c r="C4681" i="13"/>
  <c r="C4682" i="13"/>
  <c r="C4679" i="13"/>
  <c r="C4672" i="13"/>
  <c r="C4700" i="13"/>
  <c r="C4685" i="13"/>
  <c r="C4686" i="13"/>
  <c r="C4687" i="13"/>
  <c r="C4688" i="13"/>
  <c r="C4689" i="13"/>
  <c r="C4690" i="13"/>
  <c r="C4691" i="13"/>
  <c r="C4692" i="13"/>
  <c r="C4693" i="13"/>
  <c r="C4694" i="13"/>
  <c r="C4695" i="13"/>
  <c r="C4696" i="13"/>
  <c r="C4697" i="13"/>
  <c r="C4698" i="13"/>
  <c r="C4699" i="13"/>
  <c r="C4701" i="13"/>
  <c r="C4703" i="13"/>
  <c r="C4705" i="13"/>
  <c r="C4702" i="13"/>
  <c r="C4706" i="13"/>
  <c r="C4707" i="13"/>
  <c r="C4708" i="13"/>
  <c r="C4709" i="13"/>
  <c r="C4710" i="13"/>
  <c r="C4711" i="13"/>
  <c r="C4713" i="13"/>
  <c r="C4714" i="13"/>
  <c r="C4715" i="13"/>
  <c r="C4712" i="13"/>
  <c r="C4717" i="13"/>
  <c r="C4719" i="13"/>
  <c r="C4720" i="13"/>
  <c r="C4721" i="13"/>
  <c r="C4722" i="13"/>
  <c r="C4723" i="13"/>
  <c r="C4724" i="13"/>
  <c r="C4725" i="13"/>
  <c r="C4726" i="13"/>
  <c r="C4727" i="13"/>
  <c r="C4728" i="13"/>
  <c r="C4729" i="13"/>
  <c r="C4730" i="13"/>
  <c r="C4731" i="13"/>
  <c r="C4732" i="13"/>
  <c r="C4733" i="13"/>
  <c r="C4718" i="13"/>
  <c r="C4734" i="13"/>
  <c r="C4735" i="13"/>
  <c r="C4736" i="13"/>
  <c r="C4737" i="13"/>
  <c r="C4738" i="13"/>
  <c r="C4739" i="13"/>
  <c r="C4740" i="13"/>
  <c r="C4741" i="13"/>
  <c r="C4742" i="13"/>
  <c r="C4743" i="13"/>
  <c r="C4744" i="13"/>
  <c r="C4745" i="13"/>
  <c r="C4747" i="13"/>
  <c r="C4748" i="13"/>
  <c r="C4749" i="13"/>
  <c r="C4750" i="13"/>
  <c r="C4751" i="13"/>
  <c r="C4752" i="13"/>
  <c r="C4753" i="13"/>
  <c r="C4754" i="13"/>
  <c r="C4755" i="13"/>
  <c r="C4756" i="13"/>
  <c r="C4757" i="13"/>
  <c r="C4758" i="13"/>
  <c r="C4759" i="13"/>
  <c r="C4760" i="13"/>
  <c r="C4761" i="13"/>
  <c r="C4762" i="13"/>
  <c r="C4763" i="13"/>
  <c r="C4764" i="13"/>
  <c r="C4765" i="13"/>
  <c r="C4766" i="13"/>
  <c r="C4769" i="13"/>
  <c r="C4767" i="13"/>
  <c r="C4771" i="13"/>
  <c r="C4770" i="13"/>
  <c r="C4768" i="13"/>
  <c r="C4772" i="13"/>
  <c r="C4773" i="13"/>
  <c r="C4774" i="13"/>
  <c r="C4775" i="13"/>
  <c r="C4776" i="13"/>
  <c r="C4777" i="13"/>
  <c r="C4778" i="13"/>
  <c r="C4779" i="13"/>
  <c r="C4780" i="13"/>
  <c r="C4781" i="13"/>
  <c r="C4782" i="13"/>
  <c r="C4783" i="13"/>
  <c r="C4784" i="13"/>
  <c r="C4786" i="13"/>
  <c r="C4788" i="13"/>
  <c r="C4789" i="13"/>
  <c r="C4790" i="13"/>
  <c r="C4791" i="13"/>
  <c r="C4792" i="13"/>
  <c r="C4794" i="13"/>
  <c r="C4795" i="13"/>
  <c r="C4796" i="13"/>
  <c r="C4797" i="13"/>
  <c r="C4798" i="13"/>
  <c r="C4799" i="13"/>
  <c r="C4800" i="13"/>
  <c r="C4801" i="13"/>
  <c r="C4803" i="13"/>
  <c r="C4804" i="13"/>
  <c r="C4805" i="13"/>
  <c r="C4806" i="13"/>
  <c r="C4807" i="13"/>
  <c r="C4808" i="13"/>
  <c r="C4809" i="13"/>
  <c r="C4818" i="13"/>
  <c r="C4810" i="13"/>
  <c r="C4811" i="13"/>
  <c r="C4812" i="13"/>
  <c r="C4813" i="13"/>
  <c r="C4814" i="13"/>
  <c r="C4815" i="13"/>
  <c r="C4816" i="13"/>
  <c r="C4817" i="13"/>
  <c r="C4819" i="13"/>
  <c r="C4820" i="13"/>
  <c r="C4821" i="13"/>
  <c r="C4822" i="13"/>
  <c r="C4823" i="13"/>
  <c r="C4824" i="13"/>
  <c r="C4826" i="13"/>
  <c r="C4827" i="13"/>
  <c r="C4829" i="13"/>
  <c r="C4830" i="13"/>
  <c r="C4831" i="13"/>
  <c r="C4825" i="13"/>
  <c r="C4832" i="13"/>
  <c r="C4833" i="13"/>
  <c r="C4834" i="13"/>
  <c r="C4835" i="13"/>
  <c r="C4836" i="13"/>
  <c r="C4837" i="13"/>
  <c r="C4838" i="13"/>
  <c r="C4840" i="13"/>
  <c r="C4841" i="13"/>
  <c r="C4842" i="13"/>
  <c r="C4843" i="13"/>
  <c r="C4844" i="13"/>
  <c r="C4845" i="13"/>
  <c r="C4846" i="13"/>
  <c r="C4847" i="13"/>
  <c r="C4848" i="13"/>
  <c r="C4849" i="13"/>
  <c r="C4850" i="13"/>
  <c r="C4853" i="13"/>
  <c r="C4854" i="13"/>
  <c r="C4855" i="13"/>
  <c r="C4856" i="13"/>
  <c r="C4857" i="13"/>
  <c r="C4858" i="13"/>
  <c r="C4859" i="13"/>
  <c r="C4860" i="13"/>
  <c r="C4861" i="13"/>
  <c r="C4862" i="13"/>
  <c r="C4863" i="13"/>
  <c r="C4864" i="13"/>
  <c r="C4865" i="13"/>
  <c r="C4866" i="13"/>
  <c r="C4867" i="13"/>
  <c r="C4868" i="13"/>
  <c r="C4869" i="13"/>
  <c r="C4870" i="13"/>
  <c r="C4871" i="13"/>
  <c r="C4872" i="13"/>
  <c r="C4873" i="13"/>
  <c r="C4874" i="13"/>
  <c r="C4875" i="13"/>
  <c r="C4876" i="13"/>
  <c r="C4877" i="13"/>
  <c r="C4878" i="13"/>
  <c r="C4879" i="13"/>
  <c r="C4880" i="13"/>
  <c r="C4881" i="13"/>
  <c r="C4882" i="13"/>
  <c r="C4883" i="13"/>
  <c r="C4884" i="13"/>
  <c r="C4885" i="13"/>
  <c r="C4886" i="13"/>
  <c r="C4887" i="13"/>
  <c r="C4888" i="13"/>
  <c r="C4889" i="13"/>
  <c r="C4890" i="13"/>
  <c r="C4891" i="13"/>
  <c r="C4892" i="13"/>
  <c r="C4893" i="13"/>
  <c r="C4894" i="13"/>
  <c r="C4895" i="13"/>
  <c r="C4896" i="13"/>
  <c r="C4897" i="13"/>
  <c r="C4898" i="13"/>
  <c r="C4899" i="13"/>
  <c r="C4900" i="13"/>
  <c r="C4901" i="13"/>
  <c r="C4902" i="13"/>
  <c r="C4903" i="13"/>
  <c r="C4904" i="13"/>
  <c r="C4905" i="13"/>
  <c r="C4906" i="13"/>
  <c r="C4907" i="13"/>
  <c r="C4908" i="13"/>
  <c r="C4909" i="13"/>
  <c r="C4910" i="13"/>
  <c r="C4911" i="13"/>
  <c r="C4912" i="13"/>
  <c r="C4913" i="13"/>
  <c r="C4914" i="13"/>
  <c r="C4915" i="13"/>
  <c r="C4916" i="13"/>
  <c r="C4917" i="13"/>
  <c r="C4918" i="13"/>
  <c r="C4919" i="13"/>
  <c r="C4921" i="13"/>
  <c r="C4922" i="13"/>
  <c r="C4923" i="13"/>
  <c r="C4924" i="13"/>
  <c r="C4925" i="13"/>
  <c r="C4926" i="13"/>
  <c r="C4927" i="13"/>
  <c r="C4928" i="13"/>
  <c r="C4929" i="13"/>
  <c r="C4930" i="13"/>
  <c r="C4931" i="13"/>
  <c r="C4932" i="13"/>
  <c r="C4933" i="13"/>
  <c r="C4934" i="13"/>
  <c r="C4935" i="13"/>
  <c r="C4936" i="13"/>
  <c r="C4937" i="13"/>
  <c r="C4938" i="13"/>
  <c r="C4939" i="13"/>
  <c r="C4940" i="13"/>
  <c r="C4941" i="13"/>
  <c r="C4942" i="13"/>
  <c r="C4943" i="13"/>
  <c r="C4944" i="13"/>
  <c r="C4945" i="13"/>
  <c r="C4946" i="13"/>
  <c r="C4947" i="13"/>
  <c r="C4948" i="13"/>
  <c r="C4949" i="13"/>
  <c r="C4950" i="13"/>
  <c r="C4951" i="13"/>
  <c r="C4952" i="13"/>
  <c r="C4953" i="13"/>
  <c r="C4954" i="13"/>
  <c r="C4955" i="13"/>
  <c r="C4956" i="13"/>
  <c r="C4957" i="13"/>
  <c r="C4958" i="13"/>
  <c r="C4962" i="13"/>
  <c r="C4963" i="13"/>
  <c r="C4964" i="13"/>
  <c r="C4965" i="13"/>
  <c r="C4966" i="13"/>
  <c r="C4967" i="13"/>
  <c r="C4968" i="13"/>
  <c r="C4969" i="13"/>
  <c r="C4970" i="13"/>
  <c r="C4971" i="13"/>
  <c r="C4972" i="13"/>
  <c r="C4973" i="13"/>
  <c r="C4974" i="13"/>
  <c r="C4975" i="13"/>
  <c r="C4976" i="13"/>
  <c r="C4977" i="13"/>
  <c r="C4978" i="13"/>
  <c r="C4979" i="13"/>
  <c r="C4980" i="13"/>
  <c r="C4981" i="13"/>
  <c r="C4982" i="13"/>
  <c r="C4983" i="13"/>
  <c r="C4984" i="13"/>
  <c r="C4985" i="13"/>
  <c r="C4986" i="13"/>
  <c r="C4987" i="13"/>
  <c r="C4988" i="13"/>
  <c r="C4989" i="13"/>
  <c r="C4990" i="13"/>
  <c r="C4991" i="13"/>
  <c r="C4992" i="13"/>
  <c r="C4993" i="13"/>
  <c r="C4994" i="13"/>
  <c r="C4995" i="13"/>
  <c r="C4996" i="13"/>
  <c r="C4997" i="13"/>
  <c r="C4998" i="13"/>
  <c r="C4999" i="13"/>
  <c r="C5000" i="13"/>
  <c r="C5001" i="13"/>
  <c r="C5002" i="13"/>
  <c r="C5003" i="13"/>
  <c r="C5004" i="13"/>
  <c r="C5005" i="13"/>
  <c r="C5006" i="13"/>
  <c r="C5007" i="13"/>
  <c r="C5008" i="13"/>
  <c r="C5009" i="13"/>
  <c r="C5010" i="13"/>
  <c r="C5011" i="13"/>
  <c r="C5012" i="13"/>
  <c r="C5013" i="13"/>
  <c r="C5014" i="13"/>
  <c r="C4481" i="13" l="1"/>
  <c r="C4500" i="13" l="1"/>
  <c r="DU4494" i="13" l="1"/>
  <c r="DP4494" i="13"/>
  <c r="CM4494" i="13"/>
  <c r="CY4491" i="13" l="1"/>
  <c r="CE4486" i="13" l="1"/>
  <c r="BY4486" i="13"/>
  <c r="AC4480" i="13" l="1"/>
  <c r="CJ4474" i="13"/>
  <c r="BC4470" i="13" l="1"/>
  <c r="AW4459" i="13" l="1"/>
  <c r="AC4459" i="13"/>
  <c r="CM4456" i="13" l="1"/>
  <c r="CG4429" i="13" l="1"/>
  <c r="FD6" i="13"/>
  <c r="H40" i="22" s="1"/>
  <c r="EQ6" i="13"/>
  <c r="H35" i="22" s="1"/>
  <c r="EU6" i="13"/>
  <c r="H36" i="22" s="1"/>
  <c r="EM6" i="13"/>
  <c r="H34" i="22" s="1"/>
  <c r="EI6" i="13"/>
  <c r="H33" i="22" s="1"/>
  <c r="J36" i="12" l="1"/>
  <c r="J39" i="12"/>
  <c r="J43" i="12"/>
  <c r="J37" i="12"/>
  <c r="J38" i="12"/>
  <c r="EP4424" i="13"/>
  <c r="R6" i="13" l="1"/>
  <c r="I9" i="22" s="1"/>
  <c r="K12" i="12" l="1"/>
  <c r="C4396" i="13"/>
  <c r="DH6" i="13" l="1"/>
  <c r="CR4334" i="13" l="1"/>
  <c r="GQ4322" i="13" l="1"/>
  <c r="CF4315" i="13" l="1"/>
  <c r="BU4284" i="13" l="1"/>
  <c r="C4264" i="13" l="1"/>
  <c r="C4181" i="13" l="1"/>
  <c r="C4249" i="13" l="1"/>
  <c r="C4032" i="13" l="1"/>
  <c r="F4242" i="13" l="1"/>
  <c r="E4242" i="13"/>
  <c r="AW4226" i="13" l="1"/>
  <c r="C4176" i="13" l="1"/>
  <c r="CA4173" i="13" l="1"/>
  <c r="DE4165" i="13" l="1"/>
  <c r="C4146" i="13" l="1"/>
  <c r="DK4150" i="13" l="1"/>
  <c r="C4132" i="13" l="1"/>
  <c r="C4122" i="13"/>
  <c r="C4095" i="13" l="1"/>
  <c r="BO4143" i="13" l="1"/>
  <c r="C4116" i="13" l="1"/>
  <c r="CY4127" i="13"/>
  <c r="C4064" i="13" l="1"/>
  <c r="C4071" i="13" l="1"/>
  <c r="DU4076" i="13" l="1"/>
  <c r="C4060" i="13" l="1"/>
  <c r="C4059" i="13"/>
  <c r="CS4054" i="13" l="1"/>
  <c r="BQ6" i="13" l="1"/>
  <c r="H21" i="22" s="1"/>
  <c r="J24" i="12" l="1"/>
  <c r="AL4034" i="13"/>
  <c r="AN4034" i="13"/>
  <c r="BI4008" i="13" l="1"/>
  <c r="C4010" i="13" l="1"/>
  <c r="C4011" i="13"/>
  <c r="C4012" i="13"/>
  <c r="C4013" i="13"/>
  <c r="C4014" i="13"/>
  <c r="C4015" i="13"/>
  <c r="C4016" i="13"/>
  <c r="C4017" i="13"/>
  <c r="C4018" i="13"/>
  <c r="C4019" i="13"/>
  <c r="C4020" i="13"/>
  <c r="C4021" i="13"/>
  <c r="C4022" i="13"/>
  <c r="C4023" i="13"/>
  <c r="C4024" i="13"/>
  <c r="C4025" i="13"/>
  <c r="C4026" i="13"/>
  <c r="C4027" i="13"/>
  <c r="C4028" i="13"/>
  <c r="C4029" i="13"/>
  <c r="C4030" i="13"/>
  <c r="C4031" i="13"/>
  <c r="C4033" i="13"/>
  <c r="C4034" i="13"/>
  <c r="C4035" i="13"/>
  <c r="C4036" i="13"/>
  <c r="C4037" i="13"/>
  <c r="C4038" i="13"/>
  <c r="C4039" i="13"/>
  <c r="C4040" i="13"/>
  <c r="C4041" i="13"/>
  <c r="C4042" i="13"/>
  <c r="C4043" i="13"/>
  <c r="C4044" i="13"/>
  <c r="C4045" i="13"/>
  <c r="C4046" i="13"/>
  <c r="C4047" i="13"/>
  <c r="C4048" i="13"/>
  <c r="C4049" i="13"/>
  <c r="C4050" i="13"/>
  <c r="C4051" i="13"/>
  <c r="C4052" i="13"/>
  <c r="C4053" i="13"/>
  <c r="C4054" i="13"/>
  <c r="C4055" i="13"/>
  <c r="C4056" i="13"/>
  <c r="C4057" i="13"/>
  <c r="C4058" i="13"/>
  <c r="C4061" i="13"/>
  <c r="C4062" i="13"/>
  <c r="C4063" i="13"/>
  <c r="C4065" i="13"/>
  <c r="C4066" i="13"/>
  <c r="C4067" i="13"/>
  <c r="C4068" i="13"/>
  <c r="C4069" i="13"/>
  <c r="C4070" i="13"/>
  <c r="C4072" i="13"/>
  <c r="C4073" i="13"/>
  <c r="C4074" i="13"/>
  <c r="C4075" i="13"/>
  <c r="C4076" i="13"/>
  <c r="C4077" i="13"/>
  <c r="C4078" i="13"/>
  <c r="C4079" i="13"/>
  <c r="C4080" i="13"/>
  <c r="C4081" i="13"/>
  <c r="C4082" i="13"/>
  <c r="C4084" i="13"/>
  <c r="C4086" i="13"/>
  <c r="C4087" i="13"/>
  <c r="C4088" i="13"/>
  <c r="C4085" i="13"/>
  <c r="C4083" i="13"/>
  <c r="C4089" i="13"/>
  <c r="C4090" i="13"/>
  <c r="C4091" i="13"/>
  <c r="C4092" i="13"/>
  <c r="C4093" i="13"/>
  <c r="C4094" i="13"/>
  <c r="C4096" i="13"/>
  <c r="C4097" i="13"/>
  <c r="C4098" i="13"/>
  <c r="C4099" i="13"/>
  <c r="C4100" i="13"/>
  <c r="C4101" i="13"/>
  <c r="C4102" i="13"/>
  <c r="C4103" i="13"/>
  <c r="C4104" i="13"/>
  <c r="C4105" i="13"/>
  <c r="C4106" i="13"/>
  <c r="C4107" i="13"/>
  <c r="C4108" i="13"/>
  <c r="C4109" i="13"/>
  <c r="C4110" i="13"/>
  <c r="C4111" i="13"/>
  <c r="C4112" i="13"/>
  <c r="C4113" i="13"/>
  <c r="C4114" i="13"/>
  <c r="C4115" i="13"/>
  <c r="C4117" i="13"/>
  <c r="C4118" i="13"/>
  <c r="C4119" i="13"/>
  <c r="C4120" i="13"/>
  <c r="C4121" i="13"/>
  <c r="C4123" i="13"/>
  <c r="C4124" i="13"/>
  <c r="C4125" i="13"/>
  <c r="C4126" i="13"/>
  <c r="C4127" i="13"/>
  <c r="C4128" i="13"/>
  <c r="C4129" i="13"/>
  <c r="C4130" i="13"/>
  <c r="C4131" i="13"/>
  <c r="C4133" i="13"/>
  <c r="C4134" i="13"/>
  <c r="C4135" i="13"/>
  <c r="C4136" i="13"/>
  <c r="C4137" i="13"/>
  <c r="C4138" i="13"/>
  <c r="C4139" i="13"/>
  <c r="C4140" i="13"/>
  <c r="C4141" i="13"/>
  <c r="C4142" i="13"/>
  <c r="C4143" i="13"/>
  <c r="C4144" i="13"/>
  <c r="C4145" i="13"/>
  <c r="C4147" i="13"/>
  <c r="C4148" i="13"/>
  <c r="C4149" i="13"/>
  <c r="C4150" i="13"/>
  <c r="C4151" i="13"/>
  <c r="C4152" i="13"/>
  <c r="C4153" i="13"/>
  <c r="C4154" i="13"/>
  <c r="C4155" i="13"/>
  <c r="C4156" i="13"/>
  <c r="C4157" i="13"/>
  <c r="C4158" i="13"/>
  <c r="C4159" i="13"/>
  <c r="C4160" i="13"/>
  <c r="C4161" i="13"/>
  <c r="C4162" i="13"/>
  <c r="C4163" i="13"/>
  <c r="C4164" i="13"/>
  <c r="C4165" i="13"/>
  <c r="C4166" i="13"/>
  <c r="C4167" i="13"/>
  <c r="C4168" i="13"/>
  <c r="C4169" i="13"/>
  <c r="C4170" i="13"/>
  <c r="C4171" i="13"/>
  <c r="C4173" i="13"/>
  <c r="C4172" i="13"/>
  <c r="C4174" i="13"/>
  <c r="C4175" i="13"/>
  <c r="C4177" i="13"/>
  <c r="C4178" i="13"/>
  <c r="C4179" i="13"/>
  <c r="C4180" i="13"/>
  <c r="C4182" i="13"/>
  <c r="C4183" i="13"/>
  <c r="C4184" i="13"/>
  <c r="C4185" i="13"/>
  <c r="C4186" i="13"/>
  <c r="C4187" i="13"/>
  <c r="C4188" i="13"/>
  <c r="C4189" i="13"/>
  <c r="C4190" i="13"/>
  <c r="C4191" i="13"/>
  <c r="C4192" i="13"/>
  <c r="C4193" i="13"/>
  <c r="C4194" i="13"/>
  <c r="C4195" i="13"/>
  <c r="C4196" i="13"/>
  <c r="C4197" i="13"/>
  <c r="C4198" i="13"/>
  <c r="C4199" i="13"/>
  <c r="C4200" i="13"/>
  <c r="C4201" i="13"/>
  <c r="C4202" i="13"/>
  <c r="C4203" i="13"/>
  <c r="C4204" i="13"/>
  <c r="C4205" i="13"/>
  <c r="C4206" i="13"/>
  <c r="C4207" i="13"/>
  <c r="C4208" i="13"/>
  <c r="C4209" i="13"/>
  <c r="C4210" i="13"/>
  <c r="C4211" i="13"/>
  <c r="C4212" i="13"/>
  <c r="C4216" i="13"/>
  <c r="C4213" i="13"/>
  <c r="C4217" i="13"/>
  <c r="C4214" i="13"/>
  <c r="C4218" i="13"/>
  <c r="C4219" i="13"/>
  <c r="C4220" i="13"/>
  <c r="C4221" i="13"/>
  <c r="C4222" i="13"/>
  <c r="C4223" i="13"/>
  <c r="C4224" i="13"/>
  <c r="C4226" i="13"/>
  <c r="C4227" i="13"/>
  <c r="C4228" i="13"/>
  <c r="C4229" i="13"/>
  <c r="C4230" i="13"/>
  <c r="C4231" i="13"/>
  <c r="C4215" i="13"/>
  <c r="C4236" i="13"/>
  <c r="C4237" i="13"/>
  <c r="C4232" i="13"/>
  <c r="C4233" i="13"/>
  <c r="C4234" i="13"/>
  <c r="C4235" i="13"/>
  <c r="C4238" i="13"/>
  <c r="C4239" i="13"/>
  <c r="C4240" i="13"/>
  <c r="C4241" i="13"/>
  <c r="C4242" i="13"/>
  <c r="C4225" i="13"/>
  <c r="C4244" i="13"/>
  <c r="C4245" i="13"/>
  <c r="C4246" i="13"/>
  <c r="C4247" i="13"/>
  <c r="C4243" i="13"/>
  <c r="C4248" i="13"/>
  <c r="C4250" i="13"/>
  <c r="C4251" i="13"/>
  <c r="C4252" i="13"/>
  <c r="C4253" i="13"/>
  <c r="C4254" i="13"/>
  <c r="C4255" i="13"/>
  <c r="C4256" i="13"/>
  <c r="C4257" i="13"/>
  <c r="C4258" i="13"/>
  <c r="C4259" i="13"/>
  <c r="C4260" i="13"/>
  <c r="C4261" i="13"/>
  <c r="C4262" i="13"/>
  <c r="C4263" i="13"/>
  <c r="C4265" i="13"/>
  <c r="C4266" i="13"/>
  <c r="C4267" i="13"/>
  <c r="C4268" i="13"/>
  <c r="C4269" i="13"/>
  <c r="C4270" i="13"/>
  <c r="C4271" i="13"/>
  <c r="C4272" i="13"/>
  <c r="C4273" i="13"/>
  <c r="C4274" i="13"/>
  <c r="C4275" i="13"/>
  <c r="C4276" i="13"/>
  <c r="C4277" i="13"/>
  <c r="C4278" i="13"/>
  <c r="C4279" i="13"/>
  <c r="C4280" i="13"/>
  <c r="C4281" i="13"/>
  <c r="C4282" i="13"/>
  <c r="C4283" i="13"/>
  <c r="C4284" i="13"/>
  <c r="C4285" i="13"/>
  <c r="C4286" i="13"/>
  <c r="C4287" i="13"/>
  <c r="C4288" i="13"/>
  <c r="C4289" i="13"/>
  <c r="C4290" i="13"/>
  <c r="C4291" i="13"/>
  <c r="C4292" i="13"/>
  <c r="C4293" i="13"/>
  <c r="C4294" i="13"/>
  <c r="C4295" i="13"/>
  <c r="C4296" i="13"/>
  <c r="C4297" i="13"/>
  <c r="C4298" i="13"/>
  <c r="C4299" i="13"/>
  <c r="C4300" i="13"/>
  <c r="C4301" i="13"/>
  <c r="C4302" i="13"/>
  <c r="C4303" i="13"/>
  <c r="C4304" i="13"/>
  <c r="C4305" i="13"/>
  <c r="C4306" i="13"/>
  <c r="C4307" i="13"/>
  <c r="C4308" i="13"/>
  <c r="C4309" i="13"/>
  <c r="C4312" i="13"/>
  <c r="C4313" i="13"/>
  <c r="C4314" i="13"/>
  <c r="C4310" i="13"/>
  <c r="C4311" i="13"/>
  <c r="C4315" i="13"/>
  <c r="C4316" i="13"/>
  <c r="C4317" i="13"/>
  <c r="C4318" i="13"/>
  <c r="C4319" i="13"/>
  <c r="C4320" i="13"/>
  <c r="C4321" i="13"/>
  <c r="C4322" i="13"/>
  <c r="C4324" i="13"/>
  <c r="C4325" i="13"/>
  <c r="C4323" i="13"/>
  <c r="C4326" i="13"/>
  <c r="C4327" i="13"/>
  <c r="C4328" i="13"/>
  <c r="C4329" i="13"/>
  <c r="C4330" i="13"/>
  <c r="C4331" i="13"/>
  <c r="C4332" i="13"/>
  <c r="C4333" i="13"/>
  <c r="C4334" i="13"/>
  <c r="C4335" i="13"/>
  <c r="C4336" i="13"/>
  <c r="C4337" i="13"/>
  <c r="C4338" i="13"/>
  <c r="C4339" i="13"/>
  <c r="C4340" i="13"/>
  <c r="C4341" i="13"/>
  <c r="C4342" i="13"/>
  <c r="C4343" i="13"/>
  <c r="C4344" i="13"/>
  <c r="C4345" i="13"/>
  <c r="C4346" i="13"/>
  <c r="C4347" i="13"/>
  <c r="C4348" i="13"/>
  <c r="C4349" i="13"/>
  <c r="C4350" i="13"/>
  <c r="C4351" i="13"/>
  <c r="C4352" i="13"/>
  <c r="C4353" i="13"/>
  <c r="C4354" i="13"/>
  <c r="C4355" i="13"/>
  <c r="C4356" i="13"/>
  <c r="C4357" i="13"/>
  <c r="C4358" i="13"/>
  <c r="C4359" i="13"/>
  <c r="C4360" i="13"/>
  <c r="C4361" i="13"/>
  <c r="C4362" i="13"/>
  <c r="C4363" i="13"/>
  <c r="C4364" i="13"/>
  <c r="C4365" i="13"/>
  <c r="C4366" i="13"/>
  <c r="C4367" i="13"/>
  <c r="C4368" i="13"/>
  <c r="C4369" i="13"/>
  <c r="C4370" i="13"/>
  <c r="C4372" i="13"/>
  <c r="C4371" i="13"/>
  <c r="C4373" i="13"/>
  <c r="C4374" i="13"/>
  <c r="C4375" i="13"/>
  <c r="C4376" i="13"/>
  <c r="C4377" i="13"/>
  <c r="C4378" i="13"/>
  <c r="C4379" i="13"/>
  <c r="C4380" i="13"/>
  <c r="C4381" i="13"/>
  <c r="C4382" i="13"/>
  <c r="C4383" i="13"/>
  <c r="C4384" i="13"/>
  <c r="C4385" i="13"/>
  <c r="C4386" i="13"/>
  <c r="C4387" i="13"/>
  <c r="C4388" i="13"/>
  <c r="C4389" i="13"/>
  <c r="C4391" i="13"/>
  <c r="C4392" i="13"/>
  <c r="C4395" i="13"/>
  <c r="C4393" i="13"/>
  <c r="C4394" i="13"/>
  <c r="C4390" i="13"/>
  <c r="C4397" i="13"/>
  <c r="C4398" i="13"/>
  <c r="C4399" i="13"/>
  <c r="C4400" i="13"/>
  <c r="C4401" i="13"/>
  <c r="C4402" i="13"/>
  <c r="C4403" i="13"/>
  <c r="C4404" i="13"/>
  <c r="C4405" i="13"/>
  <c r="C4407" i="13"/>
  <c r="C4408" i="13"/>
  <c r="C4406" i="13"/>
  <c r="C4409" i="13"/>
  <c r="C4410" i="13"/>
  <c r="C4411" i="13"/>
  <c r="C4412" i="13"/>
  <c r="C4413" i="13"/>
  <c r="C4414" i="13"/>
  <c r="C4415" i="13"/>
  <c r="C4416" i="13"/>
  <c r="C4417" i="13"/>
  <c r="C4418" i="13"/>
  <c r="C4419" i="13"/>
  <c r="C4420" i="13"/>
  <c r="C4421" i="13"/>
  <c r="C4422" i="13"/>
  <c r="C4423" i="13"/>
  <c r="C4424" i="13"/>
  <c r="C4425" i="13"/>
  <c r="C4426" i="13"/>
  <c r="C4427" i="13"/>
  <c r="C4428" i="13"/>
  <c r="C4429" i="13"/>
  <c r="C4430" i="13"/>
  <c r="C4431" i="13"/>
  <c r="C4432" i="13"/>
  <c r="C4433" i="13"/>
  <c r="C4434" i="13"/>
  <c r="C4435" i="13"/>
  <c r="C4436" i="13"/>
  <c r="C4437" i="13"/>
  <c r="C4438" i="13"/>
  <c r="C4439" i="13"/>
  <c r="C4440" i="13"/>
  <c r="C4441" i="13"/>
  <c r="C4442" i="13"/>
  <c r="C4443" i="13"/>
  <c r="C4444" i="13"/>
  <c r="C4445" i="13"/>
  <c r="C4446" i="13"/>
  <c r="C4447" i="13"/>
  <c r="C4449" i="13"/>
  <c r="C4448" i="13"/>
  <c r="C4450" i="13"/>
  <c r="C4451" i="13"/>
  <c r="C4452" i="13"/>
  <c r="C4453" i="13"/>
  <c r="C4454" i="13"/>
  <c r="C4455" i="13"/>
  <c r="C4456" i="13"/>
  <c r="C4458" i="13"/>
  <c r="C4459" i="13"/>
  <c r="C4460" i="13"/>
  <c r="C4461" i="13"/>
  <c r="C4457" i="13"/>
  <c r="C4462" i="13"/>
  <c r="C4463" i="13"/>
  <c r="C4464" i="13"/>
  <c r="C4465" i="13"/>
  <c r="C4466" i="13"/>
  <c r="C4467" i="13"/>
  <c r="C4468" i="13"/>
  <c r="C4469" i="13"/>
  <c r="C4470" i="13"/>
  <c r="C4471" i="13"/>
  <c r="C4472" i="13"/>
  <c r="C4473" i="13"/>
  <c r="C4474" i="13"/>
  <c r="C4475" i="13"/>
  <c r="C4476" i="13"/>
  <c r="C4477" i="13"/>
  <c r="C4478" i="13"/>
  <c r="C4479" i="13"/>
  <c r="C4480" i="13"/>
  <c r="C4482" i="13"/>
  <c r="C4483" i="13"/>
  <c r="C4484" i="13"/>
  <c r="C4485" i="13"/>
  <c r="C4486" i="13"/>
  <c r="C4487" i="13"/>
  <c r="C4488" i="13"/>
  <c r="C4489" i="13"/>
  <c r="C4490" i="13"/>
  <c r="C4491" i="13"/>
  <c r="C4492" i="13"/>
  <c r="C4493" i="13"/>
  <c r="C4494" i="13"/>
  <c r="C4495" i="13"/>
  <c r="C4496" i="13"/>
  <c r="C4497" i="13"/>
  <c r="C4498" i="13"/>
  <c r="C4499" i="13"/>
  <c r="C4501" i="13"/>
  <c r="C4502" i="13"/>
  <c r="C4503" i="13"/>
  <c r="C4504" i="13"/>
  <c r="C4505" i="13"/>
  <c r="C4506" i="13"/>
  <c r="C4507" i="13"/>
  <c r="C4508" i="13"/>
  <c r="C4509" i="13"/>
  <c r="C4510" i="13"/>
  <c r="C4511" i="13"/>
  <c r="BS4005" i="13" l="1"/>
  <c r="BU3997" i="13" l="1"/>
  <c r="BC3996" i="13"/>
  <c r="C3972" i="13" l="1"/>
  <c r="CS3985" i="13" l="1"/>
  <c r="BO3979" i="13" l="1"/>
  <c r="GQ3967" i="13" l="1"/>
  <c r="D3956" i="13" l="1"/>
  <c r="C3928" i="13"/>
  <c r="BO3955" i="13" l="1"/>
  <c r="D3930" i="13" l="1"/>
  <c r="C3922" i="13" l="1"/>
  <c r="T3911" i="13" l="1"/>
  <c r="BU3912" i="13"/>
  <c r="DP3913" i="13"/>
  <c r="C3883" i="13" l="1"/>
  <c r="AA3889" i="13" l="1"/>
  <c r="C3889" i="13" s="1"/>
  <c r="DP3867" i="13" l="1"/>
  <c r="C3861" i="13"/>
  <c r="C3750" i="13" l="1"/>
  <c r="Z3847" i="13" l="1"/>
  <c r="EA3846" i="13"/>
  <c r="BO3846" i="13"/>
  <c r="CM3843" i="13"/>
  <c r="CG3843" i="13"/>
  <c r="BI3843" i="13"/>
  <c r="BC3843" i="13"/>
  <c r="CY3843" i="13"/>
  <c r="BO3843" i="13"/>
  <c r="CA3843" i="13"/>
  <c r="C3824" i="13" l="1"/>
  <c r="AA3827" i="13" l="1"/>
  <c r="CS3785" i="13" l="1"/>
  <c r="C3785" i="13" s="1"/>
  <c r="C3801" i="13" l="1"/>
  <c r="BC3797" i="13" l="1"/>
  <c r="C3706" i="13" l="1"/>
  <c r="AN3752" i="13" l="1"/>
  <c r="C3752" i="13" s="1"/>
  <c r="I3740" i="13" l="1"/>
  <c r="C3567" i="13" l="1"/>
  <c r="CG3703" i="13" l="1"/>
  <c r="BI3685" i="13" l="1"/>
  <c r="BM3670" i="13" l="1"/>
  <c r="DE3654" i="13" l="1"/>
  <c r="CS3646" i="13" l="1"/>
  <c r="CQ3641" i="13" l="1"/>
  <c r="BI3641" i="13"/>
  <c r="BI3637" i="13" l="1"/>
  <c r="BA3629" i="13" l="1"/>
  <c r="D3626" i="13" l="1"/>
  <c r="CM3625" i="13" l="1"/>
  <c r="CM3617" i="13" l="1"/>
  <c r="BU3596" i="13" l="1"/>
  <c r="BS3596" i="13"/>
  <c r="EL3591" i="13" l="1"/>
  <c r="DK3591" i="13"/>
  <c r="CA3573" i="13" l="1"/>
  <c r="EE3558" i="13" l="1"/>
  <c r="EG3558" i="13"/>
  <c r="EA3558" i="13"/>
  <c r="BC3558" i="13"/>
  <c r="G6" i="13" l="1"/>
  <c r="I5" i="22" s="1"/>
  <c r="J5" i="22" s="1"/>
  <c r="K6" i="12" l="1"/>
  <c r="E6" i="12" s="1"/>
  <c r="DP3517" i="13"/>
  <c r="C3490" i="13" l="1"/>
  <c r="BI3516" i="13" l="1"/>
  <c r="BO3516" i="13"/>
  <c r="C3510" i="13"/>
  <c r="C3511" i="13"/>
  <c r="C3512" i="13"/>
  <c r="C3513" i="13"/>
  <c r="C3514" i="13"/>
  <c r="C3515" i="13"/>
  <c r="C3517" i="13"/>
  <c r="C3518" i="13"/>
  <c r="C3519" i="13"/>
  <c r="C3520" i="13"/>
  <c r="C3521" i="13"/>
  <c r="C3522" i="13"/>
  <c r="C3523" i="13"/>
  <c r="C3524" i="13"/>
  <c r="C3525" i="13"/>
  <c r="C3526" i="13"/>
  <c r="C3533" i="13"/>
  <c r="C3534" i="13"/>
  <c r="C3535" i="13"/>
  <c r="C3536" i="13"/>
  <c r="C3537" i="13"/>
  <c r="C3538" i="13"/>
  <c r="C3539" i="13"/>
  <c r="C3527" i="13"/>
  <c r="C3528" i="13"/>
  <c r="C3529" i="13"/>
  <c r="C3530" i="13"/>
  <c r="C3531" i="13"/>
  <c r="C3532" i="13"/>
  <c r="C3540" i="13"/>
  <c r="C3541" i="13"/>
  <c r="C3542" i="13"/>
  <c r="C3543" i="13"/>
  <c r="C3544" i="13"/>
  <c r="C3545" i="13"/>
  <c r="C3546" i="13"/>
  <c r="C3547" i="13"/>
  <c r="C3548" i="13"/>
  <c r="C3549" i="13"/>
  <c r="C3550" i="13"/>
  <c r="C3551" i="13"/>
  <c r="C3552" i="13"/>
  <c r="C3553" i="13"/>
  <c r="C3554" i="13"/>
  <c r="C3555" i="13"/>
  <c r="C3556" i="13"/>
  <c r="C3557" i="13"/>
  <c r="C3558" i="13"/>
  <c r="C3559" i="13"/>
  <c r="C3560" i="13"/>
  <c r="C3561" i="13"/>
  <c r="C3562" i="13"/>
  <c r="C3563" i="13"/>
  <c r="C3564" i="13"/>
  <c r="C3565" i="13"/>
  <c r="C3568" i="13"/>
  <c r="C3569" i="13"/>
  <c r="C3570" i="13"/>
  <c r="C3566" i="13"/>
  <c r="C3571" i="13"/>
  <c r="C3572" i="13"/>
  <c r="C3573" i="13"/>
  <c r="C3574" i="13"/>
  <c r="C3576" i="13"/>
  <c r="C3577" i="13"/>
  <c r="C3575" i="13"/>
  <c r="C3578" i="13"/>
  <c r="C3579" i="13"/>
  <c r="C3580" i="13"/>
  <c r="C3581" i="13"/>
  <c r="C3582" i="13"/>
  <c r="C3583" i="13"/>
  <c r="C3584" i="13"/>
  <c r="C3585" i="13"/>
  <c r="C3586" i="13"/>
  <c r="C3587" i="13"/>
  <c r="C3588" i="13"/>
  <c r="C3589" i="13"/>
  <c r="C3590" i="13"/>
  <c r="C3591" i="13"/>
  <c r="C3592" i="13"/>
  <c r="C3593" i="13"/>
  <c r="C3594" i="13"/>
  <c r="C3595" i="13"/>
  <c r="C3596" i="13"/>
  <c r="C3597" i="13"/>
  <c r="C3598" i="13"/>
  <c r="C3599" i="13"/>
  <c r="C3600" i="13"/>
  <c r="C3601" i="13"/>
  <c r="C3602" i="13"/>
  <c r="C3603" i="13"/>
  <c r="C3604" i="13"/>
  <c r="C3605" i="13"/>
  <c r="C3606" i="13"/>
  <c r="C3607" i="13"/>
  <c r="C3608" i="13"/>
  <c r="C3609" i="13"/>
  <c r="C3610" i="13"/>
  <c r="C3611" i="13"/>
  <c r="C3612" i="13"/>
  <c r="C3613" i="13"/>
  <c r="C3614" i="13"/>
  <c r="C3615" i="13"/>
  <c r="C3616" i="13"/>
  <c r="C3617" i="13"/>
  <c r="C3618" i="13"/>
  <c r="C3619" i="13"/>
  <c r="C3620" i="13"/>
  <c r="C3621" i="13"/>
  <c r="C3623" i="13"/>
  <c r="C3624" i="13"/>
  <c r="C3625" i="13"/>
  <c r="C3626" i="13"/>
  <c r="C3627" i="13"/>
  <c r="C3628" i="13"/>
  <c r="C3629" i="13"/>
  <c r="C3630" i="13"/>
  <c r="C3631" i="13"/>
  <c r="C3632" i="13"/>
  <c r="C3633" i="13"/>
  <c r="C3634" i="13"/>
  <c r="C3635" i="13"/>
  <c r="C3636" i="13"/>
  <c r="C3637" i="13"/>
  <c r="C3638" i="13"/>
  <c r="C3639" i="13"/>
  <c r="C3640" i="13"/>
  <c r="C3641" i="13"/>
  <c r="C3642" i="13"/>
  <c r="C3643" i="13"/>
  <c r="C3644" i="13"/>
  <c r="C3645" i="13"/>
  <c r="C3646" i="13"/>
  <c r="C3647" i="13"/>
  <c r="C3648" i="13"/>
  <c r="C3649" i="13"/>
  <c r="C3650" i="13"/>
  <c r="C3651" i="13"/>
  <c r="C3652" i="13"/>
  <c r="C3653" i="13"/>
  <c r="C3654" i="13"/>
  <c r="C3655" i="13"/>
  <c r="C3656" i="13"/>
  <c r="C3657" i="13"/>
  <c r="C3658" i="13"/>
  <c r="C3659" i="13"/>
  <c r="C3660" i="13"/>
  <c r="C3661" i="13"/>
  <c r="C3662" i="13"/>
  <c r="C3663" i="13"/>
  <c r="C3664" i="13"/>
  <c r="C3665" i="13"/>
  <c r="C3666" i="13"/>
  <c r="C3667" i="13"/>
  <c r="C3668" i="13"/>
  <c r="C3669" i="13"/>
  <c r="C3670" i="13"/>
  <c r="C3671" i="13"/>
  <c r="C3672" i="13"/>
  <c r="C3674" i="13"/>
  <c r="C3675" i="13"/>
  <c r="C3676" i="13"/>
  <c r="C3673" i="13"/>
  <c r="C3677" i="13"/>
  <c r="C3678" i="13"/>
  <c r="C3679" i="13"/>
  <c r="C3680" i="13"/>
  <c r="C3681" i="13"/>
  <c r="C3682" i="13"/>
  <c r="C3683" i="13"/>
  <c r="C3684" i="13"/>
  <c r="C3685" i="13"/>
  <c r="C3687" i="13"/>
  <c r="C3688" i="13"/>
  <c r="C3689" i="13"/>
  <c r="C3690" i="13"/>
  <c r="C3691" i="13"/>
  <c r="C3692" i="13"/>
  <c r="C3693" i="13"/>
  <c r="C3694" i="13"/>
  <c r="C3695" i="13"/>
  <c r="C3686" i="13"/>
  <c r="C3696" i="13"/>
  <c r="C3697" i="13"/>
  <c r="C3698" i="13"/>
  <c r="C3699" i="13"/>
  <c r="C3700" i="13"/>
  <c r="C3701" i="13"/>
  <c r="C3702" i="13"/>
  <c r="C3703" i="13"/>
  <c r="C3704" i="13"/>
  <c r="C3705" i="13"/>
  <c r="C3707" i="13"/>
  <c r="C3708" i="13"/>
  <c r="C3709" i="13"/>
  <c r="C3710" i="13"/>
  <c r="C3711" i="13"/>
  <c r="C3712" i="13"/>
  <c r="C3713" i="13"/>
  <c r="C3714" i="13"/>
  <c r="C3715" i="13"/>
  <c r="C3716" i="13"/>
  <c r="C3717" i="13"/>
  <c r="C3718" i="13"/>
  <c r="C3719" i="13"/>
  <c r="C3720" i="13"/>
  <c r="C3721" i="13"/>
  <c r="C3722" i="13"/>
  <c r="C3723" i="13"/>
  <c r="C3724" i="13"/>
  <c r="C3725" i="13"/>
  <c r="C3726" i="13"/>
  <c r="C3727" i="13"/>
  <c r="C3728" i="13"/>
  <c r="C3729" i="13"/>
  <c r="C3730" i="13"/>
  <c r="C3731" i="13"/>
  <c r="C3732" i="13"/>
  <c r="C3733" i="13"/>
  <c r="C3734" i="13"/>
  <c r="C3735" i="13"/>
  <c r="C3736" i="13"/>
  <c r="C3737" i="13"/>
  <c r="C3738" i="13"/>
  <c r="C3739" i="13"/>
  <c r="C3740" i="13"/>
  <c r="C3741" i="13"/>
  <c r="C3742" i="13"/>
  <c r="C3743" i="13"/>
  <c r="C3744" i="13"/>
  <c r="C3745" i="13"/>
  <c r="C3746" i="13"/>
  <c r="C3747" i="13"/>
  <c r="C3748" i="13"/>
  <c r="C3749" i="13"/>
  <c r="C3751" i="13"/>
  <c r="C3753" i="13"/>
  <c r="C3754" i="13"/>
  <c r="C3755" i="13"/>
  <c r="C3756" i="13"/>
  <c r="C3757" i="13"/>
  <c r="C3758" i="13"/>
  <c r="C3759" i="13"/>
  <c r="C3760" i="13"/>
  <c r="C3761" i="13"/>
  <c r="C3762" i="13"/>
  <c r="C3763" i="13"/>
  <c r="C3764" i="13"/>
  <c r="C3765" i="13"/>
  <c r="C3766" i="13"/>
  <c r="C3768" i="13"/>
  <c r="C3769" i="13"/>
  <c r="C3767" i="13"/>
  <c r="C3770" i="13"/>
  <c r="C3771" i="13"/>
  <c r="C3772" i="13"/>
  <c r="C3773" i="13"/>
  <c r="C3774" i="13"/>
  <c r="C3775" i="13"/>
  <c r="C3776" i="13"/>
  <c r="C3777" i="13"/>
  <c r="C3779" i="13"/>
  <c r="C3778" i="13"/>
  <c r="C3780" i="13"/>
  <c r="C3781" i="13"/>
  <c r="C3782" i="13"/>
  <c r="C3783" i="13"/>
  <c r="C3784" i="13"/>
  <c r="C3786" i="13"/>
  <c r="C3787" i="13"/>
  <c r="C3788" i="13"/>
  <c r="C3789" i="13"/>
  <c r="C3790" i="13"/>
  <c r="C3791" i="13"/>
  <c r="C3792" i="13"/>
  <c r="C3794" i="13"/>
  <c r="C3795" i="13"/>
  <c r="C3796" i="13"/>
  <c r="C3793" i="13"/>
  <c r="C3797" i="13"/>
  <c r="C3798" i="13"/>
  <c r="C3799" i="13"/>
  <c r="C3800" i="13"/>
  <c r="C3802" i="13"/>
  <c r="C3803" i="13"/>
  <c r="C3804" i="13"/>
  <c r="C3805" i="13"/>
  <c r="C3806" i="13"/>
  <c r="C3807" i="13"/>
  <c r="C3808" i="13"/>
  <c r="C3809" i="13"/>
  <c r="C3810" i="13"/>
  <c r="C3811" i="13"/>
  <c r="C3812" i="13"/>
  <c r="C3813" i="13"/>
  <c r="C3814" i="13"/>
  <c r="C3815" i="13"/>
  <c r="C3816" i="13"/>
  <c r="C3817" i="13"/>
  <c r="C3818" i="13"/>
  <c r="C3819" i="13"/>
  <c r="C3820" i="13"/>
  <c r="C3821" i="13"/>
  <c r="C3822" i="13"/>
  <c r="C3823" i="13"/>
  <c r="C3825" i="13"/>
  <c r="C3826" i="13"/>
  <c r="C3827" i="13"/>
  <c r="C3828" i="13"/>
  <c r="C3829" i="13"/>
  <c r="C3830" i="13"/>
  <c r="C3831" i="13"/>
  <c r="C3832" i="13"/>
  <c r="C3833" i="13"/>
  <c r="C3834" i="13"/>
  <c r="C3835" i="13"/>
  <c r="C3836" i="13"/>
  <c r="C3837" i="13"/>
  <c r="C3838" i="13"/>
  <c r="C3839" i="13"/>
  <c r="C3840" i="13"/>
  <c r="C3841" i="13"/>
  <c r="C3842" i="13"/>
  <c r="C3843" i="13"/>
  <c r="C3844" i="13"/>
  <c r="C3845" i="13"/>
  <c r="C3846" i="13"/>
  <c r="C3847" i="13"/>
  <c r="C3848" i="13"/>
  <c r="C3849" i="13"/>
  <c r="C3850" i="13"/>
  <c r="C3851" i="13"/>
  <c r="C3852" i="13"/>
  <c r="C3853" i="13"/>
  <c r="C3854" i="13"/>
  <c r="C3855" i="13"/>
  <c r="C3856" i="13"/>
  <c r="C3857" i="13"/>
  <c r="C3858" i="13"/>
  <c r="C3859" i="13"/>
  <c r="C3860" i="13"/>
  <c r="C3862" i="13"/>
  <c r="C3863" i="13"/>
  <c r="C3864" i="13"/>
  <c r="C3865" i="13"/>
  <c r="C3866" i="13"/>
  <c r="C3867" i="13"/>
  <c r="C3868" i="13"/>
  <c r="C3869" i="13"/>
  <c r="C3870" i="13"/>
  <c r="C3871" i="13"/>
  <c r="C3872" i="13"/>
  <c r="C3873" i="13"/>
  <c r="C3874" i="13"/>
  <c r="C3875" i="13"/>
  <c r="C3876" i="13"/>
  <c r="C3877" i="13"/>
  <c r="C3878" i="13"/>
  <c r="C3879" i="13"/>
  <c r="C3880" i="13"/>
  <c r="C3881" i="13"/>
  <c r="C3882" i="13"/>
  <c r="C3884" i="13"/>
  <c r="C3885" i="13"/>
  <c r="C3886" i="13"/>
  <c r="C3887" i="13"/>
  <c r="C3888" i="13"/>
  <c r="C3890" i="13"/>
  <c r="C3891" i="13"/>
  <c r="C3892" i="13"/>
  <c r="C3893" i="13"/>
  <c r="C3894" i="13"/>
  <c r="C3895" i="13"/>
  <c r="C3896" i="13"/>
  <c r="C3897" i="13"/>
  <c r="C3898" i="13"/>
  <c r="C3899" i="13"/>
  <c r="C3900" i="13"/>
  <c r="C3901" i="13"/>
  <c r="C3902" i="13"/>
  <c r="C3903" i="13"/>
  <c r="C3904" i="13"/>
  <c r="C3905" i="13"/>
  <c r="C3906" i="13"/>
  <c r="C3909" i="13"/>
  <c r="C3910" i="13"/>
  <c r="C3907" i="13"/>
  <c r="C3908" i="13"/>
  <c r="C3911" i="13"/>
  <c r="C3912" i="13"/>
  <c r="C3913" i="13"/>
  <c r="C3914" i="13"/>
  <c r="C3915" i="13"/>
  <c r="C3916" i="13"/>
  <c r="C3917" i="13"/>
  <c r="C3918" i="13"/>
  <c r="C3919" i="13"/>
  <c r="C3920" i="13"/>
  <c r="C3921" i="13"/>
  <c r="C3923" i="13"/>
  <c r="C3924" i="13"/>
  <c r="C3926" i="13"/>
  <c r="C3927" i="13"/>
  <c r="C3929" i="13"/>
  <c r="C3925" i="13"/>
  <c r="C3930" i="13"/>
  <c r="C3931" i="13"/>
  <c r="C3932" i="13"/>
  <c r="C3933" i="13"/>
  <c r="C3934" i="13"/>
  <c r="C3935" i="13"/>
  <c r="C3936" i="13"/>
  <c r="C3937" i="13"/>
  <c r="C3938" i="13"/>
  <c r="C3939" i="13"/>
  <c r="C3940" i="13"/>
  <c r="C3941" i="13"/>
  <c r="C3942" i="13"/>
  <c r="C3943" i="13"/>
  <c r="C3944" i="13"/>
  <c r="C3945" i="13"/>
  <c r="C3946" i="13"/>
  <c r="C3947" i="13"/>
  <c r="C3948" i="13"/>
  <c r="C3949" i="13"/>
  <c r="C3950" i="13"/>
  <c r="C3951" i="13"/>
  <c r="C3952" i="13"/>
  <c r="C3953" i="13"/>
  <c r="C3954" i="13"/>
  <c r="C3955" i="13"/>
  <c r="C3956" i="13"/>
  <c r="C3957" i="13"/>
  <c r="C3958" i="13"/>
  <c r="C3959" i="13"/>
  <c r="C3960" i="13"/>
  <c r="C3961" i="13"/>
  <c r="C3962" i="13"/>
  <c r="C3963" i="13"/>
  <c r="C3964" i="13"/>
  <c r="C3965" i="13"/>
  <c r="C3966" i="13"/>
  <c r="C3967" i="13"/>
  <c r="C3968" i="13"/>
  <c r="C3969" i="13"/>
  <c r="C3970" i="13"/>
  <c r="C3971" i="13"/>
  <c r="C3973" i="13"/>
  <c r="C3974" i="13"/>
  <c r="C3975" i="13"/>
  <c r="C3976" i="13"/>
  <c r="C3977" i="13"/>
  <c r="C3978" i="13"/>
  <c r="C3979" i="13"/>
  <c r="C3980" i="13"/>
  <c r="C3981" i="13"/>
  <c r="C3982" i="13"/>
  <c r="C3983" i="13"/>
  <c r="C3984" i="13"/>
  <c r="C3985" i="13"/>
  <c r="C3986" i="13"/>
  <c r="C3987" i="13"/>
  <c r="C3988" i="13"/>
  <c r="C3989" i="13"/>
  <c r="C3990" i="13"/>
  <c r="C3991" i="13"/>
  <c r="C3992" i="13"/>
  <c r="C3993" i="13"/>
  <c r="C3994" i="13"/>
  <c r="C3995" i="13"/>
  <c r="C3996" i="13"/>
  <c r="C3997" i="13"/>
  <c r="C3998" i="13"/>
  <c r="C3999" i="13"/>
  <c r="C4000" i="13"/>
  <c r="C4001" i="13"/>
  <c r="C4002" i="13"/>
  <c r="C4003" i="13"/>
  <c r="C4004" i="13"/>
  <c r="C4005" i="13"/>
  <c r="C4006" i="13"/>
  <c r="C4007" i="13"/>
  <c r="C4008" i="13"/>
  <c r="C4009" i="13"/>
  <c r="C3516" i="13" l="1"/>
  <c r="BM3500" i="13"/>
  <c r="BI3500" i="13"/>
  <c r="BC3500" i="13"/>
  <c r="AW3500" i="13"/>
  <c r="BM3499" i="13"/>
  <c r="GZ3481" i="13" l="1"/>
  <c r="C3459" i="13" l="1"/>
  <c r="BY3486" i="13" l="1"/>
  <c r="EE3466" i="13" l="1"/>
  <c r="BY3466" i="13"/>
  <c r="BS3466" i="13"/>
  <c r="BM3466" i="13"/>
  <c r="BU3470" i="13"/>
  <c r="AW3469" i="13" l="1"/>
  <c r="CA3455" i="13" l="1"/>
  <c r="BI3444" i="13" l="1"/>
  <c r="CG3418" i="13" l="1"/>
  <c r="C3383" i="13" l="1"/>
  <c r="EA3385" i="13" l="1"/>
  <c r="EN896" i="13" l="1"/>
  <c r="C896" i="13" s="1"/>
  <c r="M6" i="13" l="1"/>
  <c r="F8" i="22" s="1"/>
  <c r="FG6" i="13"/>
  <c r="F42" i="22" s="1"/>
  <c r="H45" i="12" l="1"/>
  <c r="H11" i="12"/>
  <c r="C3328" i="13"/>
  <c r="AW3350" i="13" l="1"/>
  <c r="C3320" i="13" l="1"/>
  <c r="C3302" i="13" l="1"/>
  <c r="FS6" i="13" l="1"/>
  <c r="F47" i="22" s="1"/>
  <c r="H50" i="12" l="1"/>
  <c r="C3161" i="13"/>
  <c r="GN6" i="13" l="1"/>
  <c r="C3228" i="13" l="1"/>
  <c r="C3235" i="13"/>
  <c r="AN3253" i="13" l="1"/>
  <c r="HD6" i="13" l="1"/>
  <c r="F64" i="22" s="1"/>
  <c r="H69" i="12" l="1"/>
  <c r="BI3201" i="13"/>
  <c r="BI3200" i="13" l="1"/>
  <c r="CS3193" i="13" l="1"/>
  <c r="AC3176" i="13" l="1"/>
  <c r="CG3171" i="13" l="1"/>
  <c r="BI3162" i="13" l="1"/>
  <c r="CM3145" i="13" l="1"/>
  <c r="CG3145" i="13"/>
  <c r="CT3141" i="13" l="1"/>
  <c r="BY3138" i="13" l="1"/>
  <c r="C2985" i="13" l="1"/>
  <c r="C2980" i="13" l="1"/>
  <c r="C3064" i="13" l="1"/>
  <c r="FI3099" i="13" l="1"/>
  <c r="FI6" i="13"/>
  <c r="FT6" i="13"/>
  <c r="I47" i="22" s="1"/>
  <c r="K50" i="12" l="1"/>
  <c r="C3099" i="13"/>
  <c r="E3105" i="13" l="1"/>
  <c r="GK3101" i="13" l="1"/>
  <c r="GQ3101" i="13"/>
  <c r="BI3078" i="13" l="1"/>
  <c r="CK3057" i="13" l="1"/>
  <c r="CE3057" i="13"/>
  <c r="BY3057" i="13"/>
  <c r="BS3057" i="13"/>
  <c r="BM3057" i="13"/>
  <c r="AP3057" i="13"/>
  <c r="DI3047" i="13" l="1"/>
  <c r="BI3027" i="13" l="1"/>
  <c r="X3023" i="13" l="1"/>
  <c r="Z3023" i="13"/>
  <c r="Z3013" i="13" l="1"/>
  <c r="C3026" i="13" l="1"/>
  <c r="C3027" i="13"/>
  <c r="C3028" i="13"/>
  <c r="C3029" i="13"/>
  <c r="C3030" i="13"/>
  <c r="C3031" i="13"/>
  <c r="C3032" i="13"/>
  <c r="C3033" i="13"/>
  <c r="C3034" i="13"/>
  <c r="C3035" i="13"/>
  <c r="C3036" i="13"/>
  <c r="C3037" i="13"/>
  <c r="C3038" i="13"/>
  <c r="C3039" i="13"/>
  <c r="C3040" i="13"/>
  <c r="C3041" i="13"/>
  <c r="C3042" i="13"/>
  <c r="C3043" i="13"/>
  <c r="C3044" i="13"/>
  <c r="C3047" i="13"/>
  <c r="C3048" i="13"/>
  <c r="C3045" i="13"/>
  <c r="C3046" i="13"/>
  <c r="C3049" i="13"/>
  <c r="C3050" i="13"/>
  <c r="C3051" i="13"/>
  <c r="C3052" i="13"/>
  <c r="C3053" i="13"/>
  <c r="C3054" i="13"/>
  <c r="C3055" i="13"/>
  <c r="C3056" i="13"/>
  <c r="C3057" i="13"/>
  <c r="C3058" i="13"/>
  <c r="C3059" i="13"/>
  <c r="C3060" i="13"/>
  <c r="C3061" i="13"/>
  <c r="C3062" i="13"/>
  <c r="C3063" i="13"/>
  <c r="C3065" i="13"/>
  <c r="C3066" i="13"/>
  <c r="C3067" i="13"/>
  <c r="C3068" i="13"/>
  <c r="C3069" i="13"/>
  <c r="C3070" i="13"/>
  <c r="C3071" i="13"/>
  <c r="C3072" i="13"/>
  <c r="C3073" i="13"/>
  <c r="C3074" i="13"/>
  <c r="C3075" i="13"/>
  <c r="C3076" i="13"/>
  <c r="C3077" i="13"/>
  <c r="C3078" i="13"/>
  <c r="C3079" i="13"/>
  <c r="C3080" i="13"/>
  <c r="C3081" i="13"/>
  <c r="C3082" i="13"/>
  <c r="C3083" i="13"/>
  <c r="C3084" i="13"/>
  <c r="C3085" i="13"/>
  <c r="C3086" i="13"/>
  <c r="C3087" i="13"/>
  <c r="C3088" i="13"/>
  <c r="C3089" i="13"/>
  <c r="C3090" i="13"/>
  <c r="C3091" i="13"/>
  <c r="C3092" i="13"/>
  <c r="C3093" i="13"/>
  <c r="C3094" i="13"/>
  <c r="C3095" i="13"/>
  <c r="C3096" i="13"/>
  <c r="C3097" i="13"/>
  <c r="C3098" i="13"/>
  <c r="C3100" i="13"/>
  <c r="C3101" i="13"/>
  <c r="C3102" i="13"/>
  <c r="C3103" i="13"/>
  <c r="C3104" i="13"/>
  <c r="C3105" i="13"/>
  <c r="C3106" i="13"/>
  <c r="C3107" i="13"/>
  <c r="C3108" i="13"/>
  <c r="C3109" i="13"/>
  <c r="C3110" i="13"/>
  <c r="C3111" i="13"/>
  <c r="C3112" i="13"/>
  <c r="C3113" i="13"/>
  <c r="C3114" i="13"/>
  <c r="C3115" i="13"/>
  <c r="C3116" i="13"/>
  <c r="C3117" i="13"/>
  <c r="C3118" i="13"/>
  <c r="C3119" i="13"/>
  <c r="C3120" i="13"/>
  <c r="C3121" i="13"/>
  <c r="C3122" i="13"/>
  <c r="C3123" i="13"/>
  <c r="C3124" i="13"/>
  <c r="C3125" i="13"/>
  <c r="C3126" i="13"/>
  <c r="C3127" i="13"/>
  <c r="C3128" i="13"/>
  <c r="C3129" i="13"/>
  <c r="C3130" i="13"/>
  <c r="C3131" i="13"/>
  <c r="C3132" i="13"/>
  <c r="C3133" i="13"/>
  <c r="C3134" i="13"/>
  <c r="C3135" i="13"/>
  <c r="C3136" i="13"/>
  <c r="C3137" i="13"/>
  <c r="C3138" i="13"/>
  <c r="C3139" i="13"/>
  <c r="C3140" i="13"/>
  <c r="C3141" i="13"/>
  <c r="C3143" i="13"/>
  <c r="C3144" i="13"/>
  <c r="C3142" i="13"/>
  <c r="C3145" i="13"/>
  <c r="C3146" i="13"/>
  <c r="C3147" i="13"/>
  <c r="C3148" i="13"/>
  <c r="C3149" i="13"/>
  <c r="C3150" i="13"/>
  <c r="C3151" i="13"/>
  <c r="C3152" i="13"/>
  <c r="C3153" i="13"/>
  <c r="C3154" i="13"/>
  <c r="C3155" i="13"/>
  <c r="C3156" i="13"/>
  <c r="C3157" i="13"/>
  <c r="C3158" i="13"/>
  <c r="C3159" i="13"/>
  <c r="C3160" i="13"/>
  <c r="C3162" i="13"/>
  <c r="C3163" i="13"/>
  <c r="C3164" i="13"/>
  <c r="C3165" i="13"/>
  <c r="C3166" i="13"/>
  <c r="C3167" i="13"/>
  <c r="C3168" i="13"/>
  <c r="C3169" i="13"/>
  <c r="C3170" i="13"/>
  <c r="C3171" i="13"/>
  <c r="C3172" i="13"/>
  <c r="C3173" i="13"/>
  <c r="C3174" i="13"/>
  <c r="C3175" i="13"/>
  <c r="C3176" i="13"/>
  <c r="C3177" i="13"/>
  <c r="C3178" i="13"/>
  <c r="C3179" i="13"/>
  <c r="C3180" i="13"/>
  <c r="C3181" i="13"/>
  <c r="C3182" i="13"/>
  <c r="C3183" i="13"/>
  <c r="C3184" i="13"/>
  <c r="C3185" i="13"/>
  <c r="C3186" i="13"/>
  <c r="C3187" i="13"/>
  <c r="C3188" i="13"/>
  <c r="C3189" i="13"/>
  <c r="C3190" i="13"/>
  <c r="C3191" i="13"/>
  <c r="C3192" i="13"/>
  <c r="C3193" i="13"/>
  <c r="C3194" i="13"/>
  <c r="C3196" i="13"/>
  <c r="C3197" i="13"/>
  <c r="C3198" i="13"/>
  <c r="C3199" i="13"/>
  <c r="C3200" i="13"/>
  <c r="C3195" i="13"/>
  <c r="C3201" i="13"/>
  <c r="C3202" i="13"/>
  <c r="C3203" i="13"/>
  <c r="C3204" i="13"/>
  <c r="C3205" i="13"/>
  <c r="C3206" i="13"/>
  <c r="C3207" i="13"/>
  <c r="C3208" i="13"/>
  <c r="C3209" i="13"/>
  <c r="C3210" i="13"/>
  <c r="C3211" i="13"/>
  <c r="C3212" i="13"/>
  <c r="C3213" i="13"/>
  <c r="C3214" i="13"/>
  <c r="C3215" i="13"/>
  <c r="C3216" i="13"/>
  <c r="C3217" i="13"/>
  <c r="C3218" i="13"/>
  <c r="C3219" i="13"/>
  <c r="C3220" i="13"/>
  <c r="C3221" i="13"/>
  <c r="C3222" i="13"/>
  <c r="C3223" i="13"/>
  <c r="C3224" i="13"/>
  <c r="C3225" i="13"/>
  <c r="C3226" i="13"/>
  <c r="C3227" i="13"/>
  <c r="C3229" i="13"/>
  <c r="C3230" i="13"/>
  <c r="C3231" i="13"/>
  <c r="C3232" i="13"/>
  <c r="C3233" i="13"/>
  <c r="C3234" i="13"/>
  <c r="C3236" i="13"/>
  <c r="C3237" i="13"/>
  <c r="C3238" i="13"/>
  <c r="C3239" i="13"/>
  <c r="C3240" i="13"/>
  <c r="C3241" i="13"/>
  <c r="C3242" i="13"/>
  <c r="C3243" i="13"/>
  <c r="C3244" i="13"/>
  <c r="C3245" i="13"/>
  <c r="C3246" i="13"/>
  <c r="C3247" i="13"/>
  <c r="C3248" i="13"/>
  <c r="C3249" i="13"/>
  <c r="C3250" i="13"/>
  <c r="C3251" i="13"/>
  <c r="C3252" i="13"/>
  <c r="C3253" i="13"/>
  <c r="C3254" i="13"/>
  <c r="C3255" i="13"/>
  <c r="C3256" i="13"/>
  <c r="C3257" i="13"/>
  <c r="C3258" i="13"/>
  <c r="C3259" i="13"/>
  <c r="C3260" i="13"/>
  <c r="C3261" i="13"/>
  <c r="C3262" i="13"/>
  <c r="C3263" i="13"/>
  <c r="C3264" i="13"/>
  <c r="C3265" i="13"/>
  <c r="C3266" i="13"/>
  <c r="C3267" i="13"/>
  <c r="C3268" i="13"/>
  <c r="C3269" i="13"/>
  <c r="C3270" i="13"/>
  <c r="C3271" i="13"/>
  <c r="C3272" i="13"/>
  <c r="C3273" i="13"/>
  <c r="C3274" i="13"/>
  <c r="C3275" i="13"/>
  <c r="C3276" i="13"/>
  <c r="C3277" i="13"/>
  <c r="C3278" i="13"/>
  <c r="C3279" i="13"/>
  <c r="C3280" i="13"/>
  <c r="C3281" i="13"/>
  <c r="C3282" i="13"/>
  <c r="C3283" i="13"/>
  <c r="C3284" i="13"/>
  <c r="C3285" i="13"/>
  <c r="C3286" i="13"/>
  <c r="C3287" i="13"/>
  <c r="C3288" i="13"/>
  <c r="C3289" i="13"/>
  <c r="C3290" i="13"/>
  <c r="C3291" i="13"/>
  <c r="C3292" i="13"/>
  <c r="C3293" i="13"/>
  <c r="C3295" i="13"/>
  <c r="C3296" i="13"/>
  <c r="C3297" i="13"/>
  <c r="C3298" i="13"/>
  <c r="C3299" i="13"/>
  <c r="C3294" i="13"/>
  <c r="C3300" i="13"/>
  <c r="C3301" i="13"/>
  <c r="C3303" i="13"/>
  <c r="C3304" i="13"/>
  <c r="C3305" i="13"/>
  <c r="C3306" i="13"/>
  <c r="C3307" i="13"/>
  <c r="C3308" i="13"/>
  <c r="C3309" i="13"/>
  <c r="C3310" i="13"/>
  <c r="C3311" i="13"/>
  <c r="C3312" i="13"/>
  <c r="C3313" i="13"/>
  <c r="C3314" i="13"/>
  <c r="C3315" i="13"/>
  <c r="C3316" i="13"/>
  <c r="C3317" i="13"/>
  <c r="C3318" i="13"/>
  <c r="C3319" i="13"/>
  <c r="C3321" i="13"/>
  <c r="C3322" i="13"/>
  <c r="C3323" i="13"/>
  <c r="C3324" i="13"/>
  <c r="C3325" i="13"/>
  <c r="C3326" i="13"/>
  <c r="C3327" i="13"/>
  <c r="C3329" i="13"/>
  <c r="C3330" i="13"/>
  <c r="C3331" i="13"/>
  <c r="C3332" i="13"/>
  <c r="C3333" i="13"/>
  <c r="C3334" i="13"/>
  <c r="C3335" i="13"/>
  <c r="C3336" i="13"/>
  <c r="C3337" i="13"/>
  <c r="C3338" i="13"/>
  <c r="C3339" i="13"/>
  <c r="C3340" i="13"/>
  <c r="C3341" i="13"/>
  <c r="C3342" i="13"/>
  <c r="C3344" i="13"/>
  <c r="C3345" i="13"/>
  <c r="C3343" i="13"/>
  <c r="C3346" i="13"/>
  <c r="C3347" i="13"/>
  <c r="C3348" i="13"/>
  <c r="C3349" i="13"/>
  <c r="C3350" i="13"/>
  <c r="C3351" i="13"/>
  <c r="C3352" i="13"/>
  <c r="C3353" i="13"/>
  <c r="C3354" i="13"/>
  <c r="C3357" i="13"/>
  <c r="C3358" i="13"/>
  <c r="C3359" i="13"/>
  <c r="C3360" i="13"/>
  <c r="C3361" i="13"/>
  <c r="C3362" i="13"/>
  <c r="C3363" i="13"/>
  <c r="C3355" i="13"/>
  <c r="C3364" i="13"/>
  <c r="C3365" i="13"/>
  <c r="C3366" i="13"/>
  <c r="C3356" i="13"/>
  <c r="C3367" i="13"/>
  <c r="C3368" i="13"/>
  <c r="C3369" i="13"/>
  <c r="C3370" i="13"/>
  <c r="C3371" i="13"/>
  <c r="C3372" i="13"/>
  <c r="C3373" i="13"/>
  <c r="C3374" i="13"/>
  <c r="C3375" i="13"/>
  <c r="C3376" i="13"/>
  <c r="C3377" i="13"/>
  <c r="C3378" i="13"/>
  <c r="C3379" i="13"/>
  <c r="C3380" i="13"/>
  <c r="C3381" i="13"/>
  <c r="C3382" i="13"/>
  <c r="C3384" i="13"/>
  <c r="C3385" i="13"/>
  <c r="C3386" i="13"/>
  <c r="C3387" i="13"/>
  <c r="C3388" i="13"/>
  <c r="C3389" i="13"/>
  <c r="C3390" i="13"/>
  <c r="C3391" i="13"/>
  <c r="C3392" i="13"/>
  <c r="C3393" i="13"/>
  <c r="C3394" i="13"/>
  <c r="C3395" i="13"/>
  <c r="C3396" i="13"/>
  <c r="C3397" i="13"/>
  <c r="C3398" i="13"/>
  <c r="C3399" i="13"/>
  <c r="C3400" i="13"/>
  <c r="C3401" i="13"/>
  <c r="C3402" i="13"/>
  <c r="C3403" i="13"/>
  <c r="C3404" i="13"/>
  <c r="C3405" i="13"/>
  <c r="C3406" i="13"/>
  <c r="C3407" i="13"/>
  <c r="C3408" i="13"/>
  <c r="C3409" i="13"/>
  <c r="C3410" i="13"/>
  <c r="C3411" i="13"/>
  <c r="C3412" i="13"/>
  <c r="C3413" i="13"/>
  <c r="C3414" i="13"/>
  <c r="C3415" i="13"/>
  <c r="C3416" i="13"/>
  <c r="C3417" i="13"/>
  <c r="C3418" i="13"/>
  <c r="C3419" i="13"/>
  <c r="C3420" i="13"/>
  <c r="C3421" i="13"/>
  <c r="C3422" i="13"/>
  <c r="C3423" i="13"/>
  <c r="C3424" i="13"/>
  <c r="C3425" i="13"/>
  <c r="C3426" i="13"/>
  <c r="C3427" i="13"/>
  <c r="C3428" i="13"/>
  <c r="C3429" i="13"/>
  <c r="C3430" i="13"/>
  <c r="C3433" i="13"/>
  <c r="C3432" i="13"/>
  <c r="C3434" i="13"/>
  <c r="C3435" i="13"/>
  <c r="C3436" i="13"/>
  <c r="C3437" i="13"/>
  <c r="C3438" i="13"/>
  <c r="C3439" i="13"/>
  <c r="C3440" i="13"/>
  <c r="C3431" i="13"/>
  <c r="C3441" i="13"/>
  <c r="C3442" i="13"/>
  <c r="C3443" i="13"/>
  <c r="C3444" i="13"/>
  <c r="C3445" i="13"/>
  <c r="C3446" i="13"/>
  <c r="C3447" i="13"/>
  <c r="C3448" i="13"/>
  <c r="C3449" i="13"/>
  <c r="C3450" i="13"/>
  <c r="C3451" i="13"/>
  <c r="C3452" i="13"/>
  <c r="C3453" i="13"/>
  <c r="C3454" i="13"/>
  <c r="C3455" i="13"/>
  <c r="C3456" i="13"/>
  <c r="C3457" i="13"/>
  <c r="C3458" i="13"/>
  <c r="C3460" i="13"/>
  <c r="C3461" i="13"/>
  <c r="C3462" i="13"/>
  <c r="C3463" i="13"/>
  <c r="C3464" i="13"/>
  <c r="C3465" i="13"/>
  <c r="C3469" i="13"/>
  <c r="C3466" i="13"/>
  <c r="C3467" i="13"/>
  <c r="C3468" i="13"/>
  <c r="C3470" i="13"/>
  <c r="C3471" i="13"/>
  <c r="C3472" i="13"/>
  <c r="C3473" i="13"/>
  <c r="C3474" i="13"/>
  <c r="C3475" i="13"/>
  <c r="C3476" i="13"/>
  <c r="C3486" i="13"/>
  <c r="C3477" i="13"/>
  <c r="C3478" i="13"/>
  <c r="C3479" i="13"/>
  <c r="C3480" i="13"/>
  <c r="C3481" i="13"/>
  <c r="C3482" i="13"/>
  <c r="C3483" i="13"/>
  <c r="C3484" i="13"/>
  <c r="C3485" i="13"/>
  <c r="C3487" i="13"/>
  <c r="C3488" i="13"/>
  <c r="C3489" i="13"/>
  <c r="C3491" i="13"/>
  <c r="C3492" i="13"/>
  <c r="C3493" i="13"/>
  <c r="C3495" i="13"/>
  <c r="C3496" i="13"/>
  <c r="C3497" i="13"/>
  <c r="C3498" i="13"/>
  <c r="C3499" i="13"/>
  <c r="C3500" i="13"/>
  <c r="C3501" i="13"/>
  <c r="C3502" i="13"/>
  <c r="C3503" i="13"/>
  <c r="C3504" i="13"/>
  <c r="C3505" i="13"/>
  <c r="C3506" i="13"/>
  <c r="C3507" i="13"/>
  <c r="C3508" i="13"/>
  <c r="C3494" i="13"/>
  <c r="C3509" i="13"/>
  <c r="CS2974" i="13" l="1"/>
  <c r="C2934" i="13" l="1"/>
  <c r="BI2958" i="13"/>
  <c r="C2908" i="13" l="1"/>
  <c r="C2930" i="13"/>
  <c r="CO6" i="13" l="1"/>
  <c r="H25" i="22" s="1"/>
  <c r="CI6" i="13"/>
  <c r="H24" i="22" s="1"/>
  <c r="BW6" i="13"/>
  <c r="H22" i="22" s="1"/>
  <c r="BK6" i="13"/>
  <c r="H20" i="22" s="1"/>
  <c r="BE6" i="13"/>
  <c r="H19" i="22" s="1"/>
  <c r="AX6" i="13"/>
  <c r="G18" i="22" s="1"/>
  <c r="AW2152" i="13"/>
  <c r="AW2580" i="13"/>
  <c r="I21" i="12" l="1"/>
  <c r="J23" i="12"/>
  <c r="J27" i="12"/>
  <c r="J22" i="12"/>
  <c r="J25" i="12"/>
  <c r="J28" i="12"/>
  <c r="CP2916" i="13" l="1"/>
  <c r="FV2914" i="13" l="1"/>
  <c r="C2646" i="13" l="1"/>
  <c r="BR2902" i="13" l="1"/>
  <c r="C2873" i="13"/>
  <c r="GD6" i="13" l="1"/>
  <c r="I50" i="22" s="1"/>
  <c r="K53" i="12" l="1"/>
  <c r="C2881" i="13"/>
  <c r="C2848" i="13" l="1"/>
  <c r="C2810" i="13" l="1"/>
  <c r="C2877" i="13" l="1"/>
  <c r="DY2880" i="13"/>
  <c r="EA2880" i="13"/>
  <c r="HF2875" i="13" l="1"/>
  <c r="V2875" i="13"/>
  <c r="AC2875" i="13" l="1"/>
  <c r="C2787" i="13"/>
  <c r="IC6" i="13" l="1"/>
  <c r="F78" i="22" s="1"/>
  <c r="H83" i="12" l="1"/>
  <c r="C2850" i="13"/>
  <c r="BC2846" i="13" l="1"/>
  <c r="CS2836" i="13" l="1"/>
  <c r="CM2836" i="13"/>
  <c r="BU2836" i="13" l="1"/>
  <c r="GQ2817" i="13" l="1"/>
  <c r="HI2794" i="13" l="1"/>
  <c r="DS2797" i="13"/>
  <c r="HH2794" i="13"/>
  <c r="C2676" i="13" l="1"/>
  <c r="C2631" i="13"/>
  <c r="C2539" i="13"/>
  <c r="C2628" i="13"/>
  <c r="C2670" i="13"/>
  <c r="C2629" i="13"/>
  <c r="C2756" i="13"/>
  <c r="C2745" i="13" l="1"/>
  <c r="C2188" i="13" l="1"/>
  <c r="AN2759" i="13" l="1"/>
  <c r="HA6" i="13"/>
  <c r="I62" i="22" s="1"/>
  <c r="K67" i="12" l="1"/>
  <c r="DS2738" i="13"/>
  <c r="C2716" i="13" l="1"/>
  <c r="C2710" i="13" l="1"/>
  <c r="C2584" i="13" l="1"/>
  <c r="C2669" i="13" l="1"/>
  <c r="EP6" i="13" l="1"/>
  <c r="F35" i="22" s="1"/>
  <c r="H38" i="12" l="1"/>
  <c r="HI6" i="13"/>
  <c r="I66" i="22" s="1"/>
  <c r="K71" i="12" l="1"/>
  <c r="K89" i="12" s="1"/>
  <c r="BI2618" i="13"/>
  <c r="HJ6" i="13" l="1"/>
  <c r="F67" i="22" s="1"/>
  <c r="J67" i="22" s="1"/>
  <c r="H72" i="12" l="1"/>
  <c r="E72" i="12" s="1"/>
  <c r="C2600" i="13"/>
  <c r="BI2580" i="13" l="1"/>
  <c r="C2578" i="13"/>
  <c r="GZ2436" i="13" l="1"/>
  <c r="C2436" i="13" s="1"/>
  <c r="P6" i="13" l="1"/>
  <c r="F9" i="22" s="1"/>
  <c r="H12" i="12" l="1"/>
  <c r="C2533" i="13"/>
  <c r="C2519" i="13" l="1"/>
  <c r="C2523" i="13"/>
  <c r="C2524" i="13"/>
  <c r="C2526" i="13"/>
  <c r="C2527" i="13"/>
  <c r="C2528" i="13"/>
  <c r="C2529" i="13"/>
  <c r="C2530" i="13"/>
  <c r="C2531" i="13"/>
  <c r="C2532" i="13"/>
  <c r="C2534" i="13"/>
  <c r="C2535" i="13"/>
  <c r="C2536" i="13"/>
  <c r="C2537" i="13"/>
  <c r="C2538" i="13"/>
  <c r="C2540" i="13"/>
  <c r="C2541" i="13"/>
  <c r="C2542" i="13"/>
  <c r="C2543" i="13"/>
  <c r="C2544" i="13"/>
  <c r="C2545" i="13"/>
  <c r="C2546" i="13"/>
  <c r="C2547" i="13"/>
  <c r="C2548" i="13"/>
  <c r="C2549" i="13"/>
  <c r="C2550" i="13"/>
  <c r="C2551" i="13"/>
  <c r="C2552" i="13"/>
  <c r="C2553" i="13"/>
  <c r="C2554" i="13"/>
  <c r="C2555" i="13"/>
  <c r="C2556" i="13"/>
  <c r="C2557" i="13"/>
  <c r="C2558" i="13"/>
  <c r="C2559" i="13"/>
  <c r="C2560" i="13"/>
  <c r="C2561" i="13"/>
  <c r="C2562" i="13"/>
  <c r="C2563" i="13"/>
  <c r="C2564" i="13"/>
  <c r="C2565" i="13"/>
  <c r="C2566" i="13"/>
  <c r="C2567" i="13"/>
  <c r="C2568" i="13"/>
  <c r="C2569" i="13"/>
  <c r="C2570" i="13"/>
  <c r="C2571" i="13"/>
  <c r="C2573" i="13"/>
  <c r="C2574" i="13"/>
  <c r="C2575" i="13"/>
  <c r="C2576" i="13"/>
  <c r="C2577" i="13"/>
  <c r="C2572" i="13"/>
  <c r="C2579" i="13"/>
  <c r="C2580" i="13"/>
  <c r="C2581" i="13"/>
  <c r="C2582" i="13"/>
  <c r="C2583" i="13"/>
  <c r="C2585" i="13"/>
  <c r="C2586" i="13"/>
  <c r="C2587" i="13"/>
  <c r="C2588" i="13"/>
  <c r="C2589" i="13"/>
  <c r="C2590" i="13"/>
  <c r="C2591" i="13"/>
  <c r="C2592" i="13"/>
  <c r="C2593" i="13"/>
  <c r="C2594" i="13"/>
  <c r="C2595" i="13"/>
  <c r="C2596" i="13"/>
  <c r="C2597" i="13"/>
  <c r="C2598" i="13"/>
  <c r="C2599" i="13"/>
  <c r="C2601" i="13"/>
  <c r="C2602" i="13"/>
  <c r="C2603" i="13"/>
  <c r="C2604" i="13"/>
  <c r="C2605" i="13"/>
  <c r="C2606" i="13"/>
  <c r="C2607" i="13"/>
  <c r="C2608" i="13"/>
  <c r="C2609" i="13"/>
  <c r="C2610" i="13"/>
  <c r="C2611" i="13"/>
  <c r="C2612" i="13"/>
  <c r="C2613" i="13"/>
  <c r="C2614" i="13"/>
  <c r="C2615" i="13"/>
  <c r="C2616" i="13"/>
  <c r="C2617" i="13"/>
  <c r="C2618" i="13"/>
  <c r="C2619" i="13"/>
  <c r="C2620" i="13"/>
  <c r="C2621" i="13"/>
  <c r="C2622" i="13"/>
  <c r="C2623" i="13"/>
  <c r="C2624" i="13"/>
  <c r="C2625" i="13"/>
  <c r="C2626" i="13"/>
  <c r="C2627" i="13"/>
  <c r="C2630" i="13"/>
  <c r="C2632" i="13"/>
  <c r="C2633" i="13"/>
  <c r="C2634" i="13"/>
  <c r="C2635" i="13"/>
  <c r="C2636" i="13"/>
  <c r="C2637" i="13"/>
  <c r="C2638" i="13"/>
  <c r="C2639" i="13"/>
  <c r="C2640" i="13"/>
  <c r="C2641" i="13"/>
  <c r="C2642" i="13"/>
  <c r="C2643" i="13"/>
  <c r="C2644" i="13"/>
  <c r="C2645" i="13"/>
  <c r="C2647" i="13"/>
  <c r="C2648" i="13"/>
  <c r="C2649" i="13"/>
  <c r="C2650" i="13"/>
  <c r="C2651" i="13"/>
  <c r="C2652" i="13"/>
  <c r="C2653" i="13"/>
  <c r="C2654" i="13"/>
  <c r="C2655" i="13"/>
  <c r="C2656" i="13"/>
  <c r="C2657" i="13"/>
  <c r="C2658" i="13"/>
  <c r="C2659" i="13"/>
  <c r="C2660" i="13"/>
  <c r="C2661" i="13"/>
  <c r="C2662" i="13"/>
  <c r="C2663" i="13"/>
  <c r="C2664" i="13"/>
  <c r="C2665" i="13"/>
  <c r="C2666" i="13"/>
  <c r="C2667" i="13"/>
  <c r="C2668" i="13"/>
  <c r="C2671" i="13"/>
  <c r="C2672" i="13"/>
  <c r="C2673" i="13"/>
  <c r="C2674" i="13"/>
  <c r="C2675" i="13"/>
  <c r="C2677" i="13"/>
  <c r="C2678" i="13"/>
  <c r="C2679" i="13"/>
  <c r="C2680" i="13"/>
  <c r="C2681" i="13"/>
  <c r="C2682" i="13"/>
  <c r="C2683" i="13"/>
  <c r="C2684" i="13"/>
  <c r="C2685" i="13"/>
  <c r="C2686" i="13"/>
  <c r="C2687" i="13"/>
  <c r="C2688" i="13"/>
  <c r="C2689" i="13"/>
  <c r="C2690" i="13"/>
  <c r="C2691" i="13"/>
  <c r="C2692" i="13"/>
  <c r="C2693" i="13"/>
  <c r="C2694" i="13"/>
  <c r="C2695" i="13"/>
  <c r="C2696" i="13"/>
  <c r="C2697" i="13"/>
  <c r="C2698" i="13"/>
  <c r="C2699" i="13"/>
  <c r="C2700" i="13"/>
  <c r="C2701" i="13"/>
  <c r="C2702" i="13"/>
  <c r="C2703" i="13"/>
  <c r="C2704" i="13"/>
  <c r="C2705" i="13"/>
  <c r="C2706" i="13"/>
  <c r="C2707" i="13"/>
  <c r="C2708" i="13"/>
  <c r="C2709" i="13"/>
  <c r="C2711" i="13"/>
  <c r="C2712" i="13"/>
  <c r="C2713" i="13"/>
  <c r="C2714" i="13"/>
  <c r="C2715" i="13"/>
  <c r="C2717" i="13"/>
  <c r="C2718" i="13"/>
  <c r="C2719" i="13"/>
  <c r="C2720" i="13"/>
  <c r="C2721" i="13"/>
  <c r="C2722" i="13"/>
  <c r="C2723" i="13"/>
  <c r="C2724" i="13"/>
  <c r="C2725" i="13"/>
  <c r="C2726" i="13"/>
  <c r="C2727" i="13"/>
  <c r="C2728" i="13"/>
  <c r="C2729" i="13"/>
  <c r="C2730" i="13"/>
  <c r="C2731" i="13"/>
  <c r="C2732" i="13"/>
  <c r="C2733" i="13"/>
  <c r="C2734" i="13"/>
  <c r="C2735" i="13"/>
  <c r="C2736" i="13"/>
  <c r="C2737" i="13"/>
  <c r="C2738" i="13"/>
  <c r="C2739" i="13"/>
  <c r="C2740" i="13"/>
  <c r="C2741" i="13"/>
  <c r="C2742" i="13"/>
  <c r="C2743" i="13"/>
  <c r="C2744" i="13"/>
  <c r="C2746" i="13"/>
  <c r="C2747" i="13"/>
  <c r="C2748" i="13"/>
  <c r="C2749" i="13"/>
  <c r="C2750" i="13"/>
  <c r="C2751" i="13"/>
  <c r="C2752" i="13"/>
  <c r="C2757" i="13"/>
  <c r="C2753" i="13"/>
  <c r="C2754" i="13"/>
  <c r="C2755" i="13"/>
  <c r="C2758" i="13"/>
  <c r="C2759" i="13"/>
  <c r="C2760" i="13"/>
  <c r="C2761" i="13"/>
  <c r="C2762" i="13"/>
  <c r="C2763" i="13"/>
  <c r="C2764" i="13"/>
  <c r="C2765" i="13"/>
  <c r="C2766" i="13"/>
  <c r="C2767" i="13"/>
  <c r="C2768" i="13"/>
  <c r="C2769" i="13"/>
  <c r="C2770" i="13"/>
  <c r="C2771" i="13"/>
  <c r="C2772" i="13"/>
  <c r="C2773" i="13"/>
  <c r="C2774" i="13"/>
  <c r="C2775" i="13"/>
  <c r="C2776" i="13"/>
  <c r="C2777" i="13"/>
  <c r="C2778" i="13"/>
  <c r="C2779" i="13"/>
  <c r="C2780" i="13"/>
  <c r="C2781" i="13"/>
  <c r="C2782" i="13"/>
  <c r="C2783" i="13"/>
  <c r="C2784" i="13"/>
  <c r="C2785" i="13"/>
  <c r="C2786" i="13"/>
  <c r="C2788" i="13"/>
  <c r="C2789" i="13"/>
  <c r="C2790" i="13"/>
  <c r="C2791" i="13"/>
  <c r="C2792" i="13"/>
  <c r="C2793" i="13"/>
  <c r="C2794" i="13"/>
  <c r="C2795" i="13"/>
  <c r="C2796" i="13"/>
  <c r="C2797" i="13"/>
  <c r="C2798" i="13"/>
  <c r="C2799" i="13"/>
  <c r="C2800" i="13"/>
  <c r="C2801" i="13"/>
  <c r="C2802" i="13"/>
  <c r="C2803" i="13"/>
  <c r="C2804" i="13"/>
  <c r="C2805" i="13"/>
  <c r="C2806" i="13"/>
  <c r="C2807" i="13"/>
  <c r="C2808" i="13"/>
  <c r="C2809" i="13"/>
  <c r="C2811" i="13"/>
  <c r="C2812" i="13"/>
  <c r="C2813" i="13"/>
  <c r="C2814" i="13"/>
  <c r="C2815" i="13"/>
  <c r="C2816" i="13"/>
  <c r="C2817" i="13"/>
  <c r="C2818" i="13"/>
  <c r="C2819" i="13"/>
  <c r="C2820" i="13"/>
  <c r="C2821" i="13"/>
  <c r="C2822" i="13"/>
  <c r="C2823" i="13"/>
  <c r="C2824" i="13"/>
  <c r="C2825" i="13"/>
  <c r="C2826" i="13"/>
  <c r="C2827" i="13"/>
  <c r="C2828" i="13"/>
  <c r="C2829" i="13"/>
  <c r="C2830" i="13"/>
  <c r="C2831" i="13"/>
  <c r="C2832" i="13"/>
  <c r="C2833" i="13"/>
  <c r="C2834" i="13"/>
  <c r="C2835" i="13"/>
  <c r="C2836" i="13"/>
  <c r="C2837" i="13"/>
  <c r="C2838" i="13"/>
  <c r="C2839" i="13"/>
  <c r="C2840" i="13"/>
  <c r="C2841" i="13"/>
  <c r="C2842" i="13"/>
  <c r="C2843" i="13"/>
  <c r="C2844" i="13"/>
  <c r="C2845" i="13"/>
  <c r="C2846" i="13"/>
  <c r="C2847" i="13"/>
  <c r="C2849" i="13"/>
  <c r="C2851" i="13"/>
  <c r="C2852" i="13"/>
  <c r="C2853" i="13"/>
  <c r="C2854" i="13"/>
  <c r="C2855" i="13"/>
  <c r="C2856" i="13"/>
  <c r="C2857" i="13"/>
  <c r="C2858" i="13"/>
  <c r="C2859" i="13"/>
  <c r="C2860" i="13"/>
  <c r="C2861" i="13"/>
  <c r="C2862" i="13"/>
  <c r="C2863" i="13"/>
  <c r="C2864" i="13"/>
  <c r="C2865" i="13"/>
  <c r="C2866" i="13"/>
  <c r="C2867" i="13"/>
  <c r="C2868" i="13"/>
  <c r="C2869" i="13"/>
  <c r="C2870" i="13"/>
  <c r="C2871" i="13"/>
  <c r="C2872" i="13"/>
  <c r="C2874" i="13"/>
  <c r="C2875" i="13"/>
  <c r="C2876" i="13"/>
  <c r="C2878" i="13"/>
  <c r="C2879" i="13"/>
  <c r="C2880" i="13"/>
  <c r="C2882" i="13"/>
  <c r="C2883" i="13"/>
  <c r="C2884" i="13"/>
  <c r="C2885" i="13"/>
  <c r="C2886" i="13"/>
  <c r="C2887" i="13"/>
  <c r="C2888" i="13"/>
  <c r="C2889" i="13"/>
  <c r="C2890" i="13"/>
  <c r="C2891" i="13"/>
  <c r="C2892" i="13"/>
  <c r="C2893" i="13"/>
  <c r="C2894" i="13"/>
  <c r="C2895" i="13"/>
  <c r="C2896" i="13"/>
  <c r="C2898" i="13"/>
  <c r="C2899" i="13"/>
  <c r="C2900" i="13"/>
  <c r="C2901" i="13"/>
  <c r="C2902" i="13"/>
  <c r="C2903" i="13"/>
  <c r="C2904" i="13"/>
  <c r="C2905" i="13"/>
  <c r="C2897" i="13"/>
  <c r="C2907" i="13"/>
  <c r="C2909" i="13"/>
  <c r="C2906" i="13"/>
  <c r="C2910" i="13"/>
  <c r="C2911" i="13"/>
  <c r="C2912" i="13"/>
  <c r="C2913" i="13"/>
  <c r="C2914" i="13"/>
  <c r="C2915" i="13"/>
  <c r="C2916" i="13"/>
  <c r="C2917" i="13"/>
  <c r="C2918" i="13"/>
  <c r="C2919" i="13"/>
  <c r="C2920" i="13"/>
  <c r="C2921" i="13"/>
  <c r="C2922" i="13"/>
  <c r="C2923" i="13"/>
  <c r="C2924" i="13"/>
  <c r="C2925" i="13"/>
  <c r="C2926" i="13"/>
  <c r="C2927" i="13"/>
  <c r="C2928" i="13"/>
  <c r="C2929" i="13"/>
  <c r="C2931" i="13"/>
  <c r="C2932" i="13"/>
  <c r="C2933" i="13"/>
  <c r="C2935" i="13"/>
  <c r="C2936" i="13"/>
  <c r="C2937" i="13"/>
  <c r="C2938" i="13"/>
  <c r="C2939" i="13"/>
  <c r="C2940" i="13"/>
  <c r="C2941" i="13"/>
  <c r="C2942" i="13"/>
  <c r="C2943" i="13"/>
  <c r="C2944" i="13"/>
  <c r="C2945" i="13"/>
  <c r="C2946" i="13"/>
  <c r="C2947" i="13"/>
  <c r="C2948" i="13"/>
  <c r="C2949" i="13"/>
  <c r="C2950" i="13"/>
  <c r="C2951" i="13"/>
  <c r="C2952" i="13"/>
  <c r="C2953" i="13"/>
  <c r="C2954" i="13"/>
  <c r="C2955" i="13"/>
  <c r="C2956" i="13"/>
  <c r="C2957" i="13"/>
  <c r="C2958" i="13"/>
  <c r="C2959" i="13"/>
  <c r="C2960" i="13"/>
  <c r="C2961" i="13"/>
  <c r="C2962" i="13"/>
  <c r="C2963" i="13"/>
  <c r="C2964" i="13"/>
  <c r="C2965" i="13"/>
  <c r="C2966" i="13"/>
  <c r="C2967" i="13"/>
  <c r="C2968" i="13"/>
  <c r="C2969" i="13"/>
  <c r="C2970" i="13"/>
  <c r="C2971" i="13"/>
  <c r="C2972" i="13"/>
  <c r="C2973" i="13"/>
  <c r="C2974" i="13"/>
  <c r="C2975" i="13"/>
  <c r="C2976" i="13"/>
  <c r="C2977" i="13"/>
  <c r="C2978" i="13"/>
  <c r="C2979" i="13"/>
  <c r="C2981" i="13"/>
  <c r="C2982" i="13"/>
  <c r="C2983" i="13"/>
  <c r="C2984" i="13"/>
  <c r="C2986" i="13"/>
  <c r="C2987" i="13"/>
  <c r="C2988" i="13"/>
  <c r="C2989" i="13"/>
  <c r="C2990" i="13"/>
  <c r="C2991" i="13"/>
  <c r="C2992" i="13"/>
  <c r="C2993" i="13"/>
  <c r="C2994" i="13"/>
  <c r="C2995" i="13"/>
  <c r="C2996" i="13"/>
  <c r="C2997" i="13"/>
  <c r="C2998" i="13"/>
  <c r="C2999" i="13"/>
  <c r="C3000" i="13"/>
  <c r="C3001" i="13"/>
  <c r="C3002" i="13"/>
  <c r="C3003" i="13"/>
  <c r="C3004" i="13"/>
  <c r="C3005" i="13"/>
  <c r="C3006" i="13"/>
  <c r="C3007" i="13"/>
  <c r="C3008" i="13"/>
  <c r="C3009" i="13"/>
  <c r="C3010" i="13"/>
  <c r="C3011" i="13"/>
  <c r="C3012" i="13"/>
  <c r="C3013" i="13"/>
  <c r="C3014" i="13"/>
  <c r="C3015" i="13"/>
  <c r="C3016" i="13"/>
  <c r="C3017" i="13"/>
  <c r="C3018" i="13"/>
  <c r="C3019" i="13"/>
  <c r="C3020" i="13"/>
  <c r="C3021" i="13"/>
  <c r="C3022" i="13"/>
  <c r="C3023" i="13"/>
  <c r="C3024" i="13"/>
  <c r="C3025" i="13"/>
  <c r="EL2525" i="13" l="1"/>
  <c r="GK6" i="13"/>
  <c r="F54" i="22" s="1"/>
  <c r="GW6" i="13"/>
  <c r="F60" i="22" s="1"/>
  <c r="GO6" i="13"/>
  <c r="F56" i="22" s="1"/>
  <c r="J56" i="22" s="1"/>
  <c r="H59" i="12" l="1"/>
  <c r="H61" i="12"/>
  <c r="E61" i="12" s="1"/>
  <c r="H65" i="12"/>
  <c r="FV2504" i="13"/>
  <c r="HM2498" i="13" l="1"/>
  <c r="EA2488" i="13" l="1"/>
  <c r="DS2483" i="13" l="1"/>
  <c r="C2435" i="13" l="1"/>
  <c r="CM2473" i="13" l="1"/>
  <c r="F6" i="13" l="1"/>
  <c r="I4" i="22" s="1"/>
  <c r="J4" i="22" s="1"/>
  <c r="K5" i="12" l="1"/>
  <c r="E5" i="12" s="1"/>
  <c r="CM2458" i="13"/>
  <c r="CG2458" i="13"/>
  <c r="N6" i="13" l="1"/>
  <c r="D9" i="22" s="1"/>
  <c r="F12" i="12" l="1"/>
  <c r="EA2448" i="13"/>
  <c r="CS2448" i="13"/>
  <c r="CM2448" i="13"/>
  <c r="C2441" i="13" l="1"/>
  <c r="GQ2447" i="13" l="1"/>
  <c r="C2418" i="13" l="1"/>
  <c r="BC2439" i="13" l="1"/>
  <c r="CG2439" i="13"/>
  <c r="C2432" i="13" l="1"/>
  <c r="Y2420" i="13" l="1"/>
  <c r="C2419" i="13"/>
  <c r="CS2412" i="13" l="1"/>
  <c r="CQ2412" i="13"/>
  <c r="CA2409" i="13" l="1"/>
  <c r="CF2406" i="13" l="1"/>
  <c r="CS2395" i="13" l="1"/>
  <c r="BO2395" i="13"/>
  <c r="C2377" i="13" l="1"/>
  <c r="C2355" i="13" l="1"/>
  <c r="BH2364" i="13"/>
  <c r="AC2361" i="13" l="1"/>
  <c r="C2357" i="13"/>
  <c r="C2356" i="13"/>
  <c r="C2359" i="13"/>
  <c r="C2360" i="13"/>
  <c r="C2351" i="13" l="1"/>
  <c r="AU2346" i="13" l="1"/>
  <c r="CG2345" i="13"/>
  <c r="CA2345" i="13"/>
  <c r="BG2345" i="13"/>
  <c r="C2328" i="13" l="1"/>
  <c r="IA6" i="13" l="1"/>
  <c r="F77" i="22" s="1"/>
  <c r="J77" i="22" s="1"/>
  <c r="HM2334" i="13"/>
  <c r="H82" i="12" l="1"/>
  <c r="E82" i="12" s="1"/>
  <c r="BO2330" i="13"/>
  <c r="C2323" i="13" l="1"/>
  <c r="EE2317" i="13" l="1"/>
  <c r="DY2317" i="13"/>
  <c r="CQ2317" i="13"/>
  <c r="CE2317" i="13"/>
  <c r="BG2317" i="13"/>
  <c r="BA2317" i="13"/>
  <c r="C2317" i="13" l="1"/>
  <c r="EC2300" i="13" l="1"/>
  <c r="FK6" i="13" l="1"/>
  <c r="F43" i="22" s="1"/>
  <c r="HV6" i="13"/>
  <c r="F74" i="22" s="1"/>
  <c r="H79" i="12" l="1"/>
  <c r="H46" i="12"/>
  <c r="HH6" i="13"/>
  <c r="F66" i="22" s="1"/>
  <c r="HR2251" i="13"/>
  <c r="H71" i="12" l="1"/>
  <c r="C2210" i="13"/>
  <c r="C2207" i="13" l="1"/>
  <c r="C2199" i="13" l="1"/>
  <c r="BI2204" i="13"/>
  <c r="C2156" i="13" l="1"/>
  <c r="C2179" i="13" l="1"/>
  <c r="HL2186" i="13" l="1"/>
  <c r="DU2181" i="13" l="1"/>
  <c r="GQ2168" i="13" l="1"/>
  <c r="GP2168" i="13"/>
  <c r="GT2146" i="13" l="1"/>
  <c r="I2146" i="13"/>
  <c r="I6" i="13" s="1"/>
  <c r="F7" i="22" s="1"/>
  <c r="J7" i="22" s="1"/>
  <c r="HX6" i="13"/>
  <c r="F75" i="22" s="1"/>
  <c r="GT6" i="13"/>
  <c r="J6" i="13"/>
  <c r="H6" i="13"/>
  <c r="F6" i="22" s="1"/>
  <c r="J6" i="22" s="1"/>
  <c r="H80" i="12" l="1"/>
  <c r="H10" i="12"/>
  <c r="E10" i="12" s="1"/>
  <c r="H9" i="12"/>
  <c r="C2146" i="13"/>
  <c r="C2113" i="13"/>
  <c r="E9" i="12" l="1"/>
  <c r="CA2090" i="13"/>
  <c r="CM2076" i="13" l="1"/>
  <c r="BI2061" i="13" l="1"/>
  <c r="BC2061" i="13"/>
  <c r="CY2035" i="13" l="1"/>
  <c r="CE2035" i="13"/>
  <c r="C2052" i="13"/>
  <c r="C2035" i="13" l="1"/>
  <c r="C2027" i="13"/>
  <c r="HF2023" i="13"/>
  <c r="AG6" i="13"/>
  <c r="F14" i="22" s="1"/>
  <c r="DC2029" i="13"/>
  <c r="DK2029" i="13"/>
  <c r="CY2029" i="13"/>
  <c r="BO2029" i="13"/>
  <c r="C2030" i="13"/>
  <c r="C2031" i="13"/>
  <c r="C2032" i="13"/>
  <c r="C2033" i="13"/>
  <c r="C2034" i="13"/>
  <c r="C2036" i="13"/>
  <c r="C2037" i="13"/>
  <c r="C2038" i="13"/>
  <c r="C2039" i="13"/>
  <c r="C2040" i="13"/>
  <c r="C2041" i="13"/>
  <c r="C2042" i="13"/>
  <c r="C2043" i="13"/>
  <c r="C2044" i="13"/>
  <c r="C2045" i="13"/>
  <c r="C2046" i="13"/>
  <c r="C2047" i="13"/>
  <c r="C2048" i="13"/>
  <c r="C2049" i="13"/>
  <c r="C2050" i="13"/>
  <c r="C2051" i="13"/>
  <c r="C2053" i="13"/>
  <c r="C2054" i="13"/>
  <c r="C2055" i="13"/>
  <c r="C2056" i="13"/>
  <c r="C2057" i="13"/>
  <c r="C2058" i="13"/>
  <c r="C2059" i="13"/>
  <c r="C2060" i="13"/>
  <c r="C2061" i="13"/>
  <c r="C2062" i="13"/>
  <c r="C2063" i="13"/>
  <c r="C2064" i="13"/>
  <c r="C2065" i="13"/>
  <c r="C2066" i="13"/>
  <c r="C2067" i="13"/>
  <c r="C2068" i="13"/>
  <c r="C2069" i="13"/>
  <c r="C2070" i="13"/>
  <c r="C2071" i="13"/>
  <c r="C2072" i="13"/>
  <c r="C2073" i="13"/>
  <c r="C2074" i="13"/>
  <c r="C2075" i="13"/>
  <c r="C2076" i="13"/>
  <c r="C2077" i="13"/>
  <c r="C2078" i="13"/>
  <c r="C2079" i="13"/>
  <c r="C2080" i="13"/>
  <c r="C2081" i="13"/>
  <c r="C2082" i="13"/>
  <c r="C2083" i="13"/>
  <c r="C2084" i="13"/>
  <c r="C2085" i="13"/>
  <c r="C2086" i="13"/>
  <c r="C2087" i="13"/>
  <c r="C2088" i="13"/>
  <c r="C2089" i="13"/>
  <c r="C2090" i="13"/>
  <c r="C2091" i="13"/>
  <c r="C2092" i="13"/>
  <c r="C2093" i="13"/>
  <c r="C2094" i="13"/>
  <c r="C2095" i="13"/>
  <c r="C2096" i="13"/>
  <c r="C2097" i="13"/>
  <c r="C2098" i="13"/>
  <c r="C2099" i="13"/>
  <c r="C2100" i="13"/>
  <c r="C2101" i="13"/>
  <c r="C2102" i="13"/>
  <c r="C2103" i="13"/>
  <c r="C2104" i="13"/>
  <c r="C2105" i="13"/>
  <c r="C2106" i="13"/>
  <c r="C2107" i="13"/>
  <c r="C2108" i="13"/>
  <c r="C2109" i="13"/>
  <c r="C2110" i="13"/>
  <c r="C2111" i="13"/>
  <c r="C2112" i="13"/>
  <c r="C2114" i="13"/>
  <c r="C2115" i="13"/>
  <c r="C2116" i="13"/>
  <c r="C2117" i="13"/>
  <c r="C2118" i="13"/>
  <c r="C2119" i="13"/>
  <c r="C2120" i="13"/>
  <c r="C2121" i="13"/>
  <c r="C2122" i="13"/>
  <c r="C2123" i="13"/>
  <c r="C2124" i="13"/>
  <c r="C2125" i="13"/>
  <c r="C2126" i="13"/>
  <c r="C2127" i="13"/>
  <c r="C2128" i="13"/>
  <c r="C2129" i="13"/>
  <c r="C2130" i="13"/>
  <c r="C2131" i="13"/>
  <c r="C2132" i="13"/>
  <c r="C2133" i="13"/>
  <c r="C2134" i="13"/>
  <c r="C2135" i="13"/>
  <c r="C2136" i="13"/>
  <c r="C2137" i="13"/>
  <c r="C2138" i="13"/>
  <c r="C2139" i="13"/>
  <c r="C2140" i="13"/>
  <c r="C2141" i="13"/>
  <c r="C2142" i="13"/>
  <c r="C2143" i="13"/>
  <c r="C2144" i="13"/>
  <c r="C2145" i="13"/>
  <c r="C2147" i="13"/>
  <c r="C2148" i="13"/>
  <c r="C2149" i="13"/>
  <c r="C2150" i="13"/>
  <c r="C2151" i="13"/>
  <c r="C2152" i="13"/>
  <c r="C2153" i="13"/>
  <c r="C2154" i="13"/>
  <c r="C2155" i="13"/>
  <c r="C2157" i="13"/>
  <c r="C2158" i="13"/>
  <c r="C2159" i="13"/>
  <c r="C2160" i="13"/>
  <c r="C2161" i="13"/>
  <c r="C2162" i="13"/>
  <c r="C2163" i="13"/>
  <c r="C2164" i="13"/>
  <c r="C2165" i="13"/>
  <c r="C2166" i="13"/>
  <c r="C2167" i="13"/>
  <c r="C2168" i="13"/>
  <c r="C2169" i="13"/>
  <c r="C2170" i="13"/>
  <c r="C2171" i="13"/>
  <c r="C2172" i="13"/>
  <c r="C2173" i="13"/>
  <c r="C2174" i="13"/>
  <c r="C2175" i="13"/>
  <c r="C2176" i="13"/>
  <c r="C2177" i="13"/>
  <c r="C2178" i="13"/>
  <c r="C2180" i="13"/>
  <c r="C2181" i="13"/>
  <c r="C2182" i="13"/>
  <c r="C2183" i="13"/>
  <c r="C2184" i="13"/>
  <c r="C2185" i="13"/>
  <c r="C2186" i="13"/>
  <c r="C2187" i="13"/>
  <c r="C2189" i="13"/>
  <c r="C2190" i="13"/>
  <c r="C2191" i="13"/>
  <c r="C2192" i="13"/>
  <c r="C2193" i="13"/>
  <c r="C2194" i="13"/>
  <c r="C2195" i="13"/>
  <c r="C2196" i="13"/>
  <c r="C2197" i="13"/>
  <c r="C2198" i="13"/>
  <c r="C2200" i="13"/>
  <c r="C2201" i="13"/>
  <c r="C2202" i="13"/>
  <c r="C2203" i="13"/>
  <c r="C2204" i="13"/>
  <c r="C2205" i="13"/>
  <c r="C2206" i="13"/>
  <c r="C2208" i="13"/>
  <c r="C2209" i="13"/>
  <c r="C2211" i="13"/>
  <c r="C2212" i="13"/>
  <c r="C2213" i="13"/>
  <c r="C2214" i="13"/>
  <c r="C2215" i="13"/>
  <c r="C2216" i="13"/>
  <c r="C2217" i="13"/>
  <c r="C2218" i="13"/>
  <c r="C2219" i="13"/>
  <c r="C2220" i="13"/>
  <c r="C2221" i="13"/>
  <c r="C2222" i="13"/>
  <c r="C2223" i="13"/>
  <c r="C2224" i="13"/>
  <c r="C2225" i="13"/>
  <c r="C2226" i="13"/>
  <c r="C2227" i="13"/>
  <c r="C2228" i="13"/>
  <c r="C2229" i="13"/>
  <c r="C2230" i="13"/>
  <c r="C2231" i="13"/>
  <c r="C2232" i="13"/>
  <c r="C2233" i="13"/>
  <c r="C2234" i="13"/>
  <c r="C2235" i="13"/>
  <c r="C2236" i="13"/>
  <c r="C2237" i="13"/>
  <c r="C2238" i="13"/>
  <c r="C2239" i="13"/>
  <c r="C2240" i="13"/>
  <c r="C2241" i="13"/>
  <c r="C2242" i="13"/>
  <c r="C2243" i="13"/>
  <c r="C2244" i="13"/>
  <c r="C2245" i="13"/>
  <c r="C2246" i="13"/>
  <c r="C2247" i="13"/>
  <c r="C2248" i="13"/>
  <c r="C2249" i="13"/>
  <c r="C2250" i="13"/>
  <c r="C2251" i="13"/>
  <c r="C2252" i="13"/>
  <c r="C2253" i="13"/>
  <c r="C2255" i="13"/>
  <c r="C2256" i="13"/>
  <c r="C2254" i="13"/>
  <c r="C2257" i="13"/>
  <c r="C2258" i="13"/>
  <c r="C2259" i="13"/>
  <c r="C2260" i="13"/>
  <c r="C2261" i="13"/>
  <c r="C2262" i="13"/>
  <c r="C2263" i="13"/>
  <c r="C2264" i="13"/>
  <c r="C2265" i="13"/>
  <c r="C2266" i="13"/>
  <c r="C2267" i="13"/>
  <c r="C2268" i="13"/>
  <c r="C2269" i="13"/>
  <c r="C2270" i="13"/>
  <c r="C2271" i="13"/>
  <c r="C2272" i="13"/>
  <c r="C2273" i="13"/>
  <c r="C2274" i="13"/>
  <c r="C2275" i="13"/>
  <c r="C2276" i="13"/>
  <c r="C2277" i="13"/>
  <c r="C2278" i="13"/>
  <c r="C2279" i="13"/>
  <c r="C2280" i="13"/>
  <c r="C2281" i="13"/>
  <c r="C2282" i="13"/>
  <c r="C2283" i="13"/>
  <c r="C2284" i="13"/>
  <c r="C2285" i="13"/>
  <c r="C2286" i="13"/>
  <c r="C2287" i="13"/>
  <c r="C2288" i="13"/>
  <c r="C2289" i="13"/>
  <c r="C2290" i="13"/>
  <c r="C2291" i="13"/>
  <c r="C2292" i="13"/>
  <c r="C2293" i="13"/>
  <c r="C2294" i="13"/>
  <c r="C2295" i="13"/>
  <c r="C2296" i="13"/>
  <c r="C2297" i="13"/>
  <c r="C2298" i="13"/>
  <c r="C2299" i="13"/>
  <c r="C2300" i="13"/>
  <c r="C2301" i="13"/>
  <c r="C2302" i="13"/>
  <c r="C2303" i="13"/>
  <c r="C2304" i="13"/>
  <c r="C2305" i="13"/>
  <c r="C2306" i="13"/>
  <c r="C2307" i="13"/>
  <c r="C2308" i="13"/>
  <c r="C2309" i="13"/>
  <c r="C2310" i="13"/>
  <c r="C2311" i="13"/>
  <c r="C2312" i="13"/>
  <c r="C2313" i="13"/>
  <c r="C2314" i="13"/>
  <c r="C2315" i="13"/>
  <c r="C2316" i="13"/>
  <c r="C2318" i="13"/>
  <c r="C2319" i="13"/>
  <c r="C2320" i="13"/>
  <c r="C2321" i="13"/>
  <c r="C2322" i="13"/>
  <c r="C2324" i="13"/>
  <c r="C2325" i="13"/>
  <c r="C2326" i="13"/>
  <c r="C2327" i="13"/>
  <c r="C2329" i="13"/>
  <c r="C2330" i="13"/>
  <c r="C2331" i="13"/>
  <c r="C2332" i="13"/>
  <c r="C2333" i="13"/>
  <c r="C2334" i="13"/>
  <c r="C2335" i="13"/>
  <c r="C2336" i="13"/>
  <c r="C2337" i="13"/>
  <c r="C2338" i="13"/>
  <c r="C2339" i="13"/>
  <c r="C2340" i="13"/>
  <c r="C2341" i="13"/>
  <c r="C2342" i="13"/>
  <c r="C2343" i="13"/>
  <c r="C2344" i="13"/>
  <c r="C2345" i="13"/>
  <c r="C2346" i="13"/>
  <c r="C2347" i="13"/>
  <c r="C2348" i="13"/>
  <c r="C2349" i="13"/>
  <c r="C2350" i="13"/>
  <c r="C2352" i="13"/>
  <c r="C2353" i="13"/>
  <c r="C2354" i="13"/>
  <c r="C2358" i="13"/>
  <c r="C2361" i="13"/>
  <c r="C2362" i="13"/>
  <c r="C2363" i="13"/>
  <c r="C2364" i="13"/>
  <c r="C2365" i="13"/>
  <c r="C2366" i="13"/>
  <c r="C2367" i="13"/>
  <c r="C2368" i="13"/>
  <c r="C2369" i="13"/>
  <c r="C2370" i="13"/>
  <c r="C2371" i="13"/>
  <c r="C2372" i="13"/>
  <c r="C2373" i="13"/>
  <c r="C2374" i="13"/>
  <c r="C2375" i="13"/>
  <c r="C2376" i="13"/>
  <c r="C2378" i="13"/>
  <c r="C2379" i="13"/>
  <c r="C2380" i="13"/>
  <c r="C2381" i="13"/>
  <c r="C2382" i="13"/>
  <c r="C2383" i="13"/>
  <c r="C2384" i="13"/>
  <c r="C2385" i="13"/>
  <c r="C2386" i="13"/>
  <c r="C2387" i="13"/>
  <c r="C2388" i="13"/>
  <c r="C2389" i="13"/>
  <c r="C2390" i="13"/>
  <c r="C2391" i="13"/>
  <c r="C2392" i="13"/>
  <c r="C2393" i="13"/>
  <c r="C2394" i="13"/>
  <c r="C2395" i="13"/>
  <c r="C2396" i="13"/>
  <c r="C2397" i="13"/>
  <c r="C2398" i="13"/>
  <c r="C2399" i="13"/>
  <c r="C2400" i="13"/>
  <c r="C2401" i="13"/>
  <c r="C2402" i="13"/>
  <c r="C2403" i="13"/>
  <c r="C2404" i="13"/>
  <c r="C2405" i="13"/>
  <c r="C2406" i="13"/>
  <c r="C2407" i="13"/>
  <c r="C2408" i="13"/>
  <c r="C2409" i="13"/>
  <c r="C2410" i="13"/>
  <c r="C2411" i="13"/>
  <c r="C2412" i="13"/>
  <c r="C2413" i="13"/>
  <c r="C2414" i="13"/>
  <c r="C2415" i="13"/>
  <c r="C2416" i="13"/>
  <c r="C2417" i="13"/>
  <c r="C2420" i="13"/>
  <c r="C2421" i="13"/>
  <c r="C2422" i="13"/>
  <c r="C2423" i="13"/>
  <c r="C2424" i="13"/>
  <c r="C2425" i="13"/>
  <c r="C2426" i="13"/>
  <c r="C2427" i="13"/>
  <c r="C2428" i="13"/>
  <c r="C2429" i="13"/>
  <c r="C2430" i="13"/>
  <c r="C2431" i="13"/>
  <c r="C2433" i="13"/>
  <c r="C2434" i="13"/>
  <c r="C2437" i="13"/>
  <c r="C2438" i="13"/>
  <c r="C2439" i="13"/>
  <c r="C2440" i="13"/>
  <c r="C2442" i="13"/>
  <c r="C2443" i="13"/>
  <c r="C2444" i="13"/>
  <c r="C2445" i="13"/>
  <c r="C2446" i="13"/>
  <c r="C2447" i="13"/>
  <c r="C2448" i="13"/>
  <c r="C2457" i="13"/>
  <c r="C2449" i="13"/>
  <c r="C2450" i="13"/>
  <c r="C2451" i="13"/>
  <c r="C2452" i="13"/>
  <c r="C2453" i="13"/>
  <c r="C2454" i="13"/>
  <c r="C2455" i="13"/>
  <c r="C2458" i="13"/>
  <c r="C2459" i="13"/>
  <c r="C2460" i="13"/>
  <c r="C2461" i="13"/>
  <c r="C2456" i="13"/>
  <c r="C2462" i="13"/>
  <c r="C2463" i="13"/>
  <c r="C2464" i="13"/>
  <c r="C2465" i="13"/>
  <c r="C2466" i="13"/>
  <c r="C2467" i="13"/>
  <c r="C2468" i="13"/>
  <c r="C2470" i="13"/>
  <c r="C2471" i="13"/>
  <c r="C2472" i="13"/>
  <c r="C2473" i="13"/>
  <c r="C2474" i="13"/>
  <c r="C2475" i="13"/>
  <c r="C2476" i="13"/>
  <c r="C2469" i="13"/>
  <c r="C2478" i="13"/>
  <c r="C2479" i="13"/>
  <c r="C2480" i="13"/>
  <c r="C2481" i="13"/>
  <c r="C2483" i="13"/>
  <c r="C2484" i="13"/>
  <c r="C2485" i="13"/>
  <c r="C2486" i="13"/>
  <c r="C2482" i="13"/>
  <c r="C2477" i="13"/>
  <c r="C2487" i="13"/>
  <c r="C2488" i="13"/>
  <c r="C2489" i="13"/>
  <c r="C2490" i="13"/>
  <c r="C2491" i="13"/>
  <c r="C2492" i="13"/>
  <c r="C2493" i="13"/>
  <c r="C2494" i="13"/>
  <c r="C2495" i="13"/>
  <c r="C2496" i="13"/>
  <c r="C2497" i="13"/>
  <c r="C2498" i="13"/>
  <c r="C2499" i="13"/>
  <c r="C2500" i="13"/>
  <c r="C2501" i="13"/>
  <c r="C2502" i="13"/>
  <c r="C2503" i="13"/>
  <c r="C2504" i="13"/>
  <c r="C2507" i="13"/>
  <c r="C2505" i="13"/>
  <c r="C2506" i="13"/>
  <c r="C2508" i="13"/>
  <c r="C2509" i="13"/>
  <c r="C2510" i="13"/>
  <c r="C2511" i="13"/>
  <c r="C2512" i="13"/>
  <c r="C2513" i="13"/>
  <c r="C2514" i="13"/>
  <c r="C2515" i="13"/>
  <c r="C2520" i="13"/>
  <c r="C2516" i="13"/>
  <c r="C2525" i="13"/>
  <c r="C2521" i="13"/>
  <c r="C2517" i="13"/>
  <c r="C2518" i="13"/>
  <c r="C2522" i="13"/>
  <c r="H17" i="12" l="1"/>
  <c r="C2005" i="13"/>
  <c r="C2006" i="13" l="1"/>
  <c r="DK1996" i="13"/>
  <c r="C1986" i="13" l="1"/>
  <c r="C1951" i="13" l="1"/>
  <c r="CM1981" i="13"/>
  <c r="C1964" i="13"/>
  <c r="DE1979" i="13" l="1"/>
  <c r="DL1978" i="13"/>
  <c r="DK1978" i="13"/>
  <c r="C1949" i="13" l="1"/>
  <c r="C1955" i="13" l="1"/>
  <c r="C1906" i="13" l="1"/>
  <c r="C1930" i="13" l="1"/>
  <c r="C1929" i="13" l="1"/>
  <c r="GH6" i="13" l="1"/>
  <c r="C1920" i="13"/>
  <c r="C1911" i="13" l="1"/>
  <c r="GP1787" i="13"/>
  <c r="C1554" i="13" l="1"/>
  <c r="BH1907" i="13" l="1"/>
  <c r="BT1907" i="13" l="1"/>
  <c r="DP1907" i="13" l="1"/>
  <c r="DK1907" i="13"/>
  <c r="C1887" i="13" l="1"/>
  <c r="C1883" i="13" l="1"/>
  <c r="ET1889" i="13"/>
  <c r="EG6" i="13" l="1"/>
  <c r="F33" i="22" s="1"/>
  <c r="HF6" i="13"/>
  <c r="F65" i="22" s="1"/>
  <c r="HM6" i="13"/>
  <c r="F69" i="22" s="1"/>
  <c r="H70" i="12" l="1"/>
  <c r="H74" i="12"/>
  <c r="H36" i="12"/>
  <c r="C1847" i="13"/>
  <c r="C1817" i="13" l="1"/>
  <c r="C1751" i="13" l="1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3" i="13"/>
  <c r="C1814" i="13"/>
  <c r="C1815" i="13"/>
  <c r="C1816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7" i="13"/>
  <c r="C1838" i="13"/>
  <c r="C1839" i="13"/>
  <c r="C1840" i="13"/>
  <c r="C1841" i="13"/>
  <c r="C1842" i="13"/>
  <c r="C1843" i="13"/>
  <c r="C1844" i="13"/>
  <c r="C1845" i="13"/>
  <c r="C1846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4" i="13"/>
  <c r="C1885" i="13"/>
  <c r="C1886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7" i="13"/>
  <c r="C1908" i="13"/>
  <c r="C1909" i="13"/>
  <c r="C1910" i="13"/>
  <c r="C1912" i="13"/>
  <c r="C1913" i="13"/>
  <c r="C1914" i="13"/>
  <c r="C1915" i="13"/>
  <c r="C1916" i="13"/>
  <c r="C1917" i="13"/>
  <c r="C1918" i="13"/>
  <c r="C1919" i="13"/>
  <c r="C1921" i="13"/>
  <c r="C1922" i="13"/>
  <c r="C1923" i="13"/>
  <c r="C1924" i="13"/>
  <c r="C1925" i="13"/>
  <c r="C1926" i="13"/>
  <c r="C1927" i="13"/>
  <c r="C1928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50" i="13"/>
  <c r="C1952" i="13"/>
  <c r="C1953" i="13"/>
  <c r="C1954" i="13"/>
  <c r="C1956" i="13"/>
  <c r="C1957" i="13"/>
  <c r="C1958" i="13"/>
  <c r="C1959" i="13"/>
  <c r="C1960" i="13"/>
  <c r="C1961" i="13"/>
  <c r="C1962" i="13"/>
  <c r="C1963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8" i="13"/>
  <c r="C2029" i="13"/>
  <c r="FV6" i="13" l="1"/>
  <c r="F48" i="22" s="1"/>
  <c r="J48" i="22" s="1"/>
  <c r="AC6" i="13"/>
  <c r="F13" i="22" s="1"/>
  <c r="Z6" i="13"/>
  <c r="F12" i="22" s="1"/>
  <c r="H15" i="12" l="1"/>
  <c r="H51" i="12"/>
  <c r="H16" i="12"/>
  <c r="AR1836" i="13"/>
  <c r="C1836" i="13" s="1"/>
  <c r="C1522" i="13" l="1"/>
  <c r="EA6" i="13" l="1"/>
  <c r="F32" i="22" s="1"/>
  <c r="H35" i="12" l="1"/>
  <c r="C1812" i="13"/>
  <c r="C1714" i="13" l="1"/>
  <c r="GZ6" i="13" l="1"/>
  <c r="F62" i="22" s="1"/>
  <c r="H67" i="12" l="1"/>
  <c r="DE6" i="13"/>
  <c r="F28" i="22" s="1"/>
  <c r="H31" i="12" l="1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1" i="13"/>
  <c r="C1202" i="13"/>
  <c r="C1203" i="13"/>
  <c r="C1204" i="13"/>
  <c r="C1205" i="13"/>
  <c r="C1206" i="13"/>
  <c r="C1207" i="13"/>
  <c r="C1208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8" i="13"/>
  <c r="C1319" i="13"/>
  <c r="C1320" i="13"/>
  <c r="C1321" i="13"/>
  <c r="C1322" i="13"/>
  <c r="C1323" i="13"/>
  <c r="C1324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7" i="13"/>
  <c r="C1378" i="13"/>
  <c r="C1379" i="13"/>
  <c r="C1380" i="13"/>
  <c r="C1381" i="13"/>
  <c r="C1382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5" i="13"/>
  <c r="C1406" i="13"/>
  <c r="C1407" i="13"/>
  <c r="C1408" i="13"/>
  <c r="C1409" i="13"/>
  <c r="C1410" i="13"/>
  <c r="C1411" i="13"/>
  <c r="C1412" i="13"/>
  <c r="C1413" i="13"/>
  <c r="C1415" i="13"/>
  <c r="C1417" i="13"/>
  <c r="C1418" i="13"/>
  <c r="C1419" i="13"/>
  <c r="C1420" i="13"/>
  <c r="C1421" i="13"/>
  <c r="C1422" i="13"/>
  <c r="C1424" i="13"/>
  <c r="C1425" i="13"/>
  <c r="C1427" i="13"/>
  <c r="C1428" i="13"/>
  <c r="C1429" i="13"/>
  <c r="C1430" i="13"/>
  <c r="C1431" i="13"/>
  <c r="C1432" i="13"/>
  <c r="C1433" i="13"/>
  <c r="C1434" i="13"/>
  <c r="C1435" i="13"/>
  <c r="C1436" i="13"/>
  <c r="C1438" i="13"/>
  <c r="C1439" i="13"/>
  <c r="C1440" i="13"/>
  <c r="C1441" i="13"/>
  <c r="C1442" i="13"/>
  <c r="C1443" i="13"/>
  <c r="C1444" i="13"/>
  <c r="C1445" i="13"/>
  <c r="C1447" i="13"/>
  <c r="C1448" i="13"/>
  <c r="C1449" i="13"/>
  <c r="C1450" i="13"/>
  <c r="C1452" i="13"/>
  <c r="C1453" i="13"/>
  <c r="C1454" i="13"/>
  <c r="C1455" i="13"/>
  <c r="C1456" i="13"/>
  <c r="C1457" i="13"/>
  <c r="C1459" i="13"/>
  <c r="C1461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5" i="13"/>
  <c r="C1546" i="13"/>
  <c r="C1547" i="13"/>
  <c r="C1548" i="13"/>
  <c r="C1549" i="13"/>
  <c r="C1550" i="13"/>
  <c r="C1551" i="13"/>
  <c r="C1552" i="13"/>
  <c r="C1553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5" i="13"/>
  <c r="C1626" i="13"/>
  <c r="C1627" i="13"/>
  <c r="C1628" i="13"/>
  <c r="C1629" i="13"/>
  <c r="C1631" i="13"/>
  <c r="C1632" i="13"/>
  <c r="C1633" i="13"/>
  <c r="C1635" i="13"/>
  <c r="C1636" i="13"/>
  <c r="C1637" i="13"/>
  <c r="C1638" i="13"/>
  <c r="C1639" i="13"/>
  <c r="C1640" i="13"/>
  <c r="C1642" i="13"/>
  <c r="C1643" i="13"/>
  <c r="C1644" i="13"/>
  <c r="C1646" i="13"/>
  <c r="C1647" i="13"/>
  <c r="C1648" i="13"/>
  <c r="C1649" i="13"/>
  <c r="C1650" i="13"/>
  <c r="C1651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5" i="13"/>
  <c r="C1696" i="13"/>
  <c r="C1697" i="13"/>
  <c r="C1698" i="13"/>
  <c r="C1699" i="13"/>
  <c r="C1700" i="13"/>
  <c r="C1701" i="13"/>
  <c r="C1702" i="13"/>
  <c r="C1703" i="13"/>
  <c r="C1706" i="13"/>
  <c r="C1707" i="13"/>
  <c r="C1708" i="13"/>
  <c r="C1709" i="13"/>
  <c r="C1710" i="13"/>
  <c r="C1711" i="13"/>
  <c r="C1712" i="13"/>
  <c r="C1713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2" i="13"/>
  <c r="C1743" i="13"/>
  <c r="C1744" i="13"/>
  <c r="C1745" i="13"/>
  <c r="C1746" i="13"/>
  <c r="C1747" i="13"/>
  <c r="C1748" i="13"/>
  <c r="C1749" i="13"/>
  <c r="C1750" i="13"/>
  <c r="DI1741" i="13" l="1"/>
  <c r="DK1741" i="13"/>
  <c r="C1741" i="13" l="1"/>
  <c r="HQ1694" i="13" l="1"/>
  <c r="C1694" i="13" s="1"/>
  <c r="BY1705" i="13" l="1"/>
  <c r="C1705" i="13" s="1"/>
  <c r="BT1704" i="13" l="1"/>
  <c r="C1704" i="13" s="1"/>
  <c r="FZ6" i="13" l="1"/>
  <c r="I49" i="22" s="1"/>
  <c r="J49" i="22" s="1"/>
  <c r="EX6" i="13"/>
  <c r="K52" i="12" l="1"/>
  <c r="CW1652" i="13"/>
  <c r="BM1652" i="13"/>
  <c r="C1652" i="13" l="1"/>
  <c r="ET6" i="13"/>
  <c r="F36" i="22" s="1"/>
  <c r="EW6" i="13"/>
  <c r="E38" i="22" s="1"/>
  <c r="J38" i="22" s="1"/>
  <c r="H39" i="12" l="1"/>
  <c r="C1611" i="13"/>
  <c r="DP1645" i="13"/>
  <c r="DS1645" i="13"/>
  <c r="DU1645" i="13"/>
  <c r="DY1645" i="13"/>
  <c r="C1645" i="13" l="1"/>
  <c r="CA1634" i="13"/>
  <c r="AE1641" i="13"/>
  <c r="C1641" i="13" s="1"/>
  <c r="CY1634" i="13" l="1"/>
  <c r="C1634" i="13" s="1"/>
  <c r="CW1630" i="13"/>
  <c r="C1630" i="13" s="1"/>
  <c r="BU1624" i="13" l="1"/>
  <c r="BS1624" i="13"/>
  <c r="C1624" i="13" l="1"/>
  <c r="DP6" i="13"/>
  <c r="F30" i="22" s="1"/>
  <c r="DK6" i="13"/>
  <c r="F29" i="22" s="1"/>
  <c r="H33" i="12" l="1"/>
  <c r="H32" i="12"/>
  <c r="AR1544" i="13"/>
  <c r="C1544" i="13" s="1"/>
  <c r="GU6" i="13" l="1"/>
  <c r="FC6" i="13"/>
  <c r="F40" i="22" s="1"/>
  <c r="HT6" i="13"/>
  <c r="F73" i="22" s="1"/>
  <c r="J73" i="22" s="1"/>
  <c r="H64" i="12" l="1"/>
  <c r="E64" i="12" s="1"/>
  <c r="F59" i="22"/>
  <c r="J59" i="22" s="1"/>
  <c r="H43" i="12"/>
  <c r="H78" i="12"/>
  <c r="E78" i="12" s="1"/>
  <c r="HP1490" i="13"/>
  <c r="C1490" i="13" s="1"/>
  <c r="AR6" i="13" l="1"/>
  <c r="F17" i="22" s="1"/>
  <c r="GQ6" i="13"/>
  <c r="F57" i="22" s="1"/>
  <c r="S6" i="13"/>
  <c r="F10" i="22" s="1"/>
  <c r="J10" i="22" s="1"/>
  <c r="GB6" i="13"/>
  <c r="F50" i="22" s="1"/>
  <c r="IE6" i="13"/>
  <c r="F79" i="22" s="1"/>
  <c r="GM6" i="13"/>
  <c r="F55" i="22" s="1"/>
  <c r="EZ6" i="13"/>
  <c r="F39" i="22" s="1"/>
  <c r="EL6" i="13"/>
  <c r="F34" i="22" s="1"/>
  <c r="AN6" i="13"/>
  <c r="F16" i="22" s="1"/>
  <c r="GS6" i="13"/>
  <c r="DU6" i="13"/>
  <c r="F31" i="22" s="1"/>
  <c r="V6" i="13"/>
  <c r="F11" i="22" s="1"/>
  <c r="H63" i="12" l="1"/>
  <c r="F58" i="22"/>
  <c r="H37" i="12"/>
  <c r="H60" i="12"/>
  <c r="H53" i="12"/>
  <c r="H62" i="12"/>
  <c r="H14" i="12"/>
  <c r="H34" i="12"/>
  <c r="H19" i="12"/>
  <c r="H42" i="12"/>
  <c r="H84" i="12"/>
  <c r="H13" i="12"/>
  <c r="H20" i="12"/>
  <c r="D6" i="13"/>
  <c r="I2" i="22" s="1"/>
  <c r="J2" i="22" s="1"/>
  <c r="E6" i="13"/>
  <c r="I3" i="22" s="1"/>
  <c r="J3" i="22" s="1"/>
  <c r="E13" i="12" l="1"/>
  <c r="K3" i="12"/>
  <c r="E3" i="12" s="1"/>
  <c r="K4" i="12"/>
  <c r="E4" i="12" s="1"/>
  <c r="CT1462" i="13"/>
  <c r="C1462" i="13" s="1"/>
  <c r="K7" i="12" l="1"/>
  <c r="DL1460" i="13"/>
  <c r="AQ1460" i="13"/>
  <c r="E7" i="12" l="1"/>
  <c r="C1460" i="13"/>
  <c r="CQ1458" i="13"/>
  <c r="C1458" i="13" s="1"/>
  <c r="DC1451" i="13" l="1"/>
  <c r="C1451" i="13" s="1"/>
  <c r="CS1446" i="13" l="1"/>
  <c r="CG1446" i="13"/>
  <c r="C1446" i="13" l="1"/>
  <c r="CY1437" i="13"/>
  <c r="CW1437" i="13"/>
  <c r="CQ1437" i="13"/>
  <c r="C1437" i="13" l="1"/>
  <c r="AU1426" i="13"/>
  <c r="C1426" i="13" s="1"/>
  <c r="CE1423" i="13" l="1"/>
  <c r="C1423" i="13" s="1"/>
  <c r="BL1416" i="13" l="1"/>
  <c r="C1416" i="13" s="1"/>
  <c r="DI1414" i="13"/>
  <c r="CG1414" i="13"/>
  <c r="C1414" i="13" l="1"/>
  <c r="BZ1404" i="13"/>
  <c r="BA1404" i="13"/>
  <c r="C1404" i="13" l="1"/>
  <c r="BO1325" i="13"/>
  <c r="C1383" i="13" l="1"/>
  <c r="GR1376" i="13" l="1"/>
  <c r="C1376" i="13" s="1"/>
  <c r="CR1325" i="13" l="1"/>
  <c r="CL1325" i="13"/>
  <c r="BI1325" i="13"/>
  <c r="Y1325" i="13"/>
  <c r="C1325" i="13" l="1"/>
  <c r="BJ1317" i="13"/>
  <c r="C1317" i="13" s="1"/>
  <c r="L1302" i="13" l="1"/>
  <c r="C1302" i="13" s="1"/>
  <c r="CY6" i="13" l="1"/>
  <c r="F27" i="22" s="1"/>
  <c r="CS6" i="13"/>
  <c r="F26" i="22" s="1"/>
  <c r="CG6" i="13"/>
  <c r="F24" i="22" s="1"/>
  <c r="CA6" i="13"/>
  <c r="F23" i="22" s="1"/>
  <c r="BU6" i="13"/>
  <c r="F22" i="22" s="1"/>
  <c r="BO6" i="13"/>
  <c r="F21" i="22" s="1"/>
  <c r="BI6" i="13"/>
  <c r="F20" i="22" s="1"/>
  <c r="BC6" i="13"/>
  <c r="F19" i="22" s="1"/>
  <c r="AW6" i="13"/>
  <c r="F18" i="22" s="1"/>
  <c r="H22" i="12" l="1"/>
  <c r="H24" i="12"/>
  <c r="H26" i="12"/>
  <c r="H29" i="12"/>
  <c r="H21" i="12"/>
  <c r="H23" i="12"/>
  <c r="H25" i="12"/>
  <c r="H27" i="12"/>
  <c r="H30" i="12"/>
  <c r="BN1226" i="13"/>
  <c r="C1226" i="13" s="1"/>
  <c r="DL1209" i="13" l="1"/>
  <c r="DG1209" i="13"/>
  <c r="C1209" i="13" l="1"/>
  <c r="C1200" i="13" l="1"/>
  <c r="BN1167" i="13" l="1"/>
  <c r="C1125" i="13" l="1"/>
  <c r="BS1156" i="13" l="1"/>
  <c r="C1149" i="13"/>
  <c r="X1153" i="13" l="1"/>
  <c r="DD1145" i="13" l="1"/>
  <c r="CX1145" i="13"/>
  <c r="BZ1146" i="13"/>
  <c r="BS1146" i="13"/>
  <c r="BN1151" i="13" l="1"/>
  <c r="BB1151" i="13"/>
  <c r="C1114" i="13" l="1"/>
  <c r="GE1113" i="13" l="1"/>
  <c r="C949" i="13" l="1"/>
  <c r="C973" i="13" l="1"/>
  <c r="BH1090" i="13" l="1"/>
  <c r="DD1083" i="13" l="1"/>
  <c r="DC1083" i="13"/>
  <c r="BZ1073" i="13" l="1"/>
  <c r="C1061" i="13" l="1"/>
  <c r="C1062" i="13"/>
  <c r="CN6" i="13" l="1"/>
  <c r="G25" i="22" s="1"/>
  <c r="CH6" i="13"/>
  <c r="G24" i="22" s="1"/>
  <c r="I27" i="12" l="1"/>
  <c r="I28" i="12"/>
  <c r="C1019" i="13"/>
  <c r="C975" i="13" l="1"/>
  <c r="BY1010" i="13"/>
  <c r="BM1010" i="13"/>
  <c r="BG1010" i="13"/>
  <c r="C1007" i="13"/>
  <c r="C1008" i="13"/>
  <c r="C1009" i="13"/>
  <c r="C1011" i="13"/>
  <c r="C1012" i="13"/>
  <c r="C1013" i="13"/>
  <c r="C1014" i="13"/>
  <c r="C1015" i="13"/>
  <c r="C1016" i="13"/>
  <c r="C1017" i="13"/>
  <c r="C1018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5" i="13"/>
  <c r="C1116" i="13"/>
  <c r="C1117" i="13"/>
  <c r="C1118" i="13"/>
  <c r="C1119" i="13"/>
  <c r="C1120" i="13"/>
  <c r="C1121" i="13"/>
  <c r="C1122" i="13"/>
  <c r="C1123" i="13"/>
  <c r="C1124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51" i="13"/>
  <c r="C1139" i="13"/>
  <c r="C1140" i="13"/>
  <c r="C1141" i="13"/>
  <c r="C1142" i="13"/>
  <c r="C1143" i="13"/>
  <c r="C1144" i="13"/>
  <c r="C1145" i="13"/>
  <c r="C1146" i="13"/>
  <c r="C1147" i="13"/>
  <c r="C1148" i="13"/>
  <c r="C1150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DL6" i="13"/>
  <c r="G29" i="22" s="1"/>
  <c r="AE950" i="13"/>
  <c r="I32" i="12" l="1"/>
  <c r="C1010" i="13"/>
  <c r="BS876" i="13"/>
  <c r="BM876" i="13"/>
  <c r="BA876" i="13"/>
  <c r="CK800" i="13"/>
  <c r="BS814" i="13"/>
  <c r="FA6" i="13" l="1"/>
  <c r="D40" i="22" s="1"/>
  <c r="F43" i="12" l="1"/>
  <c r="X6" i="13"/>
  <c r="D12" i="22" s="1"/>
  <c r="ER6" i="13"/>
  <c r="D36" i="22" s="1"/>
  <c r="CW7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4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9" i="13"/>
  <c r="C990" i="13"/>
  <c r="C988" i="13"/>
  <c r="C991" i="13"/>
  <c r="C992" i="13"/>
  <c r="C993" i="13"/>
  <c r="C995" i="13"/>
  <c r="C996" i="13"/>
  <c r="C994" i="13"/>
  <c r="C997" i="13"/>
  <c r="C998" i="13"/>
  <c r="C999" i="13"/>
  <c r="C1000" i="13"/>
  <c r="C1001" i="13"/>
  <c r="C1002" i="13"/>
  <c r="C1003" i="13"/>
  <c r="C1004" i="13"/>
  <c r="C1005" i="13"/>
  <c r="C1006" i="13"/>
  <c r="F39" i="12" l="1"/>
  <c r="F15" i="12"/>
  <c r="GR6" i="13"/>
  <c r="D58" i="22" s="1"/>
  <c r="J58" i="22" s="1"/>
  <c r="AA6" i="13"/>
  <c r="D13" i="22" s="1"/>
  <c r="F63" i="12" l="1"/>
  <c r="E63" i="12" s="1"/>
  <c r="F16" i="12"/>
  <c r="CW8" i="13"/>
  <c r="BJ6" i="13" l="1"/>
  <c r="G20" i="22" s="1"/>
  <c r="BD6" i="13"/>
  <c r="AV399" i="13"/>
  <c r="I23" i="12" l="1"/>
  <c r="CR395" i="13"/>
  <c r="BN395" i="13"/>
  <c r="CB6" i="13" l="1"/>
  <c r="G23" i="22" s="1"/>
  <c r="BV6" i="13"/>
  <c r="G22" i="22" s="1"/>
  <c r="BP6" i="13"/>
  <c r="G21" i="22" s="1"/>
  <c r="I25" i="12" l="1"/>
  <c r="I24" i="12"/>
  <c r="I26" i="12"/>
  <c r="CC8" i="13"/>
  <c r="HG316" i="13" l="1"/>
  <c r="GL316" i="13"/>
  <c r="IH6" i="13"/>
  <c r="D82" i="22" s="1"/>
  <c r="J82" i="22" s="1"/>
  <c r="F87" i="12" l="1"/>
  <c r="E87" i="12" s="1"/>
  <c r="CE215" i="13"/>
  <c r="CX200" i="13"/>
  <c r="GJ6" i="13" l="1"/>
  <c r="D54" i="22" s="1"/>
  <c r="J54" i="22" s="1"/>
  <c r="BM127" i="13"/>
  <c r="GL6" i="13"/>
  <c r="D55" i="22" s="1"/>
  <c r="J55" i="22" s="1"/>
  <c r="EC6" i="13"/>
  <c r="H32" i="22" s="1"/>
  <c r="CE82" i="13"/>
  <c r="F60" i="12" l="1"/>
  <c r="E60" i="12" s="1"/>
  <c r="J35" i="12"/>
  <c r="F59" i="12"/>
  <c r="IG6" i="13"/>
  <c r="D81" i="22" s="1"/>
  <c r="J81" i="22" s="1"/>
  <c r="IF6" i="13"/>
  <c r="D80" i="22" s="1"/>
  <c r="J80" i="22" s="1"/>
  <c r="ID6" i="13"/>
  <c r="D79" i="22" s="1"/>
  <c r="J79" i="22" s="1"/>
  <c r="IB6" i="13"/>
  <c r="D78" i="22" s="1"/>
  <c r="J78" i="22" s="1"/>
  <c r="HZ6" i="13"/>
  <c r="HY6" i="13"/>
  <c r="D76" i="22" s="1"/>
  <c r="J76" i="22" s="1"/>
  <c r="HW6" i="13"/>
  <c r="D75" i="22" s="1"/>
  <c r="J75" i="22" s="1"/>
  <c r="HU6" i="13"/>
  <c r="D74" i="22" s="1"/>
  <c r="J74" i="22" s="1"/>
  <c r="HS6" i="13"/>
  <c r="D72" i="22" s="1"/>
  <c r="J72" i="22" s="1"/>
  <c r="HR6" i="13"/>
  <c r="F71" i="22" s="1"/>
  <c r="HQ6" i="13"/>
  <c r="D71" i="22" s="1"/>
  <c r="HP6" i="13"/>
  <c r="F70" i="22" s="1"/>
  <c r="HO6" i="13"/>
  <c r="D70" i="22" s="1"/>
  <c r="HL6" i="13"/>
  <c r="D69" i="22" s="1"/>
  <c r="J69" i="22" s="1"/>
  <c r="HK6" i="13"/>
  <c r="D68" i="22" s="1"/>
  <c r="J68" i="22" s="1"/>
  <c r="HG6" i="13"/>
  <c r="D66" i="22" s="1"/>
  <c r="J66" i="22" s="1"/>
  <c r="HE6" i="13"/>
  <c r="D65" i="22" s="1"/>
  <c r="J65" i="22" s="1"/>
  <c r="HC6" i="13"/>
  <c r="D64" i="22" s="1"/>
  <c r="J64" i="22" s="1"/>
  <c r="GY6" i="13"/>
  <c r="D62" i="22" s="1"/>
  <c r="J62" i="22" s="1"/>
  <c r="GV6" i="13"/>
  <c r="D60" i="22" s="1"/>
  <c r="J60" i="22" s="1"/>
  <c r="GE6" i="13"/>
  <c r="E51" i="22" s="1"/>
  <c r="J51" i="22" s="1"/>
  <c r="GA6" i="13"/>
  <c r="E50" i="22" s="1"/>
  <c r="J50" i="22" s="1"/>
  <c r="F52" i="12"/>
  <c r="G51" i="12"/>
  <c r="E51" i="12" s="1"/>
  <c r="FR6" i="13"/>
  <c r="E47" i="22" s="1"/>
  <c r="FQ6" i="13"/>
  <c r="D47" i="22" s="1"/>
  <c r="FJ6" i="13"/>
  <c r="E43" i="22" s="1"/>
  <c r="J43" i="22" s="1"/>
  <c r="FF6" i="13"/>
  <c r="E42" i="22" s="1"/>
  <c r="J42" i="22" s="1"/>
  <c r="FB6" i="13"/>
  <c r="E40" i="22" s="1"/>
  <c r="J40" i="22" s="1"/>
  <c r="EY6" i="13"/>
  <c r="E39" i="22" s="1"/>
  <c r="J39" i="22" s="1"/>
  <c r="G41" i="12"/>
  <c r="E41" i="12" s="1"/>
  <c r="ES6" i="13"/>
  <c r="E36" i="22" s="1"/>
  <c r="J36" i="22" s="1"/>
  <c r="EO6" i="13"/>
  <c r="E35" i="22" s="1"/>
  <c r="EN6" i="13"/>
  <c r="D35" i="22" s="1"/>
  <c r="EK6" i="13"/>
  <c r="E34" i="22" s="1"/>
  <c r="EJ6" i="13"/>
  <c r="D34" i="22" s="1"/>
  <c r="EF6" i="13"/>
  <c r="E33" i="22" s="1"/>
  <c r="EE6" i="13"/>
  <c r="D33" i="22" s="1"/>
  <c r="EB6" i="13"/>
  <c r="G32" i="22" s="1"/>
  <c r="DZ6" i="13"/>
  <c r="E32" i="22" s="1"/>
  <c r="DY6" i="13"/>
  <c r="D32" i="22" s="1"/>
  <c r="DW6" i="13"/>
  <c r="H31" i="22" s="1"/>
  <c r="DV6" i="13"/>
  <c r="G31" i="22" s="1"/>
  <c r="DT6" i="13"/>
  <c r="E31" i="22" s="1"/>
  <c r="DS6" i="13"/>
  <c r="D31" i="22" s="1"/>
  <c r="DR6" i="13"/>
  <c r="H30" i="22" s="1"/>
  <c r="DQ6" i="13"/>
  <c r="G30" i="22" s="1"/>
  <c r="DO6" i="13"/>
  <c r="E30" i="22" s="1"/>
  <c r="DN6" i="13"/>
  <c r="D30" i="22" s="1"/>
  <c r="DM6" i="13"/>
  <c r="H29" i="22" s="1"/>
  <c r="DI6" i="13"/>
  <c r="D29" i="22" s="1"/>
  <c r="DG6" i="13"/>
  <c r="H28" i="22" s="1"/>
  <c r="DF6" i="13"/>
  <c r="G28" i="22" s="1"/>
  <c r="DD6" i="13"/>
  <c r="E28" i="22" s="1"/>
  <c r="DC6" i="13"/>
  <c r="D28" i="22" s="1"/>
  <c r="DB6" i="13"/>
  <c r="I27" i="22" s="1"/>
  <c r="CZ6" i="13"/>
  <c r="G27" i="22" s="1"/>
  <c r="CX6" i="13"/>
  <c r="E27" i="22" s="1"/>
  <c r="CW6" i="13"/>
  <c r="D27" i="22" s="1"/>
  <c r="CV6" i="13"/>
  <c r="I26" i="22" s="1"/>
  <c r="CT6" i="13"/>
  <c r="G26" i="22" s="1"/>
  <c r="CR6" i="13"/>
  <c r="E26" i="22" s="1"/>
  <c r="CQ6" i="13"/>
  <c r="D26" i="22" s="1"/>
  <c r="CP6" i="13"/>
  <c r="I25" i="22" s="1"/>
  <c r="CM6" i="13"/>
  <c r="F25" i="22" s="1"/>
  <c r="CL6" i="13"/>
  <c r="E25" i="22" s="1"/>
  <c r="CK6" i="13"/>
  <c r="D25" i="22" s="1"/>
  <c r="CJ6" i="13"/>
  <c r="I24" i="22" s="1"/>
  <c r="CF6" i="13"/>
  <c r="E24" i="22" s="1"/>
  <c r="CE6" i="13"/>
  <c r="D24" i="22" s="1"/>
  <c r="CC6" i="13"/>
  <c r="H23" i="22" s="1"/>
  <c r="BZ6" i="13"/>
  <c r="E23" i="22" s="1"/>
  <c r="BY6" i="13"/>
  <c r="D23" i="22" s="1"/>
  <c r="BX6" i="13"/>
  <c r="I22" i="22" s="1"/>
  <c r="BT6" i="13"/>
  <c r="E22" i="22" s="1"/>
  <c r="BS6" i="13"/>
  <c r="D22" i="22" s="1"/>
  <c r="BR6" i="13"/>
  <c r="I21" i="22" s="1"/>
  <c r="BN6" i="13"/>
  <c r="E21" i="22" s="1"/>
  <c r="BM6" i="13"/>
  <c r="D21" i="22" s="1"/>
  <c r="BL6" i="13"/>
  <c r="I20" i="22" s="1"/>
  <c r="BH6" i="13"/>
  <c r="E20" i="22" s="1"/>
  <c r="BG6" i="13"/>
  <c r="D20" i="22" s="1"/>
  <c r="BF6" i="13"/>
  <c r="I19" i="22" s="1"/>
  <c r="BB6" i="13"/>
  <c r="E19" i="22" s="1"/>
  <c r="BA6" i="13"/>
  <c r="D19" i="22" s="1"/>
  <c r="AZ6" i="13"/>
  <c r="I18" i="22" s="1"/>
  <c r="AV6" i="13"/>
  <c r="E18" i="22" s="1"/>
  <c r="AU6" i="13"/>
  <c r="D18" i="22" s="1"/>
  <c r="AT6" i="13"/>
  <c r="H17" i="22" s="1"/>
  <c r="AS6" i="13"/>
  <c r="G17" i="22" s="1"/>
  <c r="AQ6" i="13"/>
  <c r="E17" i="22" s="1"/>
  <c r="AP6" i="13"/>
  <c r="D17" i="22" s="1"/>
  <c r="AO6" i="13"/>
  <c r="H16" i="22" s="1"/>
  <c r="AM6" i="13"/>
  <c r="E16" i="22" s="1"/>
  <c r="AL6" i="13"/>
  <c r="D16" i="22" s="1"/>
  <c r="AI6" i="13"/>
  <c r="H14" i="22" s="1"/>
  <c r="AH6" i="13"/>
  <c r="G14" i="22" s="1"/>
  <c r="AF6" i="13"/>
  <c r="E14" i="22" s="1"/>
  <c r="AE6" i="13"/>
  <c r="D14" i="22" s="1"/>
  <c r="AD6" i="13"/>
  <c r="I13" i="22" s="1"/>
  <c r="AB6" i="13"/>
  <c r="E13" i="22" s="1"/>
  <c r="Y6" i="13"/>
  <c r="E12" i="22" s="1"/>
  <c r="J12" i="22" s="1"/>
  <c r="U6" i="13"/>
  <c r="E11" i="22" s="1"/>
  <c r="T6" i="13"/>
  <c r="D11" i="22" s="1"/>
  <c r="Q6" i="13"/>
  <c r="H9" i="22" s="1"/>
  <c r="O6" i="13"/>
  <c r="E9" i="22" s="1"/>
  <c r="L6" i="13"/>
  <c r="E8" i="22" s="1"/>
  <c r="J8" i="22" s="1"/>
  <c r="K6" i="13"/>
  <c r="J33" i="22" l="1"/>
  <c r="J34" i="22"/>
  <c r="J35" i="22"/>
  <c r="J47" i="22"/>
  <c r="J9" i="22"/>
  <c r="J11" i="22"/>
  <c r="J17" i="22"/>
  <c r="J18" i="22"/>
  <c r="J20" i="22"/>
  <c r="J22" i="22"/>
  <c r="J24" i="22"/>
  <c r="J13" i="22"/>
  <c r="J16" i="22"/>
  <c r="J19" i="22"/>
  <c r="J21" i="22"/>
  <c r="J23" i="22"/>
  <c r="J26" i="22"/>
  <c r="J27" i="22"/>
  <c r="J28" i="22"/>
  <c r="J30" i="22"/>
  <c r="J31" i="22"/>
  <c r="J32" i="22"/>
  <c r="J70" i="22"/>
  <c r="J71" i="22"/>
  <c r="J25" i="22"/>
  <c r="J14" i="22"/>
  <c r="E59" i="12"/>
  <c r="G12" i="12"/>
  <c r="G15" i="12"/>
  <c r="E15" i="12" s="1"/>
  <c r="G17" i="12"/>
  <c r="J17" i="12"/>
  <c r="G19" i="12"/>
  <c r="G20" i="12"/>
  <c r="J20" i="12"/>
  <c r="G11" i="12"/>
  <c r="J12" i="12"/>
  <c r="G14" i="12"/>
  <c r="G16" i="12"/>
  <c r="F17" i="12"/>
  <c r="I17" i="12"/>
  <c r="F19" i="12"/>
  <c r="J19" i="12"/>
  <c r="F20" i="12"/>
  <c r="I20" i="12"/>
  <c r="F21" i="12"/>
  <c r="K21" i="12"/>
  <c r="G22" i="12"/>
  <c r="F23" i="12"/>
  <c r="K23" i="12"/>
  <c r="G24" i="12"/>
  <c r="F25" i="12"/>
  <c r="K25" i="12"/>
  <c r="G26" i="12"/>
  <c r="F27" i="12"/>
  <c r="K27" i="12"/>
  <c r="G28" i="12"/>
  <c r="K28" i="12"/>
  <c r="G29" i="12"/>
  <c r="K29" i="12"/>
  <c r="G30" i="12"/>
  <c r="K30" i="12"/>
  <c r="G31" i="12"/>
  <c r="J31" i="12"/>
  <c r="J32" i="12"/>
  <c r="G33" i="12"/>
  <c r="J33" i="12"/>
  <c r="G34" i="12"/>
  <c r="J34" i="12"/>
  <c r="G35" i="12"/>
  <c r="F36" i="12"/>
  <c r="F37" i="12"/>
  <c r="F38" i="12"/>
  <c r="G39" i="12"/>
  <c r="E39" i="12" s="1"/>
  <c r="G42" i="12"/>
  <c r="E42" i="12" s="1"/>
  <c r="G45" i="12"/>
  <c r="E45" i="12" s="1"/>
  <c r="F50" i="12"/>
  <c r="G53" i="12"/>
  <c r="E53" i="12" s="1"/>
  <c r="F65" i="12"/>
  <c r="E65" i="12" s="1"/>
  <c r="F69" i="12"/>
  <c r="E69" i="12" s="1"/>
  <c r="F71" i="12"/>
  <c r="E71" i="12" s="1"/>
  <c r="F74" i="12"/>
  <c r="E74" i="12" s="1"/>
  <c r="H75" i="12"/>
  <c r="H76" i="12"/>
  <c r="F79" i="12"/>
  <c r="E79" i="12" s="1"/>
  <c r="F81" i="12"/>
  <c r="E81" i="12" s="1"/>
  <c r="F83" i="12"/>
  <c r="E83" i="12" s="1"/>
  <c r="F85" i="12"/>
  <c r="E85" i="12" s="1"/>
  <c r="E102" i="12"/>
  <c r="F14" i="12"/>
  <c r="K16" i="12"/>
  <c r="G21" i="12"/>
  <c r="F22" i="12"/>
  <c r="K22" i="12"/>
  <c r="G23" i="12"/>
  <c r="F24" i="12"/>
  <c r="K24" i="12"/>
  <c r="G25" i="12"/>
  <c r="F26" i="12"/>
  <c r="G27" i="12"/>
  <c r="F28" i="12"/>
  <c r="H28" i="12"/>
  <c r="H57" i="12" s="1"/>
  <c r="F29" i="12"/>
  <c r="I29" i="12"/>
  <c r="F30" i="12"/>
  <c r="I30" i="12"/>
  <c r="F31" i="12"/>
  <c r="I31" i="12"/>
  <c r="F32" i="12"/>
  <c r="F33" i="12"/>
  <c r="I33" i="12"/>
  <c r="F34" i="12"/>
  <c r="I34" i="12"/>
  <c r="F35" i="12"/>
  <c r="I35" i="12"/>
  <c r="G36" i="12"/>
  <c r="G37" i="12"/>
  <c r="G38" i="12"/>
  <c r="G43" i="12"/>
  <c r="E43" i="12" s="1"/>
  <c r="G46" i="12"/>
  <c r="E46" i="12" s="1"/>
  <c r="G50" i="12"/>
  <c r="E52" i="12"/>
  <c r="G54" i="12"/>
  <c r="E54" i="12" s="1"/>
  <c r="F67" i="12"/>
  <c r="E67" i="12" s="1"/>
  <c r="F70" i="12"/>
  <c r="E70" i="12" s="1"/>
  <c r="F75" i="12"/>
  <c r="F76" i="12"/>
  <c r="F77" i="12"/>
  <c r="E77" i="12" s="1"/>
  <c r="F80" i="12"/>
  <c r="E80" i="12" s="1"/>
  <c r="F84" i="12"/>
  <c r="E84" i="12" s="1"/>
  <c r="F86" i="12"/>
  <c r="E86" i="12" s="1"/>
  <c r="E14" i="12"/>
  <c r="J26" i="12"/>
  <c r="F73" i="12"/>
  <c r="E73" i="12" s="1"/>
  <c r="H89" i="12" l="1"/>
  <c r="F57" i="12"/>
  <c r="E11" i="12"/>
  <c r="K57" i="12"/>
  <c r="K105" i="12" s="1"/>
  <c r="I57" i="12"/>
  <c r="I105" i="12" s="1"/>
  <c r="J57" i="12"/>
  <c r="J105" i="12" s="1"/>
  <c r="E19" i="12"/>
  <c r="E12" i="12"/>
  <c r="H105" i="12"/>
  <c r="E36" i="12"/>
  <c r="E75" i="12"/>
  <c r="E38" i="12"/>
  <c r="E37" i="12"/>
  <c r="E23" i="12"/>
  <c r="E50" i="12"/>
  <c r="E25" i="12"/>
  <c r="E17" i="12"/>
  <c r="E27" i="12"/>
  <c r="E21" i="12"/>
  <c r="E31" i="12"/>
  <c r="E33" i="12"/>
  <c r="E16" i="12"/>
  <c r="E34" i="12"/>
  <c r="E35" i="12"/>
  <c r="E30" i="12"/>
  <c r="E29" i="12"/>
  <c r="E28" i="12"/>
  <c r="E24" i="12"/>
  <c r="E76" i="12"/>
  <c r="E22" i="12"/>
  <c r="E20" i="12"/>
  <c r="E26" i="12"/>
  <c r="X3" i="3" l="1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C38" i="2"/>
  <c r="A38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A37" i="2"/>
  <c r="A40" i="2" l="1"/>
  <c r="E103" i="12" l="1"/>
  <c r="GP6" i="13" l="1"/>
  <c r="D57" i="22" s="1"/>
  <c r="J57" i="22" s="1"/>
  <c r="F62" i="12" l="1"/>
  <c r="E62" i="12" l="1"/>
  <c r="F89" i="12"/>
  <c r="E89" i="12" s="1"/>
  <c r="F105" i="12" l="1"/>
  <c r="C9" i="13"/>
  <c r="C13" i="13"/>
  <c r="C17" i="13"/>
  <c r="C21" i="13"/>
  <c r="C25" i="13"/>
  <c r="C29" i="13"/>
  <c r="C33" i="13"/>
  <c r="C37" i="13"/>
  <c r="C41" i="13"/>
  <c r="C45" i="13"/>
  <c r="C49" i="13"/>
  <c r="C53" i="13"/>
  <c r="C57" i="13"/>
  <c r="C61" i="13"/>
  <c r="C65" i="13"/>
  <c r="C69" i="13"/>
  <c r="C73" i="13"/>
  <c r="C77" i="13"/>
  <c r="C81" i="13"/>
  <c r="C85" i="13"/>
  <c r="C89" i="13"/>
  <c r="C93" i="13"/>
  <c r="C97" i="13"/>
  <c r="C101" i="13"/>
  <c r="C105" i="13"/>
  <c r="C109" i="13"/>
  <c r="C113" i="13"/>
  <c r="C117" i="13"/>
  <c r="C121" i="13"/>
  <c r="C125" i="13"/>
  <c r="C129" i="13"/>
  <c r="C133" i="13"/>
  <c r="C137" i="13"/>
  <c r="C141" i="13"/>
  <c r="C145" i="13"/>
  <c r="C149" i="13"/>
  <c r="C153" i="13"/>
  <c r="C157" i="13"/>
  <c r="C161" i="13"/>
  <c r="C165" i="13"/>
  <c r="C169" i="13"/>
  <c r="C173" i="13"/>
  <c r="C177" i="13"/>
  <c r="C181" i="13"/>
  <c r="C185" i="13"/>
  <c r="C189" i="13"/>
  <c r="C193" i="13"/>
  <c r="C197" i="13"/>
  <c r="C201" i="13"/>
  <c r="C205" i="13"/>
  <c r="C209" i="13"/>
  <c r="C213" i="13"/>
  <c r="C217" i="13"/>
  <c r="C221" i="13"/>
  <c r="C225" i="13"/>
  <c r="C228" i="13"/>
  <c r="C232" i="13"/>
  <c r="C236" i="13"/>
  <c r="C240" i="13"/>
  <c r="C244" i="13"/>
  <c r="C248" i="13"/>
  <c r="C252" i="13"/>
  <c r="C256" i="13"/>
  <c r="C260" i="13"/>
  <c r="C264" i="13"/>
  <c r="C268" i="13"/>
  <c r="C272" i="13"/>
  <c r="C276" i="13"/>
  <c r="C280" i="13"/>
  <c r="C284" i="13"/>
  <c r="C288" i="13"/>
  <c r="C292" i="13"/>
  <c r="C296" i="13"/>
  <c r="C300" i="13"/>
  <c r="C304" i="13"/>
  <c r="C308" i="13"/>
  <c r="C312" i="13"/>
  <c r="C316" i="13"/>
  <c r="C320" i="13"/>
  <c r="C324" i="13"/>
  <c r="C328" i="13"/>
  <c r="C332" i="13"/>
  <c r="C336" i="13"/>
  <c r="C340" i="13"/>
  <c r="C344" i="13"/>
  <c r="C348" i="13"/>
  <c r="C352" i="13"/>
  <c r="C356" i="13"/>
  <c r="C360" i="13"/>
  <c r="C364" i="13"/>
  <c r="C368" i="13"/>
  <c r="C372" i="13"/>
  <c r="C376" i="13"/>
  <c r="C380" i="13"/>
  <c r="C384" i="13"/>
  <c r="C388" i="13"/>
  <c r="C392" i="13"/>
  <c r="C396" i="13"/>
  <c r="C400" i="13"/>
  <c r="C404" i="13"/>
  <c r="C408" i="13"/>
  <c r="C412" i="13"/>
  <c r="C416" i="13"/>
  <c r="C420" i="13"/>
  <c r="C424" i="13"/>
  <c r="C428" i="13"/>
  <c r="C432" i="13"/>
  <c r="C436" i="13"/>
  <c r="C440" i="13"/>
  <c r="C444" i="13"/>
  <c r="C448" i="13"/>
  <c r="C452" i="13"/>
  <c r="C456" i="13"/>
  <c r="C460" i="13"/>
  <c r="C464" i="13"/>
  <c r="C468" i="13"/>
  <c r="C472" i="13"/>
  <c r="C476" i="13"/>
  <c r="C480" i="13"/>
  <c r="C484" i="13"/>
  <c r="C488" i="13"/>
  <c r="C492" i="13"/>
  <c r="C496" i="13"/>
  <c r="C500" i="13"/>
  <c r="C504" i="13"/>
  <c r="C508" i="13"/>
  <c r="C512" i="13"/>
  <c r="C10" i="13"/>
  <c r="C14" i="13"/>
  <c r="C18" i="13"/>
  <c r="C22" i="13"/>
  <c r="C26" i="13"/>
  <c r="C30" i="13"/>
  <c r="C34" i="13"/>
  <c r="C38" i="13"/>
  <c r="C42" i="13"/>
  <c r="C46" i="13"/>
  <c r="C50" i="13"/>
  <c r="C54" i="13"/>
  <c r="C58" i="13"/>
  <c r="C62" i="13"/>
  <c r="C66" i="13"/>
  <c r="C70" i="13"/>
  <c r="C74" i="13"/>
  <c r="C78" i="13"/>
  <c r="C82" i="13"/>
  <c r="C86" i="13"/>
  <c r="C90" i="13"/>
  <c r="C94" i="13"/>
  <c r="C98" i="13"/>
  <c r="C102" i="13"/>
  <c r="C106" i="13"/>
  <c r="C110" i="13"/>
  <c r="C114" i="13"/>
  <c r="C118" i="13"/>
  <c r="C122" i="13"/>
  <c r="C126" i="13"/>
  <c r="C130" i="13"/>
  <c r="C134" i="13"/>
  <c r="C138" i="13"/>
  <c r="C142" i="13"/>
  <c r="C146" i="13"/>
  <c r="C150" i="13"/>
  <c r="C154" i="13"/>
  <c r="C158" i="13"/>
  <c r="C162" i="13"/>
  <c r="C166" i="13"/>
  <c r="C170" i="13"/>
  <c r="C174" i="13"/>
  <c r="C178" i="13"/>
  <c r="C182" i="13"/>
  <c r="C186" i="13"/>
  <c r="C190" i="13"/>
  <c r="C194" i="13"/>
  <c r="C198" i="13"/>
  <c r="C202" i="13"/>
  <c r="C206" i="13"/>
  <c r="C210" i="13"/>
  <c r="C214" i="13"/>
  <c r="C218" i="13"/>
  <c r="C222" i="13"/>
  <c r="C226" i="13"/>
  <c r="C229" i="13"/>
  <c r="C233" i="13"/>
  <c r="C237" i="13"/>
  <c r="C241" i="13"/>
  <c r="C245" i="13"/>
  <c r="C249" i="13"/>
  <c r="C253" i="13"/>
  <c r="C257" i="13"/>
  <c r="C261" i="13"/>
  <c r="C265" i="13"/>
  <c r="C269" i="13"/>
  <c r="C273" i="13"/>
  <c r="C277" i="13"/>
  <c r="C281" i="13"/>
  <c r="C285" i="13"/>
  <c r="C289" i="13"/>
  <c r="C293" i="13"/>
  <c r="C297" i="13"/>
  <c r="C301" i="13"/>
  <c r="C305" i="13"/>
  <c r="C309" i="13"/>
  <c r="C313" i="13"/>
  <c r="C317" i="13"/>
  <c r="C321" i="13"/>
  <c r="C325" i="13"/>
  <c r="C329" i="13"/>
  <c r="C333" i="13"/>
  <c r="C337" i="13"/>
  <c r="C341" i="13"/>
  <c r="C345" i="13"/>
  <c r="C349" i="13"/>
  <c r="C353" i="13"/>
  <c r="C357" i="13"/>
  <c r="C361" i="13"/>
  <c r="C365" i="13"/>
  <c r="C369" i="13"/>
  <c r="C373" i="13"/>
  <c r="C377" i="13"/>
  <c r="C381" i="13"/>
  <c r="C385" i="13"/>
  <c r="C389" i="13"/>
  <c r="C393" i="13"/>
  <c r="C397" i="13"/>
  <c r="C401" i="13"/>
  <c r="C405" i="13"/>
  <c r="C409" i="13"/>
  <c r="C413" i="13"/>
  <c r="C417" i="13"/>
  <c r="C421" i="13"/>
  <c r="C425" i="13"/>
  <c r="C429" i="13"/>
  <c r="C433" i="13"/>
  <c r="C437" i="13"/>
  <c r="C441" i="13"/>
  <c r="C445" i="13"/>
  <c r="C449" i="13"/>
  <c r="C453" i="13"/>
  <c r="C457" i="13"/>
  <c r="C461" i="13"/>
  <c r="C465" i="13"/>
  <c r="C469" i="13"/>
  <c r="C473" i="13"/>
  <c r="C477" i="13"/>
  <c r="C481" i="13"/>
  <c r="C485" i="13"/>
  <c r="C491" i="13"/>
  <c r="C499" i="13"/>
  <c r="C507" i="13"/>
  <c r="C514" i="13"/>
  <c r="C518" i="13"/>
  <c r="C522" i="13"/>
  <c r="C526" i="13"/>
  <c r="C530" i="13"/>
  <c r="C534" i="13"/>
  <c r="C11" i="13"/>
  <c r="C15" i="13"/>
  <c r="C19" i="13"/>
  <c r="C23" i="13"/>
  <c r="C27" i="13"/>
  <c r="C31" i="13"/>
  <c r="C35" i="13"/>
  <c r="C39" i="13"/>
  <c r="C43" i="13"/>
  <c r="C47" i="13"/>
  <c r="C51" i="13"/>
  <c r="C55" i="13"/>
  <c r="C59" i="13"/>
  <c r="C63" i="13"/>
  <c r="C67" i="13"/>
  <c r="C71" i="13"/>
  <c r="C75" i="13"/>
  <c r="C79" i="13"/>
  <c r="C83" i="13"/>
  <c r="C87" i="13"/>
  <c r="C91" i="13"/>
  <c r="C95" i="13"/>
  <c r="C99" i="13"/>
  <c r="C103" i="13"/>
  <c r="C107" i="13"/>
  <c r="C111" i="13"/>
  <c r="C115" i="13"/>
  <c r="C119" i="13"/>
  <c r="C123" i="13"/>
  <c r="C127" i="13"/>
  <c r="C131" i="13"/>
  <c r="C135" i="13"/>
  <c r="C139" i="13"/>
  <c r="C143" i="13"/>
  <c r="C147" i="13"/>
  <c r="C151" i="13"/>
  <c r="C155" i="13"/>
  <c r="C159" i="13"/>
  <c r="C163" i="13"/>
  <c r="C167" i="13"/>
  <c r="C171" i="13"/>
  <c r="C175" i="13"/>
  <c r="C179" i="13"/>
  <c r="C183" i="13"/>
  <c r="C187" i="13"/>
  <c r="C191" i="13"/>
  <c r="C195" i="13"/>
  <c r="C199" i="13"/>
  <c r="C203" i="13"/>
  <c r="C207" i="13"/>
  <c r="C211" i="13"/>
  <c r="C215" i="13"/>
  <c r="C219" i="13"/>
  <c r="C223" i="13"/>
  <c r="C230" i="13"/>
  <c r="C234" i="13"/>
  <c r="C238" i="13"/>
  <c r="C242" i="13"/>
  <c r="C246" i="13"/>
  <c r="C250" i="13"/>
  <c r="C254" i="13"/>
  <c r="C258" i="13"/>
  <c r="C262" i="13"/>
  <c r="C266" i="13"/>
  <c r="C270" i="13"/>
  <c r="C274" i="13"/>
  <c r="C278" i="13"/>
  <c r="C282" i="13"/>
  <c r="C286" i="13"/>
  <c r="C290" i="13"/>
  <c r="C294" i="13"/>
  <c r="C298" i="13"/>
  <c r="C302" i="13"/>
  <c r="C306" i="13"/>
  <c r="C310" i="13"/>
  <c r="C314" i="13"/>
  <c r="C318" i="13"/>
  <c r="C322" i="13"/>
  <c r="C326" i="13"/>
  <c r="C330" i="13"/>
  <c r="C334" i="13"/>
  <c r="C338" i="13"/>
  <c r="C342" i="13"/>
  <c r="C346" i="13"/>
  <c r="C350" i="13"/>
  <c r="C354" i="13"/>
  <c r="C358" i="13"/>
  <c r="C362" i="13"/>
  <c r="C366" i="13"/>
  <c r="C370" i="13"/>
  <c r="C374" i="13"/>
  <c r="C378" i="13"/>
  <c r="C382" i="13"/>
  <c r="C386" i="13"/>
  <c r="C390" i="13"/>
  <c r="C394" i="13"/>
  <c r="C398" i="13"/>
  <c r="C402" i="13"/>
  <c r="C406" i="13"/>
  <c r="C410" i="13"/>
  <c r="C414" i="13"/>
  <c r="C418" i="13"/>
  <c r="C422" i="13"/>
  <c r="C426" i="13"/>
  <c r="C430" i="13"/>
  <c r="C434" i="13"/>
  <c r="C438" i="13"/>
  <c r="C442" i="13"/>
  <c r="C446" i="13"/>
  <c r="C450" i="13"/>
  <c r="C454" i="13"/>
  <c r="C458" i="13"/>
  <c r="C462" i="13"/>
  <c r="C466" i="13"/>
  <c r="C470" i="13"/>
  <c r="C474" i="13"/>
  <c r="C478" i="13"/>
  <c r="C482" i="13"/>
  <c r="C486" i="13"/>
  <c r="C490" i="13"/>
  <c r="C494" i="13"/>
  <c r="C498" i="13"/>
  <c r="C502" i="13"/>
  <c r="C506" i="13"/>
  <c r="C510" i="13"/>
  <c r="C8" i="13"/>
  <c r="C12" i="13"/>
  <c r="C16" i="13"/>
  <c r="C20" i="13"/>
  <c r="C24" i="13"/>
  <c r="C28" i="13"/>
  <c r="C32" i="13"/>
  <c r="C36" i="13"/>
  <c r="C40" i="13"/>
  <c r="C44" i="13"/>
  <c r="C48" i="13"/>
  <c r="C52" i="13"/>
  <c r="C56" i="13"/>
  <c r="C60" i="13"/>
  <c r="C64" i="13"/>
  <c r="C68" i="13"/>
  <c r="C72" i="13"/>
  <c r="C76" i="13"/>
  <c r="C80" i="13"/>
  <c r="C84" i="13"/>
  <c r="C88" i="13"/>
  <c r="C92" i="13"/>
  <c r="C96" i="13"/>
  <c r="C100" i="13"/>
  <c r="C104" i="13"/>
  <c r="C108" i="13"/>
  <c r="C112" i="13"/>
  <c r="C116" i="13"/>
  <c r="C120" i="13"/>
  <c r="C124" i="13"/>
  <c r="C128" i="13"/>
  <c r="C132" i="13"/>
  <c r="C136" i="13"/>
  <c r="C140" i="13"/>
  <c r="C144" i="13"/>
  <c r="C148" i="13"/>
  <c r="C152" i="13"/>
  <c r="C156" i="13"/>
  <c r="C160" i="13"/>
  <c r="C164" i="13"/>
  <c r="C168" i="13"/>
  <c r="C172" i="13"/>
  <c r="C176" i="13"/>
  <c r="C180" i="13"/>
  <c r="C184" i="13"/>
  <c r="C188" i="13"/>
  <c r="C192" i="13"/>
  <c r="C196" i="13"/>
  <c r="C200" i="13"/>
  <c r="C204" i="13"/>
  <c r="C208" i="13"/>
  <c r="C212" i="13"/>
  <c r="C216" i="13"/>
  <c r="C220" i="13"/>
  <c r="C224" i="13"/>
  <c r="C227" i="13"/>
  <c r="C231" i="13"/>
  <c r="C235" i="13"/>
  <c r="C239" i="13"/>
  <c r="C243" i="13"/>
  <c r="C247" i="13"/>
  <c r="C251" i="13"/>
  <c r="C255" i="13"/>
  <c r="C259" i="13"/>
  <c r="C263" i="13"/>
  <c r="C267" i="13"/>
  <c r="C271" i="13"/>
  <c r="C275" i="13"/>
  <c r="C279" i="13"/>
  <c r="C283" i="13"/>
  <c r="C287" i="13"/>
  <c r="C291" i="13"/>
  <c r="C295" i="13"/>
  <c r="C299" i="13"/>
  <c r="C303" i="13"/>
  <c r="C307" i="13"/>
  <c r="C311" i="13"/>
  <c r="C315" i="13"/>
  <c r="C319" i="13"/>
  <c r="C323" i="13"/>
  <c r="C327" i="13"/>
  <c r="C331" i="13"/>
  <c r="C335" i="13"/>
  <c r="C339" i="13"/>
  <c r="C343" i="13"/>
  <c r="C347" i="13"/>
  <c r="C351" i="13"/>
  <c r="C355" i="13"/>
  <c r="C359" i="13"/>
  <c r="C363" i="13"/>
  <c r="C367" i="13"/>
  <c r="C371" i="13"/>
  <c r="C375" i="13"/>
  <c r="C379" i="13"/>
  <c r="C383" i="13"/>
  <c r="C387" i="13"/>
  <c r="C391" i="13"/>
  <c r="C395" i="13"/>
  <c r="C399" i="13"/>
  <c r="C403" i="13"/>
  <c r="C407" i="13"/>
  <c r="C411" i="13"/>
  <c r="C415" i="13"/>
  <c r="C419" i="13"/>
  <c r="C423" i="13"/>
  <c r="C427" i="13"/>
  <c r="C431" i="13"/>
  <c r="C435" i="13"/>
  <c r="C439" i="13"/>
  <c r="C443" i="13"/>
  <c r="C447" i="13"/>
  <c r="C451" i="13"/>
  <c r="C455" i="13"/>
  <c r="C459" i="13"/>
  <c r="C463" i="13"/>
  <c r="C467" i="13"/>
  <c r="C471" i="13"/>
  <c r="C475" i="13"/>
  <c r="C479" i="13"/>
  <c r="C487" i="13"/>
  <c r="C503" i="13"/>
  <c r="C516" i="13"/>
  <c r="C524" i="13"/>
  <c r="C532" i="13"/>
  <c r="C538" i="13"/>
  <c r="C542" i="13"/>
  <c r="C546" i="13"/>
  <c r="C550" i="13"/>
  <c r="C554" i="13"/>
  <c r="C558" i="13"/>
  <c r="C562" i="13"/>
  <c r="C566" i="13"/>
  <c r="C570" i="13"/>
  <c r="C574" i="13"/>
  <c r="C578" i="13"/>
  <c r="C582" i="13"/>
  <c r="C586" i="13"/>
  <c r="C590" i="13"/>
  <c r="C594" i="13"/>
  <c r="C598" i="13"/>
  <c r="C602" i="13"/>
  <c r="C606" i="13"/>
  <c r="C610" i="13"/>
  <c r="C614" i="13"/>
  <c r="C618" i="13"/>
  <c r="C622" i="13"/>
  <c r="C626" i="13"/>
  <c r="C630" i="13"/>
  <c r="C634" i="13"/>
  <c r="C638" i="13"/>
  <c r="C642" i="13"/>
  <c r="C646" i="13"/>
  <c r="C650" i="13"/>
  <c r="C654" i="13"/>
  <c r="C658" i="13"/>
  <c r="C662" i="13"/>
  <c r="C666" i="13"/>
  <c r="C670" i="13"/>
  <c r="C674" i="13"/>
  <c r="C678" i="13"/>
  <c r="C682" i="13"/>
  <c r="C686" i="13"/>
  <c r="C690" i="13"/>
  <c r="C694" i="13"/>
  <c r="C698" i="13"/>
  <c r="C702" i="13"/>
  <c r="C706" i="13"/>
  <c r="C710" i="13"/>
  <c r="C714" i="13"/>
  <c r="C718" i="13"/>
  <c r="C722" i="13"/>
  <c r="C726" i="13"/>
  <c r="C730" i="13"/>
  <c r="C734" i="13"/>
  <c r="C738" i="13"/>
  <c r="C742" i="13"/>
  <c r="C746" i="13"/>
  <c r="C750" i="13"/>
  <c r="C754" i="13"/>
  <c r="C758" i="13"/>
  <c r="C762" i="13"/>
  <c r="C766" i="13"/>
  <c r="C770" i="13"/>
  <c r="C774" i="13"/>
  <c r="C778" i="13"/>
  <c r="C782" i="13"/>
  <c r="C786" i="13"/>
  <c r="C790" i="13"/>
  <c r="C794" i="13"/>
  <c r="C798" i="13"/>
  <c r="C802" i="13"/>
  <c r="C806" i="13"/>
  <c r="C810" i="13"/>
  <c r="C814" i="13"/>
  <c r="C818" i="13"/>
  <c r="C822" i="13"/>
  <c r="C826" i="13"/>
  <c r="C830" i="13"/>
  <c r="C834" i="13"/>
  <c r="C838" i="13"/>
  <c r="C842" i="13"/>
  <c r="C846" i="13"/>
  <c r="C850" i="13"/>
  <c r="C854" i="13"/>
  <c r="C858" i="13"/>
  <c r="C862" i="13"/>
  <c r="C866" i="13"/>
  <c r="C870" i="13"/>
  <c r="C874" i="13"/>
  <c r="C878" i="13"/>
  <c r="C882" i="13"/>
  <c r="C886" i="13"/>
  <c r="C890" i="13"/>
  <c r="C894" i="13"/>
  <c r="C897" i="13"/>
  <c r="C901" i="13"/>
  <c r="C905" i="13"/>
  <c r="C909" i="13"/>
  <c r="C913" i="13"/>
  <c r="C917" i="13"/>
  <c r="C921" i="13"/>
  <c r="C925" i="13"/>
  <c r="C929" i="13"/>
  <c r="C933" i="13"/>
  <c r="C937" i="13"/>
  <c r="C941" i="13"/>
  <c r="C945" i="13"/>
  <c r="C950" i="13"/>
  <c r="C954" i="13"/>
  <c r="C493" i="13"/>
  <c r="C501" i="13"/>
  <c r="C509" i="13"/>
  <c r="C515" i="13"/>
  <c r="C519" i="13"/>
  <c r="C523" i="13"/>
  <c r="C527" i="13"/>
  <c r="C531" i="13"/>
  <c r="C535" i="13"/>
  <c r="C539" i="13"/>
  <c r="C543" i="13"/>
  <c r="C547" i="13"/>
  <c r="C551" i="13"/>
  <c r="C555" i="13"/>
  <c r="C559" i="13"/>
  <c r="C563" i="13"/>
  <c r="C567" i="13"/>
  <c r="C571" i="13"/>
  <c r="C575" i="13"/>
  <c r="C579" i="13"/>
  <c r="C583" i="13"/>
  <c r="C587" i="13"/>
  <c r="C591" i="13"/>
  <c r="C595" i="13"/>
  <c r="C599" i="13"/>
  <c r="C603" i="13"/>
  <c r="C607" i="13"/>
  <c r="C611" i="13"/>
  <c r="C615" i="13"/>
  <c r="C619" i="13"/>
  <c r="C623" i="13"/>
  <c r="C627" i="13"/>
  <c r="C631" i="13"/>
  <c r="C635" i="13"/>
  <c r="C639" i="13"/>
  <c r="C643" i="13"/>
  <c r="C647" i="13"/>
  <c r="C651" i="13"/>
  <c r="C655" i="13"/>
  <c r="C659" i="13"/>
  <c r="C663" i="13"/>
  <c r="C667" i="13"/>
  <c r="C671" i="13"/>
  <c r="C675" i="13"/>
  <c r="C679" i="13"/>
  <c r="C683" i="13"/>
  <c r="C687" i="13"/>
  <c r="C691" i="13"/>
  <c r="C695" i="13"/>
  <c r="C699" i="13"/>
  <c r="C703" i="13"/>
  <c r="C707" i="13"/>
  <c r="C711" i="13"/>
  <c r="C715" i="13"/>
  <c r="C719" i="13"/>
  <c r="C723" i="13"/>
  <c r="C727" i="13"/>
  <c r="C731" i="13"/>
  <c r="C735" i="13"/>
  <c r="C739" i="13"/>
  <c r="C743" i="13"/>
  <c r="C747" i="13"/>
  <c r="C751" i="13"/>
  <c r="C755" i="13"/>
  <c r="C759" i="13"/>
  <c r="C763" i="13"/>
  <c r="C767" i="13"/>
  <c r="C771" i="13"/>
  <c r="C775" i="13"/>
  <c r="C779" i="13"/>
  <c r="C783" i="13"/>
  <c r="C787" i="13"/>
  <c r="C791" i="13"/>
  <c r="C795" i="13"/>
  <c r="C799" i="13"/>
  <c r="C803" i="13"/>
  <c r="C807" i="13"/>
  <c r="C811" i="13"/>
  <c r="C815" i="13"/>
  <c r="C819" i="13"/>
  <c r="C823" i="13"/>
  <c r="C827" i="13"/>
  <c r="C831" i="13"/>
  <c r="C835" i="13"/>
  <c r="C839" i="13"/>
  <c r="C843" i="13"/>
  <c r="C847" i="13"/>
  <c r="C851" i="13"/>
  <c r="C855" i="13"/>
  <c r="C859" i="13"/>
  <c r="C863" i="13"/>
  <c r="C867" i="13"/>
  <c r="C871" i="13"/>
  <c r="C875" i="13"/>
  <c r="C879" i="13"/>
  <c r="C883" i="13"/>
  <c r="C887" i="13"/>
  <c r="C891" i="13"/>
  <c r="C898" i="13"/>
  <c r="C902" i="13"/>
  <c r="C906" i="13"/>
  <c r="C910" i="13"/>
  <c r="C914" i="13"/>
  <c r="C918" i="13"/>
  <c r="C922" i="13"/>
  <c r="C926" i="13"/>
  <c r="C930" i="13"/>
  <c r="C934" i="13"/>
  <c r="C938" i="13"/>
  <c r="C942" i="13"/>
  <c r="C946" i="13"/>
  <c r="C951" i="13"/>
  <c r="C483" i="13"/>
  <c r="C495" i="13"/>
  <c r="C511" i="13"/>
  <c r="C520" i="13"/>
  <c r="C528" i="13"/>
  <c r="C536" i="13"/>
  <c r="C540" i="13"/>
  <c r="C544" i="13"/>
  <c r="C548" i="13"/>
  <c r="C552" i="13"/>
  <c r="C556" i="13"/>
  <c r="C560" i="13"/>
  <c r="C564" i="13"/>
  <c r="C568" i="13"/>
  <c r="C572" i="13"/>
  <c r="C576" i="13"/>
  <c r="C580" i="13"/>
  <c r="C584" i="13"/>
  <c r="C588" i="13"/>
  <c r="C592" i="13"/>
  <c r="C596" i="13"/>
  <c r="C600" i="13"/>
  <c r="C604" i="13"/>
  <c r="C608" i="13"/>
  <c r="C612" i="13"/>
  <c r="C616" i="13"/>
  <c r="C620" i="13"/>
  <c r="C624" i="13"/>
  <c r="C628" i="13"/>
  <c r="C632" i="13"/>
  <c r="C636" i="13"/>
  <c r="C640" i="13"/>
  <c r="C644" i="13"/>
  <c r="C648" i="13"/>
  <c r="C652" i="13"/>
  <c r="C656" i="13"/>
  <c r="C660" i="13"/>
  <c r="C664" i="13"/>
  <c r="C668" i="13"/>
  <c r="C672" i="13"/>
  <c r="C676" i="13"/>
  <c r="C680" i="13"/>
  <c r="C684" i="13"/>
  <c r="C688" i="13"/>
  <c r="C692" i="13"/>
  <c r="C696" i="13"/>
  <c r="C700" i="13"/>
  <c r="C704" i="13"/>
  <c r="C708" i="13"/>
  <c r="C712" i="13"/>
  <c r="C716" i="13"/>
  <c r="C720" i="13"/>
  <c r="C724" i="13"/>
  <c r="C728" i="13"/>
  <c r="C732" i="13"/>
  <c r="C736" i="13"/>
  <c r="C740" i="13"/>
  <c r="C744" i="13"/>
  <c r="C748" i="13"/>
  <c r="C752" i="13"/>
  <c r="C756" i="13"/>
  <c r="C760" i="13"/>
  <c r="C764" i="13"/>
  <c r="C768" i="13"/>
  <c r="C772" i="13"/>
  <c r="C776" i="13"/>
  <c r="C780" i="13"/>
  <c r="C784" i="13"/>
  <c r="C788" i="13"/>
  <c r="C792" i="13"/>
  <c r="C796" i="13"/>
  <c r="C800" i="13"/>
  <c r="C804" i="13"/>
  <c r="C808" i="13"/>
  <c r="C812" i="13"/>
  <c r="C816" i="13"/>
  <c r="C820" i="13"/>
  <c r="C824" i="13"/>
  <c r="C828" i="13"/>
  <c r="C832" i="13"/>
  <c r="C836" i="13"/>
  <c r="C840" i="13"/>
  <c r="C844" i="13"/>
  <c r="C848" i="13"/>
  <c r="C852" i="13"/>
  <c r="C856" i="13"/>
  <c r="C860" i="13"/>
  <c r="C864" i="13"/>
  <c r="C868" i="13"/>
  <c r="C872" i="13"/>
  <c r="C876" i="13"/>
  <c r="C880" i="13"/>
  <c r="C884" i="13"/>
  <c r="C888" i="13"/>
  <c r="C892" i="13"/>
  <c r="C895" i="13"/>
  <c r="C899" i="13"/>
  <c r="C903" i="13"/>
  <c r="C907" i="13"/>
  <c r="C911" i="13"/>
  <c r="C915" i="13"/>
  <c r="C919" i="13"/>
  <c r="C923" i="13"/>
  <c r="C927" i="13"/>
  <c r="C931" i="13"/>
  <c r="C935" i="13"/>
  <c r="C939" i="13"/>
  <c r="C943" i="13"/>
  <c r="C947" i="13"/>
  <c r="C952" i="13"/>
  <c r="C489" i="13"/>
  <c r="C497" i="13"/>
  <c r="C505" i="13"/>
  <c r="C513" i="13"/>
  <c r="C517" i="13"/>
  <c r="C521" i="13"/>
  <c r="C525" i="13"/>
  <c r="C529" i="13"/>
  <c r="C533" i="13"/>
  <c r="C537" i="13"/>
  <c r="C541" i="13"/>
  <c r="C545" i="13"/>
  <c r="C549" i="13"/>
  <c r="C553" i="13"/>
  <c r="C557" i="13"/>
  <c r="C561" i="13"/>
  <c r="C565" i="13"/>
  <c r="C569" i="13"/>
  <c r="C573" i="13"/>
  <c r="C577" i="13"/>
  <c r="C581" i="13"/>
  <c r="C585" i="13"/>
  <c r="C589" i="13"/>
  <c r="C593" i="13"/>
  <c r="C597" i="13"/>
  <c r="C601" i="13"/>
  <c r="C605" i="13"/>
  <c r="C609" i="13"/>
  <c r="C613" i="13"/>
  <c r="C617" i="13"/>
  <c r="C621" i="13"/>
  <c r="C625" i="13"/>
  <c r="C629" i="13"/>
  <c r="C633" i="13"/>
  <c r="C637" i="13"/>
  <c r="C641" i="13"/>
  <c r="C645" i="13"/>
  <c r="C649" i="13"/>
  <c r="C653" i="13"/>
  <c r="C657" i="13"/>
  <c r="C661" i="13"/>
  <c r="C665" i="13"/>
  <c r="C669" i="13"/>
  <c r="C673" i="13"/>
  <c r="C677" i="13"/>
  <c r="C681" i="13"/>
  <c r="C685" i="13"/>
  <c r="C689" i="13"/>
  <c r="C693" i="13"/>
  <c r="C697" i="13"/>
  <c r="C701" i="13"/>
  <c r="C705" i="13"/>
  <c r="C709" i="13"/>
  <c r="C713" i="13"/>
  <c r="C717" i="13"/>
  <c r="C721" i="13"/>
  <c r="C725" i="13"/>
  <c r="C729" i="13"/>
  <c r="C733" i="13"/>
  <c r="C737" i="13"/>
  <c r="C741" i="13"/>
  <c r="C745" i="13"/>
  <c r="C749" i="13"/>
  <c r="C753" i="13"/>
  <c r="C757" i="13"/>
  <c r="C761" i="13"/>
  <c r="C765" i="13"/>
  <c r="C769" i="13"/>
  <c r="C773" i="13"/>
  <c r="C777" i="13"/>
  <c r="C781" i="13"/>
  <c r="C785" i="13"/>
  <c r="C789" i="13"/>
  <c r="C793" i="13"/>
  <c r="C797" i="13"/>
  <c r="C801" i="13"/>
  <c r="C805" i="13"/>
  <c r="C809" i="13"/>
  <c r="C813" i="13"/>
  <c r="C817" i="13"/>
  <c r="C821" i="13"/>
  <c r="C825" i="13"/>
  <c r="C829" i="13"/>
  <c r="C833" i="13"/>
  <c r="C837" i="13"/>
  <c r="C841" i="13"/>
  <c r="C845" i="13"/>
  <c r="C849" i="13"/>
  <c r="C853" i="13"/>
  <c r="C857" i="13"/>
  <c r="C861" i="13"/>
  <c r="C865" i="13"/>
  <c r="C869" i="13"/>
  <c r="C873" i="13"/>
  <c r="C877" i="13"/>
  <c r="C881" i="13"/>
  <c r="C885" i="13"/>
  <c r="C889" i="13"/>
  <c r="C893" i="13"/>
  <c r="C900" i="13"/>
  <c r="C904" i="13"/>
  <c r="C908" i="13"/>
  <c r="C912" i="13"/>
  <c r="C916" i="13"/>
  <c r="C920" i="13"/>
  <c r="C924" i="13"/>
  <c r="C928" i="13"/>
  <c r="C932" i="13"/>
  <c r="C936" i="13"/>
  <c r="C940" i="13"/>
  <c r="C944" i="13"/>
  <c r="C948" i="13"/>
  <c r="C953" i="13"/>
  <c r="C955" i="13"/>
  <c r="C958" i="13"/>
  <c r="C957" i="13"/>
  <c r="C959" i="13"/>
  <c r="DJ6" i="13"/>
  <c r="C956" i="13"/>
  <c r="C6" i="13" l="1"/>
  <c r="E29" i="22"/>
  <c r="J29" i="22" s="1"/>
  <c r="G32" i="12"/>
  <c r="G57" i="12" s="1"/>
  <c r="E57" i="12" l="1"/>
  <c r="G105" i="12"/>
  <c r="E105" i="12" s="1"/>
  <c r="E32" i="12"/>
</calcChain>
</file>

<file path=xl/sharedStrings.xml><?xml version="1.0" encoding="utf-8"?>
<sst xmlns="http://schemas.openxmlformats.org/spreadsheetml/2006/main" count="7422" uniqueCount="304">
  <si>
    <t>BAYRAMPAŞA DEPODAKİ ELSAN AYRINTI  DÖKÜMÜ</t>
  </si>
  <si>
    <t>GENEL TOPLAM</t>
  </si>
  <si>
    <t>ELSAN</t>
  </si>
  <si>
    <t>HES</t>
  </si>
  <si>
    <t>TOPLAM</t>
  </si>
  <si>
    <t>EMSAN</t>
  </si>
  <si>
    <t>KAVİ</t>
  </si>
  <si>
    <t>K160</t>
  </si>
  <si>
    <t>A250</t>
  </si>
  <si>
    <t>K250</t>
  </si>
  <si>
    <t>ALÜMİNYUM</t>
  </si>
  <si>
    <t>TARİH</t>
  </si>
  <si>
    <t>FİNAL</t>
  </si>
  <si>
    <t>AYHAN</t>
  </si>
  <si>
    <t>BİRSAN</t>
  </si>
  <si>
    <t>YAVUZ-DÜKKAN</t>
  </si>
  <si>
    <t>YAVUZ-TURSAN</t>
  </si>
  <si>
    <t>ŞANLI</t>
  </si>
  <si>
    <t>MÜMTAZ</t>
  </si>
  <si>
    <t>FLAŞ</t>
  </si>
  <si>
    <t>EGOSAN</t>
  </si>
  <si>
    <t>YAVUZ-ÇEVİKLER</t>
  </si>
  <si>
    <t>YAVUZ-TEZCAN</t>
  </si>
  <si>
    <t>TRANS-EL</t>
  </si>
  <si>
    <t>SERİ BOBİNAJ</t>
  </si>
  <si>
    <t>MURAT HAYKIR</t>
  </si>
  <si>
    <t>ONUR</t>
  </si>
  <si>
    <t>İLAY</t>
  </si>
  <si>
    <t>KALDE</t>
  </si>
  <si>
    <t>ELEKTRO-İŞ</t>
  </si>
  <si>
    <t>LHI</t>
  </si>
  <si>
    <t>MEGA ELEKTRONİK</t>
  </si>
  <si>
    <t>PORT BOBİNAJ</t>
  </si>
  <si>
    <t>SİSTEM BOBİNAJ</t>
  </si>
  <si>
    <t>ENDÜSTRİ ELEKTRİK</t>
  </si>
  <si>
    <t>YAVUZ-GÜLEN</t>
  </si>
  <si>
    <t>DEVİR</t>
  </si>
  <si>
    <t>SENAY</t>
  </si>
  <si>
    <t>TELSAN</t>
  </si>
  <si>
    <t>MUTLU BOBİNAJ</t>
  </si>
  <si>
    <t>Hİ-DO</t>
  </si>
  <si>
    <t>DEBS</t>
  </si>
  <si>
    <t>YAVUZ-KOÇYİĞİTLER</t>
  </si>
  <si>
    <t>İLKE</t>
  </si>
  <si>
    <t>KOÇSAN</t>
  </si>
  <si>
    <t>GÜLŞAH</t>
  </si>
  <si>
    <t>YAVUZ-AKOTEK</t>
  </si>
  <si>
    <t>ADA ALP</t>
  </si>
  <si>
    <t>YAVUZ</t>
  </si>
  <si>
    <t>YAVUZ-UĞUR</t>
  </si>
  <si>
    <t>MERVESAN</t>
  </si>
  <si>
    <t>YAVUZ-SEÇKAY</t>
  </si>
  <si>
    <t>YAVUZ-ÖZ YURTTAŞ</t>
  </si>
  <si>
    <t>DURMAZLAR</t>
  </si>
  <si>
    <t>YAVUZ-GÜNDOĞDU</t>
  </si>
  <si>
    <t>HCO</t>
  </si>
  <si>
    <t>YAVUZ-HİSAR</t>
  </si>
  <si>
    <t>ORYON</t>
  </si>
  <si>
    <t>GEMSA</t>
  </si>
  <si>
    <t>ELDEN SATILAN</t>
  </si>
  <si>
    <t>YAVUZ-BAHADIR</t>
  </si>
  <si>
    <t>YAVUZ-ÖZ TEKNİK</t>
  </si>
  <si>
    <t>YAVUZ-KARTEK</t>
  </si>
  <si>
    <t>YAVUZ-İSMAİL KABUL</t>
  </si>
  <si>
    <t>AKTARMA</t>
  </si>
  <si>
    <t>EMPO POMPA</t>
  </si>
  <si>
    <t>ELEKTRO-AK</t>
  </si>
  <si>
    <t>YAVUZ-OSMANLI</t>
  </si>
  <si>
    <t>KADİR SİPAHİ</t>
  </si>
  <si>
    <t>UNİVERSAL</t>
  </si>
  <si>
    <t>YAVUZ-ESA</t>
  </si>
  <si>
    <t>YAVUZ-OKÇU BOBİNAJ</t>
  </si>
  <si>
    <t>YAVUZ-KARGO</t>
  </si>
  <si>
    <t>BİRLİK ASANSÖR</t>
  </si>
  <si>
    <t>YAVUZ-EMANET</t>
  </si>
  <si>
    <t>EREN</t>
  </si>
  <si>
    <t>A315 AKTARILAN</t>
  </si>
  <si>
    <t>YAVUZ-TEZ İŞ</t>
  </si>
  <si>
    <t>SAYGIN</t>
  </si>
  <si>
    <t>OKTAY ELEKTRİK</t>
  </si>
  <si>
    <t>EMPO</t>
  </si>
  <si>
    <t>EGEMEN TEKNİK</t>
  </si>
  <si>
    <t>LOBAN</t>
  </si>
  <si>
    <t>ABME</t>
  </si>
  <si>
    <t>YILDIZ BOBİNAJ</t>
  </si>
  <si>
    <t>KONTROL</t>
  </si>
  <si>
    <t>STOK</t>
  </si>
  <si>
    <t>MURAT</t>
  </si>
  <si>
    <t>YILDIRIM ELEKTRONİK</t>
  </si>
  <si>
    <t>DEMİREL</t>
  </si>
  <si>
    <t>YAVUZ-TUFAN</t>
  </si>
  <si>
    <t>YAVUZ-MÜŞTERİ</t>
  </si>
  <si>
    <t>İADE</t>
  </si>
  <si>
    <t>ÇELİKBİLEK</t>
  </si>
  <si>
    <t>PRESMAK</t>
  </si>
  <si>
    <t>3E ELEKTRONİK</t>
  </si>
  <si>
    <t>TM KUMRU</t>
  </si>
  <si>
    <t>TEKİN BOBİNAJ</t>
  </si>
  <si>
    <t>ZAFER ELEKTRİK</t>
  </si>
  <si>
    <t>SAYIM</t>
  </si>
  <si>
    <t>KAYSU POMPA</t>
  </si>
  <si>
    <t>ORMETSAN İADE</t>
  </si>
  <si>
    <t>YAVUZ-GAMA</t>
  </si>
  <si>
    <t>TBY</t>
  </si>
  <si>
    <t>YAVUZ-İADE</t>
  </si>
  <si>
    <t>KÜSÜRAT DÜZELTME</t>
  </si>
  <si>
    <t>VARSAN</t>
  </si>
  <si>
    <t>E.M.İ. BOBİNAJ</t>
  </si>
  <si>
    <t>ÖZCAN BOBİNAJ</t>
  </si>
  <si>
    <t>YAVUZ-FAZ MAKİNE</t>
  </si>
  <si>
    <t>YAVUZ-AMBAR</t>
  </si>
  <si>
    <t>YENİÇAĞ</t>
  </si>
  <si>
    <t>HÜR POMPA</t>
  </si>
  <si>
    <t>ERİKOĞLU</t>
  </si>
  <si>
    <t>FROSER</t>
  </si>
  <si>
    <t>EMTEL</t>
  </si>
  <si>
    <t>YAVUZ-MURAT BAHADIR</t>
  </si>
  <si>
    <t>YAVUZ-TEKNİK ELEKTRİK</t>
  </si>
  <si>
    <t>YAVUZ-OKÇU</t>
  </si>
  <si>
    <t>YAVUZ-SERİM</t>
  </si>
  <si>
    <t>YAVUZ-SARAN</t>
  </si>
  <si>
    <t>YAVUZ-KARDEŞLER</t>
  </si>
  <si>
    <t>HURDA OLARAK AYRILAN</t>
  </si>
  <si>
    <t>ELEKTRA</t>
  </si>
  <si>
    <t>YAVUZ-SANTES</t>
  </si>
  <si>
    <t>TEMURTAŞ</t>
  </si>
  <si>
    <t>DÜZENLEME</t>
  </si>
  <si>
    <t>MEHMET DÖNMEZ</t>
  </si>
  <si>
    <t>ÇIPLAK TEL</t>
  </si>
  <si>
    <t>LHO</t>
  </si>
  <si>
    <t>AKIM ELEKTRİK</t>
  </si>
  <si>
    <t>YILMAZ TORNACILIK</t>
  </si>
  <si>
    <t>YAVUZ-AYDIN</t>
  </si>
  <si>
    <t>ALPER ELEKTRİK</t>
  </si>
  <si>
    <t>YALÇIN KAPLAMA</t>
  </si>
  <si>
    <t>MARMARA RS</t>
  </si>
  <si>
    <t>ÖZ-NUR BOBİNAJ</t>
  </si>
  <si>
    <t>ŞAHİN ELEKTRİK</t>
  </si>
  <si>
    <t>EYTIN ELEKTRİK</t>
  </si>
  <si>
    <t>DALLI BOBİNAJ</t>
  </si>
  <si>
    <t>ATEŞ METAL</t>
  </si>
  <si>
    <t>KAYSU</t>
  </si>
  <si>
    <t>K200</t>
  </si>
  <si>
    <t>HCI</t>
  </si>
  <si>
    <t>AKTİF MOTOR</t>
  </si>
  <si>
    <t>TRUVA PİRİNÇ</t>
  </si>
  <si>
    <t>BORDAN</t>
  </si>
  <si>
    <t>ÖZAY BOBİNAJ</t>
  </si>
  <si>
    <t>CENGİZ BOBİNAJ</t>
  </si>
  <si>
    <t>SELÇUK ELEKTRİK</t>
  </si>
  <si>
    <t>AYPAR ELEKTRİK</t>
  </si>
  <si>
    <t>HÜSEYİN ÇOLAK</t>
  </si>
  <si>
    <t>ÖZTEL</t>
  </si>
  <si>
    <t>YAVUZ-GELEN</t>
  </si>
  <si>
    <t>EGE BOBİNAJ</t>
  </si>
  <si>
    <t>YAVUZ-DEĞİŞİM</t>
  </si>
  <si>
    <t>ALASEEL</t>
  </si>
  <si>
    <t>MARKA</t>
  </si>
  <si>
    <t>MAKARA</t>
  </si>
  <si>
    <t>CİNSİ</t>
  </si>
  <si>
    <t>ÇAP</t>
  </si>
  <si>
    <t>NAVRUZ BOBİNAJ</t>
  </si>
  <si>
    <t>DORUK BOBİNAJ</t>
  </si>
  <si>
    <t>GÜRÜL</t>
  </si>
  <si>
    <t>SULTAN ELEKTRİK</t>
  </si>
  <si>
    <t>TEMPO ELEKTRİK</t>
  </si>
  <si>
    <t>HAZEL POMPA</t>
  </si>
  <si>
    <t>IŞIL DÜĞME</t>
  </si>
  <si>
    <t>AKIM BOBİNAJ</t>
  </si>
  <si>
    <t>ERSAN GALVANO</t>
  </si>
  <si>
    <t>YAVUZ ELEKTRİK</t>
  </si>
  <si>
    <t>AHMAD OMERAH</t>
  </si>
  <si>
    <t>HADUTOĞLU ENDÜSTRİ</t>
  </si>
  <si>
    <t>HASAN USTA</t>
  </si>
  <si>
    <t>UYARLAR</t>
  </si>
  <si>
    <t>CORTOBA</t>
  </si>
  <si>
    <t>LAZORD AKSESUAR</t>
  </si>
  <si>
    <t>ERCAN</t>
  </si>
  <si>
    <t>BURCU POMPA</t>
  </si>
  <si>
    <t>THK PROJE</t>
  </si>
  <si>
    <t>ÖZBİL ELEKTRİK</t>
  </si>
  <si>
    <t>GREENMAC</t>
  </si>
  <si>
    <t>MKL ASANSÖR</t>
  </si>
  <si>
    <t>TOPRAK BOBİNAJ</t>
  </si>
  <si>
    <t>DEMİRCAN</t>
  </si>
  <si>
    <t>ELEKTRO AK</t>
  </si>
  <si>
    <t>YILDIRIM BOBİNAJ</t>
  </si>
  <si>
    <t>ÇAĞRI HACİOĞLU</t>
  </si>
  <si>
    <t>HARPUT BOBİNAJ</t>
  </si>
  <si>
    <t>SAMET</t>
  </si>
  <si>
    <t>İLGİN TRAFO</t>
  </si>
  <si>
    <t>YÜKSEL GÜL</t>
  </si>
  <si>
    <t>HOSAMEDDIN TAHHAN</t>
  </si>
  <si>
    <t>MUSTAFA</t>
  </si>
  <si>
    <t>İŞBİR ELEKTRİK</t>
  </si>
  <si>
    <t>ONAR BUJİTERİ</t>
  </si>
  <si>
    <t>E DİNAMİK</t>
  </si>
  <si>
    <t>MESUT ELEKTRİK</t>
  </si>
  <si>
    <t>BİRLİK TEKNİK</t>
  </si>
  <si>
    <t>KERİM BOBİNAJ</t>
  </si>
  <si>
    <t>YAMAN TAHHAN</t>
  </si>
  <si>
    <t>STOK DEĞİŞTİRME</t>
  </si>
  <si>
    <t>BİRLİK NİKELAJ</t>
  </si>
  <si>
    <t>HURDACI ERDAL</t>
  </si>
  <si>
    <t>BAĞCAN NALBANTOĞLU</t>
  </si>
  <si>
    <t>BAKIRCIOĞLU</t>
  </si>
  <si>
    <t>ERCAN USTA</t>
  </si>
  <si>
    <t>YÜCPA</t>
  </si>
  <si>
    <t>CARİ</t>
  </si>
  <si>
    <t>ŞENEL ŞAHİN</t>
  </si>
  <si>
    <t>KANGAL VİNÇ</t>
  </si>
  <si>
    <t>GENCAY BOBİNAJ</t>
  </si>
  <si>
    <t>MASYAN BOBİNAJ</t>
  </si>
  <si>
    <t>ALİ BARIŞ ÇAMLIGÜNEY</t>
  </si>
  <si>
    <t>BANU ÇAMLIGÜNEY</t>
  </si>
  <si>
    <t>STOK KAYDI DEVİR</t>
  </si>
  <si>
    <t>-</t>
  </si>
  <si>
    <t>ASPOWER</t>
  </si>
  <si>
    <t>YILDIRIM METAL</t>
  </si>
  <si>
    <t>EMİN VİNÇ</t>
  </si>
  <si>
    <t>RAF NO</t>
  </si>
  <si>
    <t>ESEFOĞLU</t>
  </si>
  <si>
    <t>JOD</t>
  </si>
  <si>
    <t>AKEL ELEKTRİK</t>
  </si>
  <si>
    <t>DOĞAN ELEKTRİK</t>
  </si>
  <si>
    <t>MERT ELEKTRİK</t>
  </si>
  <si>
    <t>PRODES BOBİNAJ</t>
  </si>
  <si>
    <t>K251</t>
  </si>
  <si>
    <t>SUNKA</t>
  </si>
  <si>
    <t>ÇAKIR MEKANİK</t>
  </si>
  <si>
    <t>SEVEN GROUP</t>
  </si>
  <si>
    <t>FANEKS</t>
  </si>
  <si>
    <t>ALM</t>
  </si>
  <si>
    <t>İSTANBUL POWER</t>
  </si>
  <si>
    <t>A315</t>
  </si>
  <si>
    <t>SÜMER</t>
  </si>
  <si>
    <t>KUPA MÜHENDİSLİK</t>
  </si>
  <si>
    <t>ARD MAKİNA</t>
  </si>
  <si>
    <t>DEMSAN</t>
  </si>
  <si>
    <t>STOK GİRİŞ</t>
  </si>
  <si>
    <t>TEL</t>
  </si>
  <si>
    <t>CİNS</t>
  </si>
  <si>
    <t>0,40</t>
  </si>
  <si>
    <t>0,50</t>
  </si>
  <si>
    <t>0,60</t>
  </si>
  <si>
    <t>2,60</t>
  </si>
  <si>
    <t>0,10</t>
  </si>
  <si>
    <t>0,16</t>
  </si>
  <si>
    <t>0,20</t>
  </si>
  <si>
    <t>0,25</t>
  </si>
  <si>
    <t>0,28</t>
  </si>
  <si>
    <t>0,30</t>
  </si>
  <si>
    <t>0,35</t>
  </si>
  <si>
    <t>0,45</t>
  </si>
  <si>
    <t>0,475</t>
  </si>
  <si>
    <t>0,55</t>
  </si>
  <si>
    <t>0,65</t>
  </si>
  <si>
    <t>0,70</t>
  </si>
  <si>
    <t>0,75</t>
  </si>
  <si>
    <t>0,80</t>
  </si>
  <si>
    <t>0,85</t>
  </si>
  <si>
    <t>0,90</t>
  </si>
  <si>
    <t>0,95</t>
  </si>
  <si>
    <t>1,00</t>
  </si>
  <si>
    <t>1,05</t>
  </si>
  <si>
    <t>1,10</t>
  </si>
  <si>
    <t>1,15</t>
  </si>
  <si>
    <t>1,20</t>
  </si>
  <si>
    <t>1,25</t>
  </si>
  <si>
    <t>1,30</t>
  </si>
  <si>
    <t>1,35</t>
  </si>
  <si>
    <t>1,40</t>
  </si>
  <si>
    <t>1,45</t>
  </si>
  <si>
    <t>1,50</t>
  </si>
  <si>
    <t>1,55</t>
  </si>
  <si>
    <t>1,60</t>
  </si>
  <si>
    <t>1,70</t>
  </si>
  <si>
    <t>1,80</t>
  </si>
  <si>
    <t>1,85</t>
  </si>
  <si>
    <t>1,90</t>
  </si>
  <si>
    <t>2,00</t>
  </si>
  <si>
    <t>2,20</t>
  </si>
  <si>
    <t>2,30</t>
  </si>
  <si>
    <t>2,40</t>
  </si>
  <si>
    <t>2,50</t>
  </si>
  <si>
    <t>2,70</t>
  </si>
  <si>
    <t>3,00</t>
  </si>
  <si>
    <t>3,20</t>
  </si>
  <si>
    <t>3,50</t>
  </si>
  <si>
    <t>4,00</t>
  </si>
  <si>
    <t>0,08</t>
  </si>
  <si>
    <t>0,12</t>
  </si>
  <si>
    <t>0,14</t>
  </si>
  <si>
    <t>0,15</t>
  </si>
  <si>
    <t>0,17</t>
  </si>
  <si>
    <t>0,18</t>
  </si>
  <si>
    <t>0,19</t>
  </si>
  <si>
    <t>0,22</t>
  </si>
  <si>
    <t>0,32</t>
  </si>
  <si>
    <t>0,33</t>
  </si>
  <si>
    <t>0,38</t>
  </si>
  <si>
    <t>ARGEN YAZILIM</t>
  </si>
  <si>
    <t>KEREM AKBULUT</t>
  </si>
  <si>
    <t>YBS POMPA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</si>
</sst>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#,##0.000;[Red]#,##0.000"/>
    <numFmt numFmtId="167" formatCode="dd/mm/yyyy;@"/>
  </numFmts>
  <fonts count="34" x14ac:knownFonts="1">
    <font>
      <sz val="11"/>
      <color rgb="FF000000"/>
      <name val="Calibri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20"/>
      <color rgb="FF000000"/>
      <name val="Calibri"/>
      <family val="2"/>
      <charset val="162"/>
    </font>
    <font>
      <sz val="11"/>
      <name val="Calibri"/>
      <family val="2"/>
      <charset val="162"/>
    </font>
    <font>
      <b/>
      <sz val="16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28"/>
      <color rgb="FF000000"/>
      <name val="Vladimir Script"/>
      <family val="4"/>
    </font>
    <font>
      <sz val="28"/>
      <name val="Vladimir Script"/>
      <family val="4"/>
    </font>
    <font>
      <sz val="11"/>
      <color theme="1"/>
      <name val="Calibri"/>
      <family val="2"/>
      <charset val="162"/>
    </font>
    <font>
      <sz val="11"/>
      <color rgb="FF9C0006"/>
      <name val="Calibri"/>
      <family val="2"/>
      <charset val="162"/>
      <scheme val="minor"/>
    </font>
    <font>
      <sz val="20"/>
      <color theme="1"/>
      <name val="Calibri"/>
      <family val="2"/>
      <charset val="162"/>
    </font>
    <font>
      <sz val="18"/>
      <color theme="1"/>
      <name val="Calibri"/>
      <family val="2"/>
      <charset val="162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4"/>
      <color theme="1"/>
      <name val="Aptos Narrow"/>
      <family val="2"/>
      <charset val="162"/>
    </font>
    <font>
      <sz val="12"/>
      <color theme="1"/>
      <name val="Aptos Narrow"/>
      <family val="2"/>
      <charset val="162"/>
    </font>
    <font>
      <sz val="11"/>
      <color theme="1"/>
      <name val="Aptos Narrow"/>
      <family val="2"/>
      <charset val="162"/>
    </font>
    <font>
      <sz val="12"/>
      <name val="Aptos Narrow"/>
      <family val="2"/>
      <charset val="162"/>
    </font>
    <font>
      <sz val="11"/>
      <color rgb="FF000000"/>
      <name val="Aptos Narrow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7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23" fillId="8" borderId="0" applyNumberFormat="0" applyBorder="0" applyAlignment="0" applyProtection="0"/>
    <xf numFmtId="0" fontId="14" fillId="9" borderId="0" applyNumberFormat="0" applyBorder="0" applyAlignment="0" applyProtection="0"/>
    <xf numFmtId="0" fontId="26" fillId="10" borderId="0" applyNumberFormat="0" applyBorder="0" applyAlignment="0" applyProtection="0"/>
    <xf numFmtId="0" fontId="28" fillId="11" borderId="0" applyNumberFormat="0" applyBorder="0" applyAlignment="0" applyProtection="0"/>
  </cellStyleXfs>
  <cellXfs count="44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7" xfId="0" applyFont="1" applyBorder="1"/>
    <xf numFmtId="0" fontId="0" fillId="0" borderId="8" xfId="0" applyFon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9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164" fontId="0" fillId="0" borderId="11" xfId="0" applyNumberFormat="1" applyFont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19" fillId="0" borderId="25" xfId="0" applyNumberFormat="1" applyFont="1" applyFill="1" applyBorder="1" applyAlignment="1">
      <alignment horizontal="center" vertical="center"/>
    </xf>
    <xf numFmtId="0" fontId="19" fillId="0" borderId="25" xfId="0" applyNumberFormat="1" applyFont="1" applyFill="1" applyBorder="1" applyAlignment="1">
      <alignment horizontal="center"/>
    </xf>
    <xf numFmtId="0" fontId="19" fillId="0" borderId="1" xfId="0" applyNumberFormat="1" applyFont="1" applyFill="1" applyBorder="1" applyAlignment="1">
      <alignment horizontal="center" vertical="center"/>
    </xf>
    <xf numFmtId="166" fontId="19" fillId="0" borderId="26" xfId="0" applyNumberFormat="1" applyFont="1" applyFill="1" applyBorder="1" applyAlignment="1">
      <alignment horizontal="center" vertical="center"/>
    </xf>
    <xf numFmtId="166" fontId="19" fillId="0" borderId="19" xfId="0" applyNumberFormat="1" applyFont="1" applyFill="1" applyBorder="1" applyAlignment="1">
      <alignment horizontal="center" vertical="center"/>
    </xf>
    <xf numFmtId="0" fontId="0" fillId="0" borderId="25" xfId="0" applyNumberForma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2" fontId="0" fillId="0" borderId="25" xfId="0" applyNumberFormat="1" applyFont="1" applyBorder="1" applyAlignment="1">
      <alignment horizontal="center"/>
    </xf>
    <xf numFmtId="165" fontId="0" fillId="0" borderId="25" xfId="0" applyNumberFormat="1" applyFont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166" fontId="0" fillId="0" borderId="26" xfId="0" applyNumberFormat="1" applyFont="1" applyBorder="1" applyAlignment="1">
      <alignment horizontal="center"/>
    </xf>
    <xf numFmtId="0" fontId="19" fillId="0" borderId="25" xfId="0" applyNumberFormat="1" applyFont="1" applyBorder="1" applyAlignment="1">
      <alignment horizontal="center"/>
    </xf>
    <xf numFmtId="0" fontId="0" fillId="0" borderId="25" xfId="0" applyNumberFormat="1" applyFill="1" applyBorder="1" applyAlignment="1">
      <alignment horizontal="center"/>
    </xf>
    <xf numFmtId="0" fontId="15" fillId="6" borderId="26" xfId="4" applyNumberFormat="1" applyBorder="1" applyAlignment="1">
      <alignment horizontal="center" vertical="center"/>
    </xf>
    <xf numFmtId="2" fontId="15" fillId="6" borderId="26" xfId="4" applyNumberFormat="1" applyBorder="1" applyAlignment="1">
      <alignment horizontal="center" vertical="center"/>
    </xf>
    <xf numFmtId="165" fontId="15" fillId="6" borderId="26" xfId="4" applyNumberFormat="1" applyBorder="1" applyAlignment="1">
      <alignment horizontal="center" vertical="center"/>
    </xf>
    <xf numFmtId="165" fontId="15" fillId="6" borderId="26" xfId="4" applyNumberFormat="1" applyBorder="1" applyAlignment="1">
      <alignment horizontal="center"/>
    </xf>
    <xf numFmtId="0" fontId="15" fillId="6" borderId="25" xfId="4" applyNumberFormat="1" applyBorder="1" applyAlignment="1">
      <alignment horizontal="center" vertical="center"/>
    </xf>
    <xf numFmtId="2" fontId="15" fillId="6" borderId="25" xfId="4" applyNumberFormat="1" applyBorder="1" applyAlignment="1">
      <alignment horizontal="center" vertical="center"/>
    </xf>
    <xf numFmtId="165" fontId="15" fillId="6" borderId="25" xfId="4" applyNumberFormat="1" applyBorder="1" applyAlignment="1">
      <alignment horizontal="center" vertical="center"/>
    </xf>
    <xf numFmtId="165" fontId="15" fillId="6" borderId="25" xfId="4" applyNumberFormat="1" applyBorder="1" applyAlignment="1">
      <alignment horizontal="center"/>
    </xf>
    <xf numFmtId="0" fontId="15" fillId="0" borderId="26" xfId="4" applyNumberFormat="1" applyFill="1" applyBorder="1" applyAlignment="1">
      <alignment horizontal="center" vertical="center"/>
    </xf>
    <xf numFmtId="2" fontId="15" fillId="0" borderId="26" xfId="4" applyNumberFormat="1" applyFill="1" applyBorder="1" applyAlignment="1">
      <alignment horizontal="center" vertical="center"/>
    </xf>
    <xf numFmtId="165" fontId="15" fillId="0" borderId="26" xfId="4" applyNumberFormat="1" applyFill="1" applyBorder="1" applyAlignment="1">
      <alignment horizontal="center" vertical="center"/>
    </xf>
    <xf numFmtId="165" fontId="15" fillId="0" borderId="26" xfId="4" applyNumberFormat="1" applyFill="1" applyBorder="1" applyAlignment="1">
      <alignment horizontal="center"/>
    </xf>
    <xf numFmtId="0" fontId="15" fillId="0" borderId="38" xfId="1" applyNumberFormat="1" applyFill="1" applyBorder="1" applyAlignment="1">
      <alignment horizontal="center" vertical="center"/>
    </xf>
    <xf numFmtId="2" fontId="15" fillId="0" borderId="38" xfId="1" applyNumberFormat="1" applyFill="1" applyBorder="1" applyAlignment="1">
      <alignment horizontal="center" vertical="center"/>
    </xf>
    <xf numFmtId="165" fontId="15" fillId="0" borderId="38" xfId="1" applyNumberFormat="1" applyFill="1" applyBorder="1" applyAlignment="1">
      <alignment horizontal="center" vertical="center"/>
    </xf>
    <xf numFmtId="165" fontId="15" fillId="0" borderId="38" xfId="1" applyNumberFormat="1" applyFill="1" applyBorder="1" applyAlignment="1">
      <alignment horizontal="center"/>
    </xf>
    <xf numFmtId="0" fontId="15" fillId="0" borderId="25" xfId="4" applyNumberFormat="1" applyFill="1" applyBorder="1" applyAlignment="1">
      <alignment horizontal="center" vertical="center"/>
    </xf>
    <xf numFmtId="2" fontId="15" fillId="0" borderId="25" xfId="4" applyNumberFormat="1" applyFill="1" applyBorder="1" applyAlignment="1">
      <alignment horizontal="center" vertical="center"/>
    </xf>
    <xf numFmtId="165" fontId="15" fillId="0" borderId="25" xfId="4" applyNumberFormat="1" applyFill="1" applyBorder="1" applyAlignment="1">
      <alignment horizontal="center" vertical="center"/>
    </xf>
    <xf numFmtId="165" fontId="15" fillId="0" borderId="25" xfId="4" applyNumberFormat="1" applyFill="1" applyBorder="1" applyAlignment="1">
      <alignment horizontal="center"/>
    </xf>
    <xf numFmtId="0" fontId="22" fillId="0" borderId="25" xfId="0" applyNumberFormat="1" applyFont="1" applyBorder="1" applyAlignment="1">
      <alignment horizontal="center"/>
    </xf>
    <xf numFmtId="165" fontId="23" fillId="8" borderId="25" xfId="6" applyNumberFormat="1" applyBorder="1" applyAlignment="1">
      <alignment horizontal="center"/>
    </xf>
    <xf numFmtId="165" fontId="23" fillId="8" borderId="26" xfId="6" applyNumberFormat="1" applyBorder="1" applyAlignment="1">
      <alignment horizontal="center"/>
    </xf>
    <xf numFmtId="165" fontId="23" fillId="8" borderId="38" xfId="6" applyNumberFormat="1" applyBorder="1" applyAlignment="1">
      <alignment horizontal="center"/>
    </xf>
    <xf numFmtId="165" fontId="23" fillId="8" borderId="34" xfId="6" applyNumberFormat="1" applyBorder="1" applyAlignment="1">
      <alignment horizontal="center"/>
    </xf>
    <xf numFmtId="0" fontId="19" fillId="0" borderId="42" xfId="0" applyNumberFormat="1" applyFont="1" applyFill="1" applyBorder="1" applyAlignment="1">
      <alignment horizontal="center" vertical="center"/>
    </xf>
    <xf numFmtId="166" fontId="19" fillId="0" borderId="35" xfId="0" applyNumberFormat="1" applyFont="1" applyFill="1" applyBorder="1" applyAlignment="1">
      <alignment horizontal="center" vertical="center"/>
    </xf>
    <xf numFmtId="165" fontId="15" fillId="6" borderId="35" xfId="4" applyNumberFormat="1" applyBorder="1" applyAlignment="1">
      <alignment horizontal="center" vertical="center"/>
    </xf>
    <xf numFmtId="165" fontId="15" fillId="0" borderId="39" xfId="1" applyNumberFormat="1" applyFill="1" applyBorder="1" applyAlignment="1">
      <alignment horizontal="center" vertical="center"/>
    </xf>
    <xf numFmtId="165" fontId="15" fillId="0" borderId="35" xfId="4" applyNumberFormat="1" applyFill="1" applyBorder="1" applyAlignment="1">
      <alignment horizontal="center" vertical="center"/>
    </xf>
    <xf numFmtId="165" fontId="15" fillId="6" borderId="42" xfId="4" applyNumberFormat="1" applyBorder="1" applyAlignment="1">
      <alignment horizontal="center" vertical="center"/>
    </xf>
    <xf numFmtId="165" fontId="15" fillId="0" borderId="42" xfId="4" applyNumberFormat="1" applyFill="1" applyBorder="1" applyAlignment="1">
      <alignment horizontal="center" vertical="center"/>
    </xf>
    <xf numFmtId="165" fontId="0" fillId="0" borderId="42" xfId="0" applyNumberFormat="1" applyFont="1" applyBorder="1" applyAlignment="1">
      <alignment horizontal="center"/>
    </xf>
    <xf numFmtId="0" fontId="0" fillId="0" borderId="25" xfId="0" applyNumberFormat="1" applyFont="1" applyFill="1" applyBorder="1" applyAlignment="1">
      <alignment horizontal="center"/>
    </xf>
    <xf numFmtId="0" fontId="15" fillId="0" borderId="34" xfId="5" applyNumberFormat="1" applyFill="1" applyBorder="1" applyAlignment="1">
      <alignment horizontal="center" vertical="center"/>
    </xf>
    <xf numFmtId="2" fontId="15" fillId="0" borderId="34" xfId="5" applyNumberFormat="1" applyFill="1" applyBorder="1" applyAlignment="1">
      <alignment horizontal="center" vertical="center"/>
    </xf>
    <xf numFmtId="165" fontId="15" fillId="0" borderId="34" xfId="5" applyNumberFormat="1" applyFill="1" applyBorder="1" applyAlignment="1">
      <alignment horizontal="center" vertical="center"/>
    </xf>
    <xf numFmtId="165" fontId="15" fillId="0" borderId="36" xfId="5" applyNumberFormat="1" applyFill="1" applyBorder="1" applyAlignment="1">
      <alignment horizontal="center" vertical="center"/>
    </xf>
    <xf numFmtId="165" fontId="15" fillId="0" borderId="34" xfId="5" applyNumberFormat="1" applyFill="1" applyBorder="1" applyAlignment="1">
      <alignment horizontal="center"/>
    </xf>
    <xf numFmtId="0" fontId="15" fillId="4" borderId="34" xfId="2" applyNumberFormat="1" applyBorder="1" applyAlignment="1">
      <alignment horizontal="center" vertical="center"/>
    </xf>
    <xf numFmtId="2" fontId="15" fillId="4" borderId="34" xfId="2" applyNumberFormat="1" applyBorder="1" applyAlignment="1">
      <alignment horizontal="center" vertical="center"/>
    </xf>
    <xf numFmtId="165" fontId="15" fillId="4" borderId="34" xfId="2" applyNumberFormat="1" applyBorder="1" applyAlignment="1">
      <alignment horizontal="center" vertical="center"/>
    </xf>
    <xf numFmtId="165" fontId="15" fillId="4" borderId="36" xfId="2" applyNumberFormat="1" applyBorder="1" applyAlignment="1">
      <alignment horizontal="center" vertical="center"/>
    </xf>
    <xf numFmtId="165" fontId="15" fillId="4" borderId="34" xfId="2" applyNumberFormat="1" applyBorder="1" applyAlignment="1">
      <alignment horizontal="center"/>
    </xf>
    <xf numFmtId="0" fontId="15" fillId="4" borderId="38" xfId="2" applyNumberFormat="1" applyBorder="1" applyAlignment="1">
      <alignment horizontal="center" vertical="center"/>
    </xf>
    <xf numFmtId="2" fontId="15" fillId="4" borderId="38" xfId="2" applyNumberFormat="1" applyBorder="1" applyAlignment="1">
      <alignment horizontal="center" vertical="center"/>
    </xf>
    <xf numFmtId="165" fontId="15" fillId="4" borderId="38" xfId="2" applyNumberFormat="1" applyBorder="1" applyAlignment="1">
      <alignment horizontal="center" vertical="center"/>
    </xf>
    <xf numFmtId="165" fontId="15" fillId="4" borderId="39" xfId="2" applyNumberFormat="1" applyBorder="1" applyAlignment="1">
      <alignment horizontal="center" vertical="center"/>
    </xf>
    <xf numFmtId="165" fontId="15" fillId="4" borderId="38" xfId="2" applyNumberFormat="1" applyBorder="1" applyAlignment="1">
      <alignment horizontal="center"/>
    </xf>
    <xf numFmtId="0" fontId="15" fillId="4" borderId="25" xfId="2" applyNumberFormat="1" applyBorder="1" applyAlignment="1">
      <alignment horizontal="center" vertical="center"/>
    </xf>
    <xf numFmtId="2" fontId="15" fillId="4" borderId="25" xfId="2" applyNumberFormat="1" applyBorder="1" applyAlignment="1">
      <alignment horizontal="center" vertical="center"/>
    </xf>
    <xf numFmtId="165" fontId="15" fillId="4" borderId="25" xfId="2" applyNumberFormat="1" applyBorder="1" applyAlignment="1">
      <alignment horizontal="center" vertical="center"/>
    </xf>
    <xf numFmtId="165" fontId="15" fillId="4" borderId="42" xfId="2" applyNumberFormat="1" applyBorder="1" applyAlignment="1">
      <alignment horizontal="center" vertical="center"/>
    </xf>
    <xf numFmtId="165" fontId="15" fillId="4" borderId="25" xfId="2" applyNumberFormat="1" applyBorder="1" applyAlignment="1">
      <alignment horizontal="center"/>
    </xf>
    <xf numFmtId="0" fontId="15" fillId="0" borderId="26" xfId="5" applyNumberFormat="1" applyFill="1" applyBorder="1" applyAlignment="1">
      <alignment horizontal="center" vertical="center"/>
    </xf>
    <xf numFmtId="2" fontId="15" fillId="0" borderId="26" xfId="5" applyNumberFormat="1" applyFill="1" applyBorder="1" applyAlignment="1">
      <alignment horizontal="center" vertical="center"/>
    </xf>
    <xf numFmtId="165" fontId="15" fillId="0" borderId="26" xfId="5" applyNumberFormat="1" applyFill="1" applyBorder="1" applyAlignment="1">
      <alignment horizontal="center" vertical="center"/>
    </xf>
    <xf numFmtId="165" fontId="15" fillId="0" borderId="26" xfId="5" applyNumberFormat="1" applyFill="1" applyBorder="1" applyAlignment="1">
      <alignment horizontal="center"/>
    </xf>
    <xf numFmtId="0" fontId="15" fillId="0" borderId="38" xfId="2" applyNumberFormat="1" applyFill="1" applyBorder="1" applyAlignment="1">
      <alignment horizontal="center" vertical="center"/>
    </xf>
    <xf numFmtId="2" fontId="15" fillId="0" borderId="38" xfId="2" applyNumberFormat="1" applyFill="1" applyBorder="1" applyAlignment="1">
      <alignment horizontal="center" vertical="center"/>
    </xf>
    <xf numFmtId="165" fontId="15" fillId="0" borderId="38" xfId="2" applyNumberFormat="1" applyFill="1" applyBorder="1" applyAlignment="1">
      <alignment horizontal="center" vertical="center"/>
    </xf>
    <xf numFmtId="165" fontId="15" fillId="0" borderId="38" xfId="2" applyNumberFormat="1" applyFill="1" applyBorder="1" applyAlignment="1">
      <alignment horizontal="center"/>
    </xf>
    <xf numFmtId="165" fontId="15" fillId="0" borderId="35" xfId="5" applyNumberFormat="1" applyFill="1" applyBorder="1" applyAlignment="1">
      <alignment horizontal="center" vertical="center"/>
    </xf>
    <xf numFmtId="165" fontId="15" fillId="0" borderId="39" xfId="2" applyNumberFormat="1" applyFill="1" applyBorder="1" applyAlignment="1">
      <alignment horizontal="center" vertical="center"/>
    </xf>
    <xf numFmtId="0" fontId="15" fillId="0" borderId="25" xfId="2" applyNumberFormat="1" applyFill="1" applyBorder="1" applyAlignment="1">
      <alignment horizontal="center" vertical="center"/>
    </xf>
    <xf numFmtId="2" fontId="15" fillId="0" borderId="25" xfId="2" applyNumberFormat="1" applyFill="1" applyBorder="1" applyAlignment="1">
      <alignment horizontal="center" vertical="center"/>
    </xf>
    <xf numFmtId="0" fontId="13" fillId="4" borderId="25" xfId="2" applyNumberFormat="1" applyFont="1" applyBorder="1" applyAlignment="1">
      <alignment horizontal="center" vertical="center"/>
    </xf>
    <xf numFmtId="0" fontId="11" fillId="4" borderId="25" xfId="2" applyNumberFormat="1" applyFont="1" applyBorder="1" applyAlignment="1">
      <alignment horizontal="center" vertical="center"/>
    </xf>
    <xf numFmtId="0" fontId="21" fillId="0" borderId="25" xfId="0" applyNumberFormat="1" applyFont="1" applyBorder="1" applyAlignment="1"/>
    <xf numFmtId="0" fontId="10" fillId="0" borderId="26" xfId="4" applyNumberFormat="1" applyFont="1" applyFill="1" applyBorder="1" applyAlignment="1">
      <alignment horizontal="center" vertical="center"/>
    </xf>
    <xf numFmtId="0" fontId="27" fillId="0" borderId="25" xfId="0" applyNumberFormat="1" applyFont="1" applyBorder="1" applyAlignment="1">
      <alignment horizontal="right" vertical="center"/>
    </xf>
    <xf numFmtId="0" fontId="15" fillId="0" borderId="34" xfId="2" applyNumberFormat="1" applyFill="1" applyBorder="1" applyAlignment="1">
      <alignment horizontal="center" vertical="center"/>
    </xf>
    <xf numFmtId="2" fontId="15" fillId="0" borderId="34" xfId="2" applyNumberFormat="1" applyFill="1" applyBorder="1" applyAlignment="1">
      <alignment horizontal="center" vertical="center"/>
    </xf>
    <xf numFmtId="165" fontId="15" fillId="0" borderId="34" xfId="2" applyNumberFormat="1" applyFill="1" applyBorder="1" applyAlignment="1">
      <alignment horizontal="center" vertical="center"/>
    </xf>
    <xf numFmtId="165" fontId="15" fillId="0" borderId="36" xfId="2" applyNumberFormat="1" applyFill="1" applyBorder="1" applyAlignment="1">
      <alignment horizontal="center" vertical="center"/>
    </xf>
    <xf numFmtId="165" fontId="15" fillId="0" borderId="34" xfId="2" applyNumberFormat="1" applyFill="1" applyBorder="1" applyAlignment="1">
      <alignment horizontal="center"/>
    </xf>
    <xf numFmtId="0" fontId="10" fillId="0" borderId="25" xfId="2" applyNumberFormat="1" applyFont="1" applyFill="1" applyBorder="1" applyAlignment="1">
      <alignment horizontal="center" vertical="center"/>
    </xf>
    <xf numFmtId="165" fontId="15" fillId="0" borderId="25" xfId="2" applyNumberFormat="1" applyFill="1" applyBorder="1" applyAlignment="1">
      <alignment horizontal="center" vertical="center"/>
    </xf>
    <xf numFmtId="165" fontId="15" fillId="0" borderId="42" xfId="2" applyNumberFormat="1" applyFill="1" applyBorder="1" applyAlignment="1">
      <alignment horizontal="center" vertical="center"/>
    </xf>
    <xf numFmtId="165" fontId="15" fillId="0" borderId="25" xfId="2" applyNumberFormat="1" applyFill="1" applyBorder="1" applyAlignment="1">
      <alignment horizontal="center"/>
    </xf>
    <xf numFmtId="0" fontId="15" fillId="0" borderId="38" xfId="3" applyNumberFormat="1" applyFill="1" applyBorder="1" applyAlignment="1">
      <alignment horizontal="center" vertical="center"/>
    </xf>
    <xf numFmtId="2" fontId="15" fillId="0" borderId="38" xfId="3" applyNumberFormat="1" applyFill="1" applyBorder="1" applyAlignment="1">
      <alignment horizontal="center" vertical="center"/>
    </xf>
    <xf numFmtId="165" fontId="15" fillId="0" borderId="38" xfId="3" applyNumberFormat="1" applyFill="1" applyBorder="1" applyAlignment="1">
      <alignment horizontal="center" vertical="center"/>
    </xf>
    <xf numFmtId="165" fontId="15" fillId="0" borderId="39" xfId="3" applyNumberFormat="1" applyFill="1" applyBorder="1" applyAlignment="1">
      <alignment horizontal="center" vertical="center"/>
    </xf>
    <xf numFmtId="165" fontId="15" fillId="0" borderId="38" xfId="3" applyNumberFormat="1" applyFill="1" applyBorder="1" applyAlignment="1">
      <alignment horizontal="center"/>
    </xf>
    <xf numFmtId="0" fontId="10" fillId="0" borderId="25" xfId="4" applyNumberFormat="1" applyFont="1" applyFill="1" applyBorder="1" applyAlignment="1">
      <alignment horizontal="center" vertical="center"/>
    </xf>
    <xf numFmtId="0" fontId="14" fillId="0" borderId="34" xfId="7" applyNumberFormat="1" applyFill="1" applyBorder="1" applyAlignment="1">
      <alignment horizontal="center" vertical="center"/>
    </xf>
    <xf numFmtId="2" fontId="14" fillId="0" borderId="34" xfId="7" applyNumberFormat="1" applyFill="1" applyBorder="1" applyAlignment="1">
      <alignment horizontal="center" vertical="center"/>
    </xf>
    <xf numFmtId="165" fontId="14" fillId="0" borderId="34" xfId="7" applyNumberFormat="1" applyFill="1" applyBorder="1" applyAlignment="1">
      <alignment horizontal="center" vertical="center"/>
    </xf>
    <xf numFmtId="165" fontId="14" fillId="0" borderId="36" xfId="7" applyNumberFormat="1" applyFill="1" applyBorder="1" applyAlignment="1">
      <alignment horizontal="center" vertical="center"/>
    </xf>
    <xf numFmtId="165" fontId="14" fillId="0" borderId="34" xfId="7" applyNumberFormat="1" applyFill="1" applyBorder="1" applyAlignment="1">
      <alignment horizontal="center"/>
    </xf>
    <xf numFmtId="0" fontId="15" fillId="0" borderId="34" xfId="1" applyNumberFormat="1" applyFill="1" applyBorder="1" applyAlignment="1">
      <alignment horizontal="center" vertical="center"/>
    </xf>
    <xf numFmtId="2" fontId="15" fillId="0" borderId="34" xfId="1" applyNumberFormat="1" applyFill="1" applyBorder="1" applyAlignment="1">
      <alignment horizontal="center" vertical="center"/>
    </xf>
    <xf numFmtId="165" fontId="15" fillId="0" borderId="34" xfId="1" applyNumberFormat="1" applyFill="1" applyBorder="1" applyAlignment="1">
      <alignment horizontal="center" vertical="center"/>
    </xf>
    <xf numFmtId="165" fontId="15" fillId="0" borderId="36" xfId="1" applyNumberFormat="1" applyFill="1" applyBorder="1" applyAlignment="1">
      <alignment horizontal="center" vertical="center"/>
    </xf>
    <xf numFmtId="165" fontId="15" fillId="0" borderId="34" xfId="1" applyNumberFormat="1" applyFill="1" applyBorder="1" applyAlignment="1">
      <alignment horizontal="center"/>
    </xf>
    <xf numFmtId="167" fontId="0" fillId="0" borderId="25" xfId="0" applyNumberFormat="1" applyFont="1" applyBorder="1" applyAlignment="1">
      <alignment horizontal="center"/>
    </xf>
    <xf numFmtId="167" fontId="19" fillId="0" borderId="42" xfId="0" applyNumberFormat="1" applyFont="1" applyFill="1" applyBorder="1" applyAlignment="1">
      <alignment horizontal="center" vertical="center"/>
    </xf>
    <xf numFmtId="167" fontId="19" fillId="0" borderId="25" xfId="0" applyNumberFormat="1" applyFont="1" applyFill="1" applyBorder="1" applyAlignment="1">
      <alignment horizontal="center" vertical="center"/>
    </xf>
    <xf numFmtId="167" fontId="19" fillId="0" borderId="1" xfId="0" applyNumberFormat="1" applyFont="1" applyFill="1" applyBorder="1" applyAlignment="1">
      <alignment horizontal="center" vertical="center"/>
    </xf>
    <xf numFmtId="167" fontId="0" fillId="0" borderId="25" xfId="0" applyNumberFormat="1" applyBorder="1" applyAlignment="1">
      <alignment horizontal="center"/>
    </xf>
    <xf numFmtId="167" fontId="22" fillId="0" borderId="25" xfId="0" applyNumberFormat="1" applyFont="1" applyBorder="1" applyAlignment="1">
      <alignment horizontal="center"/>
    </xf>
    <xf numFmtId="167" fontId="0" fillId="0" borderId="25" xfId="0" applyNumberFormat="1" applyFont="1" applyFill="1" applyBorder="1" applyAlignment="1">
      <alignment horizontal="center"/>
    </xf>
    <xf numFmtId="167" fontId="26" fillId="10" borderId="25" xfId="8" applyNumberFormat="1" applyBorder="1" applyAlignment="1">
      <alignment horizontal="center"/>
    </xf>
    <xf numFmtId="0" fontId="26" fillId="10" borderId="25" xfId="8" applyNumberFormat="1" applyBorder="1" applyAlignment="1">
      <alignment horizontal="center"/>
    </xf>
    <xf numFmtId="166" fontId="26" fillId="10" borderId="26" xfId="8" applyNumberFormat="1" applyBorder="1" applyAlignment="1">
      <alignment horizontal="center" vertical="center"/>
    </xf>
    <xf numFmtId="165" fontId="26" fillId="10" borderId="25" xfId="8" applyNumberFormat="1" applyBorder="1" applyAlignment="1">
      <alignment horizontal="center"/>
    </xf>
    <xf numFmtId="165" fontId="26" fillId="10" borderId="38" xfId="8" applyNumberFormat="1" applyBorder="1" applyAlignment="1">
      <alignment horizontal="center"/>
    </xf>
    <xf numFmtId="165" fontId="26" fillId="10" borderId="26" xfId="8" applyNumberFormat="1" applyBorder="1" applyAlignment="1">
      <alignment horizontal="center"/>
    </xf>
    <xf numFmtId="165" fontId="26" fillId="10" borderId="34" xfId="8" applyNumberFormat="1" applyBorder="1" applyAlignment="1">
      <alignment horizontal="center"/>
    </xf>
    <xf numFmtId="0" fontId="15" fillId="0" borderId="25" xfId="3" applyNumberFormat="1" applyFill="1" applyBorder="1" applyAlignment="1">
      <alignment horizontal="center" vertical="center"/>
    </xf>
    <xf numFmtId="2" fontId="15" fillId="0" borderId="25" xfId="3" applyNumberFormat="1" applyFill="1" applyBorder="1" applyAlignment="1">
      <alignment horizontal="center" vertical="center"/>
    </xf>
    <xf numFmtId="165" fontId="15" fillId="0" borderId="25" xfId="3" applyNumberFormat="1" applyFill="1" applyBorder="1" applyAlignment="1">
      <alignment horizontal="center" vertical="center"/>
    </xf>
    <xf numFmtId="165" fontId="15" fillId="0" borderId="42" xfId="3" applyNumberFormat="1" applyFill="1" applyBorder="1" applyAlignment="1">
      <alignment horizontal="center" vertical="center"/>
    </xf>
    <xf numFmtId="165" fontId="15" fillId="0" borderId="25" xfId="3" applyNumberFormat="1" applyFill="1" applyBorder="1" applyAlignment="1">
      <alignment horizontal="center"/>
    </xf>
    <xf numFmtId="0" fontId="15" fillId="3" borderId="38" xfId="1" applyNumberFormat="1" applyBorder="1" applyAlignment="1">
      <alignment horizontal="center" vertical="center"/>
    </xf>
    <xf numFmtId="2" fontId="15" fillId="3" borderId="38" xfId="1" applyNumberFormat="1" applyBorder="1" applyAlignment="1">
      <alignment horizontal="center" vertical="center"/>
    </xf>
    <xf numFmtId="165" fontId="15" fillId="3" borderId="38" xfId="1" applyNumberFormat="1" applyBorder="1" applyAlignment="1">
      <alignment horizontal="center" vertical="center"/>
    </xf>
    <xf numFmtId="165" fontId="15" fillId="3" borderId="39" xfId="1" applyNumberFormat="1" applyBorder="1" applyAlignment="1">
      <alignment horizontal="center" vertical="center"/>
    </xf>
    <xf numFmtId="165" fontId="15" fillId="3" borderId="38" xfId="1" applyNumberFormat="1" applyBorder="1" applyAlignment="1">
      <alignment horizontal="center"/>
    </xf>
    <xf numFmtId="2" fontId="15" fillId="5" borderId="38" xfId="3" applyNumberFormat="1" applyBorder="1" applyAlignment="1">
      <alignment horizontal="center" vertical="center"/>
    </xf>
    <xf numFmtId="165" fontId="15" fillId="5" borderId="38" xfId="3" applyNumberFormat="1" applyBorder="1" applyAlignment="1">
      <alignment horizontal="center" vertical="center"/>
    </xf>
    <xf numFmtId="0" fontId="15" fillId="3" borderId="34" xfId="1" applyNumberFormat="1" applyBorder="1" applyAlignment="1">
      <alignment horizontal="center" vertical="center"/>
    </xf>
    <xf numFmtId="2" fontId="15" fillId="3" borderId="34" xfId="1" applyNumberFormat="1" applyBorder="1" applyAlignment="1">
      <alignment horizontal="center" vertical="center"/>
    </xf>
    <xf numFmtId="165" fontId="15" fillId="3" borderId="34" xfId="1" applyNumberFormat="1" applyBorder="1" applyAlignment="1">
      <alignment horizontal="center" vertical="center"/>
    </xf>
    <xf numFmtId="165" fontId="15" fillId="3" borderId="36" xfId="1" applyNumberFormat="1" applyBorder="1" applyAlignment="1">
      <alignment horizontal="center" vertical="center"/>
    </xf>
    <xf numFmtId="165" fontId="15" fillId="3" borderId="34" xfId="1" applyNumberFormat="1" applyBorder="1" applyAlignment="1">
      <alignment horizontal="center"/>
    </xf>
    <xf numFmtId="167" fontId="19" fillId="0" borderId="25" xfId="0" applyNumberFormat="1" applyFont="1" applyBorder="1" applyAlignment="1">
      <alignment horizontal="center"/>
    </xf>
    <xf numFmtId="0" fontId="15" fillId="0" borderId="34" xfId="3" applyNumberFormat="1" applyFill="1" applyBorder="1" applyAlignment="1">
      <alignment horizontal="center" vertical="center"/>
    </xf>
    <xf numFmtId="2" fontId="15" fillId="0" borderId="34" xfId="3" applyNumberFormat="1" applyFill="1" applyBorder="1" applyAlignment="1">
      <alignment horizontal="center" vertical="center"/>
    </xf>
    <xf numFmtId="165" fontId="15" fillId="0" borderId="34" xfId="3" applyNumberFormat="1" applyFill="1" applyBorder="1" applyAlignment="1">
      <alignment horizontal="center" vertical="center"/>
    </xf>
    <xf numFmtId="165" fontId="15" fillId="0" borderId="36" xfId="3" applyNumberFormat="1" applyFill="1" applyBorder="1" applyAlignment="1">
      <alignment horizontal="center" vertical="center"/>
    </xf>
    <xf numFmtId="165" fontId="15" fillId="0" borderId="34" xfId="3" applyNumberFormat="1" applyFill="1" applyBorder="1" applyAlignment="1">
      <alignment horizontal="center"/>
    </xf>
    <xf numFmtId="165" fontId="9" fillId="0" borderId="25" xfId="2" applyNumberFormat="1" applyFont="1" applyFill="1" applyBorder="1" applyAlignment="1">
      <alignment horizont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 vertical="center"/>
    </xf>
    <xf numFmtId="165" fontId="24" fillId="0" borderId="0" xfId="0" applyNumberFormat="1" applyFont="1" applyFill="1" applyAlignment="1">
      <alignment horizontal="center" vertical="center"/>
    </xf>
    <xf numFmtId="2" fontId="15" fillId="3" borderId="25" xfId="1" applyNumberFormat="1" applyBorder="1" applyAlignment="1">
      <alignment horizontal="center" vertical="center"/>
    </xf>
    <xf numFmtId="165" fontId="15" fillId="3" borderId="25" xfId="1" applyNumberFormat="1" applyBorder="1" applyAlignment="1">
      <alignment horizontal="center" vertical="center"/>
    </xf>
    <xf numFmtId="165" fontId="15" fillId="3" borderId="25" xfId="1" applyNumberFormat="1" applyBorder="1" applyAlignment="1">
      <alignment horizontal="center"/>
    </xf>
    <xf numFmtId="0" fontId="7" fillId="3" borderId="25" xfId="1" applyNumberFormat="1" applyFont="1" applyBorder="1" applyAlignment="1">
      <alignment horizontal="center" vertical="center"/>
    </xf>
    <xf numFmtId="0" fontId="8" fillId="0" borderId="38" xfId="3" applyNumberFormat="1" applyFont="1" applyFill="1" applyBorder="1" applyAlignment="1">
      <alignment horizontal="center" vertical="center"/>
    </xf>
    <xf numFmtId="167" fontId="28" fillId="11" borderId="25" xfId="9" applyNumberFormat="1" applyBorder="1" applyAlignment="1">
      <alignment horizontal="center"/>
    </xf>
    <xf numFmtId="0" fontId="28" fillId="11" borderId="25" xfId="9" applyNumberFormat="1" applyBorder="1" applyAlignment="1">
      <alignment horizontal="center"/>
    </xf>
    <xf numFmtId="166" fontId="28" fillId="11" borderId="26" xfId="9" applyNumberFormat="1" applyBorder="1" applyAlignment="1">
      <alignment horizontal="center" vertical="center"/>
    </xf>
    <xf numFmtId="165" fontId="28" fillId="11" borderId="25" xfId="9" applyNumberFormat="1" applyBorder="1" applyAlignment="1">
      <alignment horizontal="center"/>
    </xf>
    <xf numFmtId="165" fontId="28" fillId="11" borderId="38" xfId="9" applyNumberFormat="1" applyBorder="1" applyAlignment="1">
      <alignment horizontal="center"/>
    </xf>
    <xf numFmtId="165" fontId="28" fillId="11" borderId="26" xfId="9" applyNumberFormat="1" applyBorder="1" applyAlignment="1">
      <alignment horizontal="center"/>
    </xf>
    <xf numFmtId="165" fontId="28" fillId="11" borderId="34" xfId="9" applyNumberFormat="1" applyBorder="1" applyAlignment="1">
      <alignment horizontal="center"/>
    </xf>
    <xf numFmtId="165" fontId="12" fillId="0" borderId="26" xfId="5" applyNumberFormat="1" applyFont="1" applyFill="1" applyBorder="1" applyAlignment="1">
      <alignment horizontal="center"/>
    </xf>
    <xf numFmtId="0" fontId="15" fillId="5" borderId="38" xfId="3" applyNumberFormat="1" applyBorder="1" applyAlignment="1">
      <alignment horizontal="center" vertical="center"/>
    </xf>
    <xf numFmtId="165" fontId="15" fillId="5" borderId="38" xfId="3" applyNumberFormat="1" applyBorder="1" applyAlignment="1">
      <alignment horizontal="center"/>
    </xf>
    <xf numFmtId="165" fontId="26" fillId="0" borderId="34" xfId="8" applyNumberFormat="1" applyFill="1" applyBorder="1" applyAlignment="1">
      <alignment horizontal="center"/>
    </xf>
    <xf numFmtId="165" fontId="26" fillId="0" borderId="38" xfId="8" applyNumberFormat="1" applyFill="1" applyBorder="1" applyAlignment="1">
      <alignment horizontal="center"/>
    </xf>
    <xf numFmtId="165" fontId="26" fillId="0" borderId="26" xfId="8" applyNumberFormat="1" applyFill="1" applyBorder="1" applyAlignment="1">
      <alignment horizontal="center"/>
    </xf>
    <xf numFmtId="16" fontId="0" fillId="0" borderId="25" xfId="0" applyNumberFormat="1" applyFont="1" applyBorder="1" applyAlignment="1">
      <alignment horizontal="center"/>
    </xf>
    <xf numFmtId="165" fontId="26" fillId="0" borderId="25" xfId="8" applyNumberFormat="1" applyFill="1" applyBorder="1" applyAlignment="1">
      <alignment horizont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 vertical="center"/>
    </xf>
    <xf numFmtId="0" fontId="14" fillId="9" borderId="34" xfId="7" applyNumberFormat="1" applyBorder="1" applyAlignment="1">
      <alignment horizontal="center" vertical="center"/>
    </xf>
    <xf numFmtId="2" fontId="14" fillId="9" borderId="34" xfId="7" applyNumberFormat="1" applyBorder="1" applyAlignment="1">
      <alignment horizontal="center" vertical="center"/>
    </xf>
    <xf numFmtId="165" fontId="14" fillId="9" borderId="34" xfId="7" applyNumberFormat="1" applyBorder="1" applyAlignment="1">
      <alignment horizontal="center" vertical="center"/>
    </xf>
    <xf numFmtId="165" fontId="14" fillId="9" borderId="36" xfId="7" applyNumberFormat="1" applyBorder="1" applyAlignment="1">
      <alignment horizontal="center" vertical="center"/>
    </xf>
    <xf numFmtId="165" fontId="14" fillId="9" borderId="34" xfId="7" applyNumberFormat="1" applyBorder="1" applyAlignment="1">
      <alignment horizontal="center"/>
    </xf>
    <xf numFmtId="0" fontId="15" fillId="3" borderId="25" xfId="1" applyNumberFormat="1" applyBorder="1" applyAlignment="1">
      <alignment horizontal="center" vertical="center"/>
    </xf>
    <xf numFmtId="165" fontId="15" fillId="3" borderId="42" xfId="1" applyNumberFormat="1" applyBorder="1" applyAlignment="1">
      <alignment horizontal="center" vertical="center"/>
    </xf>
    <xf numFmtId="0" fontId="15" fillId="0" borderId="64" xfId="4" applyNumberFormat="1" applyFill="1" applyBorder="1" applyAlignment="1">
      <alignment horizontal="center" vertical="center"/>
    </xf>
    <xf numFmtId="0" fontId="10" fillId="0" borderId="64" xfId="4" applyNumberFormat="1" applyFont="1" applyFill="1" applyBorder="1" applyAlignment="1">
      <alignment horizontal="center" vertical="center"/>
    </xf>
    <xf numFmtId="2" fontId="15" fillId="0" borderId="64" xfId="4" applyNumberFormat="1" applyFill="1" applyBorder="1" applyAlignment="1">
      <alignment horizontal="center" vertical="center"/>
    </xf>
    <xf numFmtId="165" fontId="15" fillId="0" borderId="64" xfId="4" applyNumberFormat="1" applyFill="1" applyBorder="1" applyAlignment="1">
      <alignment horizontal="center" vertical="center"/>
    </xf>
    <xf numFmtId="165" fontId="15" fillId="0" borderId="65" xfId="4" applyNumberFormat="1" applyFill="1" applyBorder="1" applyAlignment="1">
      <alignment horizontal="center" vertical="center"/>
    </xf>
    <xf numFmtId="165" fontId="15" fillId="0" borderId="64" xfId="4" applyNumberFormat="1" applyFill="1" applyBorder="1" applyAlignment="1">
      <alignment horizontal="center"/>
    </xf>
    <xf numFmtId="165" fontId="23" fillId="8" borderId="64" xfId="6" applyNumberFormat="1" applyBorder="1" applyAlignment="1">
      <alignment horizontal="center"/>
    </xf>
    <xf numFmtId="165" fontId="26" fillId="10" borderId="64" xfId="8" applyNumberFormat="1" applyBorder="1" applyAlignment="1">
      <alignment horizontal="center"/>
    </xf>
    <xf numFmtId="165" fontId="28" fillId="11" borderId="64" xfId="9" applyNumberFormat="1" applyBorder="1" applyAlignment="1">
      <alignment horizontal="center"/>
    </xf>
    <xf numFmtId="0" fontId="15" fillId="0" borderId="25" xfId="1" applyNumberFormat="1" applyFill="1" applyBorder="1" applyAlignment="1">
      <alignment horizontal="center" vertical="center"/>
    </xf>
    <xf numFmtId="2" fontId="15" fillId="0" borderId="25" xfId="1" applyNumberFormat="1" applyFill="1" applyBorder="1" applyAlignment="1">
      <alignment horizontal="center" vertical="center"/>
    </xf>
    <xf numFmtId="165" fontId="15" fillId="0" borderId="25" xfId="1" applyNumberFormat="1" applyFill="1" applyBorder="1" applyAlignment="1">
      <alignment horizontal="center" vertical="center"/>
    </xf>
    <xf numFmtId="165" fontId="15" fillId="0" borderId="42" xfId="1" applyNumberFormat="1" applyFill="1" applyBorder="1" applyAlignment="1">
      <alignment horizontal="center" vertical="center"/>
    </xf>
    <xf numFmtId="165" fontId="15" fillId="0" borderId="25" xfId="1" applyNumberFormat="1" applyFill="1" applyBorder="1" applyAlignment="1">
      <alignment horizontal="center"/>
    </xf>
    <xf numFmtId="0" fontId="19" fillId="0" borderId="45" xfId="0" applyNumberFormat="1" applyFont="1" applyFill="1" applyBorder="1" applyAlignment="1">
      <alignment horizontal="center" vertical="center"/>
    </xf>
    <xf numFmtId="166" fontId="19" fillId="0" borderId="45" xfId="0" applyNumberFormat="1" applyFont="1" applyFill="1" applyBorder="1" applyAlignment="1">
      <alignment horizontal="center" vertical="center"/>
    </xf>
    <xf numFmtId="165" fontId="15" fillId="5" borderId="66" xfId="3" applyNumberFormat="1" applyBorder="1" applyAlignment="1">
      <alignment horizontal="center" vertical="center"/>
    </xf>
    <xf numFmtId="165" fontId="15" fillId="0" borderId="66" xfId="3" applyNumberFormat="1" applyFill="1" applyBorder="1" applyAlignment="1">
      <alignment horizontal="center" vertical="center"/>
    </xf>
    <xf numFmtId="165" fontId="15" fillId="4" borderId="45" xfId="2" applyNumberFormat="1" applyBorder="1" applyAlignment="1">
      <alignment horizontal="center" vertical="center"/>
    </xf>
    <xf numFmtId="165" fontId="15" fillId="0" borderId="47" xfId="4" applyNumberFormat="1" applyFill="1" applyBorder="1" applyAlignment="1">
      <alignment horizontal="center" vertical="center"/>
    </xf>
    <xf numFmtId="165" fontId="15" fillId="0" borderId="67" xfId="5" applyNumberFormat="1" applyFill="1" applyBorder="1" applyAlignment="1">
      <alignment horizontal="center" vertical="center"/>
    </xf>
    <xf numFmtId="165" fontId="15" fillId="0" borderId="66" xfId="2" applyNumberFormat="1" applyFill="1" applyBorder="1" applyAlignment="1">
      <alignment horizontal="center" vertical="center"/>
    </xf>
    <xf numFmtId="165" fontId="15" fillId="4" borderId="66" xfId="2" applyNumberFormat="1" applyBorder="1" applyAlignment="1">
      <alignment horizontal="center" vertical="center"/>
    </xf>
    <xf numFmtId="165" fontId="15" fillId="4" borderId="67" xfId="2" applyNumberFormat="1" applyBorder="1" applyAlignment="1">
      <alignment horizontal="center" vertical="center"/>
    </xf>
    <xf numFmtId="165" fontId="15" fillId="0" borderId="67" xfId="3" applyNumberFormat="1" applyFill="1" applyBorder="1" applyAlignment="1">
      <alignment horizontal="center" vertical="center"/>
    </xf>
    <xf numFmtId="165" fontId="14" fillId="0" borderId="67" xfId="7" applyNumberFormat="1" applyFill="1" applyBorder="1" applyAlignment="1">
      <alignment horizontal="center" vertical="center"/>
    </xf>
    <xf numFmtId="165" fontId="15" fillId="0" borderId="67" xfId="1" applyNumberFormat="1" applyFill="1" applyBorder="1" applyAlignment="1">
      <alignment horizontal="center" vertical="center"/>
    </xf>
    <xf numFmtId="165" fontId="15" fillId="0" borderId="66" xfId="1" applyNumberFormat="1" applyFill="1" applyBorder="1" applyAlignment="1">
      <alignment horizontal="center" vertical="center"/>
    </xf>
    <xf numFmtId="165" fontId="15" fillId="0" borderId="47" xfId="5" applyNumberFormat="1" applyFill="1" applyBorder="1" applyAlignment="1">
      <alignment horizontal="center" vertical="center"/>
    </xf>
    <xf numFmtId="165" fontId="15" fillId="3" borderId="67" xfId="1" applyNumberFormat="1" applyBorder="1" applyAlignment="1">
      <alignment horizontal="center" vertical="center"/>
    </xf>
    <xf numFmtId="165" fontId="15" fillId="3" borderId="66" xfId="1" applyNumberFormat="1" applyBorder="1" applyAlignment="1">
      <alignment horizontal="center" vertical="center"/>
    </xf>
    <xf numFmtId="165" fontId="15" fillId="0" borderId="67" xfId="2" applyNumberFormat="1" applyFill="1" applyBorder="1" applyAlignment="1">
      <alignment horizontal="center" vertical="center"/>
    </xf>
    <xf numFmtId="165" fontId="14" fillId="9" borderId="67" xfId="7" applyNumberFormat="1" applyBorder="1" applyAlignment="1">
      <alignment horizontal="center" vertical="center"/>
    </xf>
    <xf numFmtId="165" fontId="15" fillId="6" borderId="47" xfId="4" applyNumberFormat="1" applyBorder="1" applyAlignment="1">
      <alignment horizontal="center" vertical="center"/>
    </xf>
    <xf numFmtId="165" fontId="15" fillId="3" borderId="45" xfId="1" applyNumberFormat="1" applyBorder="1" applyAlignment="1">
      <alignment horizontal="center" vertical="center"/>
    </xf>
    <xf numFmtId="165" fontId="15" fillId="0" borderId="68" xfId="4" applyNumberFormat="1" applyFill="1" applyBorder="1" applyAlignment="1">
      <alignment horizontal="center" vertical="center"/>
    </xf>
    <xf numFmtId="165" fontId="15" fillId="0" borderId="45" xfId="4" applyNumberFormat="1" applyFill="1" applyBorder="1" applyAlignment="1">
      <alignment horizontal="center" vertical="center"/>
    </xf>
    <xf numFmtId="165" fontId="15" fillId="0" borderId="45" xfId="2" applyNumberFormat="1" applyFill="1" applyBorder="1" applyAlignment="1">
      <alignment horizontal="center" vertical="center"/>
    </xf>
    <xf numFmtId="165" fontId="15" fillId="6" borderId="45" xfId="4" applyNumberFormat="1" applyBorder="1" applyAlignment="1">
      <alignment horizontal="center" vertical="center"/>
    </xf>
    <xf numFmtId="165" fontId="0" fillId="0" borderId="45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6" fillId="6" borderId="26" xfId="4" applyNumberFormat="1" applyFont="1" applyBorder="1" applyAlignment="1">
      <alignment horizontal="center" vertical="center"/>
    </xf>
    <xf numFmtId="0" fontId="14" fillId="12" borderId="25" xfId="7" applyNumberFormat="1" applyFill="1" applyBorder="1" applyAlignment="1">
      <alignment horizontal="center" vertical="center"/>
    </xf>
    <xf numFmtId="164" fontId="14" fillId="12" borderId="25" xfId="7" applyNumberFormat="1" applyFill="1" applyBorder="1" applyAlignment="1">
      <alignment horizontal="center" vertical="center"/>
    </xf>
    <xf numFmtId="165" fontId="14" fillId="12" borderId="25" xfId="7" applyNumberFormat="1" applyFill="1" applyBorder="1" applyAlignment="1">
      <alignment horizontal="center" vertical="center"/>
    </xf>
    <xf numFmtId="165" fontId="14" fillId="12" borderId="42" xfId="7" applyNumberFormat="1" applyFill="1" applyBorder="1" applyAlignment="1">
      <alignment horizontal="center" vertical="center"/>
    </xf>
    <xf numFmtId="165" fontId="14" fillId="12" borderId="25" xfId="7" applyNumberFormat="1" applyFill="1" applyBorder="1" applyAlignment="1">
      <alignment horizontal="center"/>
    </xf>
    <xf numFmtId="165" fontId="14" fillId="12" borderId="45" xfId="7" applyNumberForma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15" fillId="0" borderId="26" xfId="1" applyNumberFormat="1" applyFill="1" applyBorder="1" applyAlignment="1">
      <alignment horizontal="center" vertical="center"/>
    </xf>
    <xf numFmtId="2" fontId="15" fillId="0" borderId="26" xfId="1" applyNumberFormat="1" applyFill="1" applyBorder="1" applyAlignment="1">
      <alignment horizontal="center" vertical="center"/>
    </xf>
    <xf numFmtId="165" fontId="15" fillId="0" borderId="26" xfId="1" applyNumberFormat="1" applyFill="1" applyBorder="1" applyAlignment="1">
      <alignment horizontal="center" vertical="center"/>
    </xf>
    <xf numFmtId="165" fontId="15" fillId="0" borderId="45" xfId="1" applyNumberFormat="1" applyFill="1" applyBorder="1" applyAlignment="1">
      <alignment horizontal="center" vertical="center"/>
    </xf>
    <xf numFmtId="165" fontId="15" fillId="0" borderId="35" xfId="1" applyNumberFormat="1" applyFill="1" applyBorder="1" applyAlignment="1">
      <alignment horizontal="center" vertical="center"/>
    </xf>
    <xf numFmtId="165" fontId="15" fillId="0" borderId="26" xfId="1" applyNumberFormat="1" applyFill="1" applyBorder="1" applyAlignment="1">
      <alignment horizontal="center"/>
    </xf>
    <xf numFmtId="0" fontId="4" fillId="0" borderId="38" xfId="3" applyNumberFormat="1" applyFont="1" applyFill="1" applyBorder="1" applyAlignment="1">
      <alignment horizontal="center" vertical="center"/>
    </xf>
    <xf numFmtId="0" fontId="3" fillId="0" borderId="38" xfId="3" applyNumberFormat="1" applyFont="1" applyFill="1" applyBorder="1" applyAlignment="1">
      <alignment horizontal="center" vertical="center"/>
    </xf>
    <xf numFmtId="2" fontId="33" fillId="2" borderId="25" xfId="0" applyNumberFormat="1" applyFont="1" applyFill="1" applyBorder="1" applyAlignment="1">
      <alignment horizontal="center" vertical="center"/>
    </xf>
    <xf numFmtId="164" fontId="33" fillId="2" borderId="25" xfId="0" applyNumberFormat="1" applyFont="1" applyFill="1" applyBorder="1" applyAlignment="1">
      <alignment horizontal="center" vertical="center"/>
    </xf>
    <xf numFmtId="0" fontId="14" fillId="9" borderId="64" xfId="7" applyNumberFormat="1" applyBorder="1" applyAlignment="1">
      <alignment horizontal="center" vertical="center"/>
    </xf>
    <xf numFmtId="0" fontId="14" fillId="9" borderId="25" xfId="7" applyNumberFormat="1" applyBorder="1" applyAlignment="1">
      <alignment horizontal="center" vertical="center"/>
    </xf>
    <xf numFmtId="2" fontId="14" fillId="9" borderId="37" xfId="7" applyNumberFormat="1" applyBorder="1" applyAlignment="1">
      <alignment horizontal="center" vertical="center"/>
    </xf>
    <xf numFmtId="2" fontId="14" fillId="9" borderId="25" xfId="7" applyNumberFormat="1" applyBorder="1" applyAlignment="1">
      <alignment horizontal="center" vertical="center"/>
    </xf>
    <xf numFmtId="165" fontId="14" fillId="9" borderId="37" xfId="7" applyNumberFormat="1" applyBorder="1" applyAlignment="1">
      <alignment horizontal="center" vertical="center"/>
    </xf>
    <xf numFmtId="165" fontId="14" fillId="9" borderId="25" xfId="7" applyNumberFormat="1" applyBorder="1" applyAlignment="1">
      <alignment horizontal="center" vertical="center"/>
    </xf>
    <xf numFmtId="165" fontId="14" fillId="9" borderId="25" xfId="7" applyNumberFormat="1" applyBorder="1" applyAlignment="1">
      <alignment horizontal="center"/>
    </xf>
    <xf numFmtId="165" fontId="14" fillId="9" borderId="45" xfId="7" applyNumberFormat="1" applyBorder="1" applyAlignment="1">
      <alignment horizontal="center" vertical="center"/>
    </xf>
    <xf numFmtId="165" fontId="14" fillId="9" borderId="51" xfId="7" applyNumberFormat="1" applyBorder="1" applyAlignment="1">
      <alignment horizontal="center" vertical="center"/>
    </xf>
    <xf numFmtId="165" fontId="14" fillId="9" borderId="42" xfId="7" applyNumberFormat="1" applyBorder="1" applyAlignment="1">
      <alignment horizontal="center" vertical="center"/>
    </xf>
    <xf numFmtId="165" fontId="14" fillId="9" borderId="42" xfId="7" applyNumberFormat="1" applyBorder="1" applyAlignment="1">
      <alignment horizontal="center"/>
    </xf>
    <xf numFmtId="165" fontId="14" fillId="9" borderId="50" xfId="7" applyNumberFormat="1" applyBorder="1" applyAlignment="1">
      <alignment horizontal="center"/>
    </xf>
    <xf numFmtId="165" fontId="14" fillId="9" borderId="37" xfId="7" applyNumberFormat="1" applyBorder="1" applyAlignment="1">
      <alignment horizontal="center"/>
    </xf>
    <xf numFmtId="165" fontId="14" fillId="9" borderId="69" xfId="7" applyNumberFormat="1" applyBorder="1" applyAlignment="1">
      <alignment horizontal="center"/>
    </xf>
    <xf numFmtId="165" fontId="23" fillId="8" borderId="26" xfId="6" applyNumberFormat="1" applyBorder="1" applyAlignment="1">
      <alignment horizontal="center" vertical="center"/>
    </xf>
    <xf numFmtId="165" fontId="23" fillId="8" borderId="37" xfId="6" applyNumberFormat="1" applyBorder="1" applyAlignment="1">
      <alignment horizontal="center"/>
    </xf>
    <xf numFmtId="0" fontId="15" fillId="0" borderId="34" xfId="4" applyNumberFormat="1" applyFill="1" applyBorder="1" applyAlignment="1">
      <alignment horizontal="center" vertical="center"/>
    </xf>
    <xf numFmtId="2" fontId="15" fillId="0" borderId="34" xfId="4" applyNumberFormat="1" applyFill="1" applyBorder="1" applyAlignment="1">
      <alignment horizontal="center" vertical="center"/>
    </xf>
    <xf numFmtId="165" fontId="15" fillId="0" borderId="34" xfId="4" applyNumberFormat="1" applyFill="1" applyBorder="1" applyAlignment="1">
      <alignment horizontal="center" vertical="center"/>
    </xf>
    <xf numFmtId="165" fontId="15" fillId="0" borderId="66" xfId="4" applyNumberFormat="1" applyFill="1" applyBorder="1" applyAlignment="1">
      <alignment horizontal="center" vertical="center"/>
    </xf>
    <xf numFmtId="165" fontId="15" fillId="0" borderId="36" xfId="4" applyNumberFormat="1" applyFill="1" applyBorder="1" applyAlignment="1">
      <alignment horizontal="center" vertical="center"/>
    </xf>
    <xf numFmtId="165" fontId="15" fillId="0" borderId="34" xfId="4" applyNumberFormat="1" applyFill="1" applyBorder="1" applyAlignment="1">
      <alignment horizontal="center"/>
    </xf>
    <xf numFmtId="0" fontId="11" fillId="0" borderId="25" xfId="2" applyNumberFormat="1" applyFont="1" applyFill="1" applyBorder="1" applyAlignment="1">
      <alignment horizontal="center" vertical="center"/>
    </xf>
    <xf numFmtId="0" fontId="2" fillId="0" borderId="34" xfId="2" applyNumberFormat="1" applyFont="1" applyFill="1" applyBorder="1" applyAlignment="1">
      <alignment horizontal="center" vertical="center"/>
    </xf>
    <xf numFmtId="2" fontId="15" fillId="4" borderId="26" xfId="2" applyNumberFormat="1" applyBorder="1" applyAlignment="1">
      <alignment horizontal="center" vertical="center"/>
    </xf>
    <xf numFmtId="165" fontId="15" fillId="4" borderId="26" xfId="2" applyNumberFormat="1" applyBorder="1" applyAlignment="1">
      <alignment horizontal="center" vertical="center"/>
    </xf>
    <xf numFmtId="165" fontId="15" fillId="4" borderId="35" xfId="2" applyNumberFormat="1" applyBorder="1" applyAlignment="1">
      <alignment horizontal="center" vertical="center"/>
    </xf>
    <xf numFmtId="165" fontId="15" fillId="4" borderId="26" xfId="2" applyNumberFormat="1" applyBorder="1" applyAlignment="1">
      <alignment horizontal="center"/>
    </xf>
    <xf numFmtId="165" fontId="14" fillId="9" borderId="66" xfId="7" applyNumberFormat="1" applyBorder="1" applyAlignment="1">
      <alignment horizontal="center" vertical="center"/>
    </xf>
    <xf numFmtId="165" fontId="15" fillId="4" borderId="75" xfId="2" applyNumberFormat="1" applyBorder="1" applyAlignment="1">
      <alignment horizontal="center" vertical="center"/>
    </xf>
    <xf numFmtId="0" fontId="1" fillId="4" borderId="26" xfId="2" applyNumberFormat="1" applyFont="1" applyBorder="1" applyAlignment="1">
      <alignment horizontal="center" vertical="center"/>
    </xf>
    <xf numFmtId="165" fontId="15" fillId="5" borderId="39" xfId="3" applyNumberFormat="1" applyBorder="1" applyAlignment="1">
      <alignment horizontal="center"/>
    </xf>
    <xf numFmtId="165" fontId="15" fillId="5" borderId="76" xfId="3" applyNumberFormat="1" applyBorder="1" applyAlignment="1">
      <alignment horizontal="center"/>
    </xf>
    <xf numFmtId="0" fontId="5" fillId="0" borderId="34" xfId="1" applyNumberFormat="1" applyFont="1" applyFill="1" applyBorder="1" applyAlignment="1">
      <alignment horizontal="center" vertical="center"/>
    </xf>
    <xf numFmtId="165" fontId="15" fillId="5" borderId="39" xfId="3" applyNumberFormat="1" applyBorder="1" applyAlignment="1">
      <alignment horizontal="center" vertical="center"/>
    </xf>
    <xf numFmtId="165" fontId="28" fillId="11" borderId="37" xfId="9" applyNumberFormat="1" applyBorder="1" applyAlignment="1">
      <alignment horizontal="center"/>
    </xf>
    <xf numFmtId="165" fontId="28" fillId="0" borderId="34" xfId="9" applyNumberFormat="1" applyFill="1" applyBorder="1" applyAlignment="1">
      <alignment horizontal="center"/>
    </xf>
    <xf numFmtId="0" fontId="30" fillId="2" borderId="27" xfId="0" applyFont="1" applyFill="1" applyBorder="1" applyAlignment="1">
      <alignment horizontal="center" vertical="center"/>
    </xf>
    <xf numFmtId="0" fontId="30" fillId="2" borderId="59" xfId="0" applyFont="1" applyFill="1" applyBorder="1" applyAlignment="1">
      <alignment horizontal="center" vertical="center"/>
    </xf>
    <xf numFmtId="0" fontId="30" fillId="2" borderId="31" xfId="0" applyNumberFormat="1" applyFont="1" applyFill="1" applyBorder="1" applyAlignment="1">
      <alignment horizontal="center" vertical="center"/>
    </xf>
    <xf numFmtId="0" fontId="30" fillId="2" borderId="57" xfId="0" applyNumberFormat="1" applyFont="1" applyFill="1" applyBorder="1" applyAlignment="1">
      <alignment horizontal="center" vertical="center"/>
    </xf>
    <xf numFmtId="0" fontId="30" fillId="2" borderId="32" xfId="0" applyNumberFormat="1" applyFont="1" applyFill="1" applyBorder="1" applyAlignment="1">
      <alignment horizontal="center" vertical="center"/>
    </xf>
    <xf numFmtId="2" fontId="30" fillId="2" borderId="29" xfId="0" applyNumberFormat="1" applyFont="1" applyFill="1" applyBorder="1" applyAlignment="1">
      <alignment horizontal="center" vertical="center"/>
    </xf>
    <xf numFmtId="0" fontId="30" fillId="2" borderId="60" xfId="0" applyFont="1" applyFill="1" applyBorder="1" applyAlignment="1">
      <alignment horizontal="center" vertical="center"/>
    </xf>
    <xf numFmtId="165" fontId="30" fillId="2" borderId="61" xfId="0" applyNumberFormat="1" applyFont="1" applyFill="1" applyBorder="1" applyAlignment="1">
      <alignment horizontal="center" vertical="center"/>
    </xf>
    <xf numFmtId="164" fontId="30" fillId="2" borderId="20" xfId="0" applyNumberFormat="1" applyFont="1" applyFill="1" applyBorder="1" applyAlignment="1">
      <alignment horizontal="center" vertical="center"/>
    </xf>
    <xf numFmtId="164" fontId="30" fillId="2" borderId="24" xfId="0" applyNumberFormat="1" applyFont="1" applyFill="1" applyBorder="1" applyAlignment="1">
      <alignment horizontal="center" vertical="center"/>
    </xf>
    <xf numFmtId="164" fontId="30" fillId="2" borderId="21" xfId="0" applyNumberFormat="1" applyFont="1" applyFill="1" applyBorder="1" applyAlignment="1">
      <alignment horizontal="center" vertical="center"/>
    </xf>
    <xf numFmtId="2" fontId="30" fillId="2" borderId="22" xfId="0" applyNumberFormat="1" applyFont="1" applyFill="1" applyBorder="1" applyAlignment="1">
      <alignment horizontal="center" vertical="center"/>
    </xf>
    <xf numFmtId="0" fontId="30" fillId="2" borderId="56" xfId="0" applyFont="1" applyFill="1" applyBorder="1" applyAlignment="1">
      <alignment horizontal="center" vertical="center"/>
    </xf>
    <xf numFmtId="165" fontId="30" fillId="2" borderId="48" xfId="0" applyNumberFormat="1" applyFont="1" applyFill="1" applyBorder="1" applyAlignment="1">
      <alignment horizontal="center" vertical="center"/>
    </xf>
    <xf numFmtId="164" fontId="30" fillId="2" borderId="22" xfId="0" applyNumberFormat="1" applyFont="1" applyFill="1" applyBorder="1" applyAlignment="1">
      <alignment horizontal="center" vertical="center"/>
    </xf>
    <xf numFmtId="164" fontId="30" fillId="2" borderId="25" xfId="0" applyNumberFormat="1" applyFont="1" applyFill="1" applyBorder="1" applyAlignment="1">
      <alignment horizontal="center" vertical="center"/>
    </xf>
    <xf numFmtId="164" fontId="30" fillId="2" borderId="23" xfId="0" applyNumberFormat="1" applyFont="1" applyFill="1" applyBorder="1" applyAlignment="1">
      <alignment horizontal="center" vertical="center"/>
    </xf>
    <xf numFmtId="2" fontId="30" fillId="2" borderId="54" xfId="0" applyNumberFormat="1" applyFont="1" applyFill="1" applyBorder="1" applyAlignment="1">
      <alignment horizontal="center" vertical="center"/>
    </xf>
    <xf numFmtId="0" fontId="30" fillId="2" borderId="63" xfId="0" applyFont="1" applyFill="1" applyBorder="1" applyAlignment="1">
      <alignment horizontal="center" vertical="center"/>
    </xf>
    <xf numFmtId="165" fontId="30" fillId="2" borderId="55" xfId="0" applyNumberFormat="1" applyFont="1" applyFill="1" applyBorder="1" applyAlignment="1">
      <alignment horizontal="center" vertical="center"/>
    </xf>
    <xf numFmtId="165" fontId="30" fillId="2" borderId="44" xfId="0" applyNumberFormat="1" applyFont="1" applyFill="1" applyBorder="1" applyAlignment="1">
      <alignment horizontal="center" vertical="center"/>
    </xf>
    <xf numFmtId="165" fontId="30" fillId="2" borderId="45" xfId="0" applyNumberFormat="1" applyFont="1" applyFill="1" applyBorder="1" applyAlignment="1">
      <alignment horizontal="center" vertical="center"/>
    </xf>
    <xf numFmtId="165" fontId="30" fillId="2" borderId="46" xfId="0" applyNumberFormat="1" applyFont="1" applyFill="1" applyBorder="1" applyAlignment="1">
      <alignment horizontal="center" vertical="center"/>
    </xf>
    <xf numFmtId="165" fontId="30" fillId="2" borderId="59" xfId="0" applyNumberFormat="1" applyFont="1" applyFill="1" applyBorder="1" applyAlignment="1">
      <alignment horizontal="center" vertical="center"/>
    </xf>
    <xf numFmtId="165" fontId="30" fillId="2" borderId="31" xfId="0" applyNumberFormat="1" applyFont="1" applyFill="1" applyBorder="1" applyAlignment="1">
      <alignment horizontal="center" vertical="center"/>
    </xf>
    <xf numFmtId="165" fontId="30" fillId="2" borderId="57" xfId="0" applyNumberFormat="1" applyFont="1" applyFill="1" applyBorder="1" applyAlignment="1">
      <alignment horizontal="center" vertical="center"/>
    </xf>
    <xf numFmtId="165" fontId="30" fillId="2" borderId="32" xfId="0" applyNumberFormat="1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30" fillId="2" borderId="57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/>
    </xf>
    <xf numFmtId="0" fontId="30" fillId="2" borderId="30" xfId="0" applyFont="1" applyFill="1" applyBorder="1" applyAlignment="1">
      <alignment horizontal="center" vertical="center"/>
    </xf>
    <xf numFmtId="0" fontId="30" fillId="2" borderId="61" xfId="0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0" fontId="30" fillId="2" borderId="23" xfId="0" applyFont="1" applyFill="1" applyBorder="1" applyAlignment="1">
      <alignment horizontal="center" vertical="center"/>
    </xf>
    <xf numFmtId="0" fontId="30" fillId="2" borderId="48" xfId="0" applyFont="1" applyFill="1" applyBorder="1" applyAlignment="1">
      <alignment horizontal="center" vertical="center"/>
    </xf>
    <xf numFmtId="165" fontId="30" fillId="2" borderId="22" xfId="0" applyNumberFormat="1" applyFont="1" applyFill="1" applyBorder="1" applyAlignment="1">
      <alignment horizontal="center" vertical="center"/>
    </xf>
    <xf numFmtId="165" fontId="30" fillId="2" borderId="25" xfId="0" applyNumberFormat="1" applyFont="1" applyFill="1" applyBorder="1" applyAlignment="1">
      <alignment horizontal="center" vertical="center"/>
    </xf>
    <xf numFmtId="165" fontId="30" fillId="2" borderId="23" xfId="0" applyNumberFormat="1" applyFont="1" applyFill="1" applyBorder="1" applyAlignment="1">
      <alignment horizontal="center" vertical="center"/>
    </xf>
    <xf numFmtId="2" fontId="30" fillId="2" borderId="25" xfId="0" applyNumberFormat="1" applyFont="1" applyFill="1" applyBorder="1" applyAlignment="1">
      <alignment horizontal="center" vertical="center"/>
    </xf>
    <xf numFmtId="165" fontId="30" fillId="2" borderId="22" xfId="0" applyNumberFormat="1" applyFont="1" applyFill="1" applyBorder="1" applyAlignment="1">
      <alignment horizontal="right" vertical="center"/>
    </xf>
    <xf numFmtId="165" fontId="32" fillId="2" borderId="25" xfId="0" applyNumberFormat="1" applyFont="1" applyFill="1" applyBorder="1" applyAlignment="1">
      <alignment horizontal="center" vertical="center"/>
    </xf>
    <xf numFmtId="2" fontId="30" fillId="2" borderId="23" xfId="0" applyNumberFormat="1" applyFont="1" applyFill="1" applyBorder="1" applyAlignment="1">
      <alignment horizontal="center" vertical="center"/>
    </xf>
    <xf numFmtId="0" fontId="30" fillId="2" borderId="56" xfId="0" applyNumberFormat="1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30" fillId="2" borderId="62" xfId="0" applyFont="1" applyFill="1" applyBorder="1" applyAlignment="1">
      <alignment horizontal="center" vertical="center"/>
    </xf>
    <xf numFmtId="2" fontId="30" fillId="2" borderId="20" xfId="0" applyNumberFormat="1" applyFont="1" applyFill="1" applyBorder="1" applyAlignment="1">
      <alignment horizontal="center" vertical="center"/>
    </xf>
    <xf numFmtId="0" fontId="30" fillId="2" borderId="34" xfId="0" applyNumberFormat="1" applyFont="1" applyFill="1" applyBorder="1" applyAlignment="1">
      <alignment horizontal="center" vertical="center"/>
    </xf>
    <xf numFmtId="165" fontId="30" fillId="2" borderId="43" xfId="0" applyNumberFormat="1" applyFont="1" applyFill="1" applyBorder="1" applyAlignment="1">
      <alignment horizontal="center" vertical="center"/>
    </xf>
    <xf numFmtId="165" fontId="30" fillId="2" borderId="74" xfId="0" applyNumberFormat="1" applyFont="1" applyFill="1" applyBorder="1" applyAlignment="1">
      <alignment horizontal="center" vertical="center"/>
    </xf>
    <xf numFmtId="165" fontId="30" fillId="2" borderId="24" xfId="0" applyNumberFormat="1" applyFont="1" applyFill="1" applyBorder="1" applyAlignment="1">
      <alignment horizontal="center" vertical="center"/>
    </xf>
    <xf numFmtId="165" fontId="30" fillId="2" borderId="21" xfId="0" applyNumberFormat="1" applyFont="1" applyFill="1" applyBorder="1" applyAlignment="1">
      <alignment horizontal="center" vertical="center"/>
    </xf>
    <xf numFmtId="165" fontId="30" fillId="2" borderId="38" xfId="0" applyNumberFormat="1" applyFont="1" applyFill="1" applyBorder="1" applyAlignment="1">
      <alignment horizontal="center" vertical="center"/>
    </xf>
    <xf numFmtId="0" fontId="30" fillId="2" borderId="36" xfId="0" applyFont="1" applyFill="1" applyBorder="1" applyAlignment="1">
      <alignment horizontal="center" vertical="center"/>
    </xf>
    <xf numFmtId="2" fontId="30" fillId="2" borderId="44" xfId="0" applyNumberFormat="1" applyFont="1" applyFill="1" applyBorder="1" applyAlignment="1">
      <alignment horizontal="center" vertical="center"/>
    </xf>
    <xf numFmtId="0" fontId="30" fillId="2" borderId="71" xfId="0" applyFont="1" applyFill="1" applyBorder="1" applyAlignment="1">
      <alignment horizontal="center" vertical="center"/>
    </xf>
    <xf numFmtId="165" fontId="30" fillId="2" borderId="49" xfId="0" applyNumberFormat="1" applyFont="1" applyFill="1" applyBorder="1" applyAlignment="1">
      <alignment horizontal="center" vertical="center"/>
    </xf>
    <xf numFmtId="165" fontId="30" fillId="2" borderId="66" xfId="0" applyNumberFormat="1" applyFont="1" applyFill="1" applyBorder="1" applyAlignment="1">
      <alignment horizontal="center" vertical="center"/>
    </xf>
    <xf numFmtId="165" fontId="29" fillId="2" borderId="59" xfId="0" applyNumberFormat="1" applyFont="1" applyFill="1" applyBorder="1" applyAlignment="1">
      <alignment horizontal="center" vertical="center"/>
    </xf>
    <xf numFmtId="165" fontId="29" fillId="2" borderId="31" xfId="0" applyNumberFormat="1" applyFont="1" applyFill="1" applyBorder="1" applyAlignment="1">
      <alignment horizontal="center" vertical="center"/>
    </xf>
    <xf numFmtId="165" fontId="29" fillId="2" borderId="57" xfId="0" applyNumberFormat="1" applyFont="1" applyFill="1" applyBorder="1" applyAlignment="1">
      <alignment horizontal="center" vertical="center"/>
    </xf>
    <xf numFmtId="165" fontId="29" fillId="2" borderId="32" xfId="0" applyNumberFormat="1" applyFont="1" applyFill="1" applyBorder="1" applyAlignment="1">
      <alignment horizontal="center" vertical="center"/>
    </xf>
    <xf numFmtId="165" fontId="28" fillId="0" borderId="26" xfId="9" applyNumberFormat="1" applyFill="1" applyBorder="1" applyAlignment="1">
      <alignment horizontal="center"/>
    </xf>
    <xf numFmtId="165" fontId="15" fillId="0" borderId="47" xfId="1" applyNumberFormat="1" applyFill="1" applyBorder="1" applyAlignment="1">
      <alignment horizontal="center" vertical="center"/>
    </xf>
    <xf numFmtId="165" fontId="28" fillId="0" borderId="25" xfId="9" applyNumberFormat="1" applyFill="1" applyBorder="1" applyAlignment="1">
      <alignment horizontal="center"/>
    </xf>
    <xf numFmtId="165" fontId="28" fillId="0" borderId="38" xfId="9" applyNumberFormat="1" applyFill="1" applyBorder="1" applyAlignment="1">
      <alignment horizontal="center"/>
    </xf>
    <xf numFmtId="165" fontId="23" fillId="0" borderId="38" xfId="6" applyNumberFormat="1" applyFill="1" applyBorder="1" applyAlignment="1">
      <alignment horizontal="center"/>
    </xf>
    <xf numFmtId="165" fontId="23" fillId="0" borderId="34" xfId="6" applyNumberFormat="1" applyFill="1" applyBorder="1" applyAlignment="1">
      <alignment horizontal="center"/>
    </xf>
    <xf numFmtId="165" fontId="15" fillId="0" borderId="42" xfId="4" applyNumberFormat="1" applyFill="1" applyBorder="1" applyAlignment="1">
      <alignment horizontal="center"/>
    </xf>
    <xf numFmtId="165" fontId="15" fillId="0" borderId="35" xfId="4" applyNumberFormat="1" applyFill="1" applyBorder="1" applyAlignment="1">
      <alignment horizontal="center"/>
    </xf>
    <xf numFmtId="165" fontId="15" fillId="0" borderId="50" xfId="4" applyNumberFormat="1" applyFill="1" applyBorder="1" applyAlignment="1">
      <alignment horizontal="center"/>
    </xf>
    <xf numFmtId="165" fontId="15" fillId="0" borderId="69" xfId="4" applyNumberFormat="1" applyFill="1" applyBorder="1" applyAlignment="1">
      <alignment horizontal="center"/>
    </xf>
    <xf numFmtId="165" fontId="23" fillId="0" borderId="25" xfId="6" applyNumberFormat="1" applyFill="1" applyBorder="1" applyAlignment="1">
      <alignment horizontal="center"/>
    </xf>
    <xf numFmtId="165" fontId="23" fillId="0" borderId="26" xfId="6" applyNumberFormat="1" applyFill="1" applyBorder="1" applyAlignment="1">
      <alignment horizontal="center"/>
    </xf>
    <xf numFmtId="0" fontId="30" fillId="2" borderId="25" xfId="0" applyNumberFormat="1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49" fontId="30" fillId="2" borderId="25" xfId="0" applyNumberFormat="1" applyFont="1" applyFill="1" applyBorder="1" applyAlignment="1">
      <alignment horizontal="center" vertical="center"/>
    </xf>
    <xf numFmtId="0" fontId="15" fillId="7" borderId="34" xfId="5" applyNumberFormat="1" applyBorder="1" applyAlignment="1">
      <alignment horizontal="center" vertical="center"/>
    </xf>
    <xf numFmtId="2" fontId="15" fillId="7" borderId="34" xfId="5" applyNumberFormat="1" applyBorder="1" applyAlignment="1">
      <alignment horizontal="center" vertical="center"/>
    </xf>
    <xf numFmtId="165" fontId="15" fillId="7" borderId="34" xfId="5" applyNumberFormat="1" applyBorder="1" applyAlignment="1">
      <alignment horizontal="center" vertical="center"/>
    </xf>
    <xf numFmtId="165" fontId="15" fillId="7" borderId="67" xfId="5" applyNumberFormat="1" applyBorder="1" applyAlignment="1">
      <alignment horizontal="center" vertical="center"/>
    </xf>
    <xf numFmtId="165" fontId="15" fillId="7" borderId="36" xfId="5" applyNumberFormat="1" applyBorder="1" applyAlignment="1">
      <alignment horizontal="center" vertical="center"/>
    </xf>
    <xf numFmtId="165" fontId="15" fillId="7" borderId="34" xfId="5" applyNumberFormat="1" applyBorder="1" applyAlignment="1">
      <alignment horizontal="center"/>
    </xf>
    <xf numFmtId="0" fontId="14" fillId="0" borderId="25" xfId="7" applyNumberFormat="1" applyFill="1" applyBorder="1" applyAlignment="1">
      <alignment horizontal="center" vertical="center"/>
    </xf>
    <xf numFmtId="2" fontId="14" fillId="0" borderId="25" xfId="7" applyNumberFormat="1" applyFill="1" applyBorder="1" applyAlignment="1">
      <alignment horizontal="center" vertical="center"/>
    </xf>
    <xf numFmtId="165" fontId="14" fillId="0" borderId="25" xfId="7" applyNumberFormat="1" applyFill="1" applyBorder="1" applyAlignment="1">
      <alignment horizontal="center"/>
    </xf>
    <xf numFmtId="165" fontId="14" fillId="0" borderId="45" xfId="7" applyNumberFormat="1" applyFill="1" applyBorder="1" applyAlignment="1">
      <alignment horizontal="center" vertical="center"/>
    </xf>
    <xf numFmtId="165" fontId="14" fillId="0" borderId="42" xfId="7" applyNumberFormat="1" applyFill="1" applyBorder="1" applyAlignment="1">
      <alignment horizontal="center"/>
    </xf>
    <xf numFmtId="165" fontId="14" fillId="0" borderId="50" xfId="7" applyNumberFormat="1" applyFill="1" applyBorder="1" applyAlignment="1">
      <alignment horizontal="center"/>
    </xf>
    <xf numFmtId="0" fontId="15" fillId="5" borderId="25" xfId="3" applyNumberFormat="1" applyBorder="1" applyAlignment="1">
      <alignment horizontal="center" vertical="center"/>
    </xf>
    <xf numFmtId="2" fontId="15" fillId="5" borderId="25" xfId="3" applyNumberFormat="1" applyBorder="1" applyAlignment="1">
      <alignment horizontal="center" vertical="center"/>
    </xf>
    <xf numFmtId="165" fontId="15" fillId="5" borderId="25" xfId="3" applyNumberFormat="1" applyBorder="1" applyAlignment="1">
      <alignment horizontal="center" vertical="center"/>
    </xf>
    <xf numFmtId="165" fontId="15" fillId="5" borderId="42" xfId="3" applyNumberFormat="1" applyBorder="1" applyAlignment="1">
      <alignment horizontal="center" vertical="center"/>
    </xf>
    <xf numFmtId="165" fontId="15" fillId="5" borderId="25" xfId="3" applyNumberFormat="1" applyBorder="1" applyAlignment="1">
      <alignment horizontal="center"/>
    </xf>
    <xf numFmtId="165" fontId="15" fillId="5" borderId="67" xfId="3" applyNumberForma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18" xfId="0" applyFont="1" applyBorder="1"/>
    <xf numFmtId="0" fontId="0" fillId="0" borderId="6" xfId="0" applyFont="1" applyBorder="1" applyAlignment="1">
      <alignment horizontal="center"/>
    </xf>
    <xf numFmtId="0" fontId="17" fillId="0" borderId="7" xfId="0" applyFont="1" applyBorder="1"/>
    <xf numFmtId="0" fontId="0" fillId="0" borderId="0" xfId="0" applyFont="1" applyAlignment="1"/>
    <xf numFmtId="0" fontId="16" fillId="0" borderId="2" xfId="0" applyFont="1" applyBorder="1" applyAlignment="1">
      <alignment horizontal="center" vertical="center"/>
    </xf>
    <xf numFmtId="0" fontId="17" fillId="0" borderId="3" xfId="0" applyFont="1" applyBorder="1"/>
    <xf numFmtId="0" fontId="17" fillId="0" borderId="4" xfId="0" applyFont="1" applyBorder="1"/>
    <xf numFmtId="0" fontId="30" fillId="2" borderId="26" xfId="0" applyFont="1" applyFill="1" applyBorder="1" applyAlignment="1">
      <alignment horizontal="center" vertical="center"/>
    </xf>
    <xf numFmtId="0" fontId="30" fillId="2" borderId="70" xfId="0" applyFont="1" applyFill="1" applyBorder="1" applyAlignment="1">
      <alignment horizontal="center" vertical="center"/>
    </xf>
    <xf numFmtId="0" fontId="30" fillId="2" borderId="52" xfId="0" applyFont="1" applyFill="1" applyBorder="1" applyAlignment="1">
      <alignment horizontal="center" vertical="center"/>
    </xf>
    <xf numFmtId="0" fontId="30" fillId="2" borderId="53" xfId="0" applyFont="1" applyFill="1" applyBorder="1" applyAlignment="1">
      <alignment horizontal="center" vertical="center"/>
    </xf>
    <xf numFmtId="0" fontId="29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/>
    </xf>
    <xf numFmtId="2" fontId="29" fillId="2" borderId="27" xfId="0" applyNumberFormat="1" applyFont="1" applyFill="1" applyBorder="1" applyAlignment="1">
      <alignment horizontal="center" vertical="center"/>
    </xf>
    <xf numFmtId="2" fontId="29" fillId="2" borderId="33" xfId="0" applyNumberFormat="1" applyFont="1" applyFill="1" applyBorder="1" applyAlignment="1">
      <alignment horizontal="center" vertical="center"/>
    </xf>
    <xf numFmtId="2" fontId="29" fillId="2" borderId="28" xfId="0" applyNumberFormat="1" applyFont="1" applyFill="1" applyBorder="1" applyAlignment="1">
      <alignment horizontal="center" vertical="center"/>
    </xf>
    <xf numFmtId="2" fontId="31" fillId="2" borderId="27" xfId="0" applyNumberFormat="1" applyFont="1" applyFill="1" applyBorder="1" applyAlignment="1">
      <alignment horizontal="center" vertical="center"/>
    </xf>
    <xf numFmtId="2" fontId="31" fillId="2" borderId="33" xfId="0" applyNumberFormat="1" applyFont="1" applyFill="1" applyBorder="1" applyAlignment="1">
      <alignment horizontal="center" vertical="center"/>
    </xf>
    <xf numFmtId="2" fontId="31" fillId="2" borderId="28" xfId="0" applyNumberFormat="1" applyFont="1" applyFill="1" applyBorder="1" applyAlignment="1">
      <alignment horizontal="center" vertical="center"/>
    </xf>
    <xf numFmtId="2" fontId="30" fillId="2" borderId="31" xfId="0" applyNumberFormat="1" applyFont="1" applyFill="1" applyBorder="1" applyAlignment="1">
      <alignment horizontal="center" vertical="center"/>
    </xf>
    <xf numFmtId="2" fontId="30" fillId="2" borderId="57" xfId="0" applyNumberFormat="1" applyFont="1" applyFill="1" applyBorder="1" applyAlignment="1">
      <alignment horizontal="center" vertical="center"/>
    </xf>
    <xf numFmtId="2" fontId="30" fillId="2" borderId="62" xfId="0" applyNumberFormat="1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30" fillId="2" borderId="28" xfId="0" applyFont="1" applyFill="1" applyBorder="1" applyAlignment="1">
      <alignment horizontal="center" vertical="center"/>
    </xf>
    <xf numFmtId="0" fontId="30" fillId="2" borderId="58" xfId="0" applyFont="1" applyFill="1" applyBorder="1" applyAlignment="1">
      <alignment horizontal="center" vertical="center"/>
    </xf>
    <xf numFmtId="2" fontId="30" fillId="2" borderId="47" xfId="0" applyNumberFormat="1" applyFont="1" applyFill="1" applyBorder="1" applyAlignment="1">
      <alignment horizontal="center" vertical="center"/>
    </xf>
    <xf numFmtId="2" fontId="30" fillId="2" borderId="73" xfId="0" applyNumberFormat="1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/>
    </xf>
    <xf numFmtId="0" fontId="30" fillId="2" borderId="30" xfId="0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0" fontId="30" fillId="2" borderId="23" xfId="0" applyFont="1" applyFill="1" applyBorder="1" applyAlignment="1">
      <alignment horizontal="center" vertical="center"/>
    </xf>
    <xf numFmtId="2" fontId="30" fillId="2" borderId="27" xfId="0" applyNumberFormat="1" applyFont="1" applyFill="1" applyBorder="1" applyAlignment="1">
      <alignment horizontal="center" vertical="center"/>
    </xf>
    <xf numFmtId="2" fontId="30" fillId="2" borderId="33" xfId="0" applyNumberFormat="1" applyFont="1" applyFill="1" applyBorder="1" applyAlignment="1">
      <alignment horizontal="center" vertical="center"/>
    </xf>
    <xf numFmtId="2" fontId="30" fillId="2" borderId="28" xfId="0" applyNumberFormat="1" applyFont="1" applyFill="1" applyBorder="1" applyAlignment="1">
      <alignment horizontal="center" vertical="center"/>
    </xf>
    <xf numFmtId="0" fontId="30" fillId="2" borderId="40" xfId="0" applyFont="1" applyFill="1" applyBorder="1" applyAlignment="1">
      <alignment horizontal="center" vertical="center"/>
    </xf>
    <xf numFmtId="0" fontId="30" fillId="2" borderId="41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center"/>
    </xf>
    <xf numFmtId="0" fontId="30" fillId="2" borderId="72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30" fillId="2" borderId="57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14" fontId="23" fillId="8" borderId="26" xfId="6" applyNumberFormat="1" applyBorder="1" applyAlignment="1">
      <alignment horizontal="center"/>
    </xf>
    <xf numFmtId="14" fontId="23" fillId="8" borderId="38" xfId="6" applyNumberFormat="1" applyBorder="1" applyAlignment="1">
      <alignment horizontal="center"/>
    </xf>
    <xf numFmtId="0" fontId="20" fillId="0" borderId="25" xfId="0" applyNumberFormat="1" applyFont="1" applyBorder="1" applyAlignment="1">
      <alignment horizontal="center" vertical="center"/>
    </xf>
    <xf numFmtId="0" fontId="33" fillId="2" borderId="25" xfId="0" applyFont="1" applyFill="1" applyBorder="1" applyAlignment="1">
      <alignment horizontal="center" vertical="center"/>
    </xf>
  </cellXfs>
  <cellStyles count="10">
    <cellStyle name="%40 - Vurgu1" xfId="1" builtinId="31"/>
    <cellStyle name="%40 - Vurgu2" xfId="7" builtinId="35"/>
    <cellStyle name="%40 - Vurgu3" xfId="2" builtinId="39"/>
    <cellStyle name="%40 - Vurgu4" xfId="3" builtinId="43"/>
    <cellStyle name="%40 - Vurgu5" xfId="4" builtinId="47"/>
    <cellStyle name="%40 - Vurgu6" xfId="5" builtinId="51"/>
    <cellStyle name="İyi" xfId="9" builtinId="26"/>
    <cellStyle name="Kötü" xfId="6" builtinId="27"/>
    <cellStyle name="Normal" xfId="0" builtinId="0"/>
    <cellStyle name="Vurgu2" xfId="8" builtinId="33"/>
  </cellStyles>
  <dxfs count="6"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.28515625" customWidth="1"/>
    <col min="3" max="3" width="9.5703125" customWidth="1"/>
    <col min="4" max="4" width="2.28515625" customWidth="1"/>
    <col min="5" max="5" width="8.7109375" customWidth="1"/>
    <col min="6" max="6" width="2.28515625" customWidth="1"/>
    <col min="7" max="7" width="8.7109375" customWidth="1"/>
    <col min="8" max="8" width="2.28515625" customWidth="1"/>
    <col min="9" max="9" width="8.7109375" customWidth="1"/>
    <col min="10" max="10" width="2.28515625" customWidth="1"/>
    <col min="11" max="11" width="8.7109375" customWidth="1"/>
    <col min="12" max="12" width="2.28515625" customWidth="1"/>
    <col min="13" max="13" width="8.7109375" customWidth="1"/>
    <col min="14" max="14" width="2.28515625" customWidth="1"/>
    <col min="15" max="15" width="8.7109375" customWidth="1"/>
    <col min="16" max="16" width="2.28515625" customWidth="1"/>
    <col min="17" max="17" width="8.7109375" customWidth="1"/>
    <col min="18" max="18" width="2.28515625" customWidth="1"/>
    <col min="19" max="19" width="8.7109375" customWidth="1"/>
    <col min="20" max="20" width="2.28515625" customWidth="1"/>
    <col min="21" max="21" width="8.7109375" customWidth="1"/>
    <col min="22" max="22" width="2.28515625" customWidth="1"/>
    <col min="23" max="23" width="8.7109375" customWidth="1"/>
    <col min="24" max="24" width="2.28515625" customWidth="1"/>
    <col min="25" max="25" width="8.7109375" customWidth="1"/>
    <col min="26" max="26" width="2.28515625" customWidth="1"/>
    <col min="27" max="27" width="8.7109375" customWidth="1"/>
    <col min="28" max="28" width="2.28515625" customWidth="1"/>
    <col min="29" max="30" width="8.7109375" customWidth="1"/>
  </cols>
  <sheetData>
    <row r="1" spans="1:29" x14ac:dyDescent="0.25">
      <c r="A1" s="397" t="s">
        <v>0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</row>
    <row r="2" spans="1:29" x14ac:dyDescent="0.25">
      <c r="A2" s="399"/>
      <c r="B2" s="396"/>
      <c r="C2" s="396"/>
      <c r="D2" s="396"/>
      <c r="E2" s="396"/>
      <c r="F2" s="396"/>
      <c r="G2" s="396"/>
      <c r="H2" s="396"/>
      <c r="I2" s="396"/>
      <c r="J2" s="396"/>
      <c r="K2" s="396"/>
      <c r="L2" s="396"/>
      <c r="M2" s="396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96"/>
      <c r="AB2" s="396"/>
      <c r="AC2" s="396"/>
    </row>
    <row r="3" spans="1:29" x14ac:dyDescent="0.25">
      <c r="A3" s="3">
        <v>1.8</v>
      </c>
      <c r="B3" s="394"/>
      <c r="C3" s="2">
        <v>2.2000000000000002</v>
      </c>
      <c r="D3" s="394"/>
      <c r="E3" s="2">
        <v>2.2999999999999998</v>
      </c>
      <c r="F3" s="394"/>
      <c r="G3" s="2">
        <v>2.4500000000000002</v>
      </c>
      <c r="H3" s="394"/>
      <c r="I3" s="2"/>
      <c r="J3" s="394"/>
      <c r="K3" s="2"/>
      <c r="L3" s="394"/>
      <c r="M3" s="2"/>
      <c r="N3" s="394"/>
      <c r="O3" s="2"/>
      <c r="P3" s="394"/>
      <c r="Q3" s="2"/>
      <c r="R3" s="394"/>
      <c r="S3" s="2"/>
      <c r="T3" s="394"/>
      <c r="U3" s="2"/>
      <c r="V3" s="394"/>
      <c r="W3" s="2"/>
      <c r="X3" s="394"/>
      <c r="Y3" s="2"/>
      <c r="Z3" s="394"/>
      <c r="AA3" s="2"/>
      <c r="AB3" s="396"/>
    </row>
    <row r="4" spans="1:29" ht="6" customHeight="1" x14ac:dyDescent="0.25">
      <c r="A4" s="4"/>
      <c r="B4" s="395"/>
      <c r="C4" s="5"/>
      <c r="D4" s="395"/>
      <c r="E4" s="5"/>
      <c r="F4" s="395"/>
      <c r="G4" s="5"/>
      <c r="H4" s="395"/>
      <c r="I4" s="5"/>
      <c r="J4" s="395"/>
      <c r="K4" s="5"/>
      <c r="L4" s="395"/>
      <c r="M4" s="5"/>
      <c r="N4" s="395"/>
      <c r="O4" s="5"/>
      <c r="P4" s="395"/>
      <c r="Q4" s="5"/>
      <c r="R4" s="395"/>
      <c r="S4" s="5"/>
      <c r="T4" s="395"/>
      <c r="U4" s="5"/>
      <c r="V4" s="395"/>
      <c r="W4" s="5"/>
      <c r="X4" s="395"/>
      <c r="Y4" s="5"/>
      <c r="Z4" s="395"/>
      <c r="AA4" s="5"/>
      <c r="AB4" s="396"/>
    </row>
    <row r="5" spans="1:29" x14ac:dyDescent="0.25">
      <c r="A5" s="6">
        <v>2035.8</v>
      </c>
      <c r="B5" s="395"/>
      <c r="C5" s="7">
        <v>2018.1</v>
      </c>
      <c r="D5" s="395"/>
      <c r="E5" s="7">
        <v>2056.1</v>
      </c>
      <c r="F5" s="395"/>
      <c r="G5" s="7">
        <v>1995.7</v>
      </c>
      <c r="H5" s="395"/>
      <c r="I5" s="7"/>
      <c r="J5" s="395"/>
      <c r="K5" s="7"/>
      <c r="L5" s="395"/>
      <c r="M5" s="7"/>
      <c r="N5" s="395"/>
      <c r="O5" s="7"/>
      <c r="P5" s="395"/>
      <c r="Q5" s="7"/>
      <c r="R5" s="395"/>
      <c r="S5" s="7"/>
      <c r="T5" s="395"/>
      <c r="U5" s="7"/>
      <c r="V5" s="395"/>
      <c r="W5" s="7"/>
      <c r="X5" s="395"/>
      <c r="Y5" s="7"/>
      <c r="Z5" s="395"/>
      <c r="AA5" s="7"/>
      <c r="AB5" s="396"/>
    </row>
    <row r="6" spans="1:29" x14ac:dyDescent="0.25">
      <c r="A6" s="6"/>
      <c r="B6" s="395"/>
      <c r="C6" s="7"/>
      <c r="D6" s="395"/>
      <c r="E6" s="7"/>
      <c r="F6" s="395"/>
      <c r="G6" s="7"/>
      <c r="H6" s="395"/>
      <c r="I6" s="7"/>
      <c r="J6" s="395"/>
      <c r="K6" s="7"/>
      <c r="L6" s="395"/>
      <c r="M6" s="7"/>
      <c r="N6" s="395"/>
      <c r="O6" s="7"/>
      <c r="P6" s="395"/>
      <c r="Q6" s="7"/>
      <c r="R6" s="395"/>
      <c r="S6" s="7"/>
      <c r="T6" s="395"/>
      <c r="U6" s="7"/>
      <c r="V6" s="395"/>
      <c r="W6" s="7"/>
      <c r="X6" s="395"/>
      <c r="Y6" s="7"/>
      <c r="Z6" s="395"/>
      <c r="AA6" s="7"/>
      <c r="AB6" s="396"/>
    </row>
    <row r="7" spans="1:29" x14ac:dyDescent="0.25">
      <c r="A7" s="6"/>
      <c r="B7" s="395"/>
      <c r="C7" s="7"/>
      <c r="D7" s="395"/>
      <c r="E7" s="7"/>
      <c r="F7" s="395"/>
      <c r="G7" s="7"/>
      <c r="H7" s="395"/>
      <c r="I7" s="7"/>
      <c r="J7" s="395"/>
      <c r="K7" s="7"/>
      <c r="L7" s="395"/>
      <c r="M7" s="7"/>
      <c r="N7" s="395"/>
      <c r="O7" s="7"/>
      <c r="P7" s="395"/>
      <c r="Q7" s="7"/>
      <c r="R7" s="395"/>
      <c r="S7" s="7"/>
      <c r="T7" s="395"/>
      <c r="U7" s="7"/>
      <c r="V7" s="395"/>
      <c r="W7" s="7"/>
      <c r="X7" s="395"/>
      <c r="Y7" s="7"/>
      <c r="Z7" s="395"/>
      <c r="AA7" s="7"/>
      <c r="AB7" s="396"/>
    </row>
    <row r="8" spans="1:29" x14ac:dyDescent="0.25">
      <c r="A8" s="6"/>
      <c r="B8" s="395"/>
      <c r="C8" s="7"/>
      <c r="D8" s="395"/>
      <c r="E8" s="7"/>
      <c r="F8" s="395"/>
      <c r="G8" s="7"/>
      <c r="H8" s="395"/>
      <c r="I8" s="7"/>
      <c r="J8" s="395"/>
      <c r="K8" s="7"/>
      <c r="L8" s="395"/>
      <c r="M8" s="7"/>
      <c r="N8" s="395"/>
      <c r="O8" s="7"/>
      <c r="P8" s="395"/>
      <c r="Q8" s="7"/>
      <c r="R8" s="395"/>
      <c r="S8" s="7"/>
      <c r="T8" s="395"/>
      <c r="U8" s="7"/>
      <c r="V8" s="395"/>
      <c r="W8" s="7"/>
      <c r="X8" s="395"/>
      <c r="Y8" s="7"/>
      <c r="Z8" s="395"/>
      <c r="AA8" s="7"/>
      <c r="AB8" s="396"/>
    </row>
    <row r="9" spans="1:29" x14ac:dyDescent="0.25">
      <c r="A9" s="6"/>
      <c r="B9" s="395"/>
      <c r="C9" s="7"/>
      <c r="D9" s="395"/>
      <c r="E9" s="7"/>
      <c r="F9" s="395"/>
      <c r="G9" s="7"/>
      <c r="H9" s="395"/>
      <c r="I9" s="7"/>
      <c r="J9" s="395"/>
      <c r="K9" s="7"/>
      <c r="L9" s="395"/>
      <c r="M9" s="7"/>
      <c r="N9" s="395"/>
      <c r="O9" s="7"/>
      <c r="P9" s="395"/>
      <c r="Q9" s="7"/>
      <c r="R9" s="395"/>
      <c r="S9" s="7"/>
      <c r="T9" s="395"/>
      <c r="U9" s="7"/>
      <c r="V9" s="395"/>
      <c r="W9" s="7"/>
      <c r="X9" s="395"/>
      <c r="Y9" s="7"/>
      <c r="Z9" s="395"/>
      <c r="AA9" s="7"/>
      <c r="AB9" s="396"/>
    </row>
    <row r="10" spans="1:29" x14ac:dyDescent="0.25">
      <c r="A10" s="6"/>
      <c r="B10" s="395"/>
      <c r="C10" s="7"/>
      <c r="D10" s="395"/>
      <c r="E10" s="7"/>
      <c r="F10" s="395"/>
      <c r="G10" s="7"/>
      <c r="H10" s="395"/>
      <c r="I10" s="7"/>
      <c r="J10" s="395"/>
      <c r="K10" s="7"/>
      <c r="L10" s="395"/>
      <c r="M10" s="7"/>
      <c r="N10" s="395"/>
      <c r="O10" s="7"/>
      <c r="P10" s="395"/>
      <c r="Q10" s="7"/>
      <c r="R10" s="395"/>
      <c r="S10" s="7"/>
      <c r="T10" s="395"/>
      <c r="U10" s="7"/>
      <c r="V10" s="395"/>
      <c r="W10" s="7"/>
      <c r="X10" s="395"/>
      <c r="Y10" s="7"/>
      <c r="Z10" s="395"/>
      <c r="AA10" s="7"/>
      <c r="AB10" s="396"/>
    </row>
    <row r="11" spans="1:29" x14ac:dyDescent="0.25">
      <c r="A11" s="6"/>
      <c r="B11" s="395"/>
      <c r="C11" s="7"/>
      <c r="D11" s="395"/>
      <c r="E11" s="7"/>
      <c r="F11" s="395"/>
      <c r="G11" s="7"/>
      <c r="H11" s="395"/>
      <c r="I11" s="7"/>
      <c r="J11" s="395"/>
      <c r="K11" s="7"/>
      <c r="L11" s="395"/>
      <c r="M11" s="7"/>
      <c r="N11" s="395"/>
      <c r="O11" s="7"/>
      <c r="P11" s="395"/>
      <c r="Q11" s="7"/>
      <c r="R11" s="395"/>
      <c r="S11" s="7"/>
      <c r="T11" s="395"/>
      <c r="U11" s="7"/>
      <c r="V11" s="395"/>
      <c r="W11" s="7"/>
      <c r="X11" s="395"/>
      <c r="Y11" s="7"/>
      <c r="Z11" s="395"/>
      <c r="AA11" s="7"/>
      <c r="AB11" s="396"/>
    </row>
    <row r="12" spans="1:29" x14ac:dyDescent="0.25">
      <c r="A12" s="6"/>
      <c r="B12" s="395"/>
      <c r="C12" s="7"/>
      <c r="D12" s="395"/>
      <c r="E12" s="7"/>
      <c r="F12" s="395"/>
      <c r="G12" s="7"/>
      <c r="H12" s="395"/>
      <c r="I12" s="7"/>
      <c r="J12" s="395"/>
      <c r="K12" s="7"/>
      <c r="L12" s="395"/>
      <c r="M12" s="7"/>
      <c r="N12" s="395"/>
      <c r="O12" s="7"/>
      <c r="P12" s="395"/>
      <c r="Q12" s="7"/>
      <c r="R12" s="395"/>
      <c r="S12" s="7"/>
      <c r="T12" s="395"/>
      <c r="U12" s="7"/>
      <c r="V12" s="395"/>
      <c r="W12" s="7"/>
      <c r="X12" s="395"/>
      <c r="Y12" s="7"/>
      <c r="Z12" s="395"/>
      <c r="AA12" s="7"/>
      <c r="AB12" s="396"/>
    </row>
    <row r="13" spans="1:29" x14ac:dyDescent="0.25">
      <c r="A13" s="6"/>
      <c r="B13" s="395"/>
      <c r="C13" s="7"/>
      <c r="D13" s="395"/>
      <c r="E13" s="7"/>
      <c r="F13" s="395"/>
      <c r="G13" s="7"/>
      <c r="H13" s="395"/>
      <c r="I13" s="7"/>
      <c r="J13" s="395"/>
      <c r="K13" s="7"/>
      <c r="L13" s="395"/>
      <c r="M13" s="7"/>
      <c r="N13" s="395"/>
      <c r="O13" s="7"/>
      <c r="P13" s="395"/>
      <c r="Q13" s="7"/>
      <c r="R13" s="395"/>
      <c r="S13" s="7"/>
      <c r="T13" s="395"/>
      <c r="U13" s="7"/>
      <c r="V13" s="395"/>
      <c r="W13" s="7"/>
      <c r="X13" s="395"/>
      <c r="Y13" s="7"/>
      <c r="Z13" s="395"/>
      <c r="AA13" s="7"/>
      <c r="AB13" s="396"/>
    </row>
    <row r="14" spans="1:29" x14ac:dyDescent="0.25">
      <c r="A14" s="6"/>
      <c r="B14" s="395"/>
      <c r="C14" s="7"/>
      <c r="D14" s="395"/>
      <c r="E14" s="7"/>
      <c r="F14" s="395"/>
      <c r="G14" s="7"/>
      <c r="H14" s="395"/>
      <c r="I14" s="7"/>
      <c r="J14" s="395"/>
      <c r="K14" s="7"/>
      <c r="L14" s="395"/>
      <c r="M14" s="7"/>
      <c r="N14" s="395"/>
      <c r="O14" s="7"/>
      <c r="P14" s="395"/>
      <c r="Q14" s="7"/>
      <c r="R14" s="395"/>
      <c r="S14" s="7"/>
      <c r="T14" s="395"/>
      <c r="U14" s="7"/>
      <c r="V14" s="395"/>
      <c r="W14" s="7"/>
      <c r="X14" s="395"/>
      <c r="Y14" s="7"/>
      <c r="Z14" s="395"/>
      <c r="AA14" s="7"/>
      <c r="AB14" s="396"/>
    </row>
    <row r="15" spans="1:29" x14ac:dyDescent="0.25">
      <c r="A15" s="6"/>
      <c r="B15" s="395"/>
      <c r="C15" s="7"/>
      <c r="D15" s="395"/>
      <c r="E15" s="7"/>
      <c r="F15" s="395"/>
      <c r="G15" s="7"/>
      <c r="H15" s="395"/>
      <c r="I15" s="7"/>
      <c r="J15" s="395"/>
      <c r="K15" s="7"/>
      <c r="L15" s="395"/>
      <c r="M15" s="7"/>
      <c r="N15" s="395"/>
      <c r="O15" s="7"/>
      <c r="P15" s="395"/>
      <c r="Q15" s="7"/>
      <c r="R15" s="395"/>
      <c r="S15" s="7"/>
      <c r="T15" s="395"/>
      <c r="U15" s="7"/>
      <c r="V15" s="395"/>
      <c r="W15" s="7"/>
      <c r="X15" s="395"/>
      <c r="Y15" s="7"/>
      <c r="Z15" s="395"/>
      <c r="AA15" s="7"/>
      <c r="AB15" s="396"/>
    </row>
    <row r="16" spans="1:29" x14ac:dyDescent="0.25">
      <c r="A16" s="6"/>
      <c r="B16" s="395"/>
      <c r="C16" s="7"/>
      <c r="D16" s="395"/>
      <c r="E16" s="7"/>
      <c r="F16" s="395"/>
      <c r="G16" s="7"/>
      <c r="H16" s="395"/>
      <c r="I16" s="7"/>
      <c r="J16" s="395"/>
      <c r="K16" s="7"/>
      <c r="L16" s="395"/>
      <c r="M16" s="7"/>
      <c r="N16" s="395"/>
      <c r="O16" s="7"/>
      <c r="P16" s="395"/>
      <c r="Q16" s="7"/>
      <c r="R16" s="395"/>
      <c r="S16" s="7"/>
      <c r="T16" s="395"/>
      <c r="U16" s="7"/>
      <c r="V16" s="395"/>
      <c r="W16" s="7"/>
      <c r="X16" s="395"/>
      <c r="Y16" s="7"/>
      <c r="Z16" s="395"/>
      <c r="AA16" s="7"/>
      <c r="AB16" s="396"/>
    </row>
    <row r="17" spans="1:28" x14ac:dyDescent="0.25">
      <c r="A17" s="6"/>
      <c r="B17" s="395"/>
      <c r="C17" s="7"/>
      <c r="D17" s="395"/>
      <c r="E17" s="7"/>
      <c r="F17" s="395"/>
      <c r="G17" s="7"/>
      <c r="H17" s="395"/>
      <c r="I17" s="7"/>
      <c r="J17" s="395"/>
      <c r="K17" s="7"/>
      <c r="L17" s="395"/>
      <c r="M17" s="7"/>
      <c r="N17" s="395"/>
      <c r="O17" s="7"/>
      <c r="P17" s="395"/>
      <c r="Q17" s="7"/>
      <c r="R17" s="395"/>
      <c r="S17" s="7"/>
      <c r="T17" s="395"/>
      <c r="U17" s="7"/>
      <c r="V17" s="395"/>
      <c r="W17" s="7"/>
      <c r="X17" s="395"/>
      <c r="Y17" s="7"/>
      <c r="Z17" s="395"/>
      <c r="AA17" s="7"/>
      <c r="AB17" s="396"/>
    </row>
    <row r="18" spans="1:28" x14ac:dyDescent="0.25">
      <c r="A18" s="6"/>
      <c r="B18" s="395"/>
      <c r="C18" s="7"/>
      <c r="D18" s="395"/>
      <c r="E18" s="7"/>
      <c r="F18" s="395"/>
      <c r="G18" s="7"/>
      <c r="H18" s="395"/>
      <c r="I18" s="7"/>
      <c r="J18" s="395"/>
      <c r="K18" s="7"/>
      <c r="L18" s="395"/>
      <c r="M18" s="7"/>
      <c r="N18" s="395"/>
      <c r="O18" s="7"/>
      <c r="P18" s="395"/>
      <c r="Q18" s="7"/>
      <c r="R18" s="395"/>
      <c r="S18" s="7"/>
      <c r="T18" s="395"/>
      <c r="U18" s="7"/>
      <c r="V18" s="395"/>
      <c r="W18" s="7"/>
      <c r="X18" s="395"/>
      <c r="Y18" s="7"/>
      <c r="Z18" s="395"/>
      <c r="AA18" s="7"/>
      <c r="AB18" s="396"/>
    </row>
    <row r="19" spans="1:28" x14ac:dyDescent="0.25">
      <c r="A19" s="6"/>
      <c r="B19" s="395"/>
      <c r="C19" s="7"/>
      <c r="D19" s="395"/>
      <c r="E19" s="7"/>
      <c r="F19" s="395"/>
      <c r="G19" s="7"/>
      <c r="H19" s="395"/>
      <c r="I19" s="7"/>
      <c r="J19" s="395"/>
      <c r="K19" s="7"/>
      <c r="L19" s="395"/>
      <c r="M19" s="7"/>
      <c r="N19" s="395"/>
      <c r="O19" s="7"/>
      <c r="P19" s="395"/>
      <c r="Q19" s="7"/>
      <c r="R19" s="395"/>
      <c r="S19" s="7"/>
      <c r="T19" s="395"/>
      <c r="U19" s="7"/>
      <c r="V19" s="395"/>
      <c r="W19" s="7"/>
      <c r="X19" s="395"/>
      <c r="Y19" s="7"/>
      <c r="Z19" s="395"/>
      <c r="AA19" s="7"/>
      <c r="AB19" s="396"/>
    </row>
    <row r="20" spans="1:28" x14ac:dyDescent="0.25">
      <c r="A20" s="6"/>
      <c r="B20" s="395"/>
      <c r="C20" s="7"/>
      <c r="D20" s="395"/>
      <c r="E20" s="7"/>
      <c r="F20" s="395"/>
      <c r="G20" s="7"/>
      <c r="H20" s="395"/>
      <c r="I20" s="7"/>
      <c r="J20" s="395"/>
      <c r="K20" s="7"/>
      <c r="L20" s="395"/>
      <c r="M20" s="7"/>
      <c r="N20" s="395"/>
      <c r="O20" s="7"/>
      <c r="P20" s="395"/>
      <c r="Q20" s="7"/>
      <c r="R20" s="395"/>
      <c r="S20" s="7"/>
      <c r="T20" s="395"/>
      <c r="U20" s="7"/>
      <c r="V20" s="395"/>
      <c r="W20" s="7"/>
      <c r="X20" s="395"/>
      <c r="Y20" s="7"/>
      <c r="Z20" s="395"/>
      <c r="AA20" s="7"/>
      <c r="AB20" s="396"/>
    </row>
    <row r="21" spans="1:28" ht="15.75" customHeight="1" x14ac:dyDescent="0.25">
      <c r="A21" s="6"/>
      <c r="B21" s="395"/>
      <c r="C21" s="7"/>
      <c r="D21" s="395"/>
      <c r="E21" s="7"/>
      <c r="F21" s="395"/>
      <c r="G21" s="7"/>
      <c r="H21" s="395"/>
      <c r="I21" s="7"/>
      <c r="J21" s="395"/>
      <c r="K21" s="7"/>
      <c r="L21" s="395"/>
      <c r="M21" s="7"/>
      <c r="N21" s="395"/>
      <c r="O21" s="7"/>
      <c r="P21" s="395"/>
      <c r="Q21" s="7"/>
      <c r="R21" s="395"/>
      <c r="S21" s="7"/>
      <c r="T21" s="395"/>
      <c r="U21" s="7"/>
      <c r="V21" s="395"/>
      <c r="W21" s="7"/>
      <c r="X21" s="395"/>
      <c r="Y21" s="7"/>
      <c r="Z21" s="395"/>
      <c r="AA21" s="7"/>
      <c r="AB21" s="396"/>
    </row>
    <row r="22" spans="1:28" ht="15.75" customHeight="1" x14ac:dyDescent="0.25">
      <c r="A22" s="6"/>
      <c r="B22" s="395"/>
      <c r="C22" s="7"/>
      <c r="D22" s="395"/>
      <c r="E22" s="7"/>
      <c r="F22" s="395"/>
      <c r="G22" s="7"/>
      <c r="H22" s="395"/>
      <c r="I22" s="7"/>
      <c r="J22" s="395"/>
      <c r="K22" s="7"/>
      <c r="L22" s="395"/>
      <c r="M22" s="7"/>
      <c r="N22" s="395"/>
      <c r="O22" s="7"/>
      <c r="P22" s="395"/>
      <c r="Q22" s="7"/>
      <c r="R22" s="395"/>
      <c r="S22" s="7"/>
      <c r="T22" s="395"/>
      <c r="U22" s="7"/>
      <c r="V22" s="395"/>
      <c r="W22" s="7"/>
      <c r="X22" s="395"/>
      <c r="Y22" s="7"/>
      <c r="Z22" s="395"/>
      <c r="AA22" s="7"/>
      <c r="AB22" s="396"/>
    </row>
    <row r="23" spans="1:28" ht="15.75" customHeight="1" x14ac:dyDescent="0.25">
      <c r="A23" s="6"/>
      <c r="B23" s="395"/>
      <c r="C23" s="7"/>
      <c r="D23" s="395"/>
      <c r="E23" s="7"/>
      <c r="F23" s="395"/>
      <c r="G23" s="7"/>
      <c r="H23" s="395"/>
      <c r="I23" s="7"/>
      <c r="J23" s="395"/>
      <c r="K23" s="7"/>
      <c r="L23" s="395"/>
      <c r="M23" s="7"/>
      <c r="N23" s="395"/>
      <c r="O23" s="7"/>
      <c r="P23" s="395"/>
      <c r="Q23" s="7"/>
      <c r="R23" s="395"/>
      <c r="S23" s="7"/>
      <c r="T23" s="395"/>
      <c r="U23" s="7"/>
      <c r="V23" s="395"/>
      <c r="W23" s="7"/>
      <c r="X23" s="395"/>
      <c r="Y23" s="7"/>
      <c r="Z23" s="395"/>
      <c r="AA23" s="7"/>
      <c r="AB23" s="396"/>
    </row>
    <row r="24" spans="1:28" ht="15.75" customHeight="1" x14ac:dyDescent="0.25">
      <c r="A24" s="6"/>
      <c r="B24" s="395"/>
      <c r="C24" s="7"/>
      <c r="D24" s="395"/>
      <c r="E24" s="7"/>
      <c r="F24" s="395"/>
      <c r="G24" s="7"/>
      <c r="H24" s="395"/>
      <c r="I24" s="7"/>
      <c r="J24" s="395"/>
      <c r="K24" s="7"/>
      <c r="L24" s="395"/>
      <c r="M24" s="7"/>
      <c r="N24" s="395"/>
      <c r="O24" s="7"/>
      <c r="P24" s="395"/>
      <c r="Q24" s="7"/>
      <c r="R24" s="395"/>
      <c r="S24" s="7"/>
      <c r="T24" s="395"/>
      <c r="U24" s="7"/>
      <c r="V24" s="395"/>
      <c r="W24" s="7"/>
      <c r="X24" s="395"/>
      <c r="Y24" s="7"/>
      <c r="Z24" s="395"/>
      <c r="AA24" s="7"/>
      <c r="AB24" s="396"/>
    </row>
    <row r="25" spans="1:28" ht="15.75" customHeight="1" x14ac:dyDescent="0.25">
      <c r="A25" s="6"/>
      <c r="B25" s="395"/>
      <c r="C25" s="7"/>
      <c r="D25" s="395"/>
      <c r="E25" s="7"/>
      <c r="F25" s="395"/>
      <c r="G25" s="7"/>
      <c r="H25" s="395"/>
      <c r="I25" s="7"/>
      <c r="J25" s="395"/>
      <c r="K25" s="7"/>
      <c r="L25" s="395"/>
      <c r="M25" s="7"/>
      <c r="N25" s="395"/>
      <c r="O25" s="7"/>
      <c r="P25" s="395"/>
      <c r="Q25" s="7"/>
      <c r="R25" s="395"/>
      <c r="S25" s="7"/>
      <c r="T25" s="395"/>
      <c r="U25" s="7"/>
      <c r="V25" s="395"/>
      <c r="W25" s="7"/>
      <c r="X25" s="395"/>
      <c r="Y25" s="7"/>
      <c r="Z25" s="395"/>
      <c r="AA25" s="7"/>
      <c r="AB25" s="396"/>
    </row>
    <row r="26" spans="1:28" ht="15.75" customHeight="1" x14ac:dyDescent="0.25">
      <c r="A26" s="6"/>
      <c r="B26" s="395"/>
      <c r="C26" s="7"/>
      <c r="D26" s="395"/>
      <c r="E26" s="7"/>
      <c r="F26" s="395"/>
      <c r="G26" s="7"/>
      <c r="H26" s="395"/>
      <c r="I26" s="7"/>
      <c r="J26" s="395"/>
      <c r="K26" s="7"/>
      <c r="L26" s="395"/>
      <c r="M26" s="7"/>
      <c r="N26" s="395"/>
      <c r="O26" s="7"/>
      <c r="P26" s="395"/>
      <c r="Q26" s="7"/>
      <c r="R26" s="395"/>
      <c r="S26" s="7"/>
      <c r="T26" s="395"/>
      <c r="U26" s="7"/>
      <c r="V26" s="395"/>
      <c r="W26" s="7"/>
      <c r="X26" s="395"/>
      <c r="Y26" s="7"/>
      <c r="Z26" s="395"/>
      <c r="AA26" s="7"/>
      <c r="AB26" s="396"/>
    </row>
    <row r="27" spans="1:28" ht="15.75" customHeight="1" x14ac:dyDescent="0.25">
      <c r="A27" s="6"/>
      <c r="B27" s="395"/>
      <c r="C27" s="7"/>
      <c r="D27" s="395"/>
      <c r="E27" s="7"/>
      <c r="F27" s="395"/>
      <c r="G27" s="7"/>
      <c r="H27" s="395"/>
      <c r="I27" s="7"/>
      <c r="J27" s="395"/>
      <c r="K27" s="7"/>
      <c r="L27" s="395"/>
      <c r="M27" s="7"/>
      <c r="N27" s="395"/>
      <c r="O27" s="7"/>
      <c r="P27" s="395"/>
      <c r="Q27" s="7"/>
      <c r="R27" s="395"/>
      <c r="S27" s="7"/>
      <c r="T27" s="395"/>
      <c r="U27" s="7"/>
      <c r="V27" s="395"/>
      <c r="W27" s="7"/>
      <c r="X27" s="395"/>
      <c r="Y27" s="7"/>
      <c r="Z27" s="395"/>
      <c r="AA27" s="7"/>
      <c r="AB27" s="396"/>
    </row>
    <row r="28" spans="1:28" ht="15.75" customHeight="1" x14ac:dyDescent="0.25">
      <c r="A28" s="6"/>
      <c r="B28" s="395"/>
      <c r="C28" s="7"/>
      <c r="D28" s="395"/>
      <c r="E28" s="7"/>
      <c r="F28" s="395"/>
      <c r="G28" s="7"/>
      <c r="H28" s="395"/>
      <c r="I28" s="7"/>
      <c r="J28" s="395"/>
      <c r="K28" s="7"/>
      <c r="L28" s="395"/>
      <c r="M28" s="7"/>
      <c r="N28" s="395"/>
      <c r="O28" s="7"/>
      <c r="P28" s="395"/>
      <c r="Q28" s="7"/>
      <c r="R28" s="395"/>
      <c r="S28" s="7"/>
      <c r="T28" s="395"/>
      <c r="U28" s="7"/>
      <c r="V28" s="395"/>
      <c r="W28" s="7"/>
      <c r="X28" s="395"/>
      <c r="Y28" s="7"/>
      <c r="Z28" s="395"/>
      <c r="AA28" s="7"/>
      <c r="AB28" s="396"/>
    </row>
    <row r="29" spans="1:28" ht="15.75" customHeight="1" x14ac:dyDescent="0.25">
      <c r="A29" s="6"/>
      <c r="B29" s="395"/>
      <c r="C29" s="7"/>
      <c r="D29" s="395"/>
      <c r="E29" s="7"/>
      <c r="F29" s="395"/>
      <c r="G29" s="7"/>
      <c r="H29" s="395"/>
      <c r="I29" s="7"/>
      <c r="J29" s="395"/>
      <c r="K29" s="7"/>
      <c r="L29" s="395"/>
      <c r="M29" s="7"/>
      <c r="N29" s="395"/>
      <c r="O29" s="7"/>
      <c r="P29" s="395"/>
      <c r="Q29" s="7"/>
      <c r="R29" s="395"/>
      <c r="S29" s="7"/>
      <c r="T29" s="395"/>
      <c r="U29" s="7"/>
      <c r="V29" s="395"/>
      <c r="W29" s="7"/>
      <c r="X29" s="395"/>
      <c r="Y29" s="7"/>
      <c r="Z29" s="395"/>
      <c r="AA29" s="7"/>
      <c r="AB29" s="396"/>
    </row>
    <row r="30" spans="1:28" ht="15.75" customHeight="1" x14ac:dyDescent="0.25">
      <c r="A30" s="6"/>
      <c r="B30" s="395"/>
      <c r="C30" s="7"/>
      <c r="D30" s="395"/>
      <c r="E30" s="7"/>
      <c r="F30" s="395"/>
      <c r="G30" s="7"/>
      <c r="H30" s="395"/>
      <c r="I30" s="7"/>
      <c r="J30" s="395"/>
      <c r="K30" s="7"/>
      <c r="L30" s="395"/>
      <c r="M30" s="7"/>
      <c r="N30" s="395"/>
      <c r="O30" s="7"/>
      <c r="P30" s="395"/>
      <c r="Q30" s="7"/>
      <c r="R30" s="395"/>
      <c r="S30" s="7"/>
      <c r="T30" s="395"/>
      <c r="U30" s="7"/>
      <c r="V30" s="395"/>
      <c r="W30" s="7"/>
      <c r="X30" s="395"/>
      <c r="Y30" s="7"/>
      <c r="Z30" s="395"/>
      <c r="AA30" s="7"/>
      <c r="AB30" s="396"/>
    </row>
    <row r="31" spans="1:28" ht="15.75" customHeight="1" x14ac:dyDescent="0.25">
      <c r="A31" s="6"/>
      <c r="B31" s="395"/>
      <c r="C31" s="7"/>
      <c r="D31" s="395"/>
      <c r="E31" s="7"/>
      <c r="F31" s="395"/>
      <c r="G31" s="7"/>
      <c r="H31" s="395"/>
      <c r="I31" s="7"/>
      <c r="J31" s="395"/>
      <c r="K31" s="7"/>
      <c r="L31" s="395"/>
      <c r="M31" s="7"/>
      <c r="N31" s="395"/>
      <c r="O31" s="7"/>
      <c r="P31" s="395"/>
      <c r="Q31" s="7"/>
      <c r="R31" s="395"/>
      <c r="S31" s="7"/>
      <c r="T31" s="395"/>
      <c r="U31" s="7"/>
      <c r="V31" s="395"/>
      <c r="W31" s="7"/>
      <c r="X31" s="395"/>
      <c r="Y31" s="7"/>
      <c r="Z31" s="395"/>
      <c r="AA31" s="7"/>
      <c r="AB31" s="396"/>
    </row>
    <row r="32" spans="1:28" ht="15.75" customHeight="1" x14ac:dyDescent="0.25">
      <c r="A32" s="6"/>
      <c r="B32" s="395"/>
      <c r="C32" s="7"/>
      <c r="D32" s="395"/>
      <c r="E32" s="7"/>
      <c r="F32" s="395"/>
      <c r="G32" s="7"/>
      <c r="H32" s="395"/>
      <c r="I32" s="7"/>
      <c r="J32" s="395"/>
      <c r="K32" s="7"/>
      <c r="L32" s="395"/>
      <c r="M32" s="7"/>
      <c r="N32" s="395"/>
      <c r="O32" s="7"/>
      <c r="P32" s="395"/>
      <c r="Q32" s="7"/>
      <c r="R32" s="395"/>
      <c r="S32" s="7"/>
      <c r="T32" s="395"/>
      <c r="U32" s="7"/>
      <c r="V32" s="395"/>
      <c r="W32" s="7"/>
      <c r="X32" s="395"/>
      <c r="Y32" s="7"/>
      <c r="Z32" s="395"/>
      <c r="AA32" s="7"/>
      <c r="AB32" s="396"/>
    </row>
    <row r="33" spans="1:30" ht="15.75" customHeight="1" x14ac:dyDescent="0.25">
      <c r="A33" s="6"/>
      <c r="B33" s="395"/>
      <c r="C33" s="7"/>
      <c r="D33" s="395"/>
      <c r="E33" s="7"/>
      <c r="F33" s="395"/>
      <c r="G33" s="7"/>
      <c r="H33" s="395"/>
      <c r="I33" s="7"/>
      <c r="J33" s="395"/>
      <c r="K33" s="7"/>
      <c r="L33" s="395"/>
      <c r="M33" s="7"/>
      <c r="N33" s="395"/>
      <c r="O33" s="7"/>
      <c r="P33" s="395"/>
      <c r="Q33" s="7"/>
      <c r="R33" s="395"/>
      <c r="S33" s="7"/>
      <c r="T33" s="395"/>
      <c r="U33" s="7"/>
      <c r="V33" s="395"/>
      <c r="W33" s="7"/>
      <c r="X33" s="395"/>
      <c r="Y33" s="7"/>
      <c r="Z33" s="395"/>
      <c r="AA33" s="7"/>
      <c r="AB33" s="396"/>
    </row>
    <row r="34" spans="1:30" ht="15.75" customHeight="1" x14ac:dyDescent="0.25">
      <c r="A34" s="6"/>
      <c r="B34" s="395"/>
      <c r="C34" s="7"/>
      <c r="D34" s="395"/>
      <c r="E34" s="7"/>
      <c r="F34" s="395"/>
      <c r="G34" s="7"/>
      <c r="H34" s="395"/>
      <c r="I34" s="7"/>
      <c r="J34" s="395"/>
      <c r="K34" s="7"/>
      <c r="L34" s="395"/>
      <c r="M34" s="7"/>
      <c r="N34" s="395"/>
      <c r="O34" s="7"/>
      <c r="P34" s="395"/>
      <c r="Q34" s="7"/>
      <c r="R34" s="395"/>
      <c r="S34" s="7"/>
      <c r="T34" s="395"/>
      <c r="U34" s="7"/>
      <c r="V34" s="395"/>
      <c r="W34" s="7"/>
      <c r="X34" s="395"/>
      <c r="Y34" s="7"/>
      <c r="Z34" s="395"/>
      <c r="AA34" s="7"/>
      <c r="AB34" s="396"/>
    </row>
    <row r="35" spans="1:30" ht="15.75" customHeight="1" x14ac:dyDescent="0.25">
      <c r="A35" s="6"/>
      <c r="B35" s="395"/>
      <c r="C35" s="7"/>
      <c r="D35" s="395"/>
      <c r="E35" s="7"/>
      <c r="F35" s="395"/>
      <c r="G35" s="7"/>
      <c r="H35" s="395"/>
      <c r="I35" s="7"/>
      <c r="J35" s="395"/>
      <c r="K35" s="7"/>
      <c r="L35" s="395"/>
      <c r="M35" s="7"/>
      <c r="N35" s="395"/>
      <c r="O35" s="7"/>
      <c r="P35" s="395"/>
      <c r="Q35" s="7"/>
      <c r="R35" s="395"/>
      <c r="S35" s="7"/>
      <c r="T35" s="395"/>
      <c r="U35" s="7"/>
      <c r="V35" s="395"/>
      <c r="W35" s="7"/>
      <c r="X35" s="395"/>
      <c r="Y35" s="7"/>
      <c r="Z35" s="395"/>
      <c r="AA35" s="7"/>
      <c r="AB35" s="396"/>
    </row>
    <row r="36" spans="1:30" ht="15.75" customHeight="1" x14ac:dyDescent="0.25">
      <c r="A36" s="4"/>
      <c r="B36" s="395"/>
      <c r="C36" s="5"/>
      <c r="D36" s="395"/>
      <c r="E36" s="5"/>
      <c r="F36" s="395"/>
      <c r="G36" s="5"/>
      <c r="H36" s="395"/>
      <c r="I36" s="5"/>
      <c r="J36" s="395"/>
      <c r="K36" s="5"/>
      <c r="L36" s="395"/>
      <c r="M36" s="5"/>
      <c r="N36" s="395"/>
      <c r="O36" s="5"/>
      <c r="P36" s="395"/>
      <c r="Q36" s="5"/>
      <c r="R36" s="395"/>
      <c r="S36" s="5"/>
      <c r="T36" s="395"/>
      <c r="U36" s="5"/>
      <c r="V36" s="395"/>
      <c r="W36" s="5"/>
      <c r="X36" s="395"/>
      <c r="Y36" s="5"/>
      <c r="Z36" s="395"/>
      <c r="AA36" s="5"/>
      <c r="AB36" s="396"/>
    </row>
    <row r="37" spans="1:30" ht="15.75" customHeight="1" x14ac:dyDescent="0.25">
      <c r="A37" s="4">
        <f>COUNT(A5:A35)</f>
        <v>1</v>
      </c>
      <c r="B37" s="8"/>
      <c r="C37" s="5">
        <f>COUNT(C5:C35)</f>
        <v>1</v>
      </c>
      <c r="D37" s="8"/>
      <c r="E37" s="5">
        <f>COUNT(E5:E35)</f>
        <v>1</v>
      </c>
      <c r="F37" s="8"/>
      <c r="G37" s="5">
        <f>COUNT(G5:G35)</f>
        <v>1</v>
      </c>
      <c r="H37" s="8"/>
      <c r="I37" s="5">
        <f>COUNT(I5:I35)</f>
        <v>0</v>
      </c>
      <c r="J37" s="8"/>
      <c r="K37" s="5">
        <f>COUNT(K5:K35)</f>
        <v>0</v>
      </c>
      <c r="L37" s="8"/>
      <c r="M37" s="5">
        <f>COUNT(M5:M35)</f>
        <v>0</v>
      </c>
      <c r="N37" s="8"/>
      <c r="O37" s="5">
        <f>COUNT(O5:O35)</f>
        <v>0</v>
      </c>
      <c r="P37" s="8"/>
      <c r="Q37" s="5">
        <f>COUNT(Q5:Q35)</f>
        <v>0</v>
      </c>
      <c r="R37" s="8"/>
      <c r="S37" s="5">
        <f>COUNT(S5:S35)</f>
        <v>0</v>
      </c>
      <c r="T37" s="8"/>
      <c r="U37" s="5">
        <f>COUNT(U5:U35)</f>
        <v>0</v>
      </c>
      <c r="V37" s="8"/>
      <c r="W37" s="5">
        <f>COUNT(W5:W35)</f>
        <v>0</v>
      </c>
      <c r="X37" s="8"/>
      <c r="Y37" s="5">
        <f>COUNT(Y5:Y35)</f>
        <v>0</v>
      </c>
      <c r="Z37" s="8"/>
      <c r="AA37" s="5">
        <f>COUNT(AA5:AA35)</f>
        <v>0</v>
      </c>
      <c r="AB37" s="8"/>
      <c r="AC37" s="9">
        <f>COUNT(AC5:AC35)</f>
        <v>0</v>
      </c>
      <c r="AD37" s="10"/>
    </row>
    <row r="38" spans="1:30" ht="15.75" customHeight="1" x14ac:dyDescent="0.25">
      <c r="A38" s="11">
        <f>SUM(A5:A35)</f>
        <v>2035.8</v>
      </c>
      <c r="B38" s="12"/>
      <c r="C38" s="13">
        <f>SUM(C5:C35)</f>
        <v>2018.1</v>
      </c>
      <c r="D38" s="12"/>
      <c r="E38" s="13">
        <f>SUM(E5:E35)</f>
        <v>2056.1</v>
      </c>
      <c r="F38" s="12"/>
      <c r="G38" s="13">
        <f>SUM(G5:G35)</f>
        <v>1995.7</v>
      </c>
      <c r="H38" s="12"/>
      <c r="I38" s="13">
        <f>SUM(I5:I35)</f>
        <v>0</v>
      </c>
      <c r="J38" s="12"/>
      <c r="K38" s="13">
        <f>SUM(K5:K35)</f>
        <v>0</v>
      </c>
      <c r="L38" s="12"/>
      <c r="M38" s="13">
        <f>SUM(M5:M35)</f>
        <v>0</v>
      </c>
      <c r="N38" s="12"/>
      <c r="O38" s="13">
        <f>SUM(O5:O35)</f>
        <v>0</v>
      </c>
      <c r="P38" s="12"/>
      <c r="Q38" s="13">
        <f>SUM(Q5:Q35)</f>
        <v>0</v>
      </c>
      <c r="R38" s="12"/>
      <c r="S38" s="13">
        <f>SUM(S5:S35)</f>
        <v>0</v>
      </c>
      <c r="T38" s="12"/>
      <c r="U38" s="13">
        <f>SUM(U5:U35)</f>
        <v>0</v>
      </c>
      <c r="V38" s="12"/>
      <c r="W38" s="13">
        <f>SUM(W5:W35)</f>
        <v>0</v>
      </c>
      <c r="X38" s="12"/>
      <c r="Y38" s="13">
        <f>SUM(Y5:Y35)</f>
        <v>0</v>
      </c>
      <c r="Z38" s="12"/>
      <c r="AA38" s="13">
        <f>SUM(AA5:AA35)</f>
        <v>0</v>
      </c>
      <c r="AB38" s="12"/>
      <c r="AC38" s="14">
        <f>SUM(AC5:AC35)</f>
        <v>0</v>
      </c>
      <c r="AD38" s="15"/>
    </row>
    <row r="39" spans="1:30" ht="15.75" customHeight="1" x14ac:dyDescent="0.25"/>
    <row r="40" spans="1:30" ht="15.75" customHeight="1" x14ac:dyDescent="0.25">
      <c r="A40" s="388">
        <f>SUM(A38:AC38)</f>
        <v>8105.7</v>
      </c>
      <c r="B40" s="389"/>
      <c r="C40" s="389"/>
      <c r="D40" s="390"/>
    </row>
    <row r="41" spans="1:30" ht="15.75" customHeight="1" x14ac:dyDescent="0.25">
      <c r="A41" s="391"/>
      <c r="B41" s="392"/>
      <c r="C41" s="392"/>
      <c r="D41" s="393"/>
    </row>
    <row r="42" spans="1:30" ht="15.75" customHeight="1" x14ac:dyDescent="0.25"/>
    <row r="43" spans="1:30" ht="15.75" customHeight="1" x14ac:dyDescent="0.25"/>
    <row r="44" spans="1:30" ht="15.75" customHeight="1" x14ac:dyDescent="0.25"/>
    <row r="45" spans="1:30" ht="15.75" customHeight="1" x14ac:dyDescent="0.25"/>
    <row r="46" spans="1:30" ht="15.75" customHeight="1" x14ac:dyDescent="0.25"/>
    <row r="47" spans="1:30" ht="15.75" customHeight="1" x14ac:dyDescent="0.25"/>
    <row r="48" spans="1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A40:D41"/>
    <mergeCell ref="X3:X36"/>
    <mergeCell ref="Z3:Z36"/>
    <mergeCell ref="AB3:AB36"/>
    <mergeCell ref="A1:AC2"/>
    <mergeCell ref="B3:B36"/>
    <mergeCell ref="D3:D36"/>
    <mergeCell ref="F3:F36"/>
    <mergeCell ref="H3:H36"/>
    <mergeCell ref="J3:J36"/>
    <mergeCell ref="L3:L36"/>
    <mergeCell ref="N3:N36"/>
    <mergeCell ref="P3:P36"/>
    <mergeCell ref="R3:R36"/>
    <mergeCell ref="T3:T36"/>
    <mergeCell ref="V3:V36"/>
  </mergeCells>
  <pageMargins left="0.19685039370078741" right="0.19685039370078741" top="0.35433070866141736" bottom="0.31496062992125984" header="0" footer="0"/>
  <pageSetup paperSize="9" scale="8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/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6">
        <v>0.2</v>
      </c>
      <c r="B1" s="16">
        <v>0.25</v>
      </c>
      <c r="C1" s="16">
        <v>0.3</v>
      </c>
      <c r="D1" s="16">
        <v>0.35</v>
      </c>
      <c r="E1" s="16">
        <v>0.4</v>
      </c>
      <c r="F1" s="16">
        <v>0.45</v>
      </c>
      <c r="G1" s="16">
        <v>0.5</v>
      </c>
      <c r="H1" s="16">
        <v>0.55000000000000004</v>
      </c>
      <c r="I1" s="16">
        <v>0.6</v>
      </c>
      <c r="J1" s="16">
        <v>0.65</v>
      </c>
      <c r="K1" s="16">
        <v>0.7</v>
      </c>
      <c r="L1" s="16">
        <v>0.75</v>
      </c>
      <c r="M1" s="16">
        <v>0.8</v>
      </c>
      <c r="N1" s="16">
        <v>0.85</v>
      </c>
      <c r="O1" s="16">
        <v>0.9</v>
      </c>
      <c r="P1" s="16">
        <v>0.95</v>
      </c>
      <c r="Q1" s="16">
        <v>1</v>
      </c>
      <c r="R1" s="16">
        <v>1.05</v>
      </c>
      <c r="S1" s="16">
        <v>1.1000000000000001</v>
      </c>
      <c r="T1" s="16">
        <v>1.1499999999999999</v>
      </c>
      <c r="U1" s="16">
        <v>1.2</v>
      </c>
      <c r="V1" s="16">
        <v>1.25</v>
      </c>
      <c r="W1" s="16">
        <v>1.3</v>
      </c>
      <c r="X1" s="16">
        <v>1.35</v>
      </c>
      <c r="Y1" s="16">
        <v>1.4</v>
      </c>
      <c r="Z1" s="16">
        <v>1.45</v>
      </c>
      <c r="AA1" s="16">
        <v>1.5</v>
      </c>
    </row>
    <row r="3" spans="1:27" ht="30" customHeight="1" x14ac:dyDescent="0.25">
      <c r="A3" s="17">
        <f>SUM(A5:A15)</f>
        <v>245.375</v>
      </c>
      <c r="B3" s="17">
        <f>SUM(B5:B24)</f>
        <v>231.345</v>
      </c>
      <c r="C3" s="17">
        <f>SUM(C5:C14)</f>
        <v>193.92</v>
      </c>
      <c r="D3" s="17">
        <f>SUM(D5:D10)</f>
        <v>126.675</v>
      </c>
      <c r="E3" s="17">
        <f>SUM(E5:E10)</f>
        <v>17.170000000000002</v>
      </c>
      <c r="F3" s="17">
        <f>SUM(F5:F21)</f>
        <v>476.91500000000002</v>
      </c>
      <c r="G3" s="17">
        <f>SUM(G5:G24)</f>
        <v>449.11</v>
      </c>
      <c r="H3" s="17">
        <f>SUM(H5:H19)</f>
        <v>426.29500000000002</v>
      </c>
      <c r="I3" s="17">
        <f>SUM(I5:I38)</f>
        <v>982.48</v>
      </c>
      <c r="J3" s="17">
        <f>SUM(J5:J22)</f>
        <v>514.27499999999998</v>
      </c>
      <c r="K3" s="17">
        <f>SUM(K5:K18)</f>
        <v>217.99</v>
      </c>
      <c r="L3" s="17">
        <f>SUM(L5:L19)</f>
        <v>302.875</v>
      </c>
      <c r="M3" s="17">
        <f>SUM(M5:M16)</f>
        <v>274.32</v>
      </c>
      <c r="N3" s="17">
        <f>SUM(N5:N14)</f>
        <v>214.55</v>
      </c>
      <c r="O3" s="17">
        <f>SUM(O5:O15)</f>
        <v>161.29</v>
      </c>
      <c r="P3" s="17">
        <f>SUM(P5:P21)</f>
        <v>502.1</v>
      </c>
      <c r="Q3" s="17">
        <f>SUM(Q5:Q28)</f>
        <v>629.91999999999996</v>
      </c>
      <c r="R3" s="17">
        <f>SUM(R5:R27)</f>
        <v>519.80499999999995</v>
      </c>
      <c r="S3" s="17">
        <f>SUM(S5:S15)</f>
        <v>228.25</v>
      </c>
      <c r="T3" s="17">
        <f>SUM(T5:T33)</f>
        <v>790.9</v>
      </c>
      <c r="U3" s="17">
        <f>SUM(U5:U29)</f>
        <v>754.17499999999995</v>
      </c>
      <c r="V3" s="17">
        <f>SUM(V5:V8)</f>
        <v>85.9</v>
      </c>
      <c r="W3" s="17">
        <f>SUM(W5:W16)</f>
        <v>281.41000000000003</v>
      </c>
      <c r="X3" s="17">
        <f>SUM(X5:X29)</f>
        <v>790.85</v>
      </c>
    </row>
    <row r="5" spans="1:27" x14ac:dyDescent="0.25">
      <c r="A5" s="17">
        <v>3.0150000000000001</v>
      </c>
      <c r="B5" s="17">
        <v>3.62</v>
      </c>
      <c r="C5" s="17">
        <v>7.83</v>
      </c>
      <c r="D5" s="17">
        <v>8.5250000000000004</v>
      </c>
      <c r="E5" s="1">
        <v>8.5649999999999995</v>
      </c>
      <c r="F5" s="15">
        <v>8.24</v>
      </c>
      <c r="G5" s="17">
        <v>8.19</v>
      </c>
      <c r="H5" s="17">
        <v>7.72</v>
      </c>
      <c r="I5" s="17">
        <v>7.11</v>
      </c>
      <c r="J5" s="17">
        <v>8.2100000000000009</v>
      </c>
      <c r="K5" s="17">
        <v>7.09</v>
      </c>
      <c r="L5" s="17">
        <v>8.68</v>
      </c>
      <c r="M5" s="1">
        <v>8.2050000000000001</v>
      </c>
      <c r="N5" s="17">
        <v>34.325000000000003</v>
      </c>
      <c r="O5" s="17">
        <v>8.64</v>
      </c>
      <c r="P5" s="17">
        <v>8.9700000000000006</v>
      </c>
      <c r="Q5" s="17">
        <v>8.33</v>
      </c>
      <c r="R5" s="17">
        <v>8.3849999999999998</v>
      </c>
      <c r="S5" s="17">
        <v>8.2850000000000001</v>
      </c>
      <c r="T5" s="17">
        <v>7.98</v>
      </c>
      <c r="U5" s="17">
        <v>8.375</v>
      </c>
      <c r="V5" s="17">
        <v>8.2050000000000001</v>
      </c>
      <c r="W5" s="17">
        <v>8.44</v>
      </c>
      <c r="X5" s="1">
        <v>8.5050000000000008</v>
      </c>
      <c r="Y5" s="17">
        <v>8.1999999999999993</v>
      </c>
    </row>
    <row r="6" spans="1:27" x14ac:dyDescent="0.25">
      <c r="A6" s="17">
        <v>7.53</v>
      </c>
      <c r="B6" s="17">
        <v>3.83</v>
      </c>
      <c r="C6" s="17">
        <v>7.77</v>
      </c>
      <c r="D6" s="17">
        <v>7.84</v>
      </c>
      <c r="E6" s="1">
        <v>8.6050000000000004</v>
      </c>
      <c r="F6" s="15">
        <v>8.2100000000000009</v>
      </c>
      <c r="G6" s="17">
        <v>8.1999999999999993</v>
      </c>
      <c r="H6" s="17">
        <v>6.63</v>
      </c>
      <c r="I6" s="17">
        <v>7.52</v>
      </c>
      <c r="J6" s="17">
        <v>8.26</v>
      </c>
      <c r="K6" s="17">
        <v>7.17</v>
      </c>
      <c r="L6" s="17">
        <v>8.5299999999999994</v>
      </c>
      <c r="M6" s="1">
        <v>8.3049999999999997</v>
      </c>
      <c r="N6" s="17">
        <v>34.325000000000003</v>
      </c>
      <c r="O6" s="17">
        <v>8.65</v>
      </c>
      <c r="P6" s="17">
        <v>8.27</v>
      </c>
      <c r="Q6" s="17">
        <v>8.375</v>
      </c>
      <c r="R6" s="17">
        <v>8.4350000000000005</v>
      </c>
      <c r="S6" s="17">
        <v>8.15</v>
      </c>
      <c r="T6" s="17">
        <v>7.55</v>
      </c>
      <c r="U6" s="17">
        <v>8.3049999999999997</v>
      </c>
      <c r="V6" s="17">
        <v>8.3450000000000006</v>
      </c>
      <c r="W6" s="17">
        <v>8.5399999999999991</v>
      </c>
      <c r="X6" s="1">
        <v>8.5500000000000007</v>
      </c>
      <c r="Y6" s="17">
        <v>8.1</v>
      </c>
    </row>
    <row r="7" spans="1:27" x14ac:dyDescent="0.25">
      <c r="A7" s="17">
        <v>7.54</v>
      </c>
      <c r="B7" s="17">
        <v>3.51</v>
      </c>
      <c r="C7" s="17">
        <v>30.6</v>
      </c>
      <c r="D7" s="17">
        <v>34.005000000000003</v>
      </c>
      <c r="F7" s="17">
        <v>34.615000000000002</v>
      </c>
      <c r="G7" s="17">
        <v>34.08</v>
      </c>
      <c r="H7" s="17">
        <v>33.89</v>
      </c>
      <c r="I7" s="17">
        <v>33.545000000000002</v>
      </c>
      <c r="J7" s="17">
        <v>34.03</v>
      </c>
      <c r="K7" s="17">
        <v>33.94</v>
      </c>
      <c r="L7" s="17">
        <v>33.435000000000002</v>
      </c>
      <c r="M7" s="1">
        <v>7.3849999999999998</v>
      </c>
      <c r="N7" s="17">
        <v>34.49</v>
      </c>
      <c r="O7" s="17">
        <v>8.57</v>
      </c>
      <c r="P7" s="17">
        <v>34.1</v>
      </c>
      <c r="Q7" s="17">
        <v>33.61</v>
      </c>
      <c r="R7" s="17">
        <v>33.395000000000003</v>
      </c>
      <c r="S7" s="17">
        <v>8.36</v>
      </c>
      <c r="T7" s="17">
        <v>33.515000000000001</v>
      </c>
      <c r="U7" s="17">
        <v>34.340000000000003</v>
      </c>
      <c r="V7" s="17">
        <v>35.29</v>
      </c>
      <c r="W7" s="17">
        <v>8.7100000000000009</v>
      </c>
      <c r="X7" s="17">
        <v>34.145000000000003</v>
      </c>
      <c r="Y7" s="17">
        <v>7.99</v>
      </c>
    </row>
    <row r="8" spans="1:27" x14ac:dyDescent="0.25">
      <c r="A8" s="17">
        <v>30.12</v>
      </c>
      <c r="B8" s="17">
        <v>3.48</v>
      </c>
      <c r="C8" s="17">
        <v>30.83</v>
      </c>
      <c r="D8" s="17">
        <v>33.935000000000002</v>
      </c>
      <c r="F8" s="17">
        <v>34.6</v>
      </c>
      <c r="G8" s="17">
        <v>34.055</v>
      </c>
      <c r="H8" s="17">
        <v>33.795000000000002</v>
      </c>
      <c r="I8" s="17">
        <v>33.450000000000003</v>
      </c>
      <c r="J8" s="17">
        <v>34.42</v>
      </c>
      <c r="K8" s="17">
        <v>34.380000000000003</v>
      </c>
      <c r="L8" s="17">
        <v>33.505000000000003</v>
      </c>
      <c r="M8" s="1">
        <v>8.4049999999999994</v>
      </c>
      <c r="N8" s="17">
        <v>8.5299999999999994</v>
      </c>
      <c r="O8" s="17">
        <v>8.32</v>
      </c>
      <c r="P8" s="17">
        <v>34.130000000000003</v>
      </c>
      <c r="Q8" s="17">
        <v>33.865000000000002</v>
      </c>
      <c r="R8" s="17">
        <v>33.26</v>
      </c>
      <c r="S8" s="17">
        <v>9.0299999999999994</v>
      </c>
      <c r="T8" s="17">
        <v>33.424999999999997</v>
      </c>
      <c r="U8" s="17">
        <v>34.39</v>
      </c>
      <c r="V8" s="17">
        <v>34.06</v>
      </c>
      <c r="W8" s="17">
        <v>8.58</v>
      </c>
      <c r="X8" s="17">
        <v>31.33</v>
      </c>
      <c r="Y8" s="17">
        <v>8.2899999999999991</v>
      </c>
    </row>
    <row r="9" spans="1:27" x14ac:dyDescent="0.25">
      <c r="A9" s="17">
        <v>30.07</v>
      </c>
      <c r="B9" s="17">
        <v>28.7</v>
      </c>
      <c r="C9" s="17">
        <v>31.96</v>
      </c>
      <c r="D9" s="17">
        <v>33.884999999999998</v>
      </c>
      <c r="F9" s="17">
        <v>34.6</v>
      </c>
      <c r="G9" s="17">
        <v>34.085000000000001</v>
      </c>
      <c r="H9" s="17">
        <v>33.79</v>
      </c>
      <c r="I9" s="17">
        <v>33.53</v>
      </c>
      <c r="J9" s="17">
        <v>34.365000000000002</v>
      </c>
      <c r="K9" s="17">
        <v>34.305</v>
      </c>
      <c r="L9" s="17">
        <v>33.479999999999997</v>
      </c>
      <c r="M9" s="17">
        <v>33.43</v>
      </c>
      <c r="N9" s="17">
        <v>8.5299999999999994</v>
      </c>
      <c r="O9" s="17">
        <v>34.85</v>
      </c>
      <c r="P9" s="17">
        <v>34.185000000000002</v>
      </c>
      <c r="Q9" s="17">
        <v>33.835000000000001</v>
      </c>
      <c r="R9" s="17">
        <v>33.340000000000003</v>
      </c>
      <c r="S9" s="17">
        <v>34.024999999999999</v>
      </c>
      <c r="T9" s="17">
        <v>33.200000000000003</v>
      </c>
      <c r="U9" s="17">
        <v>34.314999999999998</v>
      </c>
      <c r="W9" s="17">
        <v>8.6199999999999992</v>
      </c>
      <c r="X9" s="17">
        <v>34.145000000000003</v>
      </c>
    </row>
    <row r="10" spans="1:27" x14ac:dyDescent="0.25">
      <c r="A10" s="17">
        <v>26.64</v>
      </c>
      <c r="B10" s="17">
        <v>29.06</v>
      </c>
      <c r="C10" s="17">
        <v>30.84</v>
      </c>
      <c r="D10" s="17">
        <v>8.4849999999999994</v>
      </c>
      <c r="F10" s="17">
        <v>34.594999999999999</v>
      </c>
      <c r="G10" s="17">
        <v>34.085000000000001</v>
      </c>
      <c r="H10" s="17">
        <v>33.82</v>
      </c>
      <c r="I10" s="17">
        <v>33.51</v>
      </c>
      <c r="J10" s="17">
        <v>34.450000000000003</v>
      </c>
      <c r="K10" s="17">
        <v>34.35</v>
      </c>
      <c r="L10" s="17">
        <v>33.405000000000001</v>
      </c>
      <c r="M10" s="17">
        <v>33.56</v>
      </c>
      <c r="N10" s="17">
        <v>8.57</v>
      </c>
      <c r="O10" s="17">
        <v>32.659999999999997</v>
      </c>
      <c r="P10" s="17">
        <v>34.174999999999997</v>
      </c>
      <c r="Q10" s="17">
        <v>33.594999999999999</v>
      </c>
      <c r="R10" s="17">
        <v>33.39</v>
      </c>
      <c r="S10" s="17">
        <v>33.93</v>
      </c>
      <c r="T10" s="17">
        <v>33.479999999999997</v>
      </c>
      <c r="U10" s="17">
        <v>34.284999999999997</v>
      </c>
      <c r="W10" s="17">
        <v>34.14</v>
      </c>
      <c r="X10" s="17">
        <v>34.17</v>
      </c>
    </row>
    <row r="11" spans="1:27" x14ac:dyDescent="0.25">
      <c r="A11" s="17">
        <v>30.19</v>
      </c>
      <c r="B11" s="17">
        <v>28.22</v>
      </c>
      <c r="C11" s="17">
        <v>30.93</v>
      </c>
      <c r="F11" s="17">
        <v>34.659999999999997</v>
      </c>
      <c r="G11" s="17">
        <v>34.08</v>
      </c>
      <c r="H11" s="17">
        <v>33.884999999999998</v>
      </c>
      <c r="I11" s="17">
        <v>33.590000000000003</v>
      </c>
      <c r="J11" s="17">
        <v>34.49</v>
      </c>
      <c r="K11" s="17">
        <v>8.5299999999999994</v>
      </c>
      <c r="L11" s="17">
        <v>33.909999999999997</v>
      </c>
      <c r="M11" s="17">
        <v>33.32</v>
      </c>
      <c r="N11" s="17">
        <v>8.64</v>
      </c>
      <c r="O11" s="17">
        <v>28.5</v>
      </c>
      <c r="P11" s="17">
        <v>34.064999999999998</v>
      </c>
      <c r="Q11" s="17">
        <v>33.58</v>
      </c>
      <c r="R11" s="17">
        <v>33.619999999999997</v>
      </c>
      <c r="S11" s="17">
        <v>33.85</v>
      </c>
      <c r="T11" s="17">
        <v>33.409999999999997</v>
      </c>
      <c r="U11" s="17">
        <v>34.51</v>
      </c>
      <c r="W11" s="17">
        <v>33.53</v>
      </c>
      <c r="X11" s="17">
        <v>34</v>
      </c>
    </row>
    <row r="12" spans="1:27" x14ac:dyDescent="0.25">
      <c r="A12" s="17">
        <v>30.13</v>
      </c>
      <c r="B12" s="17">
        <v>29.06</v>
      </c>
      <c r="C12" s="17">
        <v>7.72</v>
      </c>
      <c r="F12" s="17">
        <v>34.6</v>
      </c>
      <c r="G12" s="17">
        <v>34.049999999999997</v>
      </c>
      <c r="H12" s="17">
        <v>33.835000000000001</v>
      </c>
      <c r="I12" s="17">
        <v>33.56</v>
      </c>
      <c r="J12" s="17">
        <v>34.424999999999997</v>
      </c>
      <c r="K12" s="17">
        <v>8.32</v>
      </c>
      <c r="L12" s="17">
        <v>33.450000000000003</v>
      </c>
      <c r="M12" s="17">
        <v>28.93</v>
      </c>
      <c r="N12" s="17">
        <v>8.6300000000000008</v>
      </c>
      <c r="O12" s="17">
        <v>7.1</v>
      </c>
      <c r="P12" s="17">
        <v>34.1</v>
      </c>
      <c r="Q12" s="17">
        <v>33.67</v>
      </c>
      <c r="R12" s="17">
        <v>33.56</v>
      </c>
      <c r="S12" s="17">
        <v>33.395000000000003</v>
      </c>
      <c r="T12" s="17">
        <v>32.14</v>
      </c>
      <c r="U12" s="17">
        <v>34.380000000000003</v>
      </c>
      <c r="W12" s="17">
        <v>33.42</v>
      </c>
      <c r="X12" s="17">
        <v>34.125</v>
      </c>
    </row>
    <row r="13" spans="1:27" x14ac:dyDescent="0.25">
      <c r="A13" s="17">
        <v>19.920000000000002</v>
      </c>
      <c r="B13" s="17">
        <v>28.8</v>
      </c>
      <c r="C13" s="17">
        <v>7.73</v>
      </c>
      <c r="F13" s="17">
        <v>34.74</v>
      </c>
      <c r="G13" s="17">
        <v>34.119999999999997</v>
      </c>
      <c r="H13" s="17">
        <v>33.86</v>
      </c>
      <c r="I13" s="17">
        <v>33.524999999999999</v>
      </c>
      <c r="J13" s="17">
        <v>34.39</v>
      </c>
      <c r="K13" s="17">
        <v>8.27</v>
      </c>
      <c r="L13" s="17">
        <v>33.57</v>
      </c>
      <c r="M13" s="17">
        <v>28.52</v>
      </c>
      <c r="N13" s="17">
        <v>34.340000000000003</v>
      </c>
      <c r="O13" s="17">
        <v>7.11</v>
      </c>
      <c r="P13" s="17">
        <v>33.979999999999997</v>
      </c>
      <c r="Q13" s="17">
        <v>8.5</v>
      </c>
      <c r="R13" s="17">
        <v>33.344999999999999</v>
      </c>
      <c r="S13" s="17">
        <v>33.479999999999997</v>
      </c>
      <c r="T13" s="17">
        <v>33.435000000000002</v>
      </c>
      <c r="U13" s="17">
        <v>33.14</v>
      </c>
      <c r="W13" s="17">
        <v>33.51</v>
      </c>
      <c r="X13" s="17">
        <v>33.92</v>
      </c>
    </row>
    <row r="14" spans="1:27" x14ac:dyDescent="0.25">
      <c r="A14" s="17">
        <v>30.15</v>
      </c>
      <c r="B14" s="17">
        <v>26.92</v>
      </c>
      <c r="C14" s="17">
        <v>7.71</v>
      </c>
      <c r="F14" s="17">
        <v>34.53</v>
      </c>
      <c r="G14" s="17">
        <v>34.115000000000002</v>
      </c>
      <c r="H14" s="17">
        <v>33.85</v>
      </c>
      <c r="I14" s="17">
        <v>33.49</v>
      </c>
      <c r="J14" s="17">
        <v>34.380000000000003</v>
      </c>
      <c r="K14" s="17">
        <v>7.34</v>
      </c>
      <c r="L14" s="17">
        <v>8.3550000000000004</v>
      </c>
      <c r="M14" s="17">
        <v>27.96</v>
      </c>
      <c r="N14" s="17">
        <v>34.17</v>
      </c>
      <c r="O14" s="17">
        <v>8.32</v>
      </c>
      <c r="P14" s="17">
        <v>33.97</v>
      </c>
      <c r="Q14" s="17">
        <v>8.3800000000000008</v>
      </c>
      <c r="R14" s="17">
        <v>33.454999999999998</v>
      </c>
      <c r="S14" s="17">
        <v>17.37</v>
      </c>
      <c r="T14" s="17">
        <v>33.19</v>
      </c>
      <c r="U14" s="17">
        <v>34.424999999999997</v>
      </c>
      <c r="W14" s="17">
        <v>35.08</v>
      </c>
      <c r="X14" s="17">
        <v>34.164999999999999</v>
      </c>
    </row>
    <row r="15" spans="1:27" x14ac:dyDescent="0.25">
      <c r="A15" s="17">
        <v>30.07</v>
      </c>
      <c r="B15" s="17">
        <v>3.73</v>
      </c>
      <c r="F15" s="17">
        <v>34.49</v>
      </c>
      <c r="G15" s="17">
        <v>34.034999999999997</v>
      </c>
      <c r="H15" s="17">
        <v>33.82</v>
      </c>
      <c r="I15" s="17">
        <v>33.53</v>
      </c>
      <c r="J15" s="17">
        <v>34.505000000000003</v>
      </c>
      <c r="K15" s="17">
        <v>8.5399999999999991</v>
      </c>
      <c r="L15" s="17">
        <v>8.3550000000000004</v>
      </c>
      <c r="M15" s="17">
        <v>28.22</v>
      </c>
      <c r="O15" s="17">
        <v>8.57</v>
      </c>
      <c r="P15" s="17">
        <v>33.9</v>
      </c>
      <c r="Q15" s="17">
        <v>32.28</v>
      </c>
      <c r="R15" s="17">
        <v>33.435000000000002</v>
      </c>
      <c r="S15" s="17">
        <v>8.375</v>
      </c>
      <c r="T15" s="17">
        <v>33.445</v>
      </c>
      <c r="U15" s="17">
        <v>34.505000000000003</v>
      </c>
      <c r="W15" s="17">
        <v>33.83</v>
      </c>
      <c r="X15" s="17">
        <v>34.08</v>
      </c>
    </row>
    <row r="16" spans="1:27" x14ac:dyDescent="0.25">
      <c r="B16" s="17">
        <v>3.66</v>
      </c>
      <c r="F16" s="17">
        <v>34.57</v>
      </c>
      <c r="G16" s="17">
        <v>34.090000000000003</v>
      </c>
      <c r="H16" s="17">
        <v>33.880000000000003</v>
      </c>
      <c r="I16" s="17">
        <v>33.590000000000003</v>
      </c>
      <c r="J16" s="17">
        <v>34.479999999999997</v>
      </c>
      <c r="K16" s="17">
        <v>8.58</v>
      </c>
      <c r="L16" s="17">
        <v>8.36</v>
      </c>
      <c r="M16" s="17">
        <v>28.08</v>
      </c>
      <c r="P16" s="17">
        <v>33.81</v>
      </c>
      <c r="Q16" s="17">
        <v>33.659999999999997</v>
      </c>
      <c r="R16" s="17">
        <v>33.255000000000003</v>
      </c>
      <c r="T16" s="17">
        <v>33.454999999999998</v>
      </c>
      <c r="U16" s="17">
        <v>34.49</v>
      </c>
      <c r="W16" s="17">
        <v>35.01</v>
      </c>
      <c r="X16" s="17">
        <v>33.924999999999997</v>
      </c>
    </row>
    <row r="17" spans="2:24" x14ac:dyDescent="0.25">
      <c r="B17" s="17">
        <v>3.69</v>
      </c>
      <c r="F17" s="17">
        <v>34.645000000000003</v>
      </c>
      <c r="G17" s="17">
        <v>34.04</v>
      </c>
      <c r="H17" s="17">
        <v>33.805</v>
      </c>
      <c r="I17" s="17">
        <v>33.49</v>
      </c>
      <c r="J17" s="17">
        <v>34.450000000000003</v>
      </c>
      <c r="K17" s="17">
        <v>8.5950000000000006</v>
      </c>
      <c r="L17" s="17">
        <v>9.85</v>
      </c>
      <c r="P17" s="17">
        <v>33.935000000000002</v>
      </c>
      <c r="Q17" s="17">
        <v>33.79</v>
      </c>
      <c r="R17" s="17">
        <v>33.22</v>
      </c>
      <c r="T17" s="17">
        <v>33.155000000000001</v>
      </c>
      <c r="U17" s="17">
        <v>34.47</v>
      </c>
      <c r="X17" s="17">
        <v>33.984999999999999</v>
      </c>
    </row>
    <row r="18" spans="2:24" x14ac:dyDescent="0.25">
      <c r="B18" s="17">
        <v>3.6</v>
      </c>
      <c r="F18" s="17">
        <v>34.590000000000003</v>
      </c>
      <c r="G18" s="17">
        <v>8.51</v>
      </c>
      <c r="H18" s="17">
        <v>33.92</v>
      </c>
      <c r="I18" s="17">
        <v>33.700000000000003</v>
      </c>
      <c r="J18" s="17">
        <v>33.47</v>
      </c>
      <c r="K18" s="17">
        <v>8.58</v>
      </c>
      <c r="L18" s="17">
        <v>8.5299999999999994</v>
      </c>
      <c r="P18" s="17">
        <v>8.58</v>
      </c>
      <c r="Q18" s="17">
        <v>33.774999999999999</v>
      </c>
      <c r="R18" s="17">
        <v>33.409999999999997</v>
      </c>
      <c r="T18" s="17">
        <v>33.25</v>
      </c>
      <c r="U18" s="17">
        <v>34.454999999999998</v>
      </c>
      <c r="X18" s="17">
        <v>34.305</v>
      </c>
    </row>
    <row r="19" spans="2:24" x14ac:dyDescent="0.25">
      <c r="B19" s="17">
        <v>3.4</v>
      </c>
      <c r="F19" s="17">
        <v>29.08</v>
      </c>
      <c r="G19" s="17">
        <v>8.5150000000000006</v>
      </c>
      <c r="H19" s="17">
        <v>5.7949999999999999</v>
      </c>
      <c r="I19" s="17">
        <v>33.704999999999998</v>
      </c>
      <c r="J19" s="17">
        <v>34.405000000000001</v>
      </c>
      <c r="L19" s="17">
        <v>7.46</v>
      </c>
      <c r="P19" s="17">
        <v>34.57</v>
      </c>
      <c r="Q19" s="17">
        <v>33.81</v>
      </c>
      <c r="R19" s="17">
        <v>8.3849999999999998</v>
      </c>
      <c r="T19" s="17">
        <v>33.174999999999997</v>
      </c>
      <c r="U19" s="17">
        <v>34.479999999999997</v>
      </c>
      <c r="X19" s="17">
        <v>34.119999999999997</v>
      </c>
    </row>
    <row r="20" spans="2:24" x14ac:dyDescent="0.25">
      <c r="B20" s="17">
        <v>3.5</v>
      </c>
      <c r="F20" s="17">
        <v>7.88</v>
      </c>
      <c r="G20" s="17">
        <v>8.19</v>
      </c>
      <c r="I20" s="17">
        <v>33.46</v>
      </c>
      <c r="J20" s="17">
        <v>34.465000000000003</v>
      </c>
      <c r="P20" s="17">
        <v>34.799999999999997</v>
      </c>
      <c r="Q20" s="17">
        <v>33.78</v>
      </c>
      <c r="R20" s="17">
        <v>8.3149999999999995</v>
      </c>
      <c r="T20" s="17">
        <v>33.314999999999998</v>
      </c>
      <c r="U20" s="17">
        <v>34.56</v>
      </c>
      <c r="X20" s="17">
        <v>34.32</v>
      </c>
    </row>
    <row r="21" spans="2:24" ht="15.75" customHeight="1" x14ac:dyDescent="0.25">
      <c r="B21" s="17">
        <v>3.63</v>
      </c>
      <c r="F21" s="17">
        <v>8.27</v>
      </c>
      <c r="G21" s="17">
        <v>8.17</v>
      </c>
      <c r="I21" s="17">
        <v>33.664999999999999</v>
      </c>
      <c r="J21" s="17">
        <v>8.31</v>
      </c>
      <c r="P21" s="17">
        <v>32.56</v>
      </c>
      <c r="Q21" s="17">
        <v>33.204999999999998</v>
      </c>
      <c r="R21" s="17">
        <v>8.61</v>
      </c>
      <c r="T21" s="17">
        <v>33.375</v>
      </c>
      <c r="U21" s="17">
        <v>34.6</v>
      </c>
      <c r="X21" s="17">
        <v>34.31</v>
      </c>
    </row>
    <row r="22" spans="2:24" ht="15.75" customHeight="1" x14ac:dyDescent="0.25">
      <c r="B22" s="17">
        <v>6.41</v>
      </c>
      <c r="G22" s="17">
        <v>8.14</v>
      </c>
      <c r="I22" s="17">
        <v>33.68</v>
      </c>
      <c r="J22" s="17">
        <v>8.77</v>
      </c>
      <c r="Q22" s="17">
        <v>33.825000000000003</v>
      </c>
      <c r="R22" s="17">
        <v>8.73</v>
      </c>
      <c r="T22" s="17">
        <v>33.545000000000002</v>
      </c>
      <c r="U22" s="17">
        <v>34.31</v>
      </c>
      <c r="X22" s="17">
        <v>33.954999999999998</v>
      </c>
    </row>
    <row r="23" spans="2:24" ht="15.75" customHeight="1" x14ac:dyDescent="0.25">
      <c r="B23" s="17">
        <v>7.07</v>
      </c>
      <c r="G23" s="17">
        <v>8.19</v>
      </c>
      <c r="I23" s="17">
        <v>33.700000000000003</v>
      </c>
      <c r="Q23" s="17">
        <v>33.369999999999997</v>
      </c>
      <c r="R23" s="17">
        <v>8.58</v>
      </c>
      <c r="T23" s="17">
        <v>8.2850000000000001</v>
      </c>
      <c r="U23" s="17">
        <v>34.524999999999999</v>
      </c>
      <c r="X23" s="17">
        <v>34.18</v>
      </c>
    </row>
    <row r="24" spans="2:24" ht="15.75" customHeight="1" x14ac:dyDescent="0.25">
      <c r="B24" s="17">
        <v>7.4550000000000001</v>
      </c>
      <c r="G24" s="17">
        <v>8.17</v>
      </c>
      <c r="I24" s="17">
        <v>33.770000000000003</v>
      </c>
      <c r="Q24" s="17">
        <v>33.905000000000001</v>
      </c>
      <c r="R24" s="17">
        <v>34.5</v>
      </c>
      <c r="T24" s="17">
        <v>8.41</v>
      </c>
      <c r="U24" s="17">
        <v>34.435000000000002</v>
      </c>
      <c r="X24" s="17">
        <v>34.164999999999999</v>
      </c>
    </row>
    <row r="25" spans="2:24" ht="15.75" customHeight="1" x14ac:dyDescent="0.25">
      <c r="I25" s="17">
        <v>3.85</v>
      </c>
      <c r="Q25" s="17">
        <v>33.75</v>
      </c>
      <c r="R25" s="17">
        <v>8.23</v>
      </c>
      <c r="T25" s="17">
        <v>8.64</v>
      </c>
      <c r="U25" s="17">
        <v>34.47</v>
      </c>
      <c r="X25" s="17">
        <v>34.17</v>
      </c>
    </row>
    <row r="26" spans="2:24" ht="15.75" customHeight="1" x14ac:dyDescent="0.25">
      <c r="I26" s="17">
        <v>33.74</v>
      </c>
      <c r="Q26" s="17">
        <v>8.3450000000000006</v>
      </c>
      <c r="R26" s="17">
        <v>8.7899999999999991</v>
      </c>
      <c r="T26" s="17">
        <v>9.0500000000000007</v>
      </c>
      <c r="U26" s="17">
        <v>34.424999999999997</v>
      </c>
      <c r="X26" s="17">
        <v>25.704999999999998</v>
      </c>
    </row>
    <row r="27" spans="2:24" ht="15.75" customHeight="1" x14ac:dyDescent="0.25">
      <c r="I27" s="17">
        <v>33.604999999999997</v>
      </c>
      <c r="Q27" s="17">
        <v>8.16</v>
      </c>
      <c r="R27" s="17">
        <v>8.16</v>
      </c>
      <c r="T27" s="17">
        <v>8.31</v>
      </c>
      <c r="U27" s="17">
        <v>34.445</v>
      </c>
      <c r="X27" s="17">
        <v>34.255000000000003</v>
      </c>
    </row>
    <row r="28" spans="2:24" ht="15.75" customHeight="1" x14ac:dyDescent="0.25">
      <c r="I28" s="17">
        <v>33.57</v>
      </c>
      <c r="Q28" s="17">
        <v>8.5250000000000004</v>
      </c>
      <c r="T28" s="17">
        <v>33.494999999999997</v>
      </c>
      <c r="U28" s="17">
        <v>7.83</v>
      </c>
      <c r="X28" s="17">
        <v>34.195</v>
      </c>
    </row>
    <row r="29" spans="2:24" ht="15.75" customHeight="1" x14ac:dyDescent="0.25">
      <c r="I29" s="17">
        <v>33.515000000000001</v>
      </c>
      <c r="T29" s="17">
        <v>33.395000000000003</v>
      </c>
      <c r="U29" s="17">
        <v>7.71</v>
      </c>
      <c r="X29" s="17">
        <v>34.125</v>
      </c>
    </row>
    <row r="30" spans="2:24" ht="15.75" customHeight="1" x14ac:dyDescent="0.25">
      <c r="I30" s="17">
        <v>33.53</v>
      </c>
      <c r="T30" s="17">
        <v>33.335000000000001</v>
      </c>
    </row>
    <row r="31" spans="2:24" ht="15.75" customHeight="1" x14ac:dyDescent="0.25">
      <c r="I31" s="17">
        <v>33.479999999999997</v>
      </c>
      <c r="T31" s="17">
        <v>33.234999999999999</v>
      </c>
    </row>
    <row r="32" spans="2:24" ht="15.75" customHeight="1" x14ac:dyDescent="0.25">
      <c r="I32" s="17">
        <v>33.545000000000002</v>
      </c>
      <c r="T32" s="17">
        <v>33.384999999999998</v>
      </c>
    </row>
    <row r="33" spans="9:20" ht="15.75" customHeight="1" x14ac:dyDescent="0.25">
      <c r="I33" s="17">
        <v>33.524999999999999</v>
      </c>
      <c r="T33" s="17">
        <v>33.32</v>
      </c>
    </row>
    <row r="34" spans="9:20" ht="15.75" customHeight="1" x14ac:dyDescent="0.25">
      <c r="I34" s="17">
        <v>33.555</v>
      </c>
    </row>
    <row r="35" spans="9:20" ht="15.75" customHeight="1" x14ac:dyDescent="0.25">
      <c r="I35" s="17">
        <v>33.5</v>
      </c>
    </row>
    <row r="36" spans="9:20" ht="15.75" customHeight="1" x14ac:dyDescent="0.25">
      <c r="I36" s="17">
        <v>7.13</v>
      </c>
    </row>
    <row r="37" spans="9:20" ht="15.75" customHeight="1" x14ac:dyDescent="0.25">
      <c r="I37" s="17">
        <v>8.375</v>
      </c>
    </row>
    <row r="38" spans="9:20" ht="15.75" customHeight="1" x14ac:dyDescent="0.25">
      <c r="I38" s="17">
        <v>8.44</v>
      </c>
    </row>
    <row r="39" spans="9:20" ht="15.75" customHeight="1" x14ac:dyDescent="0.25"/>
    <row r="40" spans="9:20" ht="15.75" customHeight="1" x14ac:dyDescent="0.25"/>
    <row r="41" spans="9:20" ht="15.75" customHeight="1" x14ac:dyDescent="0.25"/>
    <row r="42" spans="9:20" ht="15.75" customHeight="1" x14ac:dyDescent="0.25"/>
    <row r="43" spans="9:20" ht="15.75" customHeight="1" x14ac:dyDescent="0.25"/>
    <row r="44" spans="9:20" ht="15.75" customHeight="1" x14ac:dyDescent="0.25"/>
    <row r="45" spans="9:20" ht="15.75" customHeight="1" x14ac:dyDescent="0.25"/>
    <row r="46" spans="9:20" ht="15.75" customHeight="1" x14ac:dyDescent="0.25"/>
    <row r="47" spans="9:20" ht="15.75" customHeight="1" x14ac:dyDescent="0.25"/>
    <row r="48" spans="9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X1006"/>
  <sheetViews>
    <sheetView tabSelected="1" zoomScale="114" zoomScaleNormal="114" zoomScalePageLayoutView="55" workbookViewId="0">
      <selection sqref="A1:K1"/>
    </sheetView>
  </sheetViews>
  <sheetFormatPr defaultColWidth="9.140625" defaultRowHeight="26.25" x14ac:dyDescent="0.4"/>
  <cols>
    <col min="1" max="3" width="14.7109375" style="165" customWidth="1"/>
    <col min="4" max="4" width="8.7109375" style="165" customWidth="1"/>
    <col min="5" max="11" width="25.7109375" style="165" customWidth="1"/>
    <col min="12" max="16384" width="9.140625" style="165"/>
  </cols>
  <sheetData>
    <row r="1" spans="1:24" ht="24.95" customHeight="1" thickBot="1" x14ac:dyDescent="0.45">
      <c r="A1" s="404" t="s">
        <v>86</v>
      </c>
      <c r="B1" s="405"/>
      <c r="C1" s="405"/>
      <c r="D1" s="405"/>
      <c r="E1" s="405"/>
      <c r="F1" s="405"/>
      <c r="G1" s="405"/>
      <c r="H1" s="405"/>
      <c r="I1" s="405"/>
      <c r="J1" s="405"/>
      <c r="K1" s="40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</row>
    <row r="2" spans="1:24" ht="21.95" customHeight="1" thickBot="1" x14ac:dyDescent="0.45">
      <c r="A2" s="416" t="s">
        <v>128</v>
      </c>
      <c r="B2" s="417"/>
      <c r="C2" s="418"/>
      <c r="D2" s="293" t="s">
        <v>220</v>
      </c>
      <c r="E2" s="294" t="s">
        <v>4</v>
      </c>
      <c r="F2" s="295" t="s">
        <v>2</v>
      </c>
      <c r="G2" s="296" t="s">
        <v>3</v>
      </c>
      <c r="H2" s="296" t="s">
        <v>113</v>
      </c>
      <c r="I2" s="296" t="s">
        <v>5</v>
      </c>
      <c r="J2" s="296" t="s">
        <v>6</v>
      </c>
      <c r="K2" s="297" t="s">
        <v>115</v>
      </c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</row>
    <row r="3" spans="1:24" s="188" customFormat="1" ht="18" customHeight="1" x14ac:dyDescent="0.35">
      <c r="A3" s="298">
        <v>0.4</v>
      </c>
      <c r="B3" s="422" t="s">
        <v>7</v>
      </c>
      <c r="C3" s="423"/>
      <c r="D3" s="299">
        <v>102</v>
      </c>
      <c r="E3" s="300">
        <f>SUM(F3:K3)</f>
        <v>25.675000000000001</v>
      </c>
      <c r="F3" s="301"/>
      <c r="G3" s="302"/>
      <c r="H3" s="302"/>
      <c r="I3" s="302"/>
      <c r="J3" s="302"/>
      <c r="K3" s="303">
        <f>'STOK DETAY'!D6</f>
        <v>25.675000000000001</v>
      </c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</row>
    <row r="4" spans="1:24" s="188" customFormat="1" ht="18" customHeight="1" x14ac:dyDescent="0.35">
      <c r="A4" s="304">
        <v>0.5</v>
      </c>
      <c r="B4" s="424" t="s">
        <v>7</v>
      </c>
      <c r="C4" s="425"/>
      <c r="D4" s="305">
        <v>102</v>
      </c>
      <c r="E4" s="306">
        <f t="shared" ref="E4:E7" si="0">SUM(F4:K4)</f>
        <v>0</v>
      </c>
      <c r="F4" s="307"/>
      <c r="G4" s="308"/>
      <c r="H4" s="308"/>
      <c r="I4" s="308"/>
      <c r="J4" s="308"/>
      <c r="K4" s="309">
        <f>'STOK DETAY'!E6</f>
        <v>0</v>
      </c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</row>
    <row r="5" spans="1:24" s="188" customFormat="1" ht="18" customHeight="1" x14ac:dyDescent="0.35">
      <c r="A5" s="304">
        <v>0.6</v>
      </c>
      <c r="B5" s="424" t="s">
        <v>7</v>
      </c>
      <c r="C5" s="425"/>
      <c r="D5" s="305">
        <v>102</v>
      </c>
      <c r="E5" s="306">
        <f t="shared" si="0"/>
        <v>0</v>
      </c>
      <c r="F5" s="307"/>
      <c r="G5" s="308"/>
      <c r="H5" s="308"/>
      <c r="I5" s="308"/>
      <c r="J5" s="308"/>
      <c r="K5" s="309">
        <f>'STOK DETAY'!F6</f>
        <v>0</v>
      </c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</row>
    <row r="6" spans="1:24" s="188" customFormat="1" ht="18" customHeight="1" thickBot="1" x14ac:dyDescent="0.4">
      <c r="A6" s="310">
        <v>2.6</v>
      </c>
      <c r="B6" s="429" t="s">
        <v>7</v>
      </c>
      <c r="C6" s="430"/>
      <c r="D6" s="311"/>
      <c r="E6" s="312">
        <f t="shared" si="0"/>
        <v>0</v>
      </c>
      <c r="F6" s="313"/>
      <c r="G6" s="314"/>
      <c r="H6" s="314"/>
      <c r="I6" s="314"/>
      <c r="J6" s="314"/>
      <c r="K6" s="315">
        <f>'STOK DETAY'!G6</f>
        <v>0</v>
      </c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</row>
    <row r="7" spans="1:24" ht="21.95" customHeight="1" thickBot="1" x14ac:dyDescent="0.45">
      <c r="A7" s="413" t="s">
        <v>4</v>
      </c>
      <c r="B7" s="414"/>
      <c r="C7" s="414"/>
      <c r="D7" s="415"/>
      <c r="E7" s="316">
        <f t="shared" si="0"/>
        <v>25.675000000000001</v>
      </c>
      <c r="F7" s="317">
        <f>SUM(F3:F6)</f>
        <v>0</v>
      </c>
      <c r="G7" s="318">
        <f t="shared" ref="G7:J7" si="1">SUM(G3:G6)</f>
        <v>0</v>
      </c>
      <c r="H7" s="318">
        <f>SUM(H3:H6)</f>
        <v>0</v>
      </c>
      <c r="I7" s="318">
        <f t="shared" si="1"/>
        <v>0</v>
      </c>
      <c r="J7" s="318">
        <f t="shared" si="1"/>
        <v>0</v>
      </c>
      <c r="K7" s="319">
        <f>SUM(K3:K6)</f>
        <v>25.675000000000001</v>
      </c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</row>
    <row r="8" spans="1:24" ht="21.95" customHeight="1" thickBot="1" x14ac:dyDescent="0.45">
      <c r="A8" s="433" t="s">
        <v>55</v>
      </c>
      <c r="B8" s="434"/>
      <c r="C8" s="435"/>
      <c r="D8" s="294" t="s">
        <v>220</v>
      </c>
      <c r="E8" s="294" t="s">
        <v>4</v>
      </c>
      <c r="F8" s="320" t="s">
        <v>2</v>
      </c>
      <c r="G8" s="321" t="s">
        <v>3</v>
      </c>
      <c r="H8" s="321" t="s">
        <v>113</v>
      </c>
      <c r="I8" s="321" t="s">
        <v>5</v>
      </c>
      <c r="J8" s="321" t="s">
        <v>6</v>
      </c>
      <c r="K8" s="322" t="s">
        <v>115</v>
      </c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</row>
    <row r="9" spans="1:24" s="188" customFormat="1" ht="18" customHeight="1" x14ac:dyDescent="0.35">
      <c r="A9" s="298">
        <v>0.1</v>
      </c>
      <c r="B9" s="323" t="s">
        <v>7</v>
      </c>
      <c r="C9" s="324" t="s">
        <v>55</v>
      </c>
      <c r="D9" s="325">
        <v>312</v>
      </c>
      <c r="E9" s="300">
        <f>SUM(F9:K9)</f>
        <v>92.75</v>
      </c>
      <c r="F9" s="301"/>
      <c r="G9" s="302"/>
      <c r="H9" s="302">
        <f>'STOK DETAY'!H6</f>
        <v>92.75</v>
      </c>
      <c r="I9" s="302"/>
      <c r="J9" s="302"/>
      <c r="K9" s="303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</row>
    <row r="10" spans="1:24" s="188" customFormat="1" ht="18" customHeight="1" x14ac:dyDescent="0.35">
      <c r="A10" s="304">
        <v>0.16</v>
      </c>
      <c r="B10" s="326" t="s">
        <v>142</v>
      </c>
      <c r="C10" s="327" t="s">
        <v>55</v>
      </c>
      <c r="D10" s="328">
        <v>113</v>
      </c>
      <c r="E10" s="306">
        <f t="shared" ref="E10:E56" si="2">SUM(F10:K10)</f>
        <v>38.11</v>
      </c>
      <c r="F10" s="329"/>
      <c r="G10" s="330"/>
      <c r="H10" s="330">
        <f>'STOK DETAY'!I6</f>
        <v>38.11</v>
      </c>
      <c r="I10" s="330"/>
      <c r="J10" s="330"/>
      <c r="K10" s="331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</row>
    <row r="11" spans="1:24" s="188" customFormat="1" ht="18" customHeight="1" x14ac:dyDescent="0.35">
      <c r="A11" s="304">
        <v>0.2</v>
      </c>
      <c r="B11" s="332" t="s">
        <v>7</v>
      </c>
      <c r="C11" s="327" t="s">
        <v>55</v>
      </c>
      <c r="D11" s="328">
        <v>103</v>
      </c>
      <c r="E11" s="306">
        <f t="shared" si="2"/>
        <v>0</v>
      </c>
      <c r="F11" s="333"/>
      <c r="G11" s="330">
        <f>'STOK DETAY'!L6</f>
        <v>0</v>
      </c>
      <c r="H11" s="330">
        <f>'STOK DETAY'!M6</f>
        <v>0</v>
      </c>
      <c r="I11" s="330"/>
      <c r="J11" s="330"/>
      <c r="K11" s="331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  <c r="X11" s="189"/>
    </row>
    <row r="12" spans="1:24" s="188" customFormat="1" ht="18" customHeight="1" x14ac:dyDescent="0.35">
      <c r="A12" s="304">
        <v>0.25</v>
      </c>
      <c r="B12" s="332" t="s">
        <v>7</v>
      </c>
      <c r="C12" s="327" t="s">
        <v>55</v>
      </c>
      <c r="D12" s="328">
        <v>103</v>
      </c>
      <c r="E12" s="306">
        <f t="shared" si="2"/>
        <v>8.6150000000000002</v>
      </c>
      <c r="F12" s="329">
        <f>'STOK DETAY'!N6</f>
        <v>0</v>
      </c>
      <c r="G12" s="330">
        <f>'STOK DETAY'!O6</f>
        <v>8.6150000000000002</v>
      </c>
      <c r="H12" s="330">
        <f>'STOK DETAY'!P6</f>
        <v>0</v>
      </c>
      <c r="I12" s="330"/>
      <c r="J12" s="330">
        <f>'STOK DETAY'!Q6</f>
        <v>0</v>
      </c>
      <c r="K12" s="331">
        <f>'STOK DETAY'!R6</f>
        <v>0</v>
      </c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</row>
    <row r="13" spans="1:24" s="188" customFormat="1" ht="18" customHeight="1" x14ac:dyDescent="0.35">
      <c r="A13" s="304">
        <v>0.28000000000000003</v>
      </c>
      <c r="B13" s="332" t="s">
        <v>8</v>
      </c>
      <c r="C13" s="327" t="s">
        <v>143</v>
      </c>
      <c r="D13" s="328"/>
      <c r="E13" s="306">
        <f t="shared" si="2"/>
        <v>93.21</v>
      </c>
      <c r="F13" s="333"/>
      <c r="G13" s="330"/>
      <c r="H13" s="330">
        <f>'STOK DETAY'!S6</f>
        <v>93.21</v>
      </c>
      <c r="I13" s="330"/>
      <c r="J13" s="330"/>
      <c r="K13" s="331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  <c r="X13" s="189"/>
    </row>
    <row r="14" spans="1:24" s="188" customFormat="1" ht="18" customHeight="1" x14ac:dyDescent="0.35">
      <c r="A14" s="304">
        <v>0.3</v>
      </c>
      <c r="B14" s="332" t="s">
        <v>7</v>
      </c>
      <c r="C14" s="327" t="s">
        <v>55</v>
      </c>
      <c r="D14" s="328">
        <v>201</v>
      </c>
      <c r="E14" s="306">
        <f t="shared" si="2"/>
        <v>54.594999999999999</v>
      </c>
      <c r="F14" s="329">
        <f>'STOK DETAY'!T6</f>
        <v>0</v>
      </c>
      <c r="G14" s="330">
        <f>'STOK DETAY'!U6</f>
        <v>0</v>
      </c>
      <c r="H14" s="334">
        <f>'STOK DETAY'!V6</f>
        <v>54.594999999999999</v>
      </c>
      <c r="I14" s="330"/>
      <c r="J14" s="330"/>
      <c r="K14" s="331">
        <f>'STOK DETAY'!W6</f>
        <v>0</v>
      </c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</row>
    <row r="15" spans="1:24" s="188" customFormat="1" ht="18" customHeight="1" x14ac:dyDescent="0.35">
      <c r="A15" s="304">
        <v>0.35</v>
      </c>
      <c r="B15" s="332" t="s">
        <v>7</v>
      </c>
      <c r="C15" s="327" t="s">
        <v>55</v>
      </c>
      <c r="D15" s="328">
        <v>201</v>
      </c>
      <c r="E15" s="306">
        <f t="shared" si="2"/>
        <v>8.3550000000000004</v>
      </c>
      <c r="F15" s="329">
        <f>'STOK DETAY'!X6</f>
        <v>0</v>
      </c>
      <c r="G15" s="330">
        <f>'STOK DETAY'!Y6</f>
        <v>0</v>
      </c>
      <c r="H15" s="330">
        <f>'STOK DETAY'!Z6</f>
        <v>8.3550000000000004</v>
      </c>
      <c r="I15" s="330"/>
      <c r="J15" s="330"/>
      <c r="K15" s="331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  <c r="X15" s="189"/>
    </row>
    <row r="16" spans="1:24" s="188" customFormat="1" ht="18" customHeight="1" x14ac:dyDescent="0.35">
      <c r="A16" s="304">
        <v>0.4</v>
      </c>
      <c r="B16" s="332" t="s">
        <v>7</v>
      </c>
      <c r="C16" s="327" t="s">
        <v>55</v>
      </c>
      <c r="D16" s="328">
        <v>202</v>
      </c>
      <c r="E16" s="306">
        <f t="shared" si="2"/>
        <v>0</v>
      </c>
      <c r="F16" s="329">
        <f>'STOK DETAY'!AA6</f>
        <v>0</v>
      </c>
      <c r="G16" s="330">
        <f>'STOK DETAY'!AB6</f>
        <v>0</v>
      </c>
      <c r="H16" s="330">
        <f>'STOK DETAY'!AC6</f>
        <v>0</v>
      </c>
      <c r="I16" s="330"/>
      <c r="J16" s="330"/>
      <c r="K16" s="331">
        <f>'STOK DETAY'!AD6</f>
        <v>0</v>
      </c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</row>
    <row r="17" spans="1:24" s="188" customFormat="1" ht="18" customHeight="1" x14ac:dyDescent="0.35">
      <c r="A17" s="304">
        <v>0.45</v>
      </c>
      <c r="B17" s="332" t="s">
        <v>7</v>
      </c>
      <c r="C17" s="327" t="s">
        <v>55</v>
      </c>
      <c r="D17" s="328">
        <v>202</v>
      </c>
      <c r="E17" s="306">
        <f t="shared" si="2"/>
        <v>0</v>
      </c>
      <c r="F17" s="329">
        <f>'STOK DETAY'!AE6</f>
        <v>0</v>
      </c>
      <c r="G17" s="330">
        <f>'STOK DETAY'!AF6</f>
        <v>0</v>
      </c>
      <c r="H17" s="330">
        <f>'STOK DETAY'!AG6</f>
        <v>0</v>
      </c>
      <c r="I17" s="330">
        <f>'STOK DETAY'!AH6</f>
        <v>0</v>
      </c>
      <c r="J17" s="330">
        <f>'STOK DETAY'!AI6</f>
        <v>0</v>
      </c>
      <c r="K17" s="331">
        <f>'STOK DETAY'!AJ6</f>
        <v>0</v>
      </c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</row>
    <row r="18" spans="1:24" s="188" customFormat="1" ht="18" customHeight="1" x14ac:dyDescent="0.35">
      <c r="A18" s="307">
        <v>0.47499999999999998</v>
      </c>
      <c r="B18" s="332" t="s">
        <v>7</v>
      </c>
      <c r="C18" s="327" t="s">
        <v>55</v>
      </c>
      <c r="D18" s="328"/>
      <c r="E18" s="306">
        <f t="shared" si="2"/>
        <v>24.27</v>
      </c>
      <c r="F18" s="329"/>
      <c r="G18" s="330"/>
      <c r="H18" s="330">
        <f>'STOK DETAY'!AK6</f>
        <v>24.27</v>
      </c>
      <c r="I18" s="330"/>
      <c r="J18" s="330"/>
      <c r="K18" s="331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</row>
    <row r="19" spans="1:24" s="188" customFormat="1" ht="18" customHeight="1" x14ac:dyDescent="0.35">
      <c r="A19" s="304">
        <v>0.5</v>
      </c>
      <c r="B19" s="332" t="s">
        <v>7</v>
      </c>
      <c r="C19" s="327" t="s">
        <v>55</v>
      </c>
      <c r="D19" s="328">
        <v>203</v>
      </c>
      <c r="E19" s="306">
        <f t="shared" si="2"/>
        <v>0</v>
      </c>
      <c r="F19" s="329">
        <f>'STOK DETAY'!AL6</f>
        <v>0</v>
      </c>
      <c r="G19" s="330">
        <f>'STOK DETAY'!AM6</f>
        <v>0</v>
      </c>
      <c r="H19" s="330">
        <f>'STOK DETAY'!AN6</f>
        <v>0</v>
      </c>
      <c r="I19" s="330"/>
      <c r="J19" s="330">
        <f>'STOK DETAY'!AO6</f>
        <v>0</v>
      </c>
      <c r="K19" s="331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</row>
    <row r="20" spans="1:24" s="188" customFormat="1" ht="18" customHeight="1" x14ac:dyDescent="0.35">
      <c r="A20" s="304">
        <v>0.55000000000000004</v>
      </c>
      <c r="B20" s="332" t="s">
        <v>7</v>
      </c>
      <c r="C20" s="327" t="s">
        <v>55</v>
      </c>
      <c r="D20" s="328">
        <v>203</v>
      </c>
      <c r="E20" s="306">
        <f t="shared" si="2"/>
        <v>0</v>
      </c>
      <c r="F20" s="329">
        <f>'STOK DETAY'!AP6</f>
        <v>0</v>
      </c>
      <c r="G20" s="330">
        <f>'STOK DETAY'!AQ6</f>
        <v>0</v>
      </c>
      <c r="H20" s="330">
        <f>'STOK DETAY'!AR6</f>
        <v>0</v>
      </c>
      <c r="I20" s="330">
        <f>'STOK DETAY'!AS6</f>
        <v>0</v>
      </c>
      <c r="J20" s="330">
        <f>'STOK DETAY'!AT6</f>
        <v>0</v>
      </c>
      <c r="K20" s="331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</row>
    <row r="21" spans="1:24" s="188" customFormat="1" ht="18" customHeight="1" x14ac:dyDescent="0.35">
      <c r="A21" s="304">
        <v>0.6</v>
      </c>
      <c r="B21" s="332" t="s">
        <v>7</v>
      </c>
      <c r="C21" s="327" t="s">
        <v>55</v>
      </c>
      <c r="D21" s="328">
        <v>301</v>
      </c>
      <c r="E21" s="306">
        <f t="shared" si="2"/>
        <v>17</v>
      </c>
      <c r="F21" s="329">
        <f>'STOK DETAY'!AU6</f>
        <v>0</v>
      </c>
      <c r="G21" s="330">
        <f>'STOK DETAY'!AV6</f>
        <v>0</v>
      </c>
      <c r="H21" s="330">
        <f>'STOK DETAY'!AW6</f>
        <v>0</v>
      </c>
      <c r="I21" s="330">
        <f>'STOK DETAY'!AX6</f>
        <v>0</v>
      </c>
      <c r="J21" s="330">
        <f>'STOK DETAY'!AY6</f>
        <v>0</v>
      </c>
      <c r="K21" s="331">
        <f>'STOK DETAY'!AZ6</f>
        <v>17</v>
      </c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</row>
    <row r="22" spans="1:24" s="188" customFormat="1" ht="18" customHeight="1" x14ac:dyDescent="0.35">
      <c r="A22" s="304">
        <v>0.65</v>
      </c>
      <c r="B22" s="332" t="s">
        <v>7</v>
      </c>
      <c r="C22" s="327" t="s">
        <v>55</v>
      </c>
      <c r="D22" s="328">
        <v>301</v>
      </c>
      <c r="E22" s="306">
        <f t="shared" si="2"/>
        <v>8.5649999999999995</v>
      </c>
      <c r="F22" s="329">
        <f>'STOK DETAY'!BA6</f>
        <v>0</v>
      </c>
      <c r="G22" s="330">
        <f>'STOK DETAY'!BB6</f>
        <v>0</v>
      </c>
      <c r="H22" s="330">
        <f>'STOK DETAY'!BC6</f>
        <v>0</v>
      </c>
      <c r="I22" s="330"/>
      <c r="J22" s="330">
        <f>'STOK DETAY'!BE6</f>
        <v>0</v>
      </c>
      <c r="K22" s="331">
        <f>'STOK DETAY'!BF6</f>
        <v>8.5649999999999995</v>
      </c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</row>
    <row r="23" spans="1:24" s="188" customFormat="1" ht="18" customHeight="1" x14ac:dyDescent="0.35">
      <c r="A23" s="304">
        <v>0.7</v>
      </c>
      <c r="B23" s="332" t="s">
        <v>7</v>
      </c>
      <c r="C23" s="327" t="s">
        <v>55</v>
      </c>
      <c r="D23" s="328">
        <v>302</v>
      </c>
      <c r="E23" s="306">
        <f t="shared" si="2"/>
        <v>34.685000000000002</v>
      </c>
      <c r="F23" s="329">
        <f>'STOK DETAY'!BG6</f>
        <v>0</v>
      </c>
      <c r="G23" s="330">
        <f>'STOK DETAY'!BH6</f>
        <v>0</v>
      </c>
      <c r="H23" s="330">
        <f>'STOK DETAY'!BI6</f>
        <v>0</v>
      </c>
      <c r="I23" s="330">
        <f>'STOK DETAY'!BJ6</f>
        <v>0</v>
      </c>
      <c r="J23" s="330">
        <f>'STOK DETAY'!BK6</f>
        <v>0</v>
      </c>
      <c r="K23" s="331">
        <f>'STOK DETAY'!BL6</f>
        <v>34.685000000000002</v>
      </c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</row>
    <row r="24" spans="1:24" s="188" customFormat="1" ht="18" customHeight="1" x14ac:dyDescent="0.35">
      <c r="A24" s="304">
        <v>0.75</v>
      </c>
      <c r="B24" s="332" t="s">
        <v>7</v>
      </c>
      <c r="C24" s="327" t="s">
        <v>55</v>
      </c>
      <c r="D24" s="328">
        <v>302</v>
      </c>
      <c r="E24" s="306">
        <f t="shared" si="2"/>
        <v>42.744999999999997</v>
      </c>
      <c r="F24" s="329">
        <f>'STOK DETAY'!BM6</f>
        <v>0</v>
      </c>
      <c r="G24" s="330">
        <f>'STOK DETAY'!BN6</f>
        <v>0</v>
      </c>
      <c r="H24" s="330">
        <f>'STOK DETAY'!BO6</f>
        <v>0</v>
      </c>
      <c r="I24" s="330">
        <f>'STOK DETAY'!BP6</f>
        <v>0</v>
      </c>
      <c r="J24" s="330">
        <f>'STOK DETAY'!BQ6</f>
        <v>0</v>
      </c>
      <c r="K24" s="331">
        <f>'STOK DETAY'!BR6</f>
        <v>42.744999999999997</v>
      </c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</row>
    <row r="25" spans="1:24" s="188" customFormat="1" ht="18" customHeight="1" x14ac:dyDescent="0.35">
      <c r="A25" s="304">
        <v>0.8</v>
      </c>
      <c r="B25" s="332" t="s">
        <v>7</v>
      </c>
      <c r="C25" s="327" t="s">
        <v>55</v>
      </c>
      <c r="D25" s="328">
        <v>303</v>
      </c>
      <c r="E25" s="306">
        <f t="shared" si="2"/>
        <v>53.14</v>
      </c>
      <c r="F25" s="329">
        <f>'STOK DETAY'!BS6</f>
        <v>0</v>
      </c>
      <c r="G25" s="330">
        <f>'STOK DETAY'!BT6</f>
        <v>0</v>
      </c>
      <c r="H25" s="330">
        <f>'STOK DETAY'!BU6</f>
        <v>0</v>
      </c>
      <c r="I25" s="330">
        <f>'STOK DETAY'!BV6</f>
        <v>0</v>
      </c>
      <c r="J25" s="330">
        <f>'STOK DETAY'!BW6</f>
        <v>0</v>
      </c>
      <c r="K25" s="331">
        <f>'STOK DETAY'!BX6</f>
        <v>53.14</v>
      </c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</row>
    <row r="26" spans="1:24" s="188" customFormat="1" ht="18" customHeight="1" x14ac:dyDescent="0.35">
      <c r="A26" s="304">
        <v>0.85</v>
      </c>
      <c r="B26" s="332" t="s">
        <v>7</v>
      </c>
      <c r="C26" s="327" t="s">
        <v>55</v>
      </c>
      <c r="D26" s="328">
        <v>303</v>
      </c>
      <c r="E26" s="306">
        <f t="shared" si="2"/>
        <v>49.975000000000001</v>
      </c>
      <c r="F26" s="329">
        <f>'STOK DETAY'!BY6</f>
        <v>0</v>
      </c>
      <c r="G26" s="330">
        <f>'STOK DETAY'!BZ6</f>
        <v>0</v>
      </c>
      <c r="H26" s="330">
        <f>'STOK DETAY'!CA6</f>
        <v>0</v>
      </c>
      <c r="I26" s="330">
        <f>'STOK DETAY'!CB6</f>
        <v>0</v>
      </c>
      <c r="J26" s="330">
        <f>'STOK DETAY'!CC6</f>
        <v>0</v>
      </c>
      <c r="K26" s="331">
        <f>'STOK DETAY'!CD6</f>
        <v>49.975000000000001</v>
      </c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</row>
    <row r="27" spans="1:24" s="188" customFormat="1" ht="18" customHeight="1" x14ac:dyDescent="0.35">
      <c r="A27" s="304">
        <v>0.9</v>
      </c>
      <c r="B27" s="332" t="s">
        <v>7</v>
      </c>
      <c r="C27" s="327" t="s">
        <v>55</v>
      </c>
      <c r="D27" s="328">
        <v>401</v>
      </c>
      <c r="E27" s="306">
        <f t="shared" si="2"/>
        <v>50.62</v>
      </c>
      <c r="F27" s="329">
        <f>'STOK DETAY'!CE6</f>
        <v>0</v>
      </c>
      <c r="G27" s="330">
        <f>'STOK DETAY'!CF6</f>
        <v>0</v>
      </c>
      <c r="H27" s="330">
        <f>'STOK DETAY'!CG6</f>
        <v>0</v>
      </c>
      <c r="I27" s="330">
        <f>'STOK DETAY'!CH6</f>
        <v>0</v>
      </c>
      <c r="J27" s="330">
        <f>'STOK DETAY'!CI6</f>
        <v>0</v>
      </c>
      <c r="K27" s="331">
        <f>'STOK DETAY'!CJ6</f>
        <v>50.62</v>
      </c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</row>
    <row r="28" spans="1:24" s="188" customFormat="1" ht="18" customHeight="1" x14ac:dyDescent="0.35">
      <c r="A28" s="304">
        <v>0.95</v>
      </c>
      <c r="B28" s="332" t="s">
        <v>7</v>
      </c>
      <c r="C28" s="327" t="s">
        <v>55</v>
      </c>
      <c r="D28" s="328">
        <v>401</v>
      </c>
      <c r="E28" s="306">
        <f t="shared" si="2"/>
        <v>25.344999999999999</v>
      </c>
      <c r="F28" s="329">
        <f>'STOK DETAY'!CK6</f>
        <v>0</v>
      </c>
      <c r="G28" s="330">
        <f>'STOK DETAY'!CL6</f>
        <v>8.6449999999999996</v>
      </c>
      <c r="H28" s="330">
        <f>'STOK DETAY'!CM6</f>
        <v>0</v>
      </c>
      <c r="I28" s="330">
        <f>'STOK DETAY'!CN6</f>
        <v>0</v>
      </c>
      <c r="J28" s="330">
        <f>'STOK DETAY'!CO6</f>
        <v>0</v>
      </c>
      <c r="K28" s="331">
        <f>'STOK DETAY'!CP6</f>
        <v>16.7</v>
      </c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</row>
    <row r="29" spans="1:24" s="188" customFormat="1" ht="18" customHeight="1" x14ac:dyDescent="0.35">
      <c r="A29" s="304">
        <v>1</v>
      </c>
      <c r="B29" s="332" t="s">
        <v>7</v>
      </c>
      <c r="C29" s="327" t="s">
        <v>55</v>
      </c>
      <c r="D29" s="328">
        <v>402</v>
      </c>
      <c r="E29" s="306">
        <f t="shared" si="2"/>
        <v>24.93</v>
      </c>
      <c r="F29" s="329">
        <f>'STOK DETAY'!CQ6</f>
        <v>0</v>
      </c>
      <c r="G29" s="330">
        <f>'STOK DETAY'!CR6</f>
        <v>0</v>
      </c>
      <c r="H29" s="330">
        <f>'STOK DETAY'!CS6</f>
        <v>24.93</v>
      </c>
      <c r="I29" s="330">
        <f>'STOK DETAY'!CT6</f>
        <v>0</v>
      </c>
      <c r="J29" s="330">
        <f>'STOK DETAY'!CU6</f>
        <v>0</v>
      </c>
      <c r="K29" s="331">
        <f>'STOK DETAY'!CV6</f>
        <v>0</v>
      </c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</row>
    <row r="30" spans="1:24" s="188" customFormat="1" ht="18" customHeight="1" x14ac:dyDescent="0.35">
      <c r="A30" s="304">
        <v>1.05</v>
      </c>
      <c r="B30" s="332" t="s">
        <v>7</v>
      </c>
      <c r="C30" s="327" t="s">
        <v>55</v>
      </c>
      <c r="D30" s="328">
        <v>402</v>
      </c>
      <c r="E30" s="306">
        <f t="shared" si="2"/>
        <v>0</v>
      </c>
      <c r="F30" s="329">
        <f>'STOK DETAY'!CW6</f>
        <v>0</v>
      </c>
      <c r="G30" s="330">
        <f>'STOK DETAY'!CX6</f>
        <v>0</v>
      </c>
      <c r="H30" s="330">
        <f>'STOK DETAY'!CY6</f>
        <v>0</v>
      </c>
      <c r="I30" s="330">
        <f>'STOK DETAY'!CZ6</f>
        <v>0</v>
      </c>
      <c r="J30" s="330">
        <f>'STOK DETAY'!DA6</f>
        <v>0</v>
      </c>
      <c r="K30" s="331">
        <f>'STOK DETAY'!DB6</f>
        <v>0</v>
      </c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</row>
    <row r="31" spans="1:24" s="188" customFormat="1" ht="18" customHeight="1" x14ac:dyDescent="0.35">
      <c r="A31" s="304">
        <v>1.1000000000000001</v>
      </c>
      <c r="B31" s="332" t="s">
        <v>7</v>
      </c>
      <c r="C31" s="327" t="s">
        <v>55</v>
      </c>
      <c r="D31" s="328">
        <v>403</v>
      </c>
      <c r="E31" s="306">
        <f t="shared" si="2"/>
        <v>25.734999999999999</v>
      </c>
      <c r="F31" s="329">
        <f>'STOK DETAY'!DC6</f>
        <v>0</v>
      </c>
      <c r="G31" s="330">
        <f>'STOK DETAY'!DD6</f>
        <v>0</v>
      </c>
      <c r="H31" s="330">
        <f>'STOK DETAY'!DE6</f>
        <v>25.734999999999999</v>
      </c>
      <c r="I31" s="330">
        <f>'STOK DETAY'!DF6</f>
        <v>0</v>
      </c>
      <c r="J31" s="330">
        <f>'STOK DETAY'!DG6</f>
        <v>0</v>
      </c>
      <c r="K31" s="331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</row>
    <row r="32" spans="1:24" s="188" customFormat="1" ht="18" customHeight="1" x14ac:dyDescent="0.35">
      <c r="A32" s="304">
        <v>1.1499999999999999</v>
      </c>
      <c r="B32" s="332" t="s">
        <v>7</v>
      </c>
      <c r="C32" s="327" t="s">
        <v>55</v>
      </c>
      <c r="D32" s="328">
        <v>403</v>
      </c>
      <c r="E32" s="306">
        <f t="shared" si="2"/>
        <v>0</v>
      </c>
      <c r="F32" s="329">
        <f>'STOK DETAY'!DI6</f>
        <v>0</v>
      </c>
      <c r="G32" s="330">
        <f>'STOK DETAY'!DJ6</f>
        <v>0</v>
      </c>
      <c r="H32" s="330">
        <f>'STOK DETAY'!DK6</f>
        <v>0</v>
      </c>
      <c r="I32" s="330">
        <f>'STOK DETAY'!DL6</f>
        <v>0</v>
      </c>
      <c r="J32" s="330">
        <f>'STOK DETAY'!DM6</f>
        <v>0</v>
      </c>
      <c r="K32" s="331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</row>
    <row r="33" spans="1:24" s="188" customFormat="1" ht="18" customHeight="1" x14ac:dyDescent="0.35">
      <c r="A33" s="304">
        <v>1.2</v>
      </c>
      <c r="B33" s="332" t="s">
        <v>7</v>
      </c>
      <c r="C33" s="327" t="s">
        <v>55</v>
      </c>
      <c r="D33" s="328">
        <v>501</v>
      </c>
      <c r="E33" s="306">
        <f t="shared" si="2"/>
        <v>17.329999999999998</v>
      </c>
      <c r="F33" s="329">
        <f>'STOK DETAY'!DN6</f>
        <v>0</v>
      </c>
      <c r="G33" s="330">
        <f>'STOK DETAY'!DO6</f>
        <v>8.5250000000000004</v>
      </c>
      <c r="H33" s="330">
        <f>'STOK DETAY'!DP6</f>
        <v>8.8049999999999997</v>
      </c>
      <c r="I33" s="330">
        <f>'STOK DETAY'!DQ6</f>
        <v>0</v>
      </c>
      <c r="J33" s="330">
        <f>'STOK DETAY'!DR6</f>
        <v>0</v>
      </c>
      <c r="K33" s="331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</row>
    <row r="34" spans="1:24" s="188" customFormat="1" ht="18" customHeight="1" x14ac:dyDescent="0.35">
      <c r="A34" s="304">
        <v>1.25</v>
      </c>
      <c r="B34" s="332" t="s">
        <v>7</v>
      </c>
      <c r="C34" s="327" t="s">
        <v>55</v>
      </c>
      <c r="D34" s="328">
        <v>501</v>
      </c>
      <c r="E34" s="306">
        <f t="shared" si="2"/>
        <v>0</v>
      </c>
      <c r="F34" s="329">
        <f>'STOK DETAY'!DS6</f>
        <v>0</v>
      </c>
      <c r="G34" s="330">
        <f>'STOK DETAY'!DT6</f>
        <v>0</v>
      </c>
      <c r="H34" s="330">
        <f>'STOK DETAY'!DU6</f>
        <v>0</v>
      </c>
      <c r="I34" s="330">
        <f>'STOK DETAY'!DV6</f>
        <v>0</v>
      </c>
      <c r="J34" s="330">
        <f>'STOK DETAY'!DW6</f>
        <v>0</v>
      </c>
      <c r="K34" s="331">
        <f>'STOK DETAY'!DX6</f>
        <v>0</v>
      </c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</row>
    <row r="35" spans="1:24" s="188" customFormat="1" ht="18" customHeight="1" x14ac:dyDescent="0.35">
      <c r="A35" s="304">
        <v>1.3</v>
      </c>
      <c r="B35" s="332" t="s">
        <v>7</v>
      </c>
      <c r="C35" s="327" t="s">
        <v>55</v>
      </c>
      <c r="D35" s="328">
        <v>502</v>
      </c>
      <c r="E35" s="306">
        <f t="shared" si="2"/>
        <v>8.3800000000000008</v>
      </c>
      <c r="F35" s="329">
        <f>'STOK DETAY'!DY6</f>
        <v>0</v>
      </c>
      <c r="G35" s="330">
        <f>'STOK DETAY'!DZ6</f>
        <v>0</v>
      </c>
      <c r="H35" s="330">
        <f>'STOK DETAY'!EA6</f>
        <v>8.3800000000000008</v>
      </c>
      <c r="I35" s="330">
        <f>'STOK DETAY'!EB6</f>
        <v>0</v>
      </c>
      <c r="J35" s="330">
        <f>'STOK DETAY'!EC6</f>
        <v>0</v>
      </c>
      <c r="K35" s="331">
        <f>'STOK DETAY'!ED6</f>
        <v>0</v>
      </c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</row>
    <row r="36" spans="1:24" s="188" customFormat="1" ht="18" customHeight="1" x14ac:dyDescent="0.35">
      <c r="A36" s="304">
        <v>1.35</v>
      </c>
      <c r="B36" s="332" t="s">
        <v>7</v>
      </c>
      <c r="C36" s="327" t="s">
        <v>55</v>
      </c>
      <c r="D36" s="328">
        <v>502</v>
      </c>
      <c r="E36" s="306">
        <f t="shared" si="2"/>
        <v>388.52</v>
      </c>
      <c r="F36" s="329">
        <f>'STOK DETAY'!EE6</f>
        <v>0</v>
      </c>
      <c r="G36" s="330">
        <f>'STOK DETAY'!EF6</f>
        <v>0</v>
      </c>
      <c r="H36" s="330">
        <f>'STOK DETAY'!EG6</f>
        <v>378.33</v>
      </c>
      <c r="I36" s="330">
        <f>'STOK DETAY'!EH6</f>
        <v>1.75</v>
      </c>
      <c r="J36" s="330">
        <f>'STOK DETAY'!EI6</f>
        <v>8.44</v>
      </c>
      <c r="K36" s="331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</row>
    <row r="37" spans="1:24" s="188" customFormat="1" ht="18" customHeight="1" x14ac:dyDescent="0.35">
      <c r="A37" s="304">
        <v>1.4</v>
      </c>
      <c r="B37" s="332" t="s">
        <v>7</v>
      </c>
      <c r="C37" s="327" t="s">
        <v>55</v>
      </c>
      <c r="D37" s="328">
        <v>503</v>
      </c>
      <c r="E37" s="306">
        <f t="shared" si="2"/>
        <v>68.8</v>
      </c>
      <c r="F37" s="329">
        <f>'STOK DETAY'!EJ6</f>
        <v>0</v>
      </c>
      <c r="G37" s="330">
        <f>'STOK DETAY'!EK6</f>
        <v>0</v>
      </c>
      <c r="H37" s="330">
        <f>'STOK DETAY'!EL6</f>
        <v>0</v>
      </c>
      <c r="I37" s="330"/>
      <c r="J37" s="330">
        <f>'STOK DETAY'!EM6</f>
        <v>68.8</v>
      </c>
      <c r="K37" s="331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</row>
    <row r="38" spans="1:24" s="188" customFormat="1" ht="18" customHeight="1" x14ac:dyDescent="0.35">
      <c r="A38" s="304">
        <v>1.45</v>
      </c>
      <c r="B38" s="332" t="s">
        <v>7</v>
      </c>
      <c r="C38" s="327" t="s">
        <v>55</v>
      </c>
      <c r="D38" s="328">
        <v>503</v>
      </c>
      <c r="E38" s="306">
        <f t="shared" si="2"/>
        <v>16.170000000000002</v>
      </c>
      <c r="F38" s="329">
        <f>'STOK DETAY'!EN6</f>
        <v>0</v>
      </c>
      <c r="G38" s="330">
        <f>'STOK DETAY'!EO6</f>
        <v>0</v>
      </c>
      <c r="H38" s="330">
        <f>'STOK DETAY'!EP6</f>
        <v>16.170000000000002</v>
      </c>
      <c r="I38" s="330"/>
      <c r="J38" s="330">
        <f>'STOK DETAY'!EQ6</f>
        <v>0</v>
      </c>
      <c r="K38" s="331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</row>
    <row r="39" spans="1:24" s="188" customFormat="1" ht="18" customHeight="1" x14ac:dyDescent="0.35">
      <c r="A39" s="304">
        <v>1.5</v>
      </c>
      <c r="B39" s="332" t="s">
        <v>7</v>
      </c>
      <c r="C39" s="327" t="s">
        <v>55</v>
      </c>
      <c r="D39" s="328"/>
      <c r="E39" s="306">
        <f t="shared" si="2"/>
        <v>0</v>
      </c>
      <c r="F39" s="329">
        <f>'STOK DETAY'!ER6</f>
        <v>0</v>
      </c>
      <c r="G39" s="330">
        <f>'STOK DETAY'!ES6</f>
        <v>0</v>
      </c>
      <c r="H39" s="330">
        <f>'STOK DETAY'!ET6</f>
        <v>0</v>
      </c>
      <c r="I39" s="330"/>
      <c r="J39" s="330">
        <f>'STOK DETAY'!EU6</f>
        <v>0</v>
      </c>
      <c r="K39" s="331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</row>
    <row r="40" spans="1:24" s="188" customFormat="1" ht="18" customHeight="1" x14ac:dyDescent="0.35">
      <c r="A40" s="304">
        <v>1.55</v>
      </c>
      <c r="B40" s="332" t="s">
        <v>142</v>
      </c>
      <c r="C40" s="327" t="s">
        <v>55</v>
      </c>
      <c r="D40" s="328">
        <v>211</v>
      </c>
      <c r="E40" s="306">
        <f t="shared" si="2"/>
        <v>27.65</v>
      </c>
      <c r="F40" s="329"/>
      <c r="G40" s="330"/>
      <c r="H40" s="330"/>
      <c r="I40" s="330"/>
      <c r="J40" s="330">
        <f>'STOK DETAY'!EV6</f>
        <v>27.65</v>
      </c>
      <c r="K40" s="331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</row>
    <row r="41" spans="1:24" s="188" customFormat="1" ht="18" customHeight="1" x14ac:dyDescent="0.35">
      <c r="A41" s="304">
        <v>1.6</v>
      </c>
      <c r="B41" s="332" t="s">
        <v>7</v>
      </c>
      <c r="C41" s="327" t="s">
        <v>55</v>
      </c>
      <c r="D41" s="328"/>
      <c r="E41" s="306">
        <f t="shared" si="2"/>
        <v>0</v>
      </c>
      <c r="F41" s="329"/>
      <c r="G41" s="330">
        <f>'STOK DETAY'!EW6</f>
        <v>0</v>
      </c>
      <c r="H41" s="330"/>
      <c r="I41" s="330"/>
      <c r="J41" s="330"/>
      <c r="K41" s="331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</row>
    <row r="42" spans="1:24" s="188" customFormat="1" ht="18" customHeight="1" x14ac:dyDescent="0.35">
      <c r="A42" s="304">
        <v>1.7</v>
      </c>
      <c r="B42" s="332" t="s">
        <v>9</v>
      </c>
      <c r="C42" s="327" t="s">
        <v>55</v>
      </c>
      <c r="D42" s="328"/>
      <c r="E42" s="306">
        <f t="shared" si="2"/>
        <v>0</v>
      </c>
      <c r="F42" s="329"/>
      <c r="G42" s="330">
        <f>'STOK DETAY'!EY6</f>
        <v>0</v>
      </c>
      <c r="H42" s="330">
        <f>'STOK DETAY'!EZ6</f>
        <v>0</v>
      </c>
      <c r="I42" s="330"/>
      <c r="J42" s="330"/>
      <c r="K42" s="331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</row>
    <row r="43" spans="1:24" s="188" customFormat="1" ht="18" customHeight="1" x14ac:dyDescent="0.35">
      <c r="A43" s="304">
        <v>1.8</v>
      </c>
      <c r="B43" s="332" t="s">
        <v>9</v>
      </c>
      <c r="C43" s="327" t="s">
        <v>55</v>
      </c>
      <c r="D43" s="328"/>
      <c r="E43" s="306">
        <f t="shared" si="2"/>
        <v>0</v>
      </c>
      <c r="F43" s="329">
        <f>'STOK DETAY'!FA6</f>
        <v>0</v>
      </c>
      <c r="G43" s="330">
        <f>'STOK DETAY'!FB6</f>
        <v>0</v>
      </c>
      <c r="H43" s="330">
        <f>'STOK DETAY'!FC6</f>
        <v>0</v>
      </c>
      <c r="I43" s="330"/>
      <c r="J43" s="330">
        <f>'STOK DETAY'!FD6</f>
        <v>0</v>
      </c>
      <c r="K43" s="331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</row>
    <row r="44" spans="1:24" s="188" customFormat="1" ht="18" customHeight="1" x14ac:dyDescent="0.35">
      <c r="A44" s="304">
        <v>1.85</v>
      </c>
      <c r="B44" s="332" t="s">
        <v>9</v>
      </c>
      <c r="C44" s="327" t="s">
        <v>55</v>
      </c>
      <c r="D44" s="328"/>
      <c r="E44" s="306">
        <f t="shared" si="2"/>
        <v>28</v>
      </c>
      <c r="F44" s="329"/>
      <c r="G44" s="330"/>
      <c r="H44" s="330"/>
      <c r="I44" s="330"/>
      <c r="J44" s="330">
        <f>'STOK DETAY'!FE6</f>
        <v>28</v>
      </c>
      <c r="K44" s="331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</row>
    <row r="45" spans="1:24" s="188" customFormat="1" ht="18" customHeight="1" x14ac:dyDescent="0.35">
      <c r="A45" s="304">
        <v>1.9</v>
      </c>
      <c r="B45" s="332" t="s">
        <v>9</v>
      </c>
      <c r="C45" s="327" t="s">
        <v>55</v>
      </c>
      <c r="D45" s="328"/>
      <c r="E45" s="306">
        <f t="shared" si="2"/>
        <v>103.66500000000001</v>
      </c>
      <c r="F45" s="329"/>
      <c r="G45" s="330">
        <f>'STOK DETAY'!FF6</f>
        <v>0</v>
      </c>
      <c r="H45" s="330">
        <f>'STOK DETAY'!FG6</f>
        <v>103.66500000000001</v>
      </c>
      <c r="I45" s="330"/>
      <c r="J45" s="330">
        <f>'STOK DETAY'!FH6</f>
        <v>0</v>
      </c>
      <c r="K45" s="331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</row>
    <row r="46" spans="1:24" s="188" customFormat="1" ht="18" customHeight="1" x14ac:dyDescent="0.35">
      <c r="A46" s="304">
        <v>2</v>
      </c>
      <c r="B46" s="332" t="s">
        <v>9</v>
      </c>
      <c r="C46" s="327" t="s">
        <v>55</v>
      </c>
      <c r="D46" s="328"/>
      <c r="E46" s="306">
        <f t="shared" si="2"/>
        <v>0</v>
      </c>
      <c r="F46" s="329"/>
      <c r="G46" s="330">
        <f>'STOK DETAY'!FJ6</f>
        <v>0</v>
      </c>
      <c r="H46" s="330">
        <f>'STOK DETAY'!FK6</f>
        <v>0</v>
      </c>
      <c r="I46" s="330"/>
      <c r="J46" s="330">
        <f>'STOK DETAY'!FL6</f>
        <v>0</v>
      </c>
      <c r="K46" s="331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</row>
    <row r="47" spans="1:24" s="188" customFormat="1" ht="18" customHeight="1" x14ac:dyDescent="0.35">
      <c r="A47" s="304">
        <v>2.2000000000000002</v>
      </c>
      <c r="B47" s="332" t="s">
        <v>9</v>
      </c>
      <c r="C47" s="327" t="s">
        <v>55</v>
      </c>
      <c r="D47" s="328"/>
      <c r="E47" s="306">
        <f t="shared" si="2"/>
        <v>45.85</v>
      </c>
      <c r="F47" s="329">
        <f>'STOK DETAY'!FM6</f>
        <v>0</v>
      </c>
      <c r="G47" s="330"/>
      <c r="H47" s="330"/>
      <c r="I47" s="330"/>
      <c r="J47" s="330">
        <f>'STOK DETAY'!FN6</f>
        <v>45.85</v>
      </c>
      <c r="K47" s="331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</row>
    <row r="48" spans="1:24" s="188" customFormat="1" ht="18" customHeight="1" x14ac:dyDescent="0.35">
      <c r="A48" s="304">
        <v>2.2999999999999998</v>
      </c>
      <c r="B48" s="332" t="s">
        <v>9</v>
      </c>
      <c r="C48" s="327" t="s">
        <v>55</v>
      </c>
      <c r="D48" s="328"/>
      <c r="E48" s="306">
        <f t="shared" si="2"/>
        <v>0</v>
      </c>
      <c r="F48" s="329"/>
      <c r="G48" s="330"/>
      <c r="H48" s="330"/>
      <c r="I48" s="330"/>
      <c r="J48" s="330">
        <f>'STOK DETAY'!FO6</f>
        <v>0</v>
      </c>
      <c r="K48" s="331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</row>
    <row r="49" spans="1:24" s="188" customFormat="1" ht="18" customHeight="1" x14ac:dyDescent="0.35">
      <c r="A49" s="304">
        <v>2.4</v>
      </c>
      <c r="B49" s="332" t="s">
        <v>9</v>
      </c>
      <c r="C49" s="327" t="s">
        <v>55</v>
      </c>
      <c r="D49" s="328"/>
      <c r="E49" s="306">
        <f t="shared" si="2"/>
        <v>0</v>
      </c>
      <c r="F49" s="329"/>
      <c r="G49" s="330"/>
      <c r="H49" s="330"/>
      <c r="I49" s="330"/>
      <c r="J49" s="330">
        <f>'STOK DETAY'!FP6</f>
        <v>0</v>
      </c>
      <c r="K49" s="331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</row>
    <row r="50" spans="1:24" s="188" customFormat="1" ht="18" customHeight="1" x14ac:dyDescent="0.35">
      <c r="A50" s="304">
        <v>2.5</v>
      </c>
      <c r="B50" s="332" t="s">
        <v>9</v>
      </c>
      <c r="C50" s="327" t="s">
        <v>55</v>
      </c>
      <c r="D50" s="328"/>
      <c r="E50" s="306">
        <f t="shared" si="2"/>
        <v>0</v>
      </c>
      <c r="F50" s="329">
        <f>'STOK DETAY'!FQ6</f>
        <v>0</v>
      </c>
      <c r="G50" s="330">
        <f>'STOK DETAY'!FR6</f>
        <v>0</v>
      </c>
      <c r="H50" s="330">
        <f>'STOK DETAY'!FS6</f>
        <v>0</v>
      </c>
      <c r="I50" s="330"/>
      <c r="J50" s="330"/>
      <c r="K50" s="331">
        <f>'STOK DETAY'!FT6</f>
        <v>0</v>
      </c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</row>
    <row r="51" spans="1:24" s="188" customFormat="1" ht="18" customHeight="1" x14ac:dyDescent="0.35">
      <c r="A51" s="304">
        <v>2.6</v>
      </c>
      <c r="B51" s="332" t="s">
        <v>9</v>
      </c>
      <c r="C51" s="327" t="s">
        <v>55</v>
      </c>
      <c r="D51" s="328"/>
      <c r="E51" s="306">
        <f t="shared" si="2"/>
        <v>45.4</v>
      </c>
      <c r="F51" s="329"/>
      <c r="G51" s="330">
        <f>'STOK DETAY'!FU6</f>
        <v>0</v>
      </c>
      <c r="H51" s="330">
        <f>'STOK DETAY'!FV6</f>
        <v>0</v>
      </c>
      <c r="I51" s="330"/>
      <c r="J51" s="330">
        <f>'STOK DETAY'!FW6</f>
        <v>45.4</v>
      </c>
      <c r="K51" s="331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</row>
    <row r="52" spans="1:24" s="188" customFormat="1" ht="18" customHeight="1" x14ac:dyDescent="0.35">
      <c r="A52" s="304">
        <v>2.7</v>
      </c>
      <c r="B52" s="332" t="s">
        <v>9</v>
      </c>
      <c r="C52" s="327" t="s">
        <v>55</v>
      </c>
      <c r="D52" s="328">
        <v>113</v>
      </c>
      <c r="E52" s="306">
        <f t="shared" si="2"/>
        <v>9.1999999999999993</v>
      </c>
      <c r="F52" s="329">
        <f>'STOK DETAY'!FX6</f>
        <v>9.1999999999999993</v>
      </c>
      <c r="G52" s="330"/>
      <c r="H52" s="330"/>
      <c r="I52" s="330"/>
      <c r="J52" s="330">
        <f>'STOK DETAY'!FY6</f>
        <v>0</v>
      </c>
      <c r="K52" s="331">
        <f>'STOK DETAY'!FZ6</f>
        <v>0</v>
      </c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</row>
    <row r="53" spans="1:24" s="188" customFormat="1" ht="18" customHeight="1" x14ac:dyDescent="0.35">
      <c r="A53" s="304">
        <v>3</v>
      </c>
      <c r="B53" s="332" t="s">
        <v>9</v>
      </c>
      <c r="C53" s="327" t="s">
        <v>55</v>
      </c>
      <c r="D53" s="328"/>
      <c r="E53" s="306">
        <f t="shared" si="2"/>
        <v>89.45</v>
      </c>
      <c r="F53" s="329"/>
      <c r="G53" s="330">
        <f>'STOK DETAY'!GA6</f>
        <v>0</v>
      </c>
      <c r="H53" s="330">
        <f>'STOK DETAY'!GB6</f>
        <v>0</v>
      </c>
      <c r="I53" s="330"/>
      <c r="J53" s="330">
        <f>'STOK DETAY'!GC6</f>
        <v>89.45</v>
      </c>
      <c r="K53" s="331">
        <f>'STOK DETAY'!GD6</f>
        <v>0</v>
      </c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</row>
    <row r="54" spans="1:24" s="188" customFormat="1" ht="18" customHeight="1" x14ac:dyDescent="0.35">
      <c r="A54" s="304">
        <v>3.2</v>
      </c>
      <c r="B54" s="332" t="s">
        <v>9</v>
      </c>
      <c r="C54" s="327" t="s">
        <v>55</v>
      </c>
      <c r="D54" s="328">
        <v>211</v>
      </c>
      <c r="E54" s="306">
        <f t="shared" si="2"/>
        <v>21.45</v>
      </c>
      <c r="F54" s="329"/>
      <c r="G54" s="330">
        <f>'STOK DETAY'!GE6</f>
        <v>0</v>
      </c>
      <c r="H54" s="330"/>
      <c r="I54" s="330"/>
      <c r="J54" s="330">
        <f>'STOK DETAY'!GF6</f>
        <v>21.45</v>
      </c>
      <c r="K54" s="331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</row>
    <row r="55" spans="1:24" s="188" customFormat="1" ht="18" customHeight="1" x14ac:dyDescent="0.35">
      <c r="A55" s="304">
        <v>3.5</v>
      </c>
      <c r="B55" s="332" t="s">
        <v>9</v>
      </c>
      <c r="C55" s="327" t="s">
        <v>55</v>
      </c>
      <c r="D55" s="305"/>
      <c r="E55" s="306">
        <f t="shared" si="2"/>
        <v>0</v>
      </c>
      <c r="F55" s="329"/>
      <c r="G55" s="330"/>
      <c r="H55" s="330"/>
      <c r="I55" s="330"/>
      <c r="J55" s="330">
        <f>'STOK DETAY'!GG6</f>
        <v>0</v>
      </c>
      <c r="K55" s="331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</row>
    <row r="56" spans="1:24" s="188" customFormat="1" ht="18" customHeight="1" thickBot="1" x14ac:dyDescent="0.4">
      <c r="A56" s="304">
        <v>4</v>
      </c>
      <c r="B56" s="326" t="s">
        <v>9</v>
      </c>
      <c r="C56" s="327" t="s">
        <v>55</v>
      </c>
      <c r="D56" s="336"/>
      <c r="E56" s="306">
        <f t="shared" si="2"/>
        <v>0</v>
      </c>
      <c r="F56" s="329"/>
      <c r="G56" s="330"/>
      <c r="H56" s="330"/>
      <c r="I56" s="330"/>
      <c r="J56" s="330">
        <f>'STOK DETAY'!GI6</f>
        <v>0</v>
      </c>
      <c r="K56" s="331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</row>
    <row r="57" spans="1:24" ht="21.95" customHeight="1" thickBot="1" x14ac:dyDescent="0.45">
      <c r="A57" s="413" t="s">
        <v>4</v>
      </c>
      <c r="B57" s="414"/>
      <c r="C57" s="414"/>
      <c r="D57" s="415"/>
      <c r="E57" s="316">
        <f>SUM(F57:K57)</f>
        <v>1522.51</v>
      </c>
      <c r="F57" s="317">
        <f t="shared" ref="F57:K57" si="3">SUM(F9:F56)</f>
        <v>9.1999999999999993</v>
      </c>
      <c r="G57" s="318">
        <f t="shared" si="3"/>
        <v>25.785</v>
      </c>
      <c r="H57" s="318">
        <f t="shared" si="3"/>
        <v>877.30499999999995</v>
      </c>
      <c r="I57" s="318">
        <f t="shared" si="3"/>
        <v>1.75</v>
      </c>
      <c r="J57" s="318">
        <f t="shared" si="3"/>
        <v>335.04</v>
      </c>
      <c r="K57" s="319">
        <f t="shared" si="3"/>
        <v>273.43</v>
      </c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</row>
    <row r="58" spans="1:24" ht="21.95" customHeight="1" thickBot="1" x14ac:dyDescent="0.45">
      <c r="A58" s="416" t="s">
        <v>30</v>
      </c>
      <c r="B58" s="417"/>
      <c r="C58" s="418"/>
      <c r="D58" s="293" t="s">
        <v>220</v>
      </c>
      <c r="E58" s="316" t="s">
        <v>4</v>
      </c>
      <c r="F58" s="320" t="s">
        <v>2</v>
      </c>
      <c r="G58" s="321" t="s">
        <v>3</v>
      </c>
      <c r="H58" s="321" t="s">
        <v>113</v>
      </c>
      <c r="I58" s="321" t="s">
        <v>5</v>
      </c>
      <c r="J58" s="321" t="s">
        <v>6</v>
      </c>
      <c r="K58" s="322" t="s">
        <v>115</v>
      </c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</row>
    <row r="59" spans="1:24" s="188" customFormat="1" ht="18" customHeight="1" x14ac:dyDescent="0.35">
      <c r="A59" s="337">
        <v>0.08</v>
      </c>
      <c r="B59" s="326" t="s">
        <v>7</v>
      </c>
      <c r="C59" s="327" t="s">
        <v>30</v>
      </c>
      <c r="D59" s="336">
        <v>611</v>
      </c>
      <c r="E59" s="306">
        <f t="shared" ref="E59:E88" si="4">SUM(F59:K59)</f>
        <v>76.703000000000003</v>
      </c>
      <c r="F59" s="329">
        <f>'STOK DETAY'!GJ6</f>
        <v>0</v>
      </c>
      <c r="G59" s="330"/>
      <c r="H59" s="330">
        <f>'STOK DETAY'!GK6</f>
        <v>76.703000000000003</v>
      </c>
      <c r="I59" s="330"/>
      <c r="J59" s="330"/>
      <c r="K59" s="331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</row>
    <row r="60" spans="1:24" s="188" customFormat="1" ht="18" customHeight="1" x14ac:dyDescent="0.35">
      <c r="A60" s="304">
        <v>0.1</v>
      </c>
      <c r="B60" s="326" t="s">
        <v>7</v>
      </c>
      <c r="C60" s="335" t="s">
        <v>30</v>
      </c>
      <c r="D60" s="336"/>
      <c r="E60" s="306">
        <f t="shared" si="4"/>
        <v>0</v>
      </c>
      <c r="F60" s="329">
        <f>'STOK DETAY'!GL6</f>
        <v>0</v>
      </c>
      <c r="G60" s="330"/>
      <c r="H60" s="330">
        <f>'STOK DETAY'!GM6</f>
        <v>0</v>
      </c>
      <c r="I60" s="330"/>
      <c r="J60" s="330"/>
      <c r="K60" s="331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</row>
    <row r="61" spans="1:24" s="188" customFormat="1" ht="18" customHeight="1" x14ac:dyDescent="0.35">
      <c r="A61" s="304">
        <v>0.12</v>
      </c>
      <c r="B61" s="326" t="s">
        <v>7</v>
      </c>
      <c r="C61" s="335" t="s">
        <v>30</v>
      </c>
      <c r="D61" s="336"/>
      <c r="E61" s="306">
        <f t="shared" si="4"/>
        <v>0</v>
      </c>
      <c r="F61" s="329"/>
      <c r="G61" s="330"/>
      <c r="H61" s="330">
        <f>'STOK DETAY'!GO6</f>
        <v>0</v>
      </c>
      <c r="I61" s="330"/>
      <c r="J61" s="330"/>
      <c r="K61" s="331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</row>
    <row r="62" spans="1:24" s="188" customFormat="1" ht="18" customHeight="1" x14ac:dyDescent="0.35">
      <c r="A62" s="304">
        <v>0.14000000000000001</v>
      </c>
      <c r="B62" s="326" t="s">
        <v>7</v>
      </c>
      <c r="C62" s="327" t="s">
        <v>30</v>
      </c>
      <c r="D62" s="336"/>
      <c r="E62" s="306">
        <f t="shared" si="4"/>
        <v>0</v>
      </c>
      <c r="F62" s="329">
        <f>'STOK DETAY'!GP6</f>
        <v>0</v>
      </c>
      <c r="G62" s="330"/>
      <c r="H62" s="330">
        <f>'STOK DETAY'!GQ6</f>
        <v>0</v>
      </c>
      <c r="I62" s="330"/>
      <c r="J62" s="330"/>
      <c r="K62" s="331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</row>
    <row r="63" spans="1:24" s="188" customFormat="1" ht="18" customHeight="1" x14ac:dyDescent="0.35">
      <c r="A63" s="304">
        <v>0.15</v>
      </c>
      <c r="B63" s="326" t="s">
        <v>7</v>
      </c>
      <c r="C63" s="327" t="s">
        <v>30</v>
      </c>
      <c r="D63" s="336"/>
      <c r="E63" s="306">
        <f t="shared" si="4"/>
        <v>0</v>
      </c>
      <c r="F63" s="329">
        <f>'STOK DETAY'!GR6</f>
        <v>0</v>
      </c>
      <c r="G63" s="330"/>
      <c r="H63" s="330">
        <f>'STOK DETAY'!GS6</f>
        <v>0</v>
      </c>
      <c r="I63" s="330"/>
      <c r="J63" s="330"/>
      <c r="K63" s="331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</row>
    <row r="64" spans="1:24" s="188" customFormat="1" ht="18" customHeight="1" x14ac:dyDescent="0.35">
      <c r="A64" s="304">
        <v>0.17</v>
      </c>
      <c r="B64" s="326" t="s">
        <v>7</v>
      </c>
      <c r="C64" s="327" t="s">
        <v>30</v>
      </c>
      <c r="D64" s="336"/>
      <c r="E64" s="306">
        <f t="shared" si="4"/>
        <v>0</v>
      </c>
      <c r="F64" s="329"/>
      <c r="G64" s="330"/>
      <c r="H64" s="330">
        <f>'STOK DETAY'!GU6</f>
        <v>0</v>
      </c>
      <c r="I64" s="330"/>
      <c r="J64" s="330"/>
      <c r="K64" s="331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</row>
    <row r="65" spans="1:24" s="188" customFormat="1" ht="18" customHeight="1" x14ac:dyDescent="0.35">
      <c r="A65" s="304">
        <v>0.18</v>
      </c>
      <c r="B65" s="326" t="s">
        <v>7</v>
      </c>
      <c r="C65" s="327" t="s">
        <v>30</v>
      </c>
      <c r="D65" s="336"/>
      <c r="E65" s="306">
        <f t="shared" si="4"/>
        <v>0</v>
      </c>
      <c r="F65" s="329">
        <f>'STOK DETAY'!GV6</f>
        <v>0</v>
      </c>
      <c r="G65" s="330"/>
      <c r="H65" s="330">
        <f>'STOK DETAY'!GW6</f>
        <v>0</v>
      </c>
      <c r="I65" s="330"/>
      <c r="J65" s="330"/>
      <c r="K65" s="331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</row>
    <row r="66" spans="1:24" s="188" customFormat="1" ht="18" customHeight="1" x14ac:dyDescent="0.35">
      <c r="A66" s="304">
        <v>0.19</v>
      </c>
      <c r="B66" s="326" t="s">
        <v>7</v>
      </c>
      <c r="C66" s="327" t="s">
        <v>30</v>
      </c>
      <c r="D66" s="336"/>
      <c r="E66" s="306">
        <f t="shared" si="4"/>
        <v>0</v>
      </c>
      <c r="F66" s="329"/>
      <c r="G66" s="330"/>
      <c r="H66" s="330">
        <f>'STOK DETAY'!GX6</f>
        <v>0</v>
      </c>
      <c r="I66" s="330"/>
      <c r="J66" s="330"/>
      <c r="K66" s="331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</row>
    <row r="67" spans="1:24" s="188" customFormat="1" ht="18" customHeight="1" x14ac:dyDescent="0.35">
      <c r="A67" s="304">
        <v>0.2</v>
      </c>
      <c r="B67" s="326" t="s">
        <v>7</v>
      </c>
      <c r="C67" s="327" t="s">
        <v>30</v>
      </c>
      <c r="D67" s="336"/>
      <c r="E67" s="306">
        <f t="shared" si="4"/>
        <v>0</v>
      </c>
      <c r="F67" s="329">
        <f>'STOK DETAY'!GY6</f>
        <v>0</v>
      </c>
      <c r="G67" s="330"/>
      <c r="H67" s="330">
        <f>'STOK DETAY'!GZ6</f>
        <v>0</v>
      </c>
      <c r="I67" s="330"/>
      <c r="J67" s="330"/>
      <c r="K67" s="331">
        <f>'STOK DETAY'!HA6</f>
        <v>0</v>
      </c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</row>
    <row r="68" spans="1:24" s="188" customFormat="1" ht="18" customHeight="1" x14ac:dyDescent="0.35">
      <c r="A68" s="304">
        <v>0.22</v>
      </c>
      <c r="B68" s="326" t="s">
        <v>7</v>
      </c>
      <c r="C68" s="327" t="s">
        <v>30</v>
      </c>
      <c r="D68" s="336"/>
      <c r="E68" s="306">
        <f t="shared" si="4"/>
        <v>0</v>
      </c>
      <c r="F68" s="329">
        <f>'STOK DETAY'!HB6</f>
        <v>0</v>
      </c>
      <c r="G68" s="330"/>
      <c r="H68" s="330"/>
      <c r="I68" s="330"/>
      <c r="J68" s="330"/>
      <c r="K68" s="331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</row>
    <row r="69" spans="1:24" s="188" customFormat="1" ht="18" customHeight="1" x14ac:dyDescent="0.35">
      <c r="A69" s="304">
        <v>0.25</v>
      </c>
      <c r="B69" s="326" t="s">
        <v>7</v>
      </c>
      <c r="C69" s="327" t="s">
        <v>30</v>
      </c>
      <c r="D69" s="336"/>
      <c r="E69" s="306">
        <f t="shared" si="4"/>
        <v>0</v>
      </c>
      <c r="F69" s="329">
        <f>'STOK DETAY'!HC6</f>
        <v>0</v>
      </c>
      <c r="G69" s="330"/>
      <c r="H69" s="330">
        <f>'STOK DETAY'!HD6</f>
        <v>0</v>
      </c>
      <c r="I69" s="330"/>
      <c r="J69" s="330"/>
      <c r="K69" s="331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</row>
    <row r="70" spans="1:24" s="188" customFormat="1" ht="18" customHeight="1" x14ac:dyDescent="0.35">
      <c r="A70" s="304">
        <v>0.28000000000000003</v>
      </c>
      <c r="B70" s="326" t="s">
        <v>7</v>
      </c>
      <c r="C70" s="327" t="s">
        <v>30</v>
      </c>
      <c r="D70" s="336"/>
      <c r="E70" s="306">
        <f t="shared" si="4"/>
        <v>0</v>
      </c>
      <c r="F70" s="329">
        <f>'STOK DETAY'!HE6</f>
        <v>0</v>
      </c>
      <c r="G70" s="330"/>
      <c r="H70" s="330">
        <f>'STOK DETAY'!HF6</f>
        <v>0</v>
      </c>
      <c r="I70" s="330"/>
      <c r="J70" s="330"/>
      <c r="K70" s="331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</row>
    <row r="71" spans="1:24" s="188" customFormat="1" ht="18" customHeight="1" x14ac:dyDescent="0.35">
      <c r="A71" s="304">
        <v>0.3</v>
      </c>
      <c r="B71" s="326" t="s">
        <v>7</v>
      </c>
      <c r="C71" s="327" t="s">
        <v>30</v>
      </c>
      <c r="D71" s="336"/>
      <c r="E71" s="306">
        <f t="shared" si="4"/>
        <v>13.32</v>
      </c>
      <c r="F71" s="329">
        <f>'STOK DETAY'!HG6</f>
        <v>0</v>
      </c>
      <c r="G71" s="330"/>
      <c r="H71" s="330">
        <f>'STOK DETAY'!HH6</f>
        <v>0</v>
      </c>
      <c r="I71" s="330"/>
      <c r="J71" s="330"/>
      <c r="K71" s="331">
        <f>'STOK DETAY'!HI6</f>
        <v>13.32</v>
      </c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</row>
    <row r="72" spans="1:24" s="188" customFormat="1" ht="18" customHeight="1" x14ac:dyDescent="0.35">
      <c r="A72" s="304">
        <v>0.32</v>
      </c>
      <c r="B72" s="326" t="s">
        <v>7</v>
      </c>
      <c r="C72" s="327" t="s">
        <v>30</v>
      </c>
      <c r="D72" s="336">
        <v>613</v>
      </c>
      <c r="E72" s="306">
        <f t="shared" si="4"/>
        <v>8.9849999999999994</v>
      </c>
      <c r="F72" s="329"/>
      <c r="G72" s="330"/>
      <c r="H72" s="330">
        <f>'STOK DETAY'!HJ6</f>
        <v>8.9849999999999994</v>
      </c>
      <c r="I72" s="330"/>
      <c r="J72" s="330"/>
      <c r="K72" s="331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</row>
    <row r="73" spans="1:24" s="188" customFormat="1" ht="18" customHeight="1" x14ac:dyDescent="0.35">
      <c r="A73" s="304">
        <v>0.33</v>
      </c>
      <c r="B73" s="326" t="s">
        <v>7</v>
      </c>
      <c r="C73" s="327" t="s">
        <v>30</v>
      </c>
      <c r="D73" s="336"/>
      <c r="E73" s="306">
        <f t="shared" si="4"/>
        <v>0</v>
      </c>
      <c r="F73" s="329">
        <f>'STOK DETAY'!HK6</f>
        <v>0</v>
      </c>
      <c r="G73" s="330"/>
      <c r="H73" s="330"/>
      <c r="I73" s="330"/>
      <c r="J73" s="330"/>
      <c r="K73" s="331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</row>
    <row r="74" spans="1:24" s="188" customFormat="1" ht="18" customHeight="1" x14ac:dyDescent="0.35">
      <c r="A74" s="304">
        <v>0.35</v>
      </c>
      <c r="B74" s="326" t="s">
        <v>7</v>
      </c>
      <c r="C74" s="327" t="s">
        <v>30</v>
      </c>
      <c r="D74" s="336"/>
      <c r="E74" s="306">
        <f t="shared" si="4"/>
        <v>0</v>
      </c>
      <c r="F74" s="329">
        <f>'STOK DETAY'!HL6</f>
        <v>0</v>
      </c>
      <c r="G74" s="330"/>
      <c r="H74" s="330">
        <f>'STOK DETAY'!HM6</f>
        <v>0</v>
      </c>
      <c r="I74" s="330"/>
      <c r="J74" s="330"/>
      <c r="K74" s="331">
        <f>'STOK DETAY'!HN6</f>
        <v>0</v>
      </c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</row>
    <row r="75" spans="1:24" s="188" customFormat="1" ht="18" customHeight="1" x14ac:dyDescent="0.35">
      <c r="A75" s="304">
        <v>0.38</v>
      </c>
      <c r="B75" s="326" t="s">
        <v>7</v>
      </c>
      <c r="C75" s="327" t="s">
        <v>30</v>
      </c>
      <c r="D75" s="336">
        <v>612</v>
      </c>
      <c r="E75" s="306">
        <f t="shared" si="4"/>
        <v>0</v>
      </c>
      <c r="F75" s="329">
        <f>'STOK DETAY'!HO6</f>
        <v>0</v>
      </c>
      <c r="G75" s="330"/>
      <c r="H75" s="330">
        <f>'STOK DETAY'!HP6</f>
        <v>0</v>
      </c>
      <c r="I75" s="330"/>
      <c r="J75" s="330"/>
      <c r="K75" s="331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</row>
    <row r="76" spans="1:24" s="188" customFormat="1" ht="18" customHeight="1" x14ac:dyDescent="0.35">
      <c r="A76" s="304">
        <v>0.4</v>
      </c>
      <c r="B76" s="326" t="s">
        <v>7</v>
      </c>
      <c r="C76" s="327" t="s">
        <v>30</v>
      </c>
      <c r="D76" s="336"/>
      <c r="E76" s="306">
        <f t="shared" si="4"/>
        <v>0</v>
      </c>
      <c r="F76" s="329">
        <f>'STOK DETAY'!HQ6</f>
        <v>0</v>
      </c>
      <c r="G76" s="330"/>
      <c r="H76" s="330">
        <f>'STOK DETAY'!HR6</f>
        <v>0</v>
      </c>
      <c r="I76" s="330"/>
      <c r="J76" s="330"/>
      <c r="K76" s="331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</row>
    <row r="77" spans="1:24" s="188" customFormat="1" ht="18" customHeight="1" x14ac:dyDescent="0.35">
      <c r="A77" s="304">
        <v>0.45</v>
      </c>
      <c r="B77" s="326" t="s">
        <v>7</v>
      </c>
      <c r="C77" s="327" t="s">
        <v>30</v>
      </c>
      <c r="D77" s="336">
        <v>213</v>
      </c>
      <c r="E77" s="306">
        <f t="shared" si="4"/>
        <v>93.39</v>
      </c>
      <c r="F77" s="329">
        <f>'STOK DETAY'!HS6</f>
        <v>93.39</v>
      </c>
      <c r="G77" s="330"/>
      <c r="H77" s="330"/>
      <c r="I77" s="330"/>
      <c r="J77" s="330"/>
      <c r="K77" s="331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</row>
    <row r="78" spans="1:24" s="188" customFormat="1" ht="18" customHeight="1" x14ac:dyDescent="0.35">
      <c r="A78" s="304">
        <v>0.45</v>
      </c>
      <c r="B78" s="326" t="s">
        <v>7</v>
      </c>
      <c r="C78" s="327" t="s">
        <v>129</v>
      </c>
      <c r="D78" s="336">
        <v>213</v>
      </c>
      <c r="E78" s="306">
        <f t="shared" si="4"/>
        <v>31.1</v>
      </c>
      <c r="F78" s="329"/>
      <c r="G78" s="330"/>
      <c r="H78" s="330">
        <f>'STOK DETAY'!HT6</f>
        <v>31.1</v>
      </c>
      <c r="I78" s="330"/>
      <c r="J78" s="330"/>
      <c r="K78" s="331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</row>
    <row r="79" spans="1:24" s="188" customFormat="1" ht="18" customHeight="1" x14ac:dyDescent="0.35">
      <c r="A79" s="304">
        <v>0.5</v>
      </c>
      <c r="B79" s="326" t="s">
        <v>7</v>
      </c>
      <c r="C79" s="327" t="s">
        <v>30</v>
      </c>
      <c r="D79" s="336"/>
      <c r="E79" s="306">
        <f t="shared" si="4"/>
        <v>0</v>
      </c>
      <c r="F79" s="329">
        <f>'STOK DETAY'!HU6</f>
        <v>0</v>
      </c>
      <c r="G79" s="330"/>
      <c r="H79" s="330">
        <f>'STOK DETAY'!HV6</f>
        <v>0</v>
      </c>
      <c r="I79" s="330"/>
      <c r="J79" s="330"/>
      <c r="K79" s="331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</row>
    <row r="80" spans="1:24" s="188" customFormat="1" ht="18" customHeight="1" x14ac:dyDescent="0.35">
      <c r="A80" s="304">
        <v>0.55000000000000004</v>
      </c>
      <c r="B80" s="326" t="s">
        <v>7</v>
      </c>
      <c r="C80" s="327" t="s">
        <v>30</v>
      </c>
      <c r="D80" s="336"/>
      <c r="E80" s="306">
        <f t="shared" si="4"/>
        <v>0</v>
      </c>
      <c r="F80" s="329">
        <f>'STOK DETAY'!HW6</f>
        <v>0</v>
      </c>
      <c r="G80" s="330"/>
      <c r="H80" s="330">
        <f>'STOK DETAY'!HX6</f>
        <v>0</v>
      </c>
      <c r="I80" s="330"/>
      <c r="J80" s="330"/>
      <c r="K80" s="331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</row>
    <row r="81" spans="1:24" s="188" customFormat="1" ht="18" customHeight="1" x14ac:dyDescent="0.35">
      <c r="A81" s="304">
        <v>0.6</v>
      </c>
      <c r="B81" s="326" t="s">
        <v>7</v>
      </c>
      <c r="C81" s="327" t="s">
        <v>30</v>
      </c>
      <c r="D81" s="336"/>
      <c r="E81" s="306">
        <f t="shared" si="4"/>
        <v>8.94</v>
      </c>
      <c r="F81" s="329">
        <f>'STOK DETAY'!HY6</f>
        <v>8.94</v>
      </c>
      <c r="G81" s="330"/>
      <c r="H81" s="330"/>
      <c r="I81" s="330"/>
      <c r="J81" s="330"/>
      <c r="K81" s="331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</row>
    <row r="82" spans="1:24" s="188" customFormat="1" ht="18" customHeight="1" x14ac:dyDescent="0.35">
      <c r="A82" s="304">
        <v>0.65</v>
      </c>
      <c r="B82" s="326" t="s">
        <v>7</v>
      </c>
      <c r="C82" s="327" t="s">
        <v>30</v>
      </c>
      <c r="D82" s="336">
        <v>411</v>
      </c>
      <c r="E82" s="306">
        <f t="shared" si="4"/>
        <v>83.82</v>
      </c>
      <c r="F82" s="329"/>
      <c r="G82" s="330"/>
      <c r="H82" s="330">
        <f>'STOK DETAY'!IA6</f>
        <v>83.82</v>
      </c>
      <c r="I82" s="330"/>
      <c r="J82" s="330"/>
      <c r="K82" s="331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</row>
    <row r="83" spans="1:24" s="188" customFormat="1" ht="18" customHeight="1" x14ac:dyDescent="0.35">
      <c r="A83" s="304">
        <v>0.7</v>
      </c>
      <c r="B83" s="326" t="s">
        <v>7</v>
      </c>
      <c r="C83" s="327" t="s">
        <v>30</v>
      </c>
      <c r="D83" s="336"/>
      <c r="E83" s="306">
        <f t="shared" si="4"/>
        <v>0</v>
      </c>
      <c r="F83" s="329">
        <f>'STOK DETAY'!IB6</f>
        <v>0</v>
      </c>
      <c r="G83" s="330"/>
      <c r="H83" s="330">
        <f>'STOK DETAY'!IC6</f>
        <v>0</v>
      </c>
      <c r="I83" s="330"/>
      <c r="J83" s="330"/>
      <c r="K83" s="331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</row>
    <row r="84" spans="1:24" s="188" customFormat="1" ht="18" customHeight="1" x14ac:dyDescent="0.35">
      <c r="A84" s="304">
        <v>0.75</v>
      </c>
      <c r="B84" s="326" t="s">
        <v>7</v>
      </c>
      <c r="C84" s="327" t="s">
        <v>30</v>
      </c>
      <c r="D84" s="336"/>
      <c r="E84" s="306">
        <f t="shared" si="4"/>
        <v>2.42</v>
      </c>
      <c r="F84" s="329">
        <f>'STOK DETAY'!ID6</f>
        <v>0</v>
      </c>
      <c r="G84" s="330"/>
      <c r="H84" s="330">
        <f>'STOK DETAY'!IE6</f>
        <v>2.42</v>
      </c>
      <c r="I84" s="330"/>
      <c r="J84" s="330"/>
      <c r="K84" s="331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</row>
    <row r="85" spans="1:24" s="188" customFormat="1" ht="18" customHeight="1" x14ac:dyDescent="0.35">
      <c r="A85" s="304">
        <v>0.8</v>
      </c>
      <c r="B85" s="326" t="s">
        <v>7</v>
      </c>
      <c r="C85" s="327" t="s">
        <v>30</v>
      </c>
      <c r="D85" s="336"/>
      <c r="E85" s="306">
        <f t="shared" si="4"/>
        <v>0</v>
      </c>
      <c r="F85" s="329">
        <f>'STOK DETAY'!IF6</f>
        <v>0</v>
      </c>
      <c r="G85" s="330"/>
      <c r="H85" s="330"/>
      <c r="I85" s="330"/>
      <c r="J85" s="330"/>
      <c r="K85" s="331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</row>
    <row r="86" spans="1:24" s="188" customFormat="1" ht="18" customHeight="1" x14ac:dyDescent="0.35">
      <c r="A86" s="304">
        <v>0.85</v>
      </c>
      <c r="B86" s="326" t="s">
        <v>7</v>
      </c>
      <c r="C86" s="335" t="s">
        <v>30</v>
      </c>
      <c r="D86" s="336">
        <v>611</v>
      </c>
      <c r="E86" s="306">
        <f t="shared" si="4"/>
        <v>127.11</v>
      </c>
      <c r="F86" s="329">
        <f>'STOK DETAY'!IG6</f>
        <v>127.11</v>
      </c>
      <c r="G86" s="330"/>
      <c r="H86" s="330"/>
      <c r="I86" s="330"/>
      <c r="J86" s="330"/>
      <c r="K86" s="331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</row>
    <row r="87" spans="1:24" s="188" customFormat="1" ht="18" customHeight="1" x14ac:dyDescent="0.35">
      <c r="A87" s="304">
        <v>0.9</v>
      </c>
      <c r="B87" s="326" t="s">
        <v>7</v>
      </c>
      <c r="C87" s="327" t="s">
        <v>30</v>
      </c>
      <c r="D87" s="336">
        <v>613</v>
      </c>
      <c r="E87" s="306">
        <f t="shared" si="4"/>
        <v>128.26</v>
      </c>
      <c r="F87" s="329">
        <f>'STOK DETAY'!IH6</f>
        <v>128.26</v>
      </c>
      <c r="G87" s="330"/>
      <c r="H87" s="330"/>
      <c r="I87" s="330"/>
      <c r="J87" s="330"/>
      <c r="K87" s="331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</row>
    <row r="88" spans="1:24" s="188" customFormat="1" ht="18" customHeight="1" thickBot="1" x14ac:dyDescent="0.4">
      <c r="A88" s="304">
        <v>0.95</v>
      </c>
      <c r="B88" s="326" t="s">
        <v>7</v>
      </c>
      <c r="C88" s="327" t="s">
        <v>30</v>
      </c>
      <c r="D88" s="336"/>
      <c r="E88" s="306">
        <f t="shared" si="4"/>
        <v>29.6</v>
      </c>
      <c r="F88" s="329"/>
      <c r="G88" s="330"/>
      <c r="H88" s="330">
        <f>'STOK DETAY'!II6</f>
        <v>29.6</v>
      </c>
      <c r="I88" s="330"/>
      <c r="J88" s="330"/>
      <c r="K88" s="331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</row>
    <row r="89" spans="1:24" ht="21.95" customHeight="1" thickBot="1" x14ac:dyDescent="0.45">
      <c r="A89" s="410" t="s">
        <v>4</v>
      </c>
      <c r="B89" s="411"/>
      <c r="C89" s="411"/>
      <c r="D89" s="412"/>
      <c r="E89" s="316">
        <f>SUM(F89:K89)</f>
        <v>603.64800000000002</v>
      </c>
      <c r="F89" s="317">
        <f t="shared" ref="F89:K89" si="5">SUM(F59:F88)</f>
        <v>357.7</v>
      </c>
      <c r="G89" s="318">
        <f t="shared" si="5"/>
        <v>0</v>
      </c>
      <c r="H89" s="318">
        <f t="shared" si="5"/>
        <v>232.62799999999999</v>
      </c>
      <c r="I89" s="318">
        <f t="shared" si="5"/>
        <v>0</v>
      </c>
      <c r="J89" s="318">
        <f t="shared" si="5"/>
        <v>0</v>
      </c>
      <c r="K89" s="319">
        <f t="shared" si="5"/>
        <v>13.32</v>
      </c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</row>
    <row r="90" spans="1:24" ht="21.95" customHeight="1" thickBot="1" x14ac:dyDescent="0.45">
      <c r="A90" s="416" t="s">
        <v>10</v>
      </c>
      <c r="B90" s="417"/>
      <c r="C90" s="419"/>
      <c r="D90" s="338" t="s">
        <v>220</v>
      </c>
      <c r="E90" s="316" t="s">
        <v>4</v>
      </c>
      <c r="F90" s="320" t="s">
        <v>2</v>
      </c>
      <c r="G90" s="321" t="s">
        <v>3</v>
      </c>
      <c r="H90" s="321" t="s">
        <v>113</v>
      </c>
      <c r="I90" s="321" t="s">
        <v>5</v>
      </c>
      <c r="J90" s="321" t="s">
        <v>6</v>
      </c>
      <c r="K90" s="322" t="s">
        <v>115</v>
      </c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</row>
    <row r="91" spans="1:24" s="188" customFormat="1" ht="18" customHeight="1" x14ac:dyDescent="0.35">
      <c r="A91" s="339">
        <v>0.3</v>
      </c>
      <c r="B91" s="402"/>
      <c r="C91" s="403"/>
      <c r="D91" s="340">
        <v>511</v>
      </c>
      <c r="E91" s="341">
        <f t="shared" ref="E91:E101" si="6">SUM(F91:K91)</f>
        <v>3.28</v>
      </c>
      <c r="F91" s="342"/>
      <c r="G91" s="343">
        <f>'STOK DETAY'!IJ6</f>
        <v>3.28</v>
      </c>
      <c r="H91" s="343"/>
      <c r="I91" s="343"/>
      <c r="J91" s="343"/>
      <c r="K91" s="344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</row>
    <row r="92" spans="1:24" s="188" customFormat="1" ht="18" customHeight="1" x14ac:dyDescent="0.35">
      <c r="A92" s="304">
        <v>0.5</v>
      </c>
      <c r="B92" s="400"/>
      <c r="C92" s="401"/>
      <c r="D92" s="340">
        <v>511</v>
      </c>
      <c r="E92" s="306">
        <f t="shared" si="6"/>
        <v>63.54</v>
      </c>
      <c r="F92" s="345"/>
      <c r="G92" s="330">
        <f>'STOK DETAY'!IK6</f>
        <v>63.54</v>
      </c>
      <c r="H92" s="330"/>
      <c r="I92" s="330"/>
      <c r="J92" s="330"/>
      <c r="K92" s="331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</row>
    <row r="93" spans="1:24" s="188" customFormat="1" ht="18" customHeight="1" x14ac:dyDescent="0.35">
      <c r="A93" s="304">
        <v>0.55000000000000004</v>
      </c>
      <c r="B93" s="400"/>
      <c r="C93" s="401"/>
      <c r="D93" s="340">
        <v>511</v>
      </c>
      <c r="E93" s="306">
        <f t="shared" si="6"/>
        <v>10.45</v>
      </c>
      <c r="F93" s="345"/>
      <c r="G93" s="330">
        <f>'STOK DETAY'!IL6</f>
        <v>10.45</v>
      </c>
      <c r="H93" s="330"/>
      <c r="I93" s="330"/>
      <c r="J93" s="330"/>
      <c r="K93" s="331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</row>
    <row r="94" spans="1:24" s="188" customFormat="1" ht="18" customHeight="1" x14ac:dyDescent="0.35">
      <c r="A94" s="304">
        <v>0.6</v>
      </c>
      <c r="B94" s="400"/>
      <c r="C94" s="401"/>
      <c r="D94" s="340">
        <v>101</v>
      </c>
      <c r="E94" s="306">
        <f t="shared" si="6"/>
        <v>0</v>
      </c>
      <c r="F94" s="345">
        <f>'STOK DETAY'!IM6</f>
        <v>0</v>
      </c>
      <c r="G94" s="330"/>
      <c r="H94" s="330"/>
      <c r="I94" s="330"/>
      <c r="J94" s="330"/>
      <c r="K94" s="331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</row>
    <row r="95" spans="1:24" s="188" customFormat="1" ht="18" customHeight="1" x14ac:dyDescent="0.35">
      <c r="A95" s="304">
        <v>0.7</v>
      </c>
      <c r="B95" s="400"/>
      <c r="C95" s="401"/>
      <c r="D95" s="340">
        <v>101</v>
      </c>
      <c r="E95" s="306">
        <f t="shared" si="6"/>
        <v>457.2</v>
      </c>
      <c r="F95" s="345">
        <f>'STOK DETAY'!IN6</f>
        <v>0</v>
      </c>
      <c r="G95" s="330"/>
      <c r="H95" s="330"/>
      <c r="I95" s="330"/>
      <c r="J95" s="330"/>
      <c r="K95" s="331">
        <f>'STOK DETAY'!IO6</f>
        <v>457.2</v>
      </c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</row>
    <row r="96" spans="1:24" s="188" customFormat="1" ht="18" customHeight="1" x14ac:dyDescent="0.35">
      <c r="A96" s="304">
        <v>1</v>
      </c>
      <c r="B96" s="400"/>
      <c r="C96" s="401"/>
      <c r="D96" s="340">
        <v>511</v>
      </c>
      <c r="E96" s="306">
        <f t="shared" si="6"/>
        <v>2.5</v>
      </c>
      <c r="F96" s="345"/>
      <c r="G96" s="330">
        <f>'STOK DETAY'!IP6</f>
        <v>2.5</v>
      </c>
      <c r="H96" s="330"/>
      <c r="I96" s="330"/>
      <c r="J96" s="330"/>
      <c r="K96" s="331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</row>
    <row r="97" spans="1:24" s="188" customFormat="1" ht="18" customHeight="1" x14ac:dyDescent="0.35">
      <c r="A97" s="304">
        <v>1.2</v>
      </c>
      <c r="B97" s="400"/>
      <c r="C97" s="401"/>
      <c r="D97" s="340">
        <v>511</v>
      </c>
      <c r="E97" s="306">
        <f t="shared" si="6"/>
        <v>14.7</v>
      </c>
      <c r="F97" s="345"/>
      <c r="G97" s="330">
        <f>'STOK DETAY'!IQ6</f>
        <v>14.7</v>
      </c>
      <c r="H97" s="330"/>
      <c r="I97" s="330"/>
      <c r="J97" s="330"/>
      <c r="K97" s="331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</row>
    <row r="98" spans="1:24" s="188" customFormat="1" ht="18" customHeight="1" x14ac:dyDescent="0.35">
      <c r="A98" s="304">
        <v>1.3</v>
      </c>
      <c r="B98" s="400"/>
      <c r="C98" s="401"/>
      <c r="D98" s="340">
        <v>511</v>
      </c>
      <c r="E98" s="306">
        <f t="shared" si="6"/>
        <v>2.85</v>
      </c>
      <c r="F98" s="345"/>
      <c r="G98" s="330">
        <f>'STOK DETAY'!IR6</f>
        <v>2.85</v>
      </c>
      <c r="H98" s="330"/>
      <c r="I98" s="330"/>
      <c r="J98" s="330"/>
      <c r="K98" s="331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</row>
    <row r="99" spans="1:24" s="188" customFormat="1" ht="18" customHeight="1" x14ac:dyDescent="0.35">
      <c r="A99" s="304">
        <v>1.4</v>
      </c>
      <c r="B99" s="400"/>
      <c r="C99" s="401"/>
      <c r="D99" s="340">
        <v>511</v>
      </c>
      <c r="E99" s="306">
        <f t="shared" si="6"/>
        <v>6.83</v>
      </c>
      <c r="F99" s="345"/>
      <c r="G99" s="330">
        <f>'STOK DETAY'!IS6</f>
        <v>6.83</v>
      </c>
      <c r="H99" s="330"/>
      <c r="I99" s="330"/>
      <c r="J99" s="330"/>
      <c r="K99" s="331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</row>
    <row r="100" spans="1:24" s="188" customFormat="1" ht="18" customHeight="1" x14ac:dyDescent="0.35">
      <c r="A100" s="304">
        <v>1.6</v>
      </c>
      <c r="B100" s="400"/>
      <c r="C100" s="401"/>
      <c r="D100" s="340">
        <v>511</v>
      </c>
      <c r="E100" s="306">
        <f t="shared" si="6"/>
        <v>9.2200000000000006</v>
      </c>
      <c r="F100" s="345"/>
      <c r="G100" s="330">
        <f>'STOK DETAY'!IT6</f>
        <v>9.2200000000000006</v>
      </c>
      <c r="H100" s="330"/>
      <c r="I100" s="330"/>
      <c r="J100" s="330"/>
      <c r="K100" s="331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</row>
    <row r="101" spans="1:24" s="188" customFormat="1" ht="18" customHeight="1" x14ac:dyDescent="0.35">
      <c r="A101" s="304">
        <v>1.7</v>
      </c>
      <c r="B101" s="400"/>
      <c r="C101" s="401"/>
      <c r="D101" s="340">
        <v>511</v>
      </c>
      <c r="E101" s="306">
        <f t="shared" si="6"/>
        <v>18.5</v>
      </c>
      <c r="F101" s="345"/>
      <c r="G101" s="330">
        <f>'STOK DETAY'!IU6</f>
        <v>18.5</v>
      </c>
      <c r="H101" s="330"/>
      <c r="I101" s="330"/>
      <c r="J101" s="330"/>
      <c r="K101" s="331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</row>
    <row r="102" spans="1:24" s="188" customFormat="1" ht="18" customHeight="1" x14ac:dyDescent="0.35">
      <c r="A102" s="298">
        <v>1.8</v>
      </c>
      <c r="B102" s="431"/>
      <c r="C102" s="432"/>
      <c r="D102" s="346">
        <v>511</v>
      </c>
      <c r="E102" s="306">
        <f>SUM(F102:K102)</f>
        <v>0</v>
      </c>
      <c r="F102" s="345"/>
      <c r="G102" s="330">
        <f>'STOK DETAY'!IV6</f>
        <v>0</v>
      </c>
      <c r="H102" s="330"/>
      <c r="I102" s="330"/>
      <c r="J102" s="330"/>
      <c r="K102" s="331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</row>
    <row r="103" spans="1:24" s="188" customFormat="1" ht="18" customHeight="1" thickBot="1" x14ac:dyDescent="0.4">
      <c r="A103" s="347">
        <v>3.5</v>
      </c>
      <c r="B103" s="420"/>
      <c r="C103" s="421"/>
      <c r="D103" s="348">
        <v>511</v>
      </c>
      <c r="E103" s="349">
        <f>SUM(F103:K103)</f>
        <v>52.36</v>
      </c>
      <c r="F103" s="350"/>
      <c r="G103" s="314">
        <f>'STOK DETAY'!IW6</f>
        <v>52.36</v>
      </c>
      <c r="H103" s="314"/>
      <c r="I103" s="314"/>
      <c r="J103" s="314"/>
      <c r="K103" s="315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</row>
    <row r="104" spans="1:24" ht="21.95" customHeight="1" thickBot="1" x14ac:dyDescent="0.45">
      <c r="A104" s="426" t="s">
        <v>4</v>
      </c>
      <c r="B104" s="427"/>
      <c r="C104" s="427"/>
      <c r="D104" s="428"/>
      <c r="E104" s="316">
        <f>SUM(F104:K104)</f>
        <v>641.42999999999995</v>
      </c>
      <c r="F104" s="317">
        <f>SUM(F91:F103)</f>
        <v>0</v>
      </c>
      <c r="G104" s="318">
        <f t="shared" ref="G104:K104" si="7">SUM(G91:G103)</f>
        <v>184.23</v>
      </c>
      <c r="H104" s="318">
        <f t="shared" si="7"/>
        <v>0</v>
      </c>
      <c r="I104" s="318">
        <f t="shared" si="7"/>
        <v>0</v>
      </c>
      <c r="J104" s="318">
        <f t="shared" si="7"/>
        <v>0</v>
      </c>
      <c r="K104" s="319">
        <f t="shared" si="7"/>
        <v>457.2</v>
      </c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</row>
    <row r="105" spans="1:24" ht="21.95" customHeight="1" thickBot="1" x14ac:dyDescent="0.45">
      <c r="A105" s="407" t="s">
        <v>1</v>
      </c>
      <c r="B105" s="408"/>
      <c r="C105" s="408"/>
      <c r="D105" s="409"/>
      <c r="E105" s="351">
        <f>SUM(F105:K105)</f>
        <v>2793.2629999999999</v>
      </c>
      <c r="F105" s="352">
        <f t="shared" ref="F105:K105" si="8">F7+F57+F89+F104</f>
        <v>366.9</v>
      </c>
      <c r="G105" s="353">
        <f t="shared" si="8"/>
        <v>210.01499999999999</v>
      </c>
      <c r="H105" s="353">
        <f t="shared" si="8"/>
        <v>1109.933</v>
      </c>
      <c r="I105" s="353">
        <f t="shared" si="8"/>
        <v>1.75</v>
      </c>
      <c r="J105" s="353">
        <f t="shared" si="8"/>
        <v>335.04</v>
      </c>
      <c r="K105" s="354">
        <f t="shared" si="8"/>
        <v>769.625</v>
      </c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</row>
    <row r="106" spans="1:24" ht="15.75" customHeight="1" x14ac:dyDescent="0.4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</row>
    <row r="107" spans="1:24" ht="15.75" customHeight="1" x14ac:dyDescent="0.4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</row>
    <row r="108" spans="1:24" ht="15.75" customHeight="1" x14ac:dyDescent="0.4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</row>
    <row r="109" spans="1:24" ht="15.75" customHeight="1" x14ac:dyDescent="0.4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</row>
    <row r="110" spans="1:24" ht="15.75" customHeight="1" x14ac:dyDescent="0.4">
      <c r="A110" s="166"/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</row>
    <row r="111" spans="1:24" ht="15.75" customHeight="1" x14ac:dyDescent="0.4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</row>
    <row r="112" spans="1:24" ht="15.75" customHeight="1" x14ac:dyDescent="0.4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</row>
    <row r="113" spans="1:24" ht="15.75" customHeight="1" x14ac:dyDescent="0.4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</row>
    <row r="114" spans="1:24" ht="15.75" customHeight="1" x14ac:dyDescent="0.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</row>
    <row r="115" spans="1:24" ht="15.75" customHeight="1" x14ac:dyDescent="0.4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</row>
    <row r="116" spans="1:24" ht="15.75" customHeight="1" x14ac:dyDescent="0.4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</row>
    <row r="117" spans="1:24" ht="15.75" customHeight="1" x14ac:dyDescent="0.4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</row>
    <row r="118" spans="1:24" ht="15.75" customHeight="1" x14ac:dyDescent="0.4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</row>
    <row r="119" spans="1:24" ht="15.75" customHeight="1" x14ac:dyDescent="0.4">
      <c r="A119" s="166"/>
      <c r="B119" s="166"/>
      <c r="C119" s="166"/>
      <c r="D119" s="166"/>
      <c r="E119" s="166"/>
      <c r="F119" s="166"/>
      <c r="G119" s="166"/>
      <c r="H119" s="166"/>
      <c r="I119" s="167"/>
      <c r="J119" s="167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</row>
    <row r="120" spans="1:24" ht="15.75" customHeight="1" x14ac:dyDescent="0.4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</row>
    <row r="121" spans="1:24" ht="15.75" customHeight="1" x14ac:dyDescent="0.4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</row>
    <row r="122" spans="1:24" ht="15.75" customHeight="1" x14ac:dyDescent="0.4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</row>
    <row r="123" spans="1:24" ht="15.75" customHeight="1" x14ac:dyDescent="0.4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</row>
    <row r="124" spans="1:24" ht="15.75" customHeight="1" x14ac:dyDescent="0.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</row>
    <row r="125" spans="1:24" ht="15.75" customHeight="1" x14ac:dyDescent="0.4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</row>
    <row r="126" spans="1:24" ht="15.75" customHeight="1" x14ac:dyDescent="0.4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</row>
    <row r="127" spans="1:24" ht="15.75" customHeight="1" x14ac:dyDescent="0.4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</row>
    <row r="128" spans="1:24" ht="15.75" customHeight="1" x14ac:dyDescent="0.4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</row>
    <row r="129" spans="1:24" ht="15.75" customHeight="1" x14ac:dyDescent="0.4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</row>
    <row r="130" spans="1:24" ht="15.75" customHeight="1" x14ac:dyDescent="0.4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</row>
    <row r="131" spans="1:24" ht="15.75" customHeight="1" x14ac:dyDescent="0.4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</row>
    <row r="132" spans="1:24" ht="15.75" customHeight="1" x14ac:dyDescent="0.4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</row>
    <row r="133" spans="1:24" ht="15.75" customHeight="1" x14ac:dyDescent="0.4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</row>
    <row r="134" spans="1:24" ht="15.75" customHeight="1" x14ac:dyDescent="0.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</row>
    <row r="135" spans="1:24" ht="15.75" customHeight="1" x14ac:dyDescent="0.4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</row>
    <row r="136" spans="1:24" ht="15.75" customHeight="1" x14ac:dyDescent="0.4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</row>
    <row r="137" spans="1:24" ht="15.75" customHeight="1" x14ac:dyDescent="0.4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</row>
    <row r="138" spans="1:24" ht="15.75" customHeight="1" x14ac:dyDescent="0.4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</row>
    <row r="139" spans="1:24" ht="15.75" customHeight="1" x14ac:dyDescent="0.4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</row>
    <row r="140" spans="1:24" ht="15.75" customHeight="1" x14ac:dyDescent="0.4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</row>
    <row r="141" spans="1:24" ht="15.75" customHeight="1" x14ac:dyDescent="0.4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</row>
    <row r="142" spans="1:24" ht="15.75" customHeight="1" x14ac:dyDescent="0.4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</row>
    <row r="143" spans="1:24" ht="15.75" customHeight="1" x14ac:dyDescent="0.4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</row>
    <row r="144" spans="1:24" ht="15.75" customHeight="1" x14ac:dyDescent="0.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</row>
    <row r="145" spans="1:24" ht="15.75" customHeight="1" x14ac:dyDescent="0.4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</row>
    <row r="146" spans="1:24" ht="15.75" customHeight="1" x14ac:dyDescent="0.4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</row>
    <row r="147" spans="1:24" ht="15.75" customHeight="1" x14ac:dyDescent="0.4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</row>
    <row r="148" spans="1:24" ht="15.75" customHeight="1" x14ac:dyDescent="0.4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</row>
    <row r="149" spans="1:24" ht="15.75" customHeight="1" x14ac:dyDescent="0.4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</row>
    <row r="150" spans="1:24" ht="15.75" customHeight="1" x14ac:dyDescent="0.4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</row>
    <row r="151" spans="1:24" ht="15.75" customHeight="1" x14ac:dyDescent="0.4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</row>
    <row r="152" spans="1:24" ht="15.75" customHeight="1" x14ac:dyDescent="0.4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</row>
    <row r="153" spans="1:24" ht="15.75" customHeight="1" x14ac:dyDescent="0.4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</row>
    <row r="154" spans="1:24" ht="15.75" customHeight="1" x14ac:dyDescent="0.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</row>
    <row r="155" spans="1:24" ht="15.75" customHeight="1" x14ac:dyDescent="0.4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</row>
    <row r="156" spans="1:24" ht="15.75" customHeight="1" x14ac:dyDescent="0.4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</row>
    <row r="157" spans="1:24" ht="15.75" customHeight="1" x14ac:dyDescent="0.4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</row>
    <row r="158" spans="1:24" ht="15.75" customHeight="1" x14ac:dyDescent="0.4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</row>
    <row r="159" spans="1:24" ht="15.75" customHeight="1" x14ac:dyDescent="0.4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</row>
    <row r="160" spans="1:24" ht="15.75" customHeight="1" x14ac:dyDescent="0.4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</row>
    <row r="161" spans="1:24" ht="15.75" customHeight="1" x14ac:dyDescent="0.4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</row>
    <row r="162" spans="1:24" ht="15.75" customHeight="1" x14ac:dyDescent="0.4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</row>
    <row r="163" spans="1:24" ht="15.75" customHeight="1" x14ac:dyDescent="0.4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</row>
    <row r="164" spans="1:24" ht="15.75" customHeight="1" x14ac:dyDescent="0.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</row>
    <row r="165" spans="1:24" ht="15.75" customHeight="1" x14ac:dyDescent="0.4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</row>
    <row r="166" spans="1:24" ht="15.75" customHeight="1" x14ac:dyDescent="0.4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</row>
    <row r="167" spans="1:24" ht="15.75" customHeight="1" x14ac:dyDescent="0.4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</row>
    <row r="168" spans="1:24" ht="15.75" customHeight="1" x14ac:dyDescent="0.4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</row>
    <row r="169" spans="1:24" ht="15.75" customHeight="1" x14ac:dyDescent="0.4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</row>
    <row r="170" spans="1:24" ht="15.75" customHeight="1" x14ac:dyDescent="0.4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</row>
    <row r="171" spans="1:24" ht="15.75" customHeight="1" x14ac:dyDescent="0.4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</row>
    <row r="172" spans="1:24" ht="15.75" customHeight="1" x14ac:dyDescent="0.4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</row>
    <row r="173" spans="1:24" ht="15.75" customHeight="1" x14ac:dyDescent="0.4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</row>
    <row r="174" spans="1:24" ht="15.75" customHeight="1" x14ac:dyDescent="0.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</row>
    <row r="175" spans="1:24" ht="15.75" customHeight="1" x14ac:dyDescent="0.4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</row>
    <row r="176" spans="1:24" ht="15.75" customHeight="1" x14ac:dyDescent="0.4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</row>
    <row r="177" spans="1:24" ht="15.75" customHeight="1" x14ac:dyDescent="0.4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</row>
    <row r="178" spans="1:24" ht="15.75" customHeight="1" x14ac:dyDescent="0.4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</row>
    <row r="179" spans="1:24" ht="15.75" customHeight="1" x14ac:dyDescent="0.4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</row>
    <row r="180" spans="1:24" ht="15.75" customHeight="1" x14ac:dyDescent="0.4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</row>
    <row r="181" spans="1:24" ht="15.75" customHeight="1" x14ac:dyDescent="0.4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</row>
    <row r="182" spans="1:24" ht="15.75" customHeight="1" x14ac:dyDescent="0.4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</row>
    <row r="183" spans="1:24" ht="15.75" customHeight="1" x14ac:dyDescent="0.4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</row>
    <row r="184" spans="1:24" ht="15.75" customHeight="1" x14ac:dyDescent="0.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</row>
    <row r="185" spans="1:24" ht="15.75" customHeight="1" x14ac:dyDescent="0.4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</row>
    <row r="186" spans="1:24" ht="15.75" customHeight="1" x14ac:dyDescent="0.4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</row>
    <row r="187" spans="1:24" ht="15.75" customHeight="1" x14ac:dyDescent="0.4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</row>
    <row r="188" spans="1:24" ht="15.75" customHeight="1" x14ac:dyDescent="0.4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</row>
    <row r="189" spans="1:24" ht="15.75" customHeight="1" x14ac:dyDescent="0.4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</row>
    <row r="190" spans="1:24" ht="15.75" customHeight="1" x14ac:dyDescent="0.4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</row>
    <row r="191" spans="1:24" ht="15.75" customHeight="1" x14ac:dyDescent="0.4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</row>
    <row r="192" spans="1:24" ht="15.75" customHeight="1" x14ac:dyDescent="0.4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</row>
    <row r="193" spans="1:24" ht="15.75" customHeight="1" x14ac:dyDescent="0.4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</row>
    <row r="194" spans="1:24" ht="15.75" customHeight="1" x14ac:dyDescent="0.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</row>
    <row r="195" spans="1:24" ht="15.75" customHeight="1" x14ac:dyDescent="0.4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</row>
    <row r="196" spans="1:24" ht="15.75" customHeight="1" x14ac:dyDescent="0.4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</row>
    <row r="197" spans="1:24" ht="15.75" customHeight="1" x14ac:dyDescent="0.4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</row>
    <row r="198" spans="1:24" ht="15.75" customHeight="1" x14ac:dyDescent="0.4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</row>
    <row r="199" spans="1:24" ht="15.75" customHeight="1" x14ac:dyDescent="0.4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</row>
    <row r="200" spans="1:24" ht="15.75" customHeight="1" x14ac:dyDescent="0.4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</row>
    <row r="201" spans="1:24" ht="15.75" customHeight="1" x14ac:dyDescent="0.4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</row>
    <row r="202" spans="1:24" ht="15.75" customHeight="1" x14ac:dyDescent="0.4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</row>
    <row r="203" spans="1:24" ht="15.75" customHeight="1" x14ac:dyDescent="0.4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</row>
    <row r="204" spans="1:24" ht="15.75" customHeight="1" x14ac:dyDescent="0.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</row>
    <row r="205" spans="1:24" ht="15.75" customHeight="1" x14ac:dyDescent="0.4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</row>
    <row r="206" spans="1:24" ht="15.75" customHeight="1" x14ac:dyDescent="0.4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</row>
    <row r="207" spans="1:24" ht="15.75" customHeight="1" x14ac:dyDescent="0.4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</row>
    <row r="208" spans="1:24" ht="15.75" customHeight="1" x14ac:dyDescent="0.4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</row>
    <row r="209" spans="1:24" ht="15.75" customHeight="1" x14ac:dyDescent="0.4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</row>
    <row r="210" spans="1:24" ht="15.75" customHeight="1" x14ac:dyDescent="0.4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</row>
    <row r="211" spans="1:24" ht="15.75" customHeight="1" x14ac:dyDescent="0.4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</row>
    <row r="212" spans="1:24" ht="15.75" customHeight="1" x14ac:dyDescent="0.4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</row>
    <row r="213" spans="1:24" ht="15.75" customHeight="1" x14ac:dyDescent="0.4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</row>
    <row r="214" spans="1:24" ht="15.75" customHeight="1" x14ac:dyDescent="0.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</row>
    <row r="215" spans="1:24" ht="15.75" customHeight="1" x14ac:dyDescent="0.4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</row>
    <row r="216" spans="1:24" ht="15.75" customHeight="1" x14ac:dyDescent="0.4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</row>
    <row r="217" spans="1:24" ht="15.75" customHeight="1" x14ac:dyDescent="0.4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</row>
    <row r="218" spans="1:24" ht="15.75" customHeight="1" x14ac:dyDescent="0.4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</row>
    <row r="219" spans="1:24" ht="15.75" customHeight="1" x14ac:dyDescent="0.4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</row>
    <row r="220" spans="1:24" ht="15.75" customHeight="1" x14ac:dyDescent="0.4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</row>
    <row r="221" spans="1:24" ht="15.75" customHeight="1" x14ac:dyDescent="0.4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</row>
    <row r="222" spans="1:24" ht="15.75" customHeight="1" x14ac:dyDescent="0.4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</row>
    <row r="223" spans="1:24" ht="15.75" customHeight="1" x14ac:dyDescent="0.4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</row>
    <row r="224" spans="1:24" ht="15.75" customHeight="1" x14ac:dyDescent="0.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</row>
    <row r="225" spans="1:24" ht="15.75" customHeight="1" x14ac:dyDescent="0.4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</row>
    <row r="226" spans="1:24" ht="15.75" customHeight="1" x14ac:dyDescent="0.4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</row>
    <row r="227" spans="1:24" ht="15.75" customHeight="1" x14ac:dyDescent="0.4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</row>
    <row r="228" spans="1:24" ht="15.75" customHeight="1" x14ac:dyDescent="0.4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</row>
    <row r="229" spans="1:24" ht="15.75" customHeight="1" x14ac:dyDescent="0.4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</row>
    <row r="230" spans="1:24" ht="15.75" customHeight="1" x14ac:dyDescent="0.4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</row>
    <row r="231" spans="1:24" ht="15.75" customHeight="1" x14ac:dyDescent="0.4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</row>
    <row r="232" spans="1:24" ht="15.75" customHeight="1" x14ac:dyDescent="0.4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</row>
    <row r="233" spans="1:24" ht="15.75" customHeight="1" x14ac:dyDescent="0.4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</row>
    <row r="234" spans="1:24" ht="15.75" customHeight="1" x14ac:dyDescent="0.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</row>
    <row r="235" spans="1:24" ht="15.75" customHeight="1" x14ac:dyDescent="0.4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</row>
    <row r="236" spans="1:24" ht="15.75" customHeight="1" x14ac:dyDescent="0.4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</row>
    <row r="237" spans="1:24" ht="15.75" customHeight="1" x14ac:dyDescent="0.4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</row>
    <row r="238" spans="1:24" ht="15.75" customHeight="1" x14ac:dyDescent="0.4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</row>
    <row r="239" spans="1:24" ht="15.75" customHeight="1" x14ac:dyDescent="0.4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</row>
    <row r="240" spans="1:24" ht="15.75" customHeight="1" x14ac:dyDescent="0.4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</row>
    <row r="241" spans="1:24" ht="15.75" customHeight="1" x14ac:dyDescent="0.4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</row>
    <row r="242" spans="1:24" ht="15.75" customHeight="1" x14ac:dyDescent="0.4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</row>
    <row r="243" spans="1:24" ht="15.75" customHeight="1" x14ac:dyDescent="0.4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</row>
    <row r="244" spans="1:24" ht="15.75" customHeight="1" x14ac:dyDescent="0.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</row>
    <row r="245" spans="1:24" ht="15.75" customHeight="1" x14ac:dyDescent="0.4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</row>
    <row r="246" spans="1:24" ht="15.75" customHeight="1" x14ac:dyDescent="0.4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</row>
    <row r="247" spans="1:24" ht="15.75" customHeight="1" x14ac:dyDescent="0.4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</row>
    <row r="248" spans="1:24" ht="15.75" customHeight="1" x14ac:dyDescent="0.4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</row>
    <row r="249" spans="1:24" ht="15.75" customHeight="1" x14ac:dyDescent="0.4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</row>
    <row r="250" spans="1:24" ht="15.75" customHeight="1" x14ac:dyDescent="0.4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</row>
    <row r="251" spans="1:24" ht="15.75" customHeight="1" x14ac:dyDescent="0.4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</row>
    <row r="252" spans="1:24" ht="15.75" customHeight="1" x14ac:dyDescent="0.4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</row>
    <row r="253" spans="1:24" ht="15.75" customHeight="1" x14ac:dyDescent="0.4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</row>
    <row r="254" spans="1:24" ht="15.75" customHeight="1" x14ac:dyDescent="0.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</row>
    <row r="255" spans="1:24" ht="15.75" customHeight="1" x14ac:dyDescent="0.4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</row>
    <row r="256" spans="1:24" ht="15.75" customHeight="1" x14ac:dyDescent="0.4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</row>
    <row r="257" spans="1:24" ht="15.75" customHeight="1" x14ac:dyDescent="0.4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</row>
    <row r="258" spans="1:24" ht="15.75" customHeight="1" x14ac:dyDescent="0.4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</row>
    <row r="259" spans="1:24" ht="15.75" customHeight="1" x14ac:dyDescent="0.4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</row>
    <row r="260" spans="1:24" ht="15.75" customHeight="1" x14ac:dyDescent="0.4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</row>
    <row r="261" spans="1:24" ht="15.75" customHeight="1" x14ac:dyDescent="0.4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</row>
    <row r="262" spans="1:24" ht="15.75" customHeight="1" x14ac:dyDescent="0.4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</row>
    <row r="263" spans="1:24" ht="15.75" customHeight="1" x14ac:dyDescent="0.4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</row>
    <row r="264" spans="1:24" ht="15.75" customHeight="1" x14ac:dyDescent="0.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</row>
    <row r="265" spans="1:24" ht="15.75" customHeight="1" x14ac:dyDescent="0.4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</row>
    <row r="266" spans="1:24" ht="15.75" customHeight="1" x14ac:dyDescent="0.4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</row>
    <row r="267" spans="1:24" ht="15.75" customHeight="1" x14ac:dyDescent="0.4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</row>
    <row r="268" spans="1:24" ht="15.75" customHeight="1" x14ac:dyDescent="0.4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</row>
    <row r="269" spans="1:24" ht="15.75" customHeight="1" x14ac:dyDescent="0.4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</row>
    <row r="270" spans="1:24" ht="15.75" customHeight="1" x14ac:dyDescent="0.4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</row>
    <row r="271" spans="1:24" ht="15.75" customHeight="1" x14ac:dyDescent="0.4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</row>
    <row r="272" spans="1:24" ht="15.75" customHeight="1" x14ac:dyDescent="0.4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</row>
    <row r="273" spans="1:24" ht="15.75" customHeight="1" x14ac:dyDescent="0.4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</row>
    <row r="274" spans="1:24" ht="15.75" customHeight="1" x14ac:dyDescent="0.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</row>
    <row r="275" spans="1:24" ht="15.75" customHeight="1" x14ac:dyDescent="0.4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</row>
    <row r="276" spans="1:24" ht="15.75" customHeight="1" x14ac:dyDescent="0.4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</row>
    <row r="277" spans="1:24" ht="15.75" customHeight="1" x14ac:dyDescent="0.4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</row>
    <row r="278" spans="1:24" ht="15.75" customHeight="1" x14ac:dyDescent="0.4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</row>
    <row r="279" spans="1:24" ht="15.75" customHeight="1" x14ac:dyDescent="0.4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</row>
    <row r="280" spans="1:24" ht="15.75" customHeight="1" x14ac:dyDescent="0.4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</row>
    <row r="281" spans="1:24" ht="15.75" customHeight="1" x14ac:dyDescent="0.4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</row>
    <row r="282" spans="1:24" ht="15.75" customHeight="1" x14ac:dyDescent="0.4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</row>
    <row r="283" spans="1:24" ht="15.75" customHeight="1" x14ac:dyDescent="0.4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</row>
    <row r="284" spans="1:24" ht="15.75" customHeight="1" x14ac:dyDescent="0.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</row>
    <row r="285" spans="1:24" ht="15.75" customHeight="1" x14ac:dyDescent="0.4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</row>
    <row r="286" spans="1:24" ht="15.75" customHeight="1" x14ac:dyDescent="0.4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</row>
    <row r="287" spans="1:24" ht="15.75" customHeight="1" x14ac:dyDescent="0.4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</row>
    <row r="288" spans="1:24" ht="15.75" customHeight="1" x14ac:dyDescent="0.4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</row>
    <row r="289" spans="1:24" ht="15.75" customHeight="1" x14ac:dyDescent="0.4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</row>
    <row r="290" spans="1:24" ht="15.75" customHeight="1" x14ac:dyDescent="0.4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</row>
    <row r="291" spans="1:24" ht="15.75" customHeight="1" x14ac:dyDescent="0.4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</row>
    <row r="292" spans="1:24" ht="15.75" customHeight="1" x14ac:dyDescent="0.4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</row>
    <row r="293" spans="1:24" ht="15.75" customHeight="1" x14ac:dyDescent="0.4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</row>
    <row r="294" spans="1:24" ht="15.75" customHeight="1" x14ac:dyDescent="0.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</row>
    <row r="295" spans="1:24" ht="15.75" customHeight="1" x14ac:dyDescent="0.4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</row>
    <row r="296" spans="1:24" ht="15.75" customHeight="1" x14ac:dyDescent="0.4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</row>
    <row r="297" spans="1:24" ht="15.75" customHeight="1" x14ac:dyDescent="0.4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</row>
    <row r="298" spans="1:24" ht="15.75" customHeight="1" x14ac:dyDescent="0.4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</row>
    <row r="299" spans="1:24" ht="15.75" customHeight="1" x14ac:dyDescent="0.4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</row>
    <row r="300" spans="1:24" ht="15.75" customHeight="1" x14ac:dyDescent="0.4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</row>
    <row r="301" spans="1:24" ht="15.75" customHeight="1" x14ac:dyDescent="0.4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</row>
    <row r="302" spans="1:24" ht="15.75" customHeight="1" x14ac:dyDescent="0.4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</row>
    <row r="303" spans="1:24" ht="15.75" customHeight="1" x14ac:dyDescent="0.4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</row>
    <row r="304" spans="1:24" ht="15.75" customHeight="1" x14ac:dyDescent="0.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</row>
    <row r="305" spans="1:24" ht="15.75" customHeight="1" x14ac:dyDescent="0.4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</row>
    <row r="306" spans="1:24" ht="15.75" customHeight="1" x14ac:dyDescent="0.4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</row>
    <row r="307" spans="1:24" ht="15.75" customHeight="1" x14ac:dyDescent="0.4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</row>
    <row r="308" spans="1:24" ht="15.75" customHeight="1" x14ac:dyDescent="0.4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</row>
    <row r="309" spans="1:24" ht="15.75" customHeight="1" x14ac:dyDescent="0.4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</row>
    <row r="310" spans="1:24" ht="15.75" customHeight="1" x14ac:dyDescent="0.4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</row>
    <row r="311" spans="1:24" ht="15.75" customHeight="1" x14ac:dyDescent="0.4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</row>
    <row r="312" spans="1:24" ht="15.75" customHeight="1" x14ac:dyDescent="0.4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</row>
    <row r="313" spans="1:24" ht="15.75" customHeight="1" x14ac:dyDescent="0.4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</row>
    <row r="314" spans="1:24" ht="15.75" customHeight="1" x14ac:dyDescent="0.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</row>
    <row r="315" spans="1:24" ht="15.75" customHeight="1" x14ac:dyDescent="0.4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</row>
    <row r="316" spans="1:24" ht="15.75" customHeight="1" x14ac:dyDescent="0.4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</row>
    <row r="317" spans="1:24" ht="15.75" customHeight="1" x14ac:dyDescent="0.4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</row>
    <row r="318" spans="1:24" ht="15.75" customHeight="1" x14ac:dyDescent="0.4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</row>
    <row r="319" spans="1:24" ht="15.75" customHeight="1" x14ac:dyDescent="0.4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</row>
    <row r="320" spans="1:24" ht="15.75" customHeight="1" x14ac:dyDescent="0.4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</row>
    <row r="321" spans="1:24" ht="15.75" customHeight="1" x14ac:dyDescent="0.4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</row>
    <row r="322" spans="1:24" ht="15.75" customHeight="1" x14ac:dyDescent="0.4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</row>
    <row r="323" spans="1:24" ht="15.75" customHeight="1" x14ac:dyDescent="0.4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</row>
    <row r="324" spans="1:24" ht="15.75" customHeight="1" x14ac:dyDescent="0.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</row>
    <row r="325" spans="1:24" ht="15.75" customHeight="1" x14ac:dyDescent="0.4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</row>
    <row r="326" spans="1:24" ht="15.75" customHeight="1" x14ac:dyDescent="0.4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</row>
    <row r="327" spans="1:24" ht="15.75" customHeight="1" x14ac:dyDescent="0.4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</row>
    <row r="328" spans="1:24" ht="15.75" customHeight="1" x14ac:dyDescent="0.4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</row>
    <row r="329" spans="1:24" ht="15.75" customHeight="1" x14ac:dyDescent="0.4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</row>
    <row r="330" spans="1:24" ht="15.75" customHeight="1" x14ac:dyDescent="0.4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</row>
    <row r="331" spans="1:24" ht="15.75" customHeight="1" x14ac:dyDescent="0.4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</row>
    <row r="332" spans="1:24" ht="15.75" customHeight="1" x14ac:dyDescent="0.4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</row>
    <row r="333" spans="1:24" ht="15.75" customHeight="1" x14ac:dyDescent="0.4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</row>
    <row r="334" spans="1:24" ht="15.75" customHeight="1" x14ac:dyDescent="0.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</row>
    <row r="335" spans="1:24" ht="15.75" customHeight="1" x14ac:dyDescent="0.4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</row>
    <row r="336" spans="1:24" ht="15.75" customHeight="1" x14ac:dyDescent="0.4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</row>
    <row r="337" spans="1:24" ht="15.75" customHeight="1" x14ac:dyDescent="0.4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</row>
    <row r="338" spans="1:24" ht="15.75" customHeight="1" x14ac:dyDescent="0.4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</row>
    <row r="339" spans="1:24" ht="15.75" customHeight="1" x14ac:dyDescent="0.4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</row>
    <row r="340" spans="1:24" ht="15.75" customHeight="1" x14ac:dyDescent="0.4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</row>
    <row r="341" spans="1:24" ht="15.75" customHeight="1" x14ac:dyDescent="0.4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</row>
    <row r="342" spans="1:24" ht="15.75" customHeight="1" x14ac:dyDescent="0.4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</row>
    <row r="343" spans="1:24" ht="15.75" customHeight="1" x14ac:dyDescent="0.4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</row>
    <row r="344" spans="1:24" ht="15.75" customHeight="1" x14ac:dyDescent="0.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</row>
    <row r="345" spans="1:24" ht="15.75" customHeight="1" x14ac:dyDescent="0.4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</row>
    <row r="346" spans="1:24" ht="15.75" customHeight="1" x14ac:dyDescent="0.4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</row>
    <row r="347" spans="1:24" ht="15.75" customHeight="1" x14ac:dyDescent="0.4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</row>
    <row r="348" spans="1:24" ht="15.75" customHeight="1" x14ac:dyDescent="0.4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</row>
    <row r="349" spans="1:24" ht="15.75" customHeight="1" x14ac:dyDescent="0.4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</row>
    <row r="350" spans="1:24" ht="15.75" customHeight="1" x14ac:dyDescent="0.4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</row>
    <row r="351" spans="1:24" ht="15.75" customHeight="1" x14ac:dyDescent="0.4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</row>
    <row r="352" spans="1:24" ht="15.75" customHeight="1" x14ac:dyDescent="0.4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</row>
    <row r="353" spans="1:24" ht="15.75" customHeight="1" x14ac:dyDescent="0.4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</row>
    <row r="354" spans="1:24" ht="15.75" customHeight="1" x14ac:dyDescent="0.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</row>
    <row r="355" spans="1:24" ht="15.75" customHeight="1" x14ac:dyDescent="0.4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</row>
    <row r="356" spans="1:24" ht="15.75" customHeight="1" x14ac:dyDescent="0.4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</row>
    <row r="357" spans="1:24" ht="15.75" customHeight="1" x14ac:dyDescent="0.4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</row>
    <row r="358" spans="1:24" ht="15.75" customHeight="1" x14ac:dyDescent="0.4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</row>
    <row r="359" spans="1:24" ht="15.75" customHeight="1" x14ac:dyDescent="0.4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</row>
    <row r="360" spans="1:24" ht="15.75" customHeight="1" x14ac:dyDescent="0.4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</row>
    <row r="361" spans="1:24" ht="15.75" customHeight="1" x14ac:dyDescent="0.4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</row>
    <row r="362" spans="1:24" ht="15.75" customHeight="1" x14ac:dyDescent="0.4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</row>
    <row r="363" spans="1:24" ht="15.75" customHeight="1" x14ac:dyDescent="0.4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</row>
    <row r="364" spans="1:24" ht="15.75" customHeight="1" x14ac:dyDescent="0.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</row>
    <row r="365" spans="1:24" ht="15.75" customHeight="1" x14ac:dyDescent="0.4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</row>
    <row r="366" spans="1:24" ht="15.75" customHeight="1" x14ac:dyDescent="0.4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</row>
    <row r="367" spans="1:24" ht="15.75" customHeight="1" x14ac:dyDescent="0.4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</row>
    <row r="368" spans="1:24" ht="15.75" customHeight="1" x14ac:dyDescent="0.4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</row>
    <row r="369" spans="1:24" ht="15.75" customHeight="1" x14ac:dyDescent="0.4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</row>
    <row r="370" spans="1:24" ht="15.75" customHeight="1" x14ac:dyDescent="0.4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</row>
    <row r="371" spans="1:24" ht="15.75" customHeight="1" x14ac:dyDescent="0.4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</row>
    <row r="372" spans="1:24" ht="15.75" customHeight="1" x14ac:dyDescent="0.4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</row>
    <row r="373" spans="1:24" ht="15.75" customHeight="1" x14ac:dyDescent="0.4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</row>
    <row r="374" spans="1:24" ht="15.75" customHeight="1" x14ac:dyDescent="0.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</row>
    <row r="375" spans="1:24" ht="15.75" customHeight="1" x14ac:dyDescent="0.4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</row>
    <row r="376" spans="1:24" ht="15.75" customHeight="1" x14ac:dyDescent="0.4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</row>
    <row r="377" spans="1:24" ht="15.75" customHeight="1" x14ac:dyDescent="0.4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</row>
    <row r="378" spans="1:24" ht="15.75" customHeight="1" x14ac:dyDescent="0.4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</row>
    <row r="379" spans="1:24" ht="15.75" customHeight="1" x14ac:dyDescent="0.4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</row>
    <row r="380" spans="1:24" ht="15.75" customHeight="1" x14ac:dyDescent="0.4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</row>
    <row r="381" spans="1:24" ht="15.75" customHeight="1" x14ac:dyDescent="0.4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</row>
    <row r="382" spans="1:24" ht="15.75" customHeight="1" x14ac:dyDescent="0.4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</row>
    <row r="383" spans="1:24" ht="15.75" customHeight="1" x14ac:dyDescent="0.4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</row>
    <row r="384" spans="1:24" ht="15.75" customHeight="1" x14ac:dyDescent="0.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</row>
    <row r="385" spans="1:24" ht="15.75" customHeight="1" x14ac:dyDescent="0.4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</row>
    <row r="386" spans="1:24" ht="15.75" customHeight="1" x14ac:dyDescent="0.4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</row>
    <row r="387" spans="1:24" ht="15.75" customHeight="1" x14ac:dyDescent="0.4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</row>
    <row r="388" spans="1:24" ht="15.75" customHeight="1" x14ac:dyDescent="0.4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</row>
    <row r="389" spans="1:24" ht="15.75" customHeight="1" x14ac:dyDescent="0.4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</row>
    <row r="390" spans="1:24" ht="15.75" customHeight="1" x14ac:dyDescent="0.4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</row>
    <row r="391" spans="1:24" ht="15.75" customHeight="1" x14ac:dyDescent="0.4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</row>
    <row r="392" spans="1:24" ht="15.75" customHeight="1" x14ac:dyDescent="0.4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</row>
    <row r="393" spans="1:24" ht="15.75" customHeight="1" x14ac:dyDescent="0.4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</row>
    <row r="394" spans="1:24" ht="15.75" customHeight="1" x14ac:dyDescent="0.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</row>
    <row r="395" spans="1:24" ht="15.75" customHeight="1" x14ac:dyDescent="0.4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</row>
    <row r="396" spans="1:24" ht="15.75" customHeight="1" x14ac:dyDescent="0.4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</row>
    <row r="397" spans="1:24" ht="15.75" customHeight="1" x14ac:dyDescent="0.4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</row>
    <row r="398" spans="1:24" ht="15.75" customHeight="1" x14ac:dyDescent="0.4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</row>
    <row r="399" spans="1:24" ht="15.75" customHeight="1" x14ac:dyDescent="0.4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</row>
    <row r="400" spans="1:24" ht="15.75" customHeight="1" x14ac:dyDescent="0.4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</row>
    <row r="401" spans="1:24" ht="15.75" customHeight="1" x14ac:dyDescent="0.4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</row>
    <row r="402" spans="1:24" ht="15.75" customHeight="1" x14ac:dyDescent="0.4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</row>
    <row r="403" spans="1:24" ht="15.75" customHeight="1" x14ac:dyDescent="0.4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</row>
    <row r="404" spans="1:24" ht="15.75" customHeight="1" x14ac:dyDescent="0.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</row>
    <row r="405" spans="1:24" ht="15.75" customHeight="1" x14ac:dyDescent="0.4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</row>
    <row r="406" spans="1:24" ht="15.75" customHeight="1" x14ac:dyDescent="0.4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</row>
    <row r="407" spans="1:24" ht="15.75" customHeight="1" x14ac:dyDescent="0.4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</row>
    <row r="408" spans="1:24" ht="15.75" customHeight="1" x14ac:dyDescent="0.4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</row>
    <row r="409" spans="1:24" ht="15.75" customHeight="1" x14ac:dyDescent="0.4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</row>
    <row r="410" spans="1:24" ht="15.75" customHeight="1" x14ac:dyDescent="0.4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</row>
    <row r="411" spans="1:24" ht="15.75" customHeight="1" x14ac:dyDescent="0.4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</row>
    <row r="412" spans="1:24" ht="15.75" customHeight="1" x14ac:dyDescent="0.4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</row>
    <row r="413" spans="1:24" ht="15.75" customHeight="1" x14ac:dyDescent="0.4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</row>
    <row r="414" spans="1:24" ht="15.75" customHeight="1" x14ac:dyDescent="0.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</row>
    <row r="415" spans="1:24" ht="15.75" customHeight="1" x14ac:dyDescent="0.4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</row>
    <row r="416" spans="1:24" ht="15.75" customHeight="1" x14ac:dyDescent="0.4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</row>
    <row r="417" spans="1:24" ht="15.75" customHeight="1" x14ac:dyDescent="0.4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</row>
    <row r="418" spans="1:24" ht="15.75" customHeight="1" x14ac:dyDescent="0.4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</row>
    <row r="419" spans="1:24" ht="15.75" customHeight="1" x14ac:dyDescent="0.4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</row>
    <row r="420" spans="1:24" ht="15.75" customHeight="1" x14ac:dyDescent="0.4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</row>
    <row r="421" spans="1:24" ht="15.75" customHeight="1" x14ac:dyDescent="0.4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</row>
    <row r="422" spans="1:24" ht="15.75" customHeight="1" x14ac:dyDescent="0.4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</row>
    <row r="423" spans="1:24" ht="15.75" customHeight="1" x14ac:dyDescent="0.4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</row>
    <row r="424" spans="1:24" ht="15.75" customHeight="1" x14ac:dyDescent="0.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</row>
    <row r="425" spans="1:24" ht="15.75" customHeight="1" x14ac:dyDescent="0.4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</row>
    <row r="426" spans="1:24" ht="15.75" customHeight="1" x14ac:dyDescent="0.4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</row>
    <row r="427" spans="1:24" ht="15.75" customHeight="1" x14ac:dyDescent="0.4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</row>
    <row r="428" spans="1:24" ht="15.75" customHeight="1" x14ac:dyDescent="0.4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</row>
    <row r="429" spans="1:24" ht="15.75" customHeight="1" x14ac:dyDescent="0.4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</row>
    <row r="430" spans="1:24" ht="15.75" customHeight="1" x14ac:dyDescent="0.4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</row>
    <row r="431" spans="1:24" ht="15.75" customHeight="1" x14ac:dyDescent="0.4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</row>
    <row r="432" spans="1:24" ht="15.75" customHeight="1" x14ac:dyDescent="0.4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</row>
    <row r="433" spans="1:24" ht="15.75" customHeight="1" x14ac:dyDescent="0.4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</row>
    <row r="434" spans="1:24" ht="15.75" customHeight="1" x14ac:dyDescent="0.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</row>
    <row r="435" spans="1:24" ht="15.75" customHeight="1" x14ac:dyDescent="0.4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</row>
    <row r="436" spans="1:24" ht="15.75" customHeight="1" x14ac:dyDescent="0.4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</row>
    <row r="437" spans="1:24" ht="15.75" customHeight="1" x14ac:dyDescent="0.4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</row>
    <row r="438" spans="1:24" ht="15.75" customHeight="1" x14ac:dyDescent="0.4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</row>
    <row r="439" spans="1:24" ht="15.75" customHeight="1" x14ac:dyDescent="0.4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</row>
    <row r="440" spans="1:24" ht="15.75" customHeight="1" x14ac:dyDescent="0.4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</row>
    <row r="441" spans="1:24" ht="15.75" customHeight="1" x14ac:dyDescent="0.4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</row>
    <row r="442" spans="1:24" ht="15.75" customHeight="1" x14ac:dyDescent="0.4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</row>
    <row r="443" spans="1:24" ht="15.75" customHeight="1" x14ac:dyDescent="0.4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</row>
    <row r="444" spans="1:24" ht="15.75" customHeight="1" x14ac:dyDescent="0.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</row>
    <row r="445" spans="1:24" ht="15.75" customHeight="1" x14ac:dyDescent="0.4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</row>
    <row r="446" spans="1:24" ht="15.75" customHeight="1" x14ac:dyDescent="0.4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</row>
    <row r="447" spans="1:24" ht="15.75" customHeight="1" x14ac:dyDescent="0.4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</row>
    <row r="448" spans="1:24" ht="15.75" customHeight="1" x14ac:dyDescent="0.4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</row>
    <row r="449" spans="1:24" ht="15.75" customHeight="1" x14ac:dyDescent="0.4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</row>
    <row r="450" spans="1:24" ht="15.75" customHeight="1" x14ac:dyDescent="0.4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</row>
    <row r="451" spans="1:24" ht="15.75" customHeight="1" x14ac:dyDescent="0.4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</row>
    <row r="452" spans="1:24" ht="15.75" customHeight="1" x14ac:dyDescent="0.4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</row>
    <row r="453" spans="1:24" ht="15.75" customHeight="1" x14ac:dyDescent="0.4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</row>
    <row r="454" spans="1:24" ht="15.75" customHeight="1" x14ac:dyDescent="0.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</row>
    <row r="455" spans="1:24" ht="15.75" customHeight="1" x14ac:dyDescent="0.4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</row>
    <row r="456" spans="1:24" ht="15.75" customHeight="1" x14ac:dyDescent="0.4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</row>
    <row r="457" spans="1:24" ht="15.75" customHeight="1" x14ac:dyDescent="0.4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</row>
    <row r="458" spans="1:24" ht="15.75" customHeight="1" x14ac:dyDescent="0.4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</row>
    <row r="459" spans="1:24" ht="15.75" customHeight="1" x14ac:dyDescent="0.4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</row>
    <row r="460" spans="1:24" ht="15.75" customHeight="1" x14ac:dyDescent="0.4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</row>
    <row r="461" spans="1:24" ht="15.75" customHeight="1" x14ac:dyDescent="0.4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</row>
    <row r="462" spans="1:24" ht="15.75" customHeight="1" x14ac:dyDescent="0.4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</row>
    <row r="463" spans="1:24" ht="15.75" customHeight="1" x14ac:dyDescent="0.4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</row>
    <row r="464" spans="1:24" ht="15.75" customHeight="1" x14ac:dyDescent="0.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</row>
    <row r="465" spans="1:24" ht="15.75" customHeight="1" x14ac:dyDescent="0.4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</row>
    <row r="466" spans="1:24" ht="15.75" customHeight="1" x14ac:dyDescent="0.4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</row>
    <row r="467" spans="1:24" ht="15.75" customHeight="1" x14ac:dyDescent="0.4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</row>
    <row r="468" spans="1:24" ht="15.75" customHeight="1" x14ac:dyDescent="0.4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</row>
    <row r="469" spans="1:24" ht="15.75" customHeight="1" x14ac:dyDescent="0.4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</row>
    <row r="470" spans="1:24" ht="15.75" customHeight="1" x14ac:dyDescent="0.4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</row>
    <row r="471" spans="1:24" ht="15.75" customHeight="1" x14ac:dyDescent="0.4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</row>
    <row r="472" spans="1:24" ht="15.75" customHeight="1" x14ac:dyDescent="0.4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</row>
    <row r="473" spans="1:24" ht="15.75" customHeight="1" x14ac:dyDescent="0.4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</row>
    <row r="474" spans="1:24" ht="15.75" customHeight="1" x14ac:dyDescent="0.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</row>
    <row r="475" spans="1:24" ht="15.75" customHeight="1" x14ac:dyDescent="0.4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</row>
    <row r="476" spans="1:24" ht="15.75" customHeight="1" x14ac:dyDescent="0.4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</row>
    <row r="477" spans="1:24" ht="15.75" customHeight="1" x14ac:dyDescent="0.4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</row>
    <row r="478" spans="1:24" ht="15.75" customHeight="1" x14ac:dyDescent="0.4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</row>
    <row r="479" spans="1:24" ht="15.75" customHeight="1" x14ac:dyDescent="0.4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</row>
    <row r="480" spans="1:24" ht="15.75" customHeight="1" x14ac:dyDescent="0.4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</row>
    <row r="481" spans="1:24" ht="15.75" customHeight="1" x14ac:dyDescent="0.4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</row>
    <row r="482" spans="1:24" ht="15.75" customHeight="1" x14ac:dyDescent="0.4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</row>
    <row r="483" spans="1:24" ht="15.75" customHeight="1" x14ac:dyDescent="0.4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</row>
    <row r="484" spans="1:24" ht="15.75" customHeight="1" x14ac:dyDescent="0.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</row>
    <row r="485" spans="1:24" ht="15.75" customHeight="1" x14ac:dyDescent="0.4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</row>
    <row r="486" spans="1:24" ht="15.75" customHeight="1" x14ac:dyDescent="0.4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</row>
    <row r="487" spans="1:24" ht="15.75" customHeight="1" x14ac:dyDescent="0.4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</row>
    <row r="488" spans="1:24" ht="15.75" customHeight="1" x14ac:dyDescent="0.4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</row>
    <row r="489" spans="1:24" ht="15.75" customHeight="1" x14ac:dyDescent="0.4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</row>
    <row r="490" spans="1:24" ht="15.75" customHeight="1" x14ac:dyDescent="0.4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</row>
    <row r="491" spans="1:24" ht="15.75" customHeight="1" x14ac:dyDescent="0.4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</row>
    <row r="492" spans="1:24" ht="15.75" customHeight="1" x14ac:dyDescent="0.4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</row>
    <row r="493" spans="1:24" ht="15.75" customHeight="1" x14ac:dyDescent="0.4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</row>
    <row r="494" spans="1:24" ht="15.75" customHeight="1" x14ac:dyDescent="0.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</row>
    <row r="495" spans="1:24" ht="15.75" customHeight="1" x14ac:dyDescent="0.4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</row>
    <row r="496" spans="1:24" ht="15.75" customHeight="1" x14ac:dyDescent="0.4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</row>
    <row r="497" spans="1:24" ht="15.75" customHeight="1" x14ac:dyDescent="0.4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</row>
    <row r="498" spans="1:24" ht="15.75" customHeight="1" x14ac:dyDescent="0.4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</row>
    <row r="499" spans="1:24" ht="15.75" customHeight="1" x14ac:dyDescent="0.4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</row>
    <row r="500" spans="1:24" ht="15.75" customHeight="1" x14ac:dyDescent="0.4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</row>
    <row r="501" spans="1:24" ht="15.75" customHeight="1" x14ac:dyDescent="0.4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</row>
    <row r="502" spans="1:24" ht="15.75" customHeight="1" x14ac:dyDescent="0.4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</row>
    <row r="503" spans="1:24" ht="15.75" customHeight="1" x14ac:dyDescent="0.4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</row>
    <row r="504" spans="1:24" ht="15.75" customHeight="1" x14ac:dyDescent="0.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</row>
    <row r="505" spans="1:24" ht="15.75" customHeight="1" x14ac:dyDescent="0.4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</row>
    <row r="506" spans="1:24" ht="15.75" customHeight="1" x14ac:dyDescent="0.4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</row>
    <row r="507" spans="1:24" ht="15.75" customHeight="1" x14ac:dyDescent="0.4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</row>
    <row r="508" spans="1:24" ht="15.75" customHeight="1" x14ac:dyDescent="0.4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</row>
    <row r="509" spans="1:24" ht="15.75" customHeight="1" x14ac:dyDescent="0.4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</row>
    <row r="510" spans="1:24" ht="15.75" customHeight="1" x14ac:dyDescent="0.4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</row>
    <row r="511" spans="1:24" ht="15.75" customHeight="1" x14ac:dyDescent="0.4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</row>
    <row r="512" spans="1:24" ht="15.75" customHeight="1" x14ac:dyDescent="0.4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</row>
    <row r="513" spans="1:24" ht="15.75" customHeight="1" x14ac:dyDescent="0.4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</row>
    <row r="514" spans="1:24" ht="15.75" customHeight="1" x14ac:dyDescent="0.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</row>
    <row r="515" spans="1:24" ht="15.75" customHeight="1" x14ac:dyDescent="0.4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</row>
    <row r="516" spans="1:24" ht="15.75" customHeight="1" x14ac:dyDescent="0.4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</row>
    <row r="517" spans="1:24" ht="15.75" customHeight="1" x14ac:dyDescent="0.4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</row>
    <row r="518" spans="1:24" ht="15.75" customHeight="1" x14ac:dyDescent="0.4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</row>
    <row r="519" spans="1:24" ht="15.75" customHeight="1" x14ac:dyDescent="0.4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</row>
    <row r="520" spans="1:24" ht="15.75" customHeight="1" x14ac:dyDescent="0.4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</row>
    <row r="521" spans="1:24" ht="15.75" customHeight="1" x14ac:dyDescent="0.4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</row>
    <row r="522" spans="1:24" ht="15.75" customHeight="1" x14ac:dyDescent="0.4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</row>
    <row r="523" spans="1:24" ht="15.75" customHeight="1" x14ac:dyDescent="0.4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</row>
    <row r="524" spans="1:24" ht="15.75" customHeight="1" x14ac:dyDescent="0.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</row>
    <row r="525" spans="1:24" ht="15.75" customHeight="1" x14ac:dyDescent="0.4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</row>
    <row r="526" spans="1:24" ht="15.75" customHeight="1" x14ac:dyDescent="0.4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</row>
    <row r="527" spans="1:24" ht="15.75" customHeight="1" x14ac:dyDescent="0.4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</row>
    <row r="528" spans="1:24" ht="15.75" customHeight="1" x14ac:dyDescent="0.4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</row>
    <row r="529" spans="1:24" ht="15.75" customHeight="1" x14ac:dyDescent="0.4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</row>
    <row r="530" spans="1:24" ht="15.75" customHeight="1" x14ac:dyDescent="0.4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</row>
    <row r="531" spans="1:24" ht="15.75" customHeight="1" x14ac:dyDescent="0.4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</row>
    <row r="532" spans="1:24" ht="15.75" customHeight="1" x14ac:dyDescent="0.4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</row>
    <row r="533" spans="1:24" ht="15.75" customHeight="1" x14ac:dyDescent="0.4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</row>
    <row r="534" spans="1:24" ht="15.75" customHeight="1" x14ac:dyDescent="0.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</row>
    <row r="535" spans="1:24" ht="15.75" customHeight="1" x14ac:dyDescent="0.4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</row>
    <row r="536" spans="1:24" ht="15.75" customHeight="1" x14ac:dyDescent="0.4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</row>
    <row r="537" spans="1:24" ht="15.75" customHeight="1" x14ac:dyDescent="0.4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</row>
    <row r="538" spans="1:24" ht="15.75" customHeight="1" x14ac:dyDescent="0.4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</row>
    <row r="539" spans="1:24" ht="15.75" customHeight="1" x14ac:dyDescent="0.4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</row>
    <row r="540" spans="1:24" ht="15.75" customHeight="1" x14ac:dyDescent="0.4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</row>
    <row r="541" spans="1:24" ht="15.75" customHeight="1" x14ac:dyDescent="0.4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</row>
    <row r="542" spans="1:24" ht="15.75" customHeight="1" x14ac:dyDescent="0.4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</row>
    <row r="543" spans="1:24" ht="15.75" customHeight="1" x14ac:dyDescent="0.4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</row>
    <row r="544" spans="1:24" ht="15.75" customHeight="1" x14ac:dyDescent="0.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</row>
    <row r="545" spans="1:24" ht="15.75" customHeight="1" x14ac:dyDescent="0.4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</row>
    <row r="546" spans="1:24" ht="15.75" customHeight="1" x14ac:dyDescent="0.4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</row>
    <row r="547" spans="1:24" ht="15.75" customHeight="1" x14ac:dyDescent="0.4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</row>
    <row r="548" spans="1:24" ht="15.75" customHeight="1" x14ac:dyDescent="0.4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</row>
    <row r="549" spans="1:24" ht="15.75" customHeight="1" x14ac:dyDescent="0.4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</row>
    <row r="550" spans="1:24" ht="15.75" customHeight="1" x14ac:dyDescent="0.4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</row>
    <row r="551" spans="1:24" ht="15.75" customHeight="1" x14ac:dyDescent="0.4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</row>
    <row r="552" spans="1:24" ht="15.75" customHeight="1" x14ac:dyDescent="0.4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</row>
    <row r="553" spans="1:24" ht="15.75" customHeight="1" x14ac:dyDescent="0.4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</row>
    <row r="554" spans="1:24" ht="15.75" customHeight="1" x14ac:dyDescent="0.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</row>
    <row r="555" spans="1:24" ht="15.75" customHeight="1" x14ac:dyDescent="0.4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</row>
    <row r="556" spans="1:24" ht="15.75" customHeight="1" x14ac:dyDescent="0.4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</row>
    <row r="557" spans="1:24" ht="15.75" customHeight="1" x14ac:dyDescent="0.4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</row>
    <row r="558" spans="1:24" ht="15.75" customHeight="1" x14ac:dyDescent="0.4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</row>
    <row r="559" spans="1:24" ht="15.75" customHeight="1" x14ac:dyDescent="0.4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</row>
    <row r="560" spans="1:24" ht="15.75" customHeight="1" x14ac:dyDescent="0.4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</row>
    <row r="561" spans="1:24" ht="15.75" customHeight="1" x14ac:dyDescent="0.4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</row>
    <row r="562" spans="1:24" ht="15.75" customHeight="1" x14ac:dyDescent="0.4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</row>
    <row r="563" spans="1:24" ht="15.75" customHeight="1" x14ac:dyDescent="0.4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</row>
    <row r="564" spans="1:24" ht="15.75" customHeight="1" x14ac:dyDescent="0.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</row>
    <row r="565" spans="1:24" ht="15.75" customHeight="1" x14ac:dyDescent="0.4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</row>
    <row r="566" spans="1:24" ht="15.75" customHeight="1" x14ac:dyDescent="0.4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</row>
    <row r="567" spans="1:24" ht="15.75" customHeight="1" x14ac:dyDescent="0.4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</row>
    <row r="568" spans="1:24" ht="15.75" customHeight="1" x14ac:dyDescent="0.4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</row>
    <row r="569" spans="1:24" ht="15.75" customHeight="1" x14ac:dyDescent="0.4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</row>
    <row r="570" spans="1:24" ht="15.75" customHeight="1" x14ac:dyDescent="0.4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</row>
    <row r="571" spans="1:24" ht="15.75" customHeight="1" x14ac:dyDescent="0.4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</row>
    <row r="572" spans="1:24" ht="15.75" customHeight="1" x14ac:dyDescent="0.4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</row>
    <row r="573" spans="1:24" ht="15.75" customHeight="1" x14ac:dyDescent="0.4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</row>
    <row r="574" spans="1:24" ht="15.75" customHeight="1" x14ac:dyDescent="0.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</row>
    <row r="575" spans="1:24" ht="15.75" customHeight="1" x14ac:dyDescent="0.4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</row>
    <row r="576" spans="1:24" ht="15.75" customHeight="1" x14ac:dyDescent="0.4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</row>
    <row r="577" spans="1:24" ht="15.75" customHeight="1" x14ac:dyDescent="0.4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</row>
    <row r="578" spans="1:24" ht="15.75" customHeight="1" x14ac:dyDescent="0.4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</row>
    <row r="579" spans="1:24" ht="15.75" customHeight="1" x14ac:dyDescent="0.4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</row>
    <row r="580" spans="1:24" ht="15.75" customHeight="1" x14ac:dyDescent="0.4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</row>
    <row r="581" spans="1:24" ht="15.75" customHeight="1" x14ac:dyDescent="0.4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</row>
    <row r="582" spans="1:24" ht="15.75" customHeight="1" x14ac:dyDescent="0.4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</row>
    <row r="583" spans="1:24" ht="15.75" customHeight="1" x14ac:dyDescent="0.4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</row>
    <row r="584" spans="1:24" ht="15.75" customHeight="1" x14ac:dyDescent="0.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</row>
    <row r="585" spans="1:24" ht="15.75" customHeight="1" x14ac:dyDescent="0.4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</row>
    <row r="586" spans="1:24" ht="15.75" customHeight="1" x14ac:dyDescent="0.4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</row>
    <row r="587" spans="1:24" ht="15.75" customHeight="1" x14ac:dyDescent="0.4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</row>
    <row r="588" spans="1:24" ht="15.75" customHeight="1" x14ac:dyDescent="0.4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</row>
    <row r="589" spans="1:24" ht="15.75" customHeight="1" x14ac:dyDescent="0.4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</row>
    <row r="590" spans="1:24" ht="15.75" customHeight="1" x14ac:dyDescent="0.4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</row>
    <row r="591" spans="1:24" ht="15.75" customHeight="1" x14ac:dyDescent="0.4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</row>
    <row r="592" spans="1:24" ht="15.75" customHeight="1" x14ac:dyDescent="0.4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</row>
    <row r="593" spans="1:24" ht="15.75" customHeight="1" x14ac:dyDescent="0.4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</row>
    <row r="594" spans="1:24" ht="15.75" customHeight="1" x14ac:dyDescent="0.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</row>
    <row r="595" spans="1:24" ht="15.75" customHeight="1" x14ac:dyDescent="0.4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</row>
    <row r="596" spans="1:24" ht="15.75" customHeight="1" x14ac:dyDescent="0.4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</row>
    <row r="597" spans="1:24" ht="15.75" customHeight="1" x14ac:dyDescent="0.4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</row>
    <row r="598" spans="1:24" ht="15.75" customHeight="1" x14ac:dyDescent="0.4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</row>
    <row r="599" spans="1:24" ht="15.75" customHeight="1" x14ac:dyDescent="0.4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</row>
    <row r="600" spans="1:24" ht="15.75" customHeight="1" x14ac:dyDescent="0.4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</row>
    <row r="601" spans="1:24" ht="15.75" customHeight="1" x14ac:dyDescent="0.4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</row>
    <row r="602" spans="1:24" ht="15.75" customHeight="1" x14ac:dyDescent="0.4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</row>
    <row r="603" spans="1:24" ht="15.75" customHeight="1" x14ac:dyDescent="0.4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</row>
    <row r="604" spans="1:24" ht="15.75" customHeight="1" x14ac:dyDescent="0.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</row>
    <row r="605" spans="1:24" ht="15.75" customHeight="1" x14ac:dyDescent="0.4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</row>
    <row r="606" spans="1:24" ht="15.75" customHeight="1" x14ac:dyDescent="0.4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</row>
    <row r="607" spans="1:24" ht="15.75" customHeight="1" x14ac:dyDescent="0.4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</row>
    <row r="608" spans="1:24" ht="15.75" customHeight="1" x14ac:dyDescent="0.4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</row>
    <row r="609" spans="1:24" ht="15.75" customHeight="1" x14ac:dyDescent="0.4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</row>
    <row r="610" spans="1:24" ht="15.75" customHeight="1" x14ac:dyDescent="0.4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</row>
    <row r="611" spans="1:24" ht="15.75" customHeight="1" x14ac:dyDescent="0.4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</row>
    <row r="612" spans="1:24" ht="15.75" customHeight="1" x14ac:dyDescent="0.4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</row>
    <row r="613" spans="1:24" ht="15.75" customHeight="1" x14ac:dyDescent="0.4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</row>
    <row r="614" spans="1:24" ht="15.75" customHeight="1" x14ac:dyDescent="0.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</row>
    <row r="615" spans="1:24" ht="15.75" customHeight="1" x14ac:dyDescent="0.4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</row>
    <row r="616" spans="1:24" ht="15.75" customHeight="1" x14ac:dyDescent="0.4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</row>
    <row r="617" spans="1:24" ht="15.75" customHeight="1" x14ac:dyDescent="0.4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</row>
    <row r="618" spans="1:24" ht="15.75" customHeight="1" x14ac:dyDescent="0.4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</row>
    <row r="619" spans="1:24" ht="15.75" customHeight="1" x14ac:dyDescent="0.4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</row>
    <row r="620" spans="1:24" ht="15.75" customHeight="1" x14ac:dyDescent="0.4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</row>
    <row r="621" spans="1:24" ht="15.75" customHeight="1" x14ac:dyDescent="0.4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</row>
    <row r="622" spans="1:24" ht="15.75" customHeight="1" x14ac:dyDescent="0.4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</row>
    <row r="623" spans="1:24" ht="15.75" customHeight="1" x14ac:dyDescent="0.4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</row>
    <row r="624" spans="1:24" ht="15.75" customHeight="1" x14ac:dyDescent="0.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</row>
    <row r="625" spans="1:24" ht="15.75" customHeight="1" x14ac:dyDescent="0.4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</row>
    <row r="626" spans="1:24" ht="15.75" customHeight="1" x14ac:dyDescent="0.4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</row>
    <row r="627" spans="1:24" ht="15.75" customHeight="1" x14ac:dyDescent="0.4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</row>
    <row r="628" spans="1:24" ht="15.75" customHeight="1" x14ac:dyDescent="0.4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</row>
    <row r="629" spans="1:24" ht="15.75" customHeight="1" x14ac:dyDescent="0.4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</row>
    <row r="630" spans="1:24" ht="15.75" customHeight="1" x14ac:dyDescent="0.4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</row>
    <row r="631" spans="1:24" ht="15.75" customHeight="1" x14ac:dyDescent="0.4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</row>
    <row r="632" spans="1:24" ht="15.75" customHeight="1" x14ac:dyDescent="0.4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</row>
    <row r="633" spans="1:24" ht="15.75" customHeight="1" x14ac:dyDescent="0.4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</row>
    <row r="634" spans="1:24" ht="15.75" customHeight="1" x14ac:dyDescent="0.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</row>
    <row r="635" spans="1:24" ht="15.75" customHeight="1" x14ac:dyDescent="0.4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</row>
    <row r="636" spans="1:24" ht="15.75" customHeight="1" x14ac:dyDescent="0.4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</row>
    <row r="637" spans="1:24" ht="15.75" customHeight="1" x14ac:dyDescent="0.4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</row>
    <row r="638" spans="1:24" ht="15.75" customHeight="1" x14ac:dyDescent="0.4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</row>
    <row r="639" spans="1:24" ht="15.75" customHeight="1" x14ac:dyDescent="0.4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</row>
    <row r="640" spans="1:24" ht="15.75" customHeight="1" x14ac:dyDescent="0.4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</row>
    <row r="641" spans="1:24" ht="15.75" customHeight="1" x14ac:dyDescent="0.4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</row>
    <row r="642" spans="1:24" ht="15.75" customHeight="1" x14ac:dyDescent="0.4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</row>
    <row r="643" spans="1:24" ht="15.75" customHeight="1" x14ac:dyDescent="0.4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</row>
    <row r="644" spans="1:24" ht="15.75" customHeight="1" x14ac:dyDescent="0.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</row>
    <row r="645" spans="1:24" ht="15.75" customHeight="1" x14ac:dyDescent="0.4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</row>
    <row r="646" spans="1:24" ht="15.75" customHeight="1" x14ac:dyDescent="0.4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</row>
    <row r="647" spans="1:24" ht="15.75" customHeight="1" x14ac:dyDescent="0.4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</row>
    <row r="648" spans="1:24" ht="15.75" customHeight="1" x14ac:dyDescent="0.4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</row>
    <row r="649" spans="1:24" ht="15.75" customHeight="1" x14ac:dyDescent="0.4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</row>
    <row r="650" spans="1:24" ht="15.75" customHeight="1" x14ac:dyDescent="0.4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</row>
    <row r="651" spans="1:24" ht="15.75" customHeight="1" x14ac:dyDescent="0.4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</row>
    <row r="652" spans="1:24" ht="15.75" customHeight="1" x14ac:dyDescent="0.4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</row>
    <row r="653" spans="1:24" ht="15.75" customHeight="1" x14ac:dyDescent="0.4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</row>
    <row r="654" spans="1:24" ht="15.75" customHeight="1" x14ac:dyDescent="0.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</row>
    <row r="655" spans="1:24" ht="15.75" customHeight="1" x14ac:dyDescent="0.4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</row>
    <row r="656" spans="1:24" ht="15.75" customHeight="1" x14ac:dyDescent="0.4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</row>
    <row r="657" spans="1:24" ht="15.75" customHeight="1" x14ac:dyDescent="0.4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</row>
    <row r="658" spans="1:24" ht="15.75" customHeight="1" x14ac:dyDescent="0.4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</row>
    <row r="659" spans="1:24" ht="15.75" customHeight="1" x14ac:dyDescent="0.4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</row>
    <row r="660" spans="1:24" ht="15.75" customHeight="1" x14ac:dyDescent="0.4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</row>
    <row r="661" spans="1:24" ht="15.75" customHeight="1" x14ac:dyDescent="0.4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</row>
    <row r="662" spans="1:24" ht="15.75" customHeight="1" x14ac:dyDescent="0.4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</row>
    <row r="663" spans="1:24" ht="15.75" customHeight="1" x14ac:dyDescent="0.4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</row>
    <row r="664" spans="1:24" ht="15.75" customHeight="1" x14ac:dyDescent="0.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</row>
    <row r="665" spans="1:24" ht="15.75" customHeight="1" x14ac:dyDescent="0.4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</row>
    <row r="666" spans="1:24" ht="15.75" customHeight="1" x14ac:dyDescent="0.4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</row>
    <row r="667" spans="1:24" ht="15.75" customHeight="1" x14ac:dyDescent="0.4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</row>
    <row r="668" spans="1:24" ht="15.75" customHeight="1" x14ac:dyDescent="0.4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</row>
    <row r="669" spans="1:24" ht="15.75" customHeight="1" x14ac:dyDescent="0.4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</row>
    <row r="670" spans="1:24" ht="15.75" customHeight="1" x14ac:dyDescent="0.4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</row>
    <row r="671" spans="1:24" ht="15.75" customHeight="1" x14ac:dyDescent="0.4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</row>
    <row r="672" spans="1:24" ht="15.75" customHeight="1" x14ac:dyDescent="0.4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</row>
    <row r="673" spans="1:24" ht="15.75" customHeight="1" x14ac:dyDescent="0.4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</row>
    <row r="674" spans="1:24" ht="15.75" customHeight="1" x14ac:dyDescent="0.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</row>
    <row r="675" spans="1:24" ht="15.75" customHeight="1" x14ac:dyDescent="0.4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</row>
    <row r="676" spans="1:24" ht="15.75" customHeight="1" x14ac:dyDescent="0.4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</row>
    <row r="677" spans="1:24" ht="15.75" customHeight="1" x14ac:dyDescent="0.4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</row>
    <row r="678" spans="1:24" ht="15.75" customHeight="1" x14ac:dyDescent="0.4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</row>
    <row r="679" spans="1:24" ht="15.75" customHeight="1" x14ac:dyDescent="0.4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</row>
    <row r="680" spans="1:24" ht="15.75" customHeight="1" x14ac:dyDescent="0.4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</row>
    <row r="681" spans="1:24" ht="15.75" customHeight="1" x14ac:dyDescent="0.4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</row>
    <row r="682" spans="1:24" ht="15.75" customHeight="1" x14ac:dyDescent="0.4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</row>
    <row r="683" spans="1:24" ht="15.75" customHeight="1" x14ac:dyDescent="0.4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</row>
    <row r="684" spans="1:24" ht="15.75" customHeight="1" x14ac:dyDescent="0.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</row>
    <row r="685" spans="1:24" ht="15.75" customHeight="1" x14ac:dyDescent="0.4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</row>
    <row r="686" spans="1:24" ht="15.75" customHeight="1" x14ac:dyDescent="0.4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</row>
    <row r="687" spans="1:24" ht="15.75" customHeight="1" x14ac:dyDescent="0.4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</row>
    <row r="688" spans="1:24" ht="15.75" customHeight="1" x14ac:dyDescent="0.4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</row>
    <row r="689" spans="1:24" ht="15.75" customHeight="1" x14ac:dyDescent="0.4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</row>
    <row r="690" spans="1:24" ht="15.75" customHeight="1" x14ac:dyDescent="0.4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</row>
    <row r="691" spans="1:24" ht="15.75" customHeight="1" x14ac:dyDescent="0.4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</row>
    <row r="692" spans="1:24" ht="15.75" customHeight="1" x14ac:dyDescent="0.4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</row>
    <row r="693" spans="1:24" ht="15.75" customHeight="1" x14ac:dyDescent="0.4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</row>
    <row r="694" spans="1:24" ht="15.75" customHeight="1" x14ac:dyDescent="0.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</row>
    <row r="695" spans="1:24" ht="15.75" customHeight="1" x14ac:dyDescent="0.4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</row>
    <row r="696" spans="1:24" ht="15.75" customHeight="1" x14ac:dyDescent="0.4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</row>
    <row r="697" spans="1:24" ht="15.75" customHeight="1" x14ac:dyDescent="0.4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</row>
    <row r="698" spans="1:24" ht="15.75" customHeight="1" x14ac:dyDescent="0.4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</row>
    <row r="699" spans="1:24" ht="15.75" customHeight="1" x14ac:dyDescent="0.4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</row>
    <row r="700" spans="1:24" ht="15.75" customHeight="1" x14ac:dyDescent="0.4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</row>
    <row r="701" spans="1:24" ht="15.75" customHeight="1" x14ac:dyDescent="0.4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</row>
    <row r="702" spans="1:24" ht="15.75" customHeight="1" x14ac:dyDescent="0.4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</row>
    <row r="703" spans="1:24" ht="15.75" customHeight="1" x14ac:dyDescent="0.4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</row>
    <row r="704" spans="1:24" ht="15.75" customHeight="1" x14ac:dyDescent="0.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</row>
    <row r="705" spans="1:24" ht="15.75" customHeight="1" x14ac:dyDescent="0.4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</row>
    <row r="706" spans="1:24" ht="15.75" customHeight="1" x14ac:dyDescent="0.4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</row>
    <row r="707" spans="1:24" ht="15.75" customHeight="1" x14ac:dyDescent="0.4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</row>
    <row r="708" spans="1:24" ht="15.75" customHeight="1" x14ac:dyDescent="0.4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</row>
    <row r="709" spans="1:24" ht="15.75" customHeight="1" x14ac:dyDescent="0.4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</row>
    <row r="710" spans="1:24" ht="15.75" customHeight="1" x14ac:dyDescent="0.4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</row>
    <row r="711" spans="1:24" ht="15.75" customHeight="1" x14ac:dyDescent="0.4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</row>
    <row r="712" spans="1:24" ht="15.75" customHeight="1" x14ac:dyDescent="0.4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</row>
    <row r="713" spans="1:24" ht="15.75" customHeight="1" x14ac:dyDescent="0.4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</row>
    <row r="714" spans="1:24" ht="15.75" customHeight="1" x14ac:dyDescent="0.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</row>
    <row r="715" spans="1:24" ht="15.75" customHeight="1" x14ac:dyDescent="0.4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</row>
    <row r="716" spans="1:24" ht="15.75" customHeight="1" x14ac:dyDescent="0.4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</row>
    <row r="717" spans="1:24" ht="15.75" customHeight="1" x14ac:dyDescent="0.4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</row>
    <row r="718" spans="1:24" ht="15.75" customHeight="1" x14ac:dyDescent="0.4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</row>
    <row r="719" spans="1:24" ht="15.75" customHeight="1" x14ac:dyDescent="0.4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</row>
    <row r="720" spans="1:24" ht="15.75" customHeight="1" x14ac:dyDescent="0.4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</row>
    <row r="721" spans="1:24" ht="15.75" customHeight="1" x14ac:dyDescent="0.4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</row>
    <row r="722" spans="1:24" ht="15.75" customHeight="1" x14ac:dyDescent="0.4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</row>
    <row r="723" spans="1:24" ht="15.75" customHeight="1" x14ac:dyDescent="0.4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</row>
    <row r="724" spans="1:24" ht="15.75" customHeight="1" x14ac:dyDescent="0.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</row>
    <row r="725" spans="1:24" ht="15.75" customHeight="1" x14ac:dyDescent="0.4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</row>
    <row r="726" spans="1:24" ht="15.75" customHeight="1" x14ac:dyDescent="0.4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</row>
    <row r="727" spans="1:24" ht="15.75" customHeight="1" x14ac:dyDescent="0.4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</row>
    <row r="728" spans="1:24" ht="15.75" customHeight="1" x14ac:dyDescent="0.4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</row>
    <row r="729" spans="1:24" ht="15.75" customHeight="1" x14ac:dyDescent="0.4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</row>
    <row r="730" spans="1:24" ht="15.75" customHeight="1" x14ac:dyDescent="0.4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</row>
    <row r="731" spans="1:24" ht="15.75" customHeight="1" x14ac:dyDescent="0.4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</row>
    <row r="732" spans="1:24" ht="15.75" customHeight="1" x14ac:dyDescent="0.4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</row>
    <row r="733" spans="1:24" ht="15.75" customHeight="1" x14ac:dyDescent="0.4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</row>
    <row r="734" spans="1:24" ht="15.75" customHeight="1" x14ac:dyDescent="0.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</row>
    <row r="735" spans="1:24" ht="15.75" customHeight="1" x14ac:dyDescent="0.4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</row>
    <row r="736" spans="1:24" ht="15.75" customHeight="1" x14ac:dyDescent="0.4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</row>
    <row r="737" spans="1:24" ht="15.75" customHeight="1" x14ac:dyDescent="0.4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</row>
    <row r="738" spans="1:24" ht="15.75" customHeight="1" x14ac:dyDescent="0.4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</row>
    <row r="739" spans="1:24" ht="15.75" customHeight="1" x14ac:dyDescent="0.4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</row>
    <row r="740" spans="1:24" ht="15.75" customHeight="1" x14ac:dyDescent="0.4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</row>
    <row r="741" spans="1:24" ht="15.75" customHeight="1" x14ac:dyDescent="0.4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</row>
    <row r="742" spans="1:24" ht="15.75" customHeight="1" x14ac:dyDescent="0.4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</row>
    <row r="743" spans="1:24" ht="15.75" customHeight="1" x14ac:dyDescent="0.4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</row>
    <row r="744" spans="1:24" ht="15.75" customHeight="1" x14ac:dyDescent="0.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</row>
    <row r="745" spans="1:24" ht="15.75" customHeight="1" x14ac:dyDescent="0.4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</row>
    <row r="746" spans="1:24" ht="15.75" customHeight="1" x14ac:dyDescent="0.4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</row>
    <row r="747" spans="1:24" ht="15.75" customHeight="1" x14ac:dyDescent="0.4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</row>
    <row r="748" spans="1:24" ht="15.75" customHeight="1" x14ac:dyDescent="0.4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</row>
    <row r="749" spans="1:24" ht="15.75" customHeight="1" x14ac:dyDescent="0.4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</row>
    <row r="750" spans="1:24" ht="15.75" customHeight="1" x14ac:dyDescent="0.4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</row>
    <row r="751" spans="1:24" ht="15.75" customHeight="1" x14ac:dyDescent="0.4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</row>
    <row r="752" spans="1:24" ht="15.75" customHeight="1" x14ac:dyDescent="0.4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</row>
    <row r="753" spans="1:24" ht="15.75" customHeight="1" x14ac:dyDescent="0.4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</row>
    <row r="754" spans="1:24" ht="15.75" customHeight="1" x14ac:dyDescent="0.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</row>
    <row r="755" spans="1:24" ht="15.75" customHeight="1" x14ac:dyDescent="0.4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</row>
    <row r="756" spans="1:24" ht="15.75" customHeight="1" x14ac:dyDescent="0.4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</row>
    <row r="757" spans="1:24" ht="15.75" customHeight="1" x14ac:dyDescent="0.4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</row>
    <row r="758" spans="1:24" ht="15.75" customHeight="1" x14ac:dyDescent="0.4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</row>
    <row r="759" spans="1:24" ht="15.75" customHeight="1" x14ac:dyDescent="0.4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</row>
    <row r="760" spans="1:24" ht="15.75" customHeight="1" x14ac:dyDescent="0.4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</row>
    <row r="761" spans="1:24" ht="15.75" customHeight="1" x14ac:dyDescent="0.4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</row>
    <row r="762" spans="1:24" ht="15.75" customHeight="1" x14ac:dyDescent="0.4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</row>
    <row r="763" spans="1:24" ht="15.75" customHeight="1" x14ac:dyDescent="0.4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</row>
    <row r="764" spans="1:24" ht="15.75" customHeight="1" x14ac:dyDescent="0.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</row>
    <row r="765" spans="1:24" ht="15.75" customHeight="1" x14ac:dyDescent="0.4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</row>
    <row r="766" spans="1:24" ht="15.75" customHeight="1" x14ac:dyDescent="0.4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</row>
    <row r="767" spans="1:24" ht="15.75" customHeight="1" x14ac:dyDescent="0.4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</row>
    <row r="768" spans="1:24" ht="15.75" customHeight="1" x14ac:dyDescent="0.4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</row>
    <row r="769" spans="1:24" ht="15.75" customHeight="1" x14ac:dyDescent="0.4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</row>
    <row r="770" spans="1:24" ht="15.75" customHeight="1" x14ac:dyDescent="0.4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</row>
    <row r="771" spans="1:24" ht="15.75" customHeight="1" x14ac:dyDescent="0.4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</row>
    <row r="772" spans="1:24" ht="15.75" customHeight="1" x14ac:dyDescent="0.4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</row>
    <row r="773" spans="1:24" ht="15.75" customHeight="1" x14ac:dyDescent="0.4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</row>
    <row r="774" spans="1:24" ht="15.75" customHeight="1" x14ac:dyDescent="0.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</row>
    <row r="775" spans="1:24" ht="15.75" customHeight="1" x14ac:dyDescent="0.4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</row>
    <row r="776" spans="1:24" ht="15.75" customHeight="1" x14ac:dyDescent="0.4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</row>
    <row r="777" spans="1:24" ht="15.75" customHeight="1" x14ac:dyDescent="0.4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</row>
    <row r="778" spans="1:24" ht="15.75" customHeight="1" x14ac:dyDescent="0.4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</row>
    <row r="779" spans="1:24" ht="15.75" customHeight="1" x14ac:dyDescent="0.4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</row>
    <row r="780" spans="1:24" ht="15.75" customHeight="1" x14ac:dyDescent="0.4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</row>
    <row r="781" spans="1:24" ht="15.75" customHeight="1" x14ac:dyDescent="0.4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</row>
    <row r="782" spans="1:24" ht="15.75" customHeight="1" x14ac:dyDescent="0.4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</row>
    <row r="783" spans="1:24" ht="15.75" customHeight="1" x14ac:dyDescent="0.4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</row>
    <row r="784" spans="1:24" ht="15.75" customHeight="1" x14ac:dyDescent="0.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</row>
    <row r="785" spans="1:24" ht="15.75" customHeight="1" x14ac:dyDescent="0.4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</row>
    <row r="786" spans="1:24" ht="15.75" customHeight="1" x14ac:dyDescent="0.4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</row>
    <row r="787" spans="1:24" ht="15.75" customHeight="1" x14ac:dyDescent="0.4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</row>
    <row r="788" spans="1:24" ht="15.75" customHeight="1" x14ac:dyDescent="0.4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</row>
    <row r="789" spans="1:24" ht="15.75" customHeight="1" x14ac:dyDescent="0.4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</row>
    <row r="790" spans="1:24" ht="15.75" customHeight="1" x14ac:dyDescent="0.4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</row>
    <row r="791" spans="1:24" ht="15.75" customHeight="1" x14ac:dyDescent="0.4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</row>
    <row r="792" spans="1:24" ht="15.75" customHeight="1" x14ac:dyDescent="0.4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</row>
    <row r="793" spans="1:24" ht="15.75" customHeight="1" x14ac:dyDescent="0.4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</row>
    <row r="794" spans="1:24" ht="15.75" customHeight="1" x14ac:dyDescent="0.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</row>
    <row r="795" spans="1:24" ht="15.75" customHeight="1" x14ac:dyDescent="0.4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</row>
    <row r="796" spans="1:24" ht="15.75" customHeight="1" x14ac:dyDescent="0.4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</row>
    <row r="797" spans="1:24" ht="15.75" customHeight="1" x14ac:dyDescent="0.4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</row>
    <row r="798" spans="1:24" ht="15.75" customHeight="1" x14ac:dyDescent="0.4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</row>
    <row r="799" spans="1:24" ht="15.75" customHeight="1" x14ac:dyDescent="0.4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</row>
    <row r="800" spans="1:24" ht="15.75" customHeight="1" x14ac:dyDescent="0.4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</row>
    <row r="801" spans="1:24" ht="15.75" customHeight="1" x14ac:dyDescent="0.4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</row>
    <row r="802" spans="1:24" ht="15.75" customHeight="1" x14ac:dyDescent="0.4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</row>
    <row r="803" spans="1:24" ht="15.75" customHeight="1" x14ac:dyDescent="0.4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</row>
    <row r="804" spans="1:24" ht="15.75" customHeight="1" x14ac:dyDescent="0.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</row>
    <row r="805" spans="1:24" ht="15.75" customHeight="1" x14ac:dyDescent="0.4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</row>
    <row r="806" spans="1:24" ht="15.75" customHeight="1" x14ac:dyDescent="0.4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</row>
    <row r="807" spans="1:24" ht="15.75" customHeight="1" x14ac:dyDescent="0.4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</row>
    <row r="808" spans="1:24" ht="15.75" customHeight="1" x14ac:dyDescent="0.4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</row>
    <row r="809" spans="1:24" ht="15.75" customHeight="1" x14ac:dyDescent="0.4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</row>
    <row r="810" spans="1:24" ht="15.75" customHeight="1" x14ac:dyDescent="0.4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</row>
    <row r="811" spans="1:24" ht="15.75" customHeight="1" x14ac:dyDescent="0.4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</row>
    <row r="812" spans="1:24" ht="15.75" customHeight="1" x14ac:dyDescent="0.4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</row>
    <row r="813" spans="1:24" ht="15.75" customHeight="1" x14ac:dyDescent="0.4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</row>
    <row r="814" spans="1:24" ht="15.75" customHeight="1" x14ac:dyDescent="0.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</row>
    <row r="815" spans="1:24" ht="15.75" customHeight="1" x14ac:dyDescent="0.4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</row>
    <row r="816" spans="1:24" ht="15.75" customHeight="1" x14ac:dyDescent="0.4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</row>
    <row r="817" spans="1:24" ht="15.75" customHeight="1" x14ac:dyDescent="0.4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</row>
    <row r="818" spans="1:24" ht="15.75" customHeight="1" x14ac:dyDescent="0.4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</row>
    <row r="819" spans="1:24" ht="15.75" customHeight="1" x14ac:dyDescent="0.4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</row>
    <row r="820" spans="1:24" ht="15.75" customHeight="1" x14ac:dyDescent="0.4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</row>
    <row r="821" spans="1:24" ht="15.75" customHeight="1" x14ac:dyDescent="0.4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</row>
    <row r="822" spans="1:24" ht="15.75" customHeight="1" x14ac:dyDescent="0.4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</row>
    <row r="823" spans="1:24" ht="15.75" customHeight="1" x14ac:dyDescent="0.4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</row>
    <row r="824" spans="1:24" ht="15.75" customHeight="1" x14ac:dyDescent="0.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</row>
    <row r="825" spans="1:24" ht="15.75" customHeight="1" x14ac:dyDescent="0.4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</row>
    <row r="826" spans="1:24" ht="15.75" customHeight="1" x14ac:dyDescent="0.4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</row>
    <row r="827" spans="1:24" ht="15.75" customHeight="1" x14ac:dyDescent="0.4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</row>
    <row r="828" spans="1:24" ht="15.75" customHeight="1" x14ac:dyDescent="0.4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</row>
    <row r="829" spans="1:24" ht="15.75" customHeight="1" x14ac:dyDescent="0.4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</row>
    <row r="830" spans="1:24" ht="15.75" customHeight="1" x14ac:dyDescent="0.4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</row>
    <row r="831" spans="1:24" ht="15.75" customHeight="1" x14ac:dyDescent="0.4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</row>
    <row r="832" spans="1:24" ht="15.75" customHeight="1" x14ac:dyDescent="0.4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</row>
    <row r="833" spans="1:24" ht="15.75" customHeight="1" x14ac:dyDescent="0.4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</row>
    <row r="834" spans="1:24" ht="15.75" customHeight="1" x14ac:dyDescent="0.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</row>
    <row r="835" spans="1:24" ht="15.75" customHeight="1" x14ac:dyDescent="0.4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</row>
    <row r="836" spans="1:24" ht="15.75" customHeight="1" x14ac:dyDescent="0.4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</row>
    <row r="837" spans="1:24" ht="15.75" customHeight="1" x14ac:dyDescent="0.4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</row>
    <row r="838" spans="1:24" ht="15.75" customHeight="1" x14ac:dyDescent="0.4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</row>
    <row r="839" spans="1:24" ht="15.75" customHeight="1" x14ac:dyDescent="0.4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</row>
    <row r="840" spans="1:24" ht="15.75" customHeight="1" x14ac:dyDescent="0.4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</row>
    <row r="841" spans="1:24" ht="15.75" customHeight="1" x14ac:dyDescent="0.4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</row>
    <row r="842" spans="1:24" ht="15.75" customHeight="1" x14ac:dyDescent="0.4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</row>
    <row r="843" spans="1:24" ht="15.75" customHeight="1" x14ac:dyDescent="0.4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</row>
    <row r="844" spans="1:24" ht="15.75" customHeight="1" x14ac:dyDescent="0.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</row>
    <row r="845" spans="1:24" ht="15.75" customHeight="1" x14ac:dyDescent="0.4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</row>
    <row r="846" spans="1:24" ht="15.75" customHeight="1" x14ac:dyDescent="0.4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</row>
    <row r="847" spans="1:24" ht="15.75" customHeight="1" x14ac:dyDescent="0.4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</row>
    <row r="848" spans="1:24" ht="15.75" customHeight="1" x14ac:dyDescent="0.4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</row>
    <row r="849" spans="1:24" ht="15.75" customHeight="1" x14ac:dyDescent="0.4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</row>
    <row r="850" spans="1:24" ht="15.75" customHeight="1" x14ac:dyDescent="0.4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</row>
    <row r="851" spans="1:24" ht="15.75" customHeight="1" x14ac:dyDescent="0.4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</row>
    <row r="852" spans="1:24" ht="15.75" customHeight="1" x14ac:dyDescent="0.4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</row>
    <row r="853" spans="1:24" ht="15.75" customHeight="1" x14ac:dyDescent="0.4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</row>
    <row r="854" spans="1:24" ht="15.75" customHeight="1" x14ac:dyDescent="0.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</row>
    <row r="855" spans="1:24" ht="15.75" customHeight="1" x14ac:dyDescent="0.4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</row>
    <row r="856" spans="1:24" ht="15.75" customHeight="1" x14ac:dyDescent="0.4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</row>
    <row r="857" spans="1:24" ht="15.75" customHeight="1" x14ac:dyDescent="0.4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</row>
    <row r="858" spans="1:24" ht="15.75" customHeight="1" x14ac:dyDescent="0.4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</row>
    <row r="859" spans="1:24" ht="15.75" customHeight="1" x14ac:dyDescent="0.4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</row>
    <row r="860" spans="1:24" ht="15.75" customHeight="1" x14ac:dyDescent="0.4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</row>
    <row r="861" spans="1:24" ht="15.75" customHeight="1" x14ac:dyDescent="0.4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</row>
    <row r="862" spans="1:24" ht="15.75" customHeight="1" x14ac:dyDescent="0.4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</row>
    <row r="863" spans="1:24" ht="15.75" customHeight="1" x14ac:dyDescent="0.4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</row>
    <row r="864" spans="1:24" ht="15.75" customHeight="1" x14ac:dyDescent="0.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</row>
    <row r="865" spans="1:24" ht="15.75" customHeight="1" x14ac:dyDescent="0.4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</row>
    <row r="866" spans="1:24" ht="15.75" customHeight="1" x14ac:dyDescent="0.4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</row>
    <row r="867" spans="1:24" ht="15.75" customHeight="1" x14ac:dyDescent="0.4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</row>
    <row r="868" spans="1:24" ht="15.75" customHeight="1" x14ac:dyDescent="0.4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</row>
    <row r="869" spans="1:24" ht="15.75" customHeight="1" x14ac:dyDescent="0.4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</row>
    <row r="870" spans="1:24" ht="15.75" customHeight="1" x14ac:dyDescent="0.4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</row>
    <row r="871" spans="1:24" ht="15.75" customHeight="1" x14ac:dyDescent="0.4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</row>
    <row r="872" spans="1:24" ht="15.75" customHeight="1" x14ac:dyDescent="0.4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</row>
    <row r="873" spans="1:24" ht="15.75" customHeight="1" x14ac:dyDescent="0.4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</row>
    <row r="874" spans="1:24" ht="15.75" customHeight="1" x14ac:dyDescent="0.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</row>
    <row r="875" spans="1:24" ht="15.75" customHeight="1" x14ac:dyDescent="0.4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</row>
    <row r="876" spans="1:24" ht="15.75" customHeight="1" x14ac:dyDescent="0.4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</row>
    <row r="877" spans="1:24" ht="15.75" customHeight="1" x14ac:dyDescent="0.4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</row>
    <row r="878" spans="1:24" ht="15.75" customHeight="1" x14ac:dyDescent="0.4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</row>
    <row r="879" spans="1:24" ht="15.75" customHeight="1" x14ac:dyDescent="0.4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</row>
    <row r="880" spans="1:24" ht="15.75" customHeight="1" x14ac:dyDescent="0.4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</row>
    <row r="881" spans="1:24" ht="15.75" customHeight="1" x14ac:dyDescent="0.4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</row>
    <row r="882" spans="1:24" ht="15.75" customHeight="1" x14ac:dyDescent="0.4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</row>
    <row r="883" spans="1:24" ht="15.75" customHeight="1" x14ac:dyDescent="0.4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</row>
    <row r="884" spans="1:24" ht="15.75" customHeight="1" x14ac:dyDescent="0.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</row>
    <row r="885" spans="1:24" ht="15.75" customHeight="1" x14ac:dyDescent="0.4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</row>
    <row r="886" spans="1:24" ht="15.75" customHeight="1" x14ac:dyDescent="0.4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</row>
    <row r="887" spans="1:24" ht="15.75" customHeight="1" x14ac:dyDescent="0.4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</row>
    <row r="888" spans="1:24" ht="15.75" customHeight="1" x14ac:dyDescent="0.4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</row>
    <row r="889" spans="1:24" ht="15.75" customHeight="1" x14ac:dyDescent="0.4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</row>
    <row r="890" spans="1:24" ht="15.75" customHeight="1" x14ac:dyDescent="0.4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</row>
    <row r="891" spans="1:24" ht="15.75" customHeight="1" x14ac:dyDescent="0.4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</row>
    <row r="892" spans="1:24" ht="15.75" customHeight="1" x14ac:dyDescent="0.4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</row>
    <row r="893" spans="1:24" ht="15.75" customHeight="1" x14ac:dyDescent="0.4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</row>
    <row r="894" spans="1:24" ht="15.75" customHeight="1" x14ac:dyDescent="0.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</row>
    <row r="895" spans="1:24" ht="15.75" customHeight="1" x14ac:dyDescent="0.4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</row>
    <row r="896" spans="1:24" ht="15.75" customHeight="1" x14ac:dyDescent="0.4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</row>
    <row r="897" spans="1:24" ht="15.75" customHeight="1" x14ac:dyDescent="0.4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</row>
    <row r="898" spans="1:24" ht="15.75" customHeight="1" x14ac:dyDescent="0.4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</row>
    <row r="899" spans="1:24" ht="15.75" customHeight="1" x14ac:dyDescent="0.4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</row>
    <row r="900" spans="1:24" ht="15.75" customHeight="1" x14ac:dyDescent="0.4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</row>
    <row r="901" spans="1:24" ht="15.75" customHeight="1" x14ac:dyDescent="0.4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</row>
    <row r="902" spans="1:24" ht="15.75" customHeight="1" x14ac:dyDescent="0.4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</row>
    <row r="903" spans="1:24" ht="15.75" customHeight="1" x14ac:dyDescent="0.4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</row>
    <row r="904" spans="1:24" ht="15.75" customHeight="1" x14ac:dyDescent="0.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</row>
    <row r="905" spans="1:24" ht="15.75" customHeight="1" x14ac:dyDescent="0.4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</row>
    <row r="906" spans="1:24" ht="15.75" customHeight="1" x14ac:dyDescent="0.4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</row>
    <row r="907" spans="1:24" ht="15.75" customHeight="1" x14ac:dyDescent="0.4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</row>
    <row r="908" spans="1:24" ht="15.75" customHeight="1" x14ac:dyDescent="0.4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</row>
    <row r="909" spans="1:24" ht="15.75" customHeight="1" x14ac:dyDescent="0.4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</row>
    <row r="910" spans="1:24" ht="15.75" customHeight="1" x14ac:dyDescent="0.4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</row>
    <row r="911" spans="1:24" ht="15.75" customHeight="1" x14ac:dyDescent="0.4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</row>
    <row r="912" spans="1:24" ht="15.75" customHeight="1" x14ac:dyDescent="0.4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</row>
    <row r="913" spans="1:24" ht="15.75" customHeight="1" x14ac:dyDescent="0.4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</row>
    <row r="914" spans="1:24" ht="15.75" customHeight="1" x14ac:dyDescent="0.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</row>
    <row r="915" spans="1:24" ht="15.75" customHeight="1" x14ac:dyDescent="0.4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</row>
    <row r="916" spans="1:24" ht="15.75" customHeight="1" x14ac:dyDescent="0.4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</row>
    <row r="917" spans="1:24" ht="15.75" customHeight="1" x14ac:dyDescent="0.4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</row>
    <row r="918" spans="1:24" ht="15.75" customHeight="1" x14ac:dyDescent="0.4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</row>
    <row r="919" spans="1:24" ht="15.75" customHeight="1" x14ac:dyDescent="0.4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</row>
    <row r="920" spans="1:24" ht="15.75" customHeight="1" x14ac:dyDescent="0.4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</row>
    <row r="921" spans="1:24" ht="15.75" customHeight="1" x14ac:dyDescent="0.4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</row>
    <row r="922" spans="1:24" ht="15.75" customHeight="1" x14ac:dyDescent="0.4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</row>
    <row r="923" spans="1:24" ht="15.75" customHeight="1" x14ac:dyDescent="0.4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</row>
    <row r="924" spans="1:24" ht="15.75" customHeight="1" x14ac:dyDescent="0.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</row>
    <row r="925" spans="1:24" ht="15.75" customHeight="1" x14ac:dyDescent="0.4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</row>
    <row r="926" spans="1:24" ht="15.75" customHeight="1" x14ac:dyDescent="0.4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</row>
    <row r="927" spans="1:24" ht="15.75" customHeight="1" x14ac:dyDescent="0.4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</row>
    <row r="928" spans="1:24" ht="15.75" customHeight="1" x14ac:dyDescent="0.4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</row>
    <row r="929" spans="1:24" ht="15.75" customHeight="1" x14ac:dyDescent="0.4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</row>
    <row r="930" spans="1:24" ht="15.75" customHeight="1" x14ac:dyDescent="0.4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</row>
    <row r="931" spans="1:24" ht="15.75" customHeight="1" x14ac:dyDescent="0.4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</row>
    <row r="932" spans="1:24" ht="15.75" customHeight="1" x14ac:dyDescent="0.4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</row>
    <row r="933" spans="1:24" ht="15.75" customHeight="1" x14ac:dyDescent="0.4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</row>
    <row r="934" spans="1:24" ht="15.75" customHeight="1" x14ac:dyDescent="0.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</row>
    <row r="935" spans="1:24" ht="15.75" customHeight="1" x14ac:dyDescent="0.4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</row>
    <row r="936" spans="1:24" ht="15.75" customHeight="1" x14ac:dyDescent="0.4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</row>
    <row r="937" spans="1:24" ht="15.75" customHeight="1" x14ac:dyDescent="0.4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</row>
    <row r="938" spans="1:24" ht="15.75" customHeight="1" x14ac:dyDescent="0.4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</row>
    <row r="939" spans="1:24" ht="15.75" customHeight="1" x14ac:dyDescent="0.4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</row>
    <row r="940" spans="1:24" ht="15.75" customHeight="1" x14ac:dyDescent="0.4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</row>
    <row r="941" spans="1:24" ht="15.75" customHeight="1" x14ac:dyDescent="0.4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</row>
    <row r="942" spans="1:24" ht="15.75" customHeight="1" x14ac:dyDescent="0.4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</row>
    <row r="943" spans="1:24" ht="15.75" customHeight="1" x14ac:dyDescent="0.4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</row>
    <row r="944" spans="1:24" ht="15.75" customHeight="1" x14ac:dyDescent="0.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</row>
    <row r="945" spans="1:24" ht="15.75" customHeight="1" x14ac:dyDescent="0.4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</row>
    <row r="946" spans="1:24" ht="15.75" customHeight="1" x14ac:dyDescent="0.4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</row>
    <row r="947" spans="1:24" ht="15.75" customHeight="1" x14ac:dyDescent="0.4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</row>
    <row r="948" spans="1:24" ht="15.75" customHeight="1" x14ac:dyDescent="0.4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</row>
    <row r="949" spans="1:24" ht="15.75" customHeight="1" x14ac:dyDescent="0.4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</row>
    <row r="950" spans="1:24" ht="15.75" customHeight="1" x14ac:dyDescent="0.4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</row>
    <row r="951" spans="1:24" ht="15.75" customHeight="1" x14ac:dyDescent="0.4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</row>
    <row r="952" spans="1:24" ht="15.75" customHeight="1" x14ac:dyDescent="0.4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</row>
    <row r="953" spans="1:24" ht="15.75" customHeight="1" x14ac:dyDescent="0.4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</row>
    <row r="954" spans="1:24" ht="15.75" customHeight="1" x14ac:dyDescent="0.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</row>
    <row r="955" spans="1:24" ht="15.75" customHeight="1" x14ac:dyDescent="0.4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</row>
    <row r="956" spans="1:24" ht="15.75" customHeight="1" x14ac:dyDescent="0.4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</row>
    <row r="957" spans="1:24" ht="15.75" customHeight="1" x14ac:dyDescent="0.4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</row>
    <row r="958" spans="1:24" ht="15.75" customHeight="1" x14ac:dyDescent="0.4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</row>
    <row r="959" spans="1:24" ht="15.75" customHeight="1" x14ac:dyDescent="0.4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</row>
    <row r="960" spans="1:24" ht="15.75" customHeight="1" x14ac:dyDescent="0.4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</row>
    <row r="961" spans="1:24" ht="15.75" customHeight="1" x14ac:dyDescent="0.4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</row>
    <row r="962" spans="1:24" ht="15.75" customHeight="1" x14ac:dyDescent="0.4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</row>
    <row r="963" spans="1:24" ht="15.75" customHeight="1" x14ac:dyDescent="0.4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</row>
    <row r="964" spans="1:24" ht="15.75" customHeight="1" x14ac:dyDescent="0.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</row>
    <row r="965" spans="1:24" ht="15.75" customHeight="1" x14ac:dyDescent="0.4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</row>
    <row r="966" spans="1:24" ht="15.75" customHeight="1" x14ac:dyDescent="0.4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</row>
    <row r="967" spans="1:24" ht="15.75" customHeight="1" x14ac:dyDescent="0.4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</row>
    <row r="968" spans="1:24" ht="15.75" customHeight="1" x14ac:dyDescent="0.4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</row>
    <row r="969" spans="1:24" ht="15.75" customHeight="1" x14ac:dyDescent="0.4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</row>
    <row r="970" spans="1:24" ht="15.75" customHeight="1" x14ac:dyDescent="0.4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</row>
    <row r="971" spans="1:24" ht="15.75" customHeight="1" x14ac:dyDescent="0.4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</row>
    <row r="972" spans="1:24" ht="15.75" customHeight="1" x14ac:dyDescent="0.4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</row>
    <row r="973" spans="1:24" ht="15.75" customHeight="1" x14ac:dyDescent="0.4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</row>
    <row r="974" spans="1:24" ht="15.75" customHeight="1" x14ac:dyDescent="0.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</row>
    <row r="975" spans="1:24" ht="15.75" customHeight="1" x14ac:dyDescent="0.4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</row>
    <row r="976" spans="1:24" ht="15.75" customHeight="1" x14ac:dyDescent="0.4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</row>
    <row r="977" spans="1:24" ht="15.75" customHeight="1" x14ac:dyDescent="0.4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</row>
    <row r="978" spans="1:24" ht="15.75" customHeight="1" x14ac:dyDescent="0.4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</row>
    <row r="979" spans="1:24" ht="15.75" customHeight="1" x14ac:dyDescent="0.4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</row>
    <row r="980" spans="1:24" ht="15.75" customHeight="1" x14ac:dyDescent="0.4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</row>
    <row r="981" spans="1:24" ht="15.75" customHeight="1" x14ac:dyDescent="0.4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</row>
    <row r="982" spans="1:24" ht="15.75" customHeight="1" x14ac:dyDescent="0.4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</row>
    <row r="983" spans="1:24" ht="15.75" customHeight="1" x14ac:dyDescent="0.4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</row>
    <row r="984" spans="1:24" ht="15.75" customHeight="1" x14ac:dyDescent="0.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</row>
    <row r="985" spans="1:24" ht="15.75" customHeight="1" x14ac:dyDescent="0.4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</row>
    <row r="986" spans="1:24" ht="15.75" customHeight="1" x14ac:dyDescent="0.4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</row>
    <row r="987" spans="1:24" ht="15.75" customHeight="1" x14ac:dyDescent="0.4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</row>
    <row r="988" spans="1:24" ht="15.75" customHeight="1" x14ac:dyDescent="0.4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</row>
    <row r="989" spans="1:24" ht="15.75" customHeight="1" x14ac:dyDescent="0.4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</row>
    <row r="990" spans="1:24" ht="15.75" customHeight="1" x14ac:dyDescent="0.4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</row>
    <row r="991" spans="1:24" ht="15.75" customHeight="1" x14ac:dyDescent="0.4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</row>
    <row r="992" spans="1:24" ht="15.75" customHeight="1" x14ac:dyDescent="0.4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</row>
    <row r="993" spans="1:24" ht="15.75" customHeight="1" x14ac:dyDescent="0.4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</row>
    <row r="994" spans="1:24" ht="15.75" customHeight="1" x14ac:dyDescent="0.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</row>
    <row r="995" spans="1:24" ht="15.75" customHeight="1" x14ac:dyDescent="0.4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</row>
    <row r="996" spans="1:24" ht="15.75" customHeight="1" x14ac:dyDescent="0.4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</row>
    <row r="997" spans="1:24" ht="15.75" customHeight="1" x14ac:dyDescent="0.4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</row>
    <row r="998" spans="1:24" ht="15.75" customHeight="1" x14ac:dyDescent="0.4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</row>
    <row r="999" spans="1:24" ht="15.75" customHeight="1" x14ac:dyDescent="0.4">
      <c r="A999" s="166"/>
      <c r="B999" s="166"/>
      <c r="C999" s="166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</row>
    <row r="1000" spans="1:24" ht="15.75" customHeight="1" x14ac:dyDescent="0.4">
      <c r="A1000" s="166"/>
      <c r="B1000" s="166"/>
      <c r="C1000" s="166"/>
      <c r="D1000" s="166"/>
      <c r="E1000" s="166"/>
      <c r="F1000" s="166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</row>
    <row r="1001" spans="1:24" ht="15.75" customHeight="1" x14ac:dyDescent="0.4">
      <c r="A1001" s="166"/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</row>
    <row r="1002" spans="1:24" ht="15.75" customHeight="1" x14ac:dyDescent="0.4">
      <c r="A1002" s="166"/>
      <c r="B1002" s="166"/>
      <c r="C1002" s="166"/>
      <c r="D1002" s="166"/>
      <c r="E1002" s="166"/>
      <c r="F1002" s="166"/>
      <c r="G1002" s="166"/>
      <c r="H1002" s="166"/>
      <c r="I1002" s="166"/>
      <c r="J1002" s="166"/>
      <c r="K1002" s="166"/>
      <c r="L1002" s="166"/>
      <c r="M1002" s="166"/>
      <c r="N1002" s="166"/>
      <c r="O1002" s="166"/>
      <c r="P1002" s="166"/>
      <c r="Q1002" s="166"/>
      <c r="R1002" s="166"/>
      <c r="S1002" s="166"/>
      <c r="T1002" s="166"/>
      <c r="U1002" s="166"/>
      <c r="V1002" s="166"/>
      <c r="W1002" s="166"/>
      <c r="X1002" s="166"/>
    </row>
    <row r="1003" spans="1:24" ht="15.75" customHeight="1" x14ac:dyDescent="0.4">
      <c r="A1003" s="166"/>
      <c r="B1003" s="166"/>
      <c r="C1003" s="166"/>
      <c r="D1003" s="166"/>
      <c r="E1003" s="166"/>
      <c r="F1003" s="166"/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  <c r="T1003" s="166"/>
      <c r="U1003" s="166"/>
      <c r="V1003" s="166"/>
      <c r="W1003" s="166"/>
      <c r="X1003" s="166"/>
    </row>
    <row r="1004" spans="1:24" ht="15.75" customHeight="1" x14ac:dyDescent="0.4">
      <c r="A1004" s="166"/>
      <c r="B1004" s="166"/>
      <c r="C1004" s="166"/>
      <c r="D1004" s="166"/>
      <c r="E1004" s="166"/>
      <c r="F1004" s="166"/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166"/>
      <c r="R1004" s="166"/>
      <c r="S1004" s="166"/>
      <c r="T1004" s="166"/>
      <c r="U1004" s="166"/>
      <c r="V1004" s="166"/>
      <c r="W1004" s="166"/>
      <c r="X1004" s="166"/>
    </row>
    <row r="1005" spans="1:24" ht="15.75" customHeight="1" x14ac:dyDescent="0.4">
      <c r="A1005" s="166"/>
      <c r="B1005" s="166"/>
      <c r="C1005" s="166"/>
      <c r="D1005" s="166"/>
      <c r="E1005" s="166"/>
      <c r="F1005" s="166"/>
      <c r="G1005" s="166"/>
      <c r="H1005" s="166"/>
      <c r="I1005" s="166"/>
      <c r="J1005" s="166"/>
      <c r="K1005" s="166"/>
      <c r="L1005" s="166"/>
      <c r="M1005" s="166"/>
      <c r="N1005" s="166"/>
      <c r="O1005" s="166"/>
      <c r="P1005" s="166"/>
      <c r="Q1005" s="166"/>
      <c r="R1005" s="166"/>
      <c r="S1005" s="166"/>
      <c r="T1005" s="166"/>
      <c r="U1005" s="166"/>
      <c r="V1005" s="166"/>
      <c r="W1005" s="166"/>
      <c r="X1005" s="166"/>
    </row>
    <row r="1006" spans="1:24" ht="15.75" customHeight="1" x14ac:dyDescent="0.4">
      <c r="A1006" s="166"/>
      <c r="B1006" s="166"/>
      <c r="C1006" s="166"/>
      <c r="D1006" s="166"/>
      <c r="E1006" s="166"/>
      <c r="F1006" s="166"/>
      <c r="G1006" s="166"/>
      <c r="H1006" s="166"/>
      <c r="I1006" s="166"/>
      <c r="J1006" s="166"/>
      <c r="K1006" s="166"/>
      <c r="L1006" s="166"/>
      <c r="M1006" s="166"/>
      <c r="N1006" s="166"/>
      <c r="O1006" s="166"/>
      <c r="P1006" s="166"/>
      <c r="Q1006" s="166"/>
      <c r="R1006" s="166"/>
      <c r="S1006" s="166"/>
      <c r="T1006" s="166"/>
      <c r="U1006" s="166"/>
      <c r="V1006" s="166"/>
      <c r="W1006" s="166"/>
      <c r="X1006" s="166"/>
    </row>
  </sheetData>
  <dataConsolidate/>
  <mergeCells count="27">
    <mergeCell ref="A1:K1"/>
    <mergeCell ref="A105:D105"/>
    <mergeCell ref="A89:D89"/>
    <mergeCell ref="A57:D57"/>
    <mergeCell ref="A58:C58"/>
    <mergeCell ref="A90:C90"/>
    <mergeCell ref="B103:C103"/>
    <mergeCell ref="A2:C2"/>
    <mergeCell ref="B3:C3"/>
    <mergeCell ref="B4:C4"/>
    <mergeCell ref="A104:D104"/>
    <mergeCell ref="B5:C5"/>
    <mergeCell ref="B6:C6"/>
    <mergeCell ref="B102:C102"/>
    <mergeCell ref="A7:D7"/>
    <mergeCell ref="A8:C8"/>
    <mergeCell ref="B91:C91"/>
    <mergeCell ref="B92:C92"/>
    <mergeCell ref="B93:C93"/>
    <mergeCell ref="B94:C94"/>
    <mergeCell ref="B95:C95"/>
    <mergeCell ref="B96:C96"/>
    <mergeCell ref="B97:C97"/>
    <mergeCell ref="B100:C100"/>
    <mergeCell ref="B101:C101"/>
    <mergeCell ref="B98:C98"/>
    <mergeCell ref="B99:C99"/>
  </mergeCells>
  <conditionalFormatting sqref="F102:K103 F3:K6 F9:K56 F59:K87">
    <cfRule type="cellIs" dxfId="5" priority="5" operator="equal">
      <formula>0</formula>
    </cfRule>
  </conditionalFormatting>
  <conditionalFormatting sqref="F91:K101">
    <cfRule type="cellIs" dxfId="4" priority="2" operator="equal">
      <formula>0</formula>
    </cfRule>
  </conditionalFormatting>
  <conditionalFormatting sqref="F88:K88">
    <cfRule type="cellIs" dxfId="3" priority="1" operator="equal">
      <formula>0</formula>
    </cfRule>
  </conditionalFormatting>
  <pageMargins left="0.17" right="0.18" top="0.23" bottom="0.36" header="0.17" footer="0.31496062992125984"/>
  <pageSetup paperSize="9" scale="43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W6510"/>
  <sheetViews>
    <sheetView showGridLines="0" zoomScaleNormal="100" workbookViewId="0">
      <pane ySplit="6" topLeftCell="A6182" activePane="bottomLeft" state="frozen"/>
      <selection activeCell="C37" sqref="C37"/>
      <selection pane="bottomLeft" activeCell="A6209" sqref="A6209"/>
    </sheetView>
  </sheetViews>
  <sheetFormatPr defaultRowHeight="15" x14ac:dyDescent="0.25"/>
  <cols>
    <col min="1" max="1" width="22.7109375" style="127" customWidth="1"/>
    <col min="2" max="2" width="22.7109375" style="24" customWidth="1"/>
    <col min="3" max="3" width="12.7109375" style="28" customWidth="1"/>
    <col min="4" max="5" width="12.7109375" style="386" customWidth="1"/>
    <col min="6" max="7" width="12.7109375" style="145" customWidth="1"/>
    <col min="8" max="9" width="12.7109375" style="84" customWidth="1"/>
    <col min="10" max="10" width="12.7109375" style="110" customWidth="1"/>
    <col min="11" max="11" width="12.7109375" style="42" customWidth="1"/>
    <col min="12" max="12" width="12.7109375" style="69" customWidth="1"/>
    <col min="13" max="13" width="12.7109375" style="92" customWidth="1"/>
    <col min="14" max="14" width="12.7109375" style="42" customWidth="1"/>
    <col min="15" max="15" width="12.7109375" style="375" customWidth="1"/>
    <col min="16" max="16" width="12.7109375" style="106" customWidth="1"/>
    <col min="17" max="17" width="12.7109375" style="163" customWidth="1"/>
    <col min="18" max="18" width="12.7109375" style="115" customWidth="1"/>
    <col min="19" max="19" width="12.7109375" style="74" customWidth="1"/>
    <col min="20" max="20" width="12.7109375" style="42" customWidth="1"/>
    <col min="21" max="21" width="12.7109375" style="69" customWidth="1"/>
    <col min="22" max="22" width="12.7109375" style="74" customWidth="1"/>
    <col min="23" max="23" width="12.7109375" style="163" customWidth="1"/>
    <col min="24" max="24" width="12.7109375" style="42" customWidth="1"/>
    <col min="25" max="25" width="12.7109375" style="69" customWidth="1"/>
    <col min="26" max="26" width="12.7109375" style="79" customWidth="1"/>
    <col min="27" max="27" width="12.7109375" style="42" customWidth="1"/>
    <col min="28" max="28" width="12.7109375" style="69" customWidth="1"/>
    <col min="29" max="29" width="12.7109375" style="106" customWidth="1"/>
    <col min="30" max="30" width="12.7109375" style="115" customWidth="1"/>
    <col min="31" max="31" width="12.7109375" style="42" customWidth="1"/>
    <col min="32" max="32" width="12.7109375" style="69" customWidth="1"/>
    <col min="33" max="33" width="12.7109375" style="106" customWidth="1"/>
    <col min="34" max="34" width="12.7109375" style="121" customWidth="1"/>
    <col min="35" max="35" width="12.7109375" style="126" customWidth="1"/>
    <col min="36" max="36" width="12.7109375" style="163" customWidth="1"/>
    <col min="37" max="37" width="12.7109375" style="243" customWidth="1"/>
    <col min="38" max="38" width="12.7109375" style="42" customWidth="1"/>
    <col min="39" max="39" width="12.7109375" style="69" customWidth="1"/>
    <col min="40" max="40" width="12.7109375" style="106" customWidth="1"/>
    <col min="41" max="41" width="12.7109375" style="46" customWidth="1"/>
    <col min="42" max="42" width="12.7109375" style="42" customWidth="1"/>
    <col min="43" max="43" width="12.7109375" style="69" customWidth="1"/>
    <col min="44" max="44" width="12.7109375" style="106" customWidth="1"/>
    <col min="45" max="45" width="12.7109375" style="121" customWidth="1"/>
    <col min="46" max="46" width="12.7109375" style="46" customWidth="1"/>
    <col min="47" max="47" width="12.7109375" style="42" customWidth="1"/>
    <col min="48" max="48" width="12.7109375" style="69" customWidth="1"/>
    <col min="49" max="49" width="12.7109375" style="106" customWidth="1"/>
    <col min="50" max="50" width="12.7109375" style="121" customWidth="1"/>
    <col min="51" max="51" width="12.7109375" style="126" customWidth="1"/>
    <col min="52" max="52" width="12.7109375" style="182" customWidth="1"/>
    <col min="53" max="53" width="12.7109375" style="42" customWidth="1"/>
    <col min="54" max="54" width="12.7109375" style="69" customWidth="1"/>
    <col min="55" max="55" width="12.7109375" style="106" customWidth="1"/>
    <col min="56" max="56" width="12.7109375" style="121" customWidth="1"/>
    <col min="57" max="57" width="12.7109375" style="126" customWidth="1"/>
    <col min="58" max="58" width="12.7109375" style="182" customWidth="1"/>
    <col min="59" max="59" width="12.7109375" style="42" customWidth="1"/>
    <col min="60" max="60" width="12.7109375" style="69" customWidth="1"/>
    <col min="61" max="61" width="12.7109375" style="106" customWidth="1"/>
    <col min="62" max="62" width="12.7109375" style="121" customWidth="1"/>
    <col min="63" max="63" width="12.7109375" style="126" customWidth="1"/>
    <col min="64" max="64" width="12.7109375" style="182" customWidth="1"/>
    <col min="65" max="65" width="12.7109375" style="88" customWidth="1"/>
    <col min="66" max="66" width="12.7109375" style="69" customWidth="1"/>
    <col min="67" max="67" width="12.7109375" style="106" customWidth="1"/>
    <col min="68" max="68" width="12.7109375" style="121" customWidth="1"/>
    <col min="69" max="69" width="12.7109375" style="126" customWidth="1"/>
    <col min="70" max="70" width="12.7109375" style="182" customWidth="1"/>
    <col min="71" max="71" width="12.7109375" style="42" customWidth="1"/>
    <col min="72" max="72" width="12.7109375" style="69" customWidth="1"/>
    <col min="73" max="73" width="12.7109375" style="106" customWidth="1"/>
    <col min="74" max="74" width="12.7109375" style="121" customWidth="1"/>
    <col min="75" max="75" width="12.7109375" style="126" customWidth="1"/>
    <col min="76" max="76" width="12.7109375" style="182" customWidth="1"/>
    <col min="77" max="77" width="12.7109375" style="42" customWidth="1"/>
    <col min="78" max="78" width="12.7109375" style="69" customWidth="1"/>
    <col min="79" max="79" width="12.7109375" style="106" customWidth="1"/>
    <col min="80" max="80" width="12.7109375" style="121" customWidth="1"/>
    <col min="81" max="81" width="12.7109375" style="126" customWidth="1"/>
    <col min="82" max="82" width="12.7109375" style="182" customWidth="1"/>
    <col min="83" max="83" width="12.7109375" style="42" customWidth="1"/>
    <col min="84" max="84" width="12.7109375" style="69" customWidth="1"/>
    <col min="85" max="85" width="12.7109375" style="106" customWidth="1"/>
    <col min="86" max="86" width="12.7109375" style="121" customWidth="1"/>
    <col min="87" max="87" width="12.7109375" style="126" customWidth="1"/>
    <col min="88" max="88" width="12.7109375" style="182" customWidth="1"/>
    <col min="89" max="89" width="12.7109375" style="42" customWidth="1"/>
    <col min="90" max="90" width="12.7109375" style="69" customWidth="1"/>
    <col min="91" max="91" width="12.7109375" style="106" customWidth="1"/>
    <col min="92" max="92" width="12.7109375" style="121" customWidth="1"/>
    <col min="93" max="93" width="12.7109375" style="126" customWidth="1"/>
    <col min="94" max="94" width="12.7109375" style="182" customWidth="1"/>
    <col min="95" max="95" width="12.7109375" style="42" customWidth="1"/>
    <col min="96" max="96" width="12.7109375" style="69" customWidth="1"/>
    <col min="97" max="97" width="12.7109375" style="74" customWidth="1"/>
    <col min="98" max="98" width="12.7109375" style="121" customWidth="1"/>
    <col min="99" max="99" width="12.7109375" style="126" customWidth="1"/>
    <col min="100" max="100" width="12.7109375" style="115" customWidth="1"/>
    <col min="101" max="101" width="12.7109375" style="42" customWidth="1"/>
    <col min="102" max="102" width="12.7109375" style="69" customWidth="1"/>
    <col min="103" max="103" width="12.7109375" style="106" customWidth="1"/>
    <col min="104" max="104" width="12.7109375" style="121" customWidth="1"/>
    <col min="105" max="105" width="12.7109375" style="126" customWidth="1"/>
    <col min="106" max="106" width="12.7109375" style="115" customWidth="1"/>
    <col min="107" max="107" width="12.7109375" style="42" customWidth="1"/>
    <col min="108" max="108" width="12.7109375" style="69" customWidth="1"/>
    <col min="109" max="109" width="12.7109375" style="74" customWidth="1"/>
    <col min="110" max="110" width="12.7109375" style="121" customWidth="1"/>
    <col min="111" max="111" width="12.7109375" style="126" customWidth="1"/>
    <col min="112" max="112" width="12.7109375" style="115" customWidth="1"/>
    <col min="113" max="113" width="12.7109375" style="42" customWidth="1"/>
    <col min="114" max="114" width="12.7109375" style="69" customWidth="1"/>
    <col min="115" max="115" width="12.7109375" style="106" customWidth="1"/>
    <col min="116" max="116" width="12.7109375" style="121" customWidth="1"/>
    <col min="117" max="117" width="12.7109375" style="46" customWidth="1"/>
    <col min="118" max="118" width="12.7109375" style="42" customWidth="1"/>
    <col min="119" max="119" width="12.7109375" style="375" customWidth="1"/>
    <col min="120" max="120" width="12.7109375" style="74" customWidth="1"/>
    <col min="121" max="121" width="12.7109375" style="121" customWidth="1"/>
    <col min="122" max="122" width="12.7109375" style="46" customWidth="1"/>
    <col min="123" max="123" width="12.7109375" style="42" customWidth="1"/>
    <col min="124" max="124" width="12.7109375" style="69" customWidth="1"/>
    <col min="125" max="125" width="12.7109375" style="106" customWidth="1"/>
    <col min="126" max="126" width="12.7109375" style="121" customWidth="1"/>
    <col min="127" max="127" width="12.7109375" style="126" customWidth="1"/>
    <col min="128" max="128" width="12.7109375" style="115" customWidth="1"/>
    <col min="129" max="129" width="12.7109375" style="42" customWidth="1"/>
    <col min="130" max="130" width="12.7109375" style="69" customWidth="1"/>
    <col min="131" max="131" width="12.7109375" style="74" customWidth="1"/>
    <col min="132" max="132" width="12.7109375" style="121" customWidth="1"/>
    <col min="133" max="133" width="12.7109375" style="126" customWidth="1"/>
    <col min="134" max="134" width="12.7109375" style="115" customWidth="1"/>
    <col min="135" max="135" width="12.7109375" style="42" customWidth="1"/>
    <col min="136" max="136" width="12.7109375" style="69" customWidth="1"/>
    <col min="137" max="137" width="12.7109375" style="74" customWidth="1"/>
    <col min="138" max="138" width="12.7109375" style="194" customWidth="1"/>
    <col min="139" max="139" width="12.7109375" style="150" customWidth="1"/>
    <col min="140" max="140" width="12.7109375" style="42" customWidth="1"/>
    <col min="141" max="141" width="12.7109375" style="69" customWidth="1"/>
    <col min="142" max="142" width="12.7109375" style="106" customWidth="1"/>
    <col min="143" max="143" width="12.7109375" style="150" customWidth="1"/>
    <col min="144" max="144" width="12.7109375" style="42" customWidth="1"/>
    <col min="145" max="145" width="12.7109375" style="69" customWidth="1"/>
    <col min="146" max="146" width="12.7109375" style="74" customWidth="1"/>
    <col min="147" max="147" width="12.7109375" style="46" customWidth="1"/>
    <col min="148" max="148" width="12.7109375" style="42" customWidth="1"/>
    <col min="149" max="149" width="12.7109375" style="69" customWidth="1"/>
    <col min="150" max="150" width="12.7109375" style="106" customWidth="1"/>
    <col min="151" max="151" width="12.7109375" style="126" customWidth="1"/>
    <col min="152" max="152" width="12.7109375" style="170" customWidth="1"/>
    <col min="153" max="153" width="12.7109375" style="88" customWidth="1"/>
    <col min="154" max="154" width="12.7109375" style="251" customWidth="1"/>
    <col min="155" max="155" width="12.7109375" style="88" customWidth="1"/>
    <col min="156" max="156" width="12.7109375" style="92" customWidth="1"/>
    <col min="157" max="157" width="12.7109375" style="42" customWidth="1"/>
    <col min="158" max="158" width="12.7109375" style="69" customWidth="1"/>
    <col min="159" max="159" width="12.7109375" style="106" customWidth="1"/>
    <col min="160" max="160" width="12.7109375" style="126" customWidth="1"/>
    <col min="161" max="161" width="12.7109375" style="170" customWidth="1"/>
    <col min="162" max="162" width="12.7109375" style="88" customWidth="1"/>
    <col min="163" max="163" width="12.7109375" style="74" customWidth="1"/>
    <col min="164" max="164" width="12.7109375" style="46" customWidth="1"/>
    <col min="165" max="165" width="12.7109375" style="42" customWidth="1"/>
    <col min="166" max="166" width="12.7109375" style="69" customWidth="1"/>
    <col min="167" max="167" width="12.7109375" style="106" customWidth="1"/>
    <col min="168" max="168" width="12.7109375" style="46" customWidth="1"/>
    <col min="169" max="169" width="12.7109375" style="42" customWidth="1"/>
    <col min="170" max="170" width="12.7109375" style="150" customWidth="1"/>
    <col min="171" max="172" width="12.7109375" style="210" customWidth="1"/>
    <col min="173" max="173" width="12.7109375" style="42" customWidth="1"/>
    <col min="174" max="174" width="12.7109375" style="69" customWidth="1"/>
    <col min="175" max="175" width="12.7109375" style="106" customWidth="1"/>
    <col min="176" max="176" width="12.7109375" style="115" customWidth="1"/>
    <col min="177" max="177" width="12.7109375" style="88" customWidth="1"/>
    <col min="178" max="178" width="12.7109375" style="106" customWidth="1"/>
    <col min="179" max="179" width="12.7109375" style="150" customWidth="1"/>
    <col min="180" max="180" width="12.7109375" style="34" customWidth="1"/>
    <col min="181" max="181" width="12.7109375" style="126" customWidth="1"/>
    <col min="182" max="182" width="12.7109375" style="115" customWidth="1"/>
    <col min="183" max="183" width="12.7109375" style="88" customWidth="1"/>
    <col min="184" max="184" width="12.7109375" style="106" customWidth="1"/>
    <col min="185" max="185" width="12.7109375" style="157" customWidth="1"/>
    <col min="186" max="186" width="12.7109375" style="115" customWidth="1"/>
    <col min="187" max="187" width="12.7109375" style="88" customWidth="1"/>
    <col min="188" max="188" width="12.7109375" style="150" customWidth="1"/>
    <col min="189" max="189" width="12.7109375" style="210" customWidth="1"/>
    <col min="190" max="190" width="12.7109375" style="106" customWidth="1"/>
    <col min="191" max="191" width="12.7109375" style="251" customWidth="1"/>
    <col min="192" max="192" width="12.7109375" style="202" customWidth="1"/>
    <col min="193" max="193" width="12.7109375" style="79" customWidth="1"/>
    <col min="194" max="194" width="12.7109375" style="42" customWidth="1"/>
    <col min="195" max="195" width="12.7109375" style="92" customWidth="1"/>
    <col min="196" max="197" width="12.7109375" style="110" customWidth="1"/>
    <col min="198" max="198" width="12.7109375" style="42" customWidth="1"/>
    <col min="199" max="199" width="12.7109375" style="92" customWidth="1"/>
    <col min="200" max="200" width="12.7109375" style="50" customWidth="1"/>
    <col min="201" max="203" width="12.7109375" style="110" customWidth="1"/>
    <col min="204" max="204" width="12.7109375" style="42" customWidth="1"/>
    <col min="205" max="205" width="12.7109375" style="92" customWidth="1"/>
    <col min="206" max="206" width="12.7109375" style="106" customWidth="1"/>
    <col min="207" max="207" width="12.7109375" style="42" customWidth="1"/>
    <col min="208" max="208" width="12.7109375" style="106" customWidth="1"/>
    <col min="209" max="209" width="12.7109375" style="115" customWidth="1"/>
    <col min="210" max="210" width="12.7109375" style="277" customWidth="1"/>
    <col min="211" max="211" width="12.7109375" style="42" customWidth="1"/>
    <col min="212" max="212" width="12.7109375" style="92" customWidth="1"/>
    <col min="213" max="213" width="12.7109375" style="42" customWidth="1"/>
    <col min="214" max="214" width="12.7109375" style="92" customWidth="1"/>
    <col min="215" max="215" width="12.7109375" style="42" customWidth="1"/>
    <col min="216" max="216" width="12.7109375" style="106" customWidth="1"/>
    <col min="217" max="217" width="12.7109375" style="182" customWidth="1"/>
    <col min="218" max="218" width="12.7109375" style="79" customWidth="1"/>
    <col min="219" max="219" width="12.7109375" style="50" customWidth="1"/>
    <col min="220" max="220" width="12.7109375" style="42" customWidth="1"/>
    <col min="221" max="221" width="12.7109375" style="106" customWidth="1"/>
    <col min="222" max="222" width="12.7109375" style="115" customWidth="1"/>
    <col min="223" max="223" width="12.7109375" style="42" customWidth="1"/>
    <col min="224" max="224" width="12.7109375" style="92" customWidth="1"/>
    <col min="225" max="225" width="12.7109375" style="42" customWidth="1"/>
    <col min="226" max="226" width="12.7109375" style="92" customWidth="1"/>
    <col min="227" max="227" width="12.7109375" style="38" customWidth="1"/>
    <col min="228" max="228" width="12.7109375" style="84" customWidth="1"/>
    <col min="229" max="229" width="12.7109375" style="42" customWidth="1"/>
    <col min="230" max="230" width="12.7109375" style="92" customWidth="1"/>
    <col min="231" max="231" width="12.7109375" style="42" customWidth="1"/>
    <col min="232" max="232" width="12.7109375" style="92" customWidth="1"/>
    <col min="233" max="233" width="12.7109375" style="38" customWidth="1"/>
    <col min="234" max="234" width="12.7109375" style="42" customWidth="1"/>
    <col min="235" max="235" width="12.7109375" style="79" customWidth="1"/>
    <col min="236" max="236" width="12.7109375" style="42" customWidth="1"/>
    <col min="237" max="237" width="12.7109375" style="92" customWidth="1"/>
    <col min="238" max="238" width="12.7109375" style="42" customWidth="1"/>
    <col min="239" max="239" width="12.7109375" style="79" customWidth="1"/>
    <col min="240" max="240" width="12.7109375" style="50" customWidth="1"/>
    <col min="241" max="241" width="12.7109375" style="38" customWidth="1"/>
    <col min="242" max="242" width="12.7109375" style="34" customWidth="1"/>
    <col min="243" max="243" width="12.7109375" style="283" customWidth="1"/>
    <col min="244" max="244" width="12.7109375" style="268" customWidth="1"/>
    <col min="245" max="246" width="12.7109375" style="262" customWidth="1"/>
    <col min="247" max="247" width="12.7109375" style="50" customWidth="1"/>
    <col min="248" max="248" width="12.7109375" style="42" customWidth="1"/>
    <col min="249" max="249" width="12.7109375" style="182" customWidth="1"/>
    <col min="250" max="255" width="12.7109375" style="262" customWidth="1"/>
    <col min="256" max="256" width="12.7109375" style="378" customWidth="1"/>
    <col min="257" max="257" width="12.7109375" style="262" customWidth="1"/>
    <col min="258" max="16384" width="9.140625" style="26"/>
  </cols>
  <sheetData>
    <row r="1" spans="1:257" s="24" customFormat="1" ht="20.100000000000001" customHeight="1" x14ac:dyDescent="0.25">
      <c r="A1" s="438" t="s">
        <v>86</v>
      </c>
      <c r="B1" s="438"/>
      <c r="C1" s="101" t="s">
        <v>157</v>
      </c>
      <c r="D1" s="382" t="s">
        <v>115</v>
      </c>
      <c r="E1" s="382" t="s">
        <v>115</v>
      </c>
      <c r="F1" s="141" t="s">
        <v>115</v>
      </c>
      <c r="G1" s="141" t="s">
        <v>115</v>
      </c>
      <c r="H1" s="80" t="s">
        <v>113</v>
      </c>
      <c r="I1" s="80" t="s">
        <v>113</v>
      </c>
      <c r="J1" s="95" t="s">
        <v>113</v>
      </c>
      <c r="K1" s="39" t="s">
        <v>2</v>
      </c>
      <c r="L1" s="65" t="s">
        <v>3</v>
      </c>
      <c r="M1" s="89" t="s">
        <v>113</v>
      </c>
      <c r="N1" s="39" t="s">
        <v>2</v>
      </c>
      <c r="O1" s="370" t="s">
        <v>3</v>
      </c>
      <c r="P1" s="102" t="s">
        <v>113</v>
      </c>
      <c r="Q1" s="159" t="s">
        <v>6</v>
      </c>
      <c r="R1" s="111" t="s">
        <v>115</v>
      </c>
      <c r="S1" s="70" t="s">
        <v>113</v>
      </c>
      <c r="T1" s="39" t="s">
        <v>2</v>
      </c>
      <c r="U1" s="65" t="s">
        <v>3</v>
      </c>
      <c r="V1" s="70" t="s">
        <v>113</v>
      </c>
      <c r="W1" s="159" t="s">
        <v>115</v>
      </c>
      <c r="X1" s="39" t="s">
        <v>2</v>
      </c>
      <c r="Y1" s="65" t="s">
        <v>3</v>
      </c>
      <c r="Z1" s="75" t="s">
        <v>113</v>
      </c>
      <c r="AA1" s="39" t="s">
        <v>2</v>
      </c>
      <c r="AB1" s="65" t="s">
        <v>3</v>
      </c>
      <c r="AC1" s="102" t="s">
        <v>113</v>
      </c>
      <c r="AD1" s="111" t="s">
        <v>115</v>
      </c>
      <c r="AE1" s="39" t="s">
        <v>2</v>
      </c>
      <c r="AF1" s="65" t="s">
        <v>3</v>
      </c>
      <c r="AG1" s="102" t="s">
        <v>113</v>
      </c>
      <c r="AH1" s="117" t="s">
        <v>5</v>
      </c>
      <c r="AI1" s="122" t="s">
        <v>6</v>
      </c>
      <c r="AJ1" s="159" t="s">
        <v>115</v>
      </c>
      <c r="AK1" s="239" t="s">
        <v>228</v>
      </c>
      <c r="AL1" s="39" t="s">
        <v>2</v>
      </c>
      <c r="AM1" s="65" t="s">
        <v>3</v>
      </c>
      <c r="AN1" s="102" t="s">
        <v>113</v>
      </c>
      <c r="AO1" s="43" t="s">
        <v>6</v>
      </c>
      <c r="AP1" s="39" t="s">
        <v>2</v>
      </c>
      <c r="AQ1" s="65" t="s">
        <v>3</v>
      </c>
      <c r="AR1" s="102" t="s">
        <v>113</v>
      </c>
      <c r="AS1" s="117" t="s">
        <v>5</v>
      </c>
      <c r="AT1" s="43" t="s">
        <v>6</v>
      </c>
      <c r="AU1" s="39" t="s">
        <v>2</v>
      </c>
      <c r="AV1" s="65" t="s">
        <v>3</v>
      </c>
      <c r="AW1" s="102" t="s">
        <v>113</v>
      </c>
      <c r="AX1" s="117" t="s">
        <v>5</v>
      </c>
      <c r="AY1" s="122" t="s">
        <v>6</v>
      </c>
      <c r="AZ1" s="181" t="s">
        <v>115</v>
      </c>
      <c r="BA1" s="39" t="s">
        <v>2</v>
      </c>
      <c r="BB1" s="65" t="s">
        <v>3</v>
      </c>
      <c r="BC1" s="102" t="s">
        <v>113</v>
      </c>
      <c r="BD1" s="117" t="s">
        <v>5</v>
      </c>
      <c r="BE1" s="122" t="s">
        <v>6</v>
      </c>
      <c r="BF1" s="181" t="s">
        <v>115</v>
      </c>
      <c r="BG1" s="39" t="s">
        <v>2</v>
      </c>
      <c r="BH1" s="65" t="s">
        <v>3</v>
      </c>
      <c r="BI1" s="102" t="s">
        <v>113</v>
      </c>
      <c r="BJ1" s="117" t="s">
        <v>5</v>
      </c>
      <c r="BK1" s="122" t="s">
        <v>6</v>
      </c>
      <c r="BL1" s="181" t="s">
        <v>115</v>
      </c>
      <c r="BM1" s="85" t="s">
        <v>2</v>
      </c>
      <c r="BN1" s="65" t="s">
        <v>3</v>
      </c>
      <c r="BO1" s="102" t="s">
        <v>113</v>
      </c>
      <c r="BP1" s="117" t="s">
        <v>5</v>
      </c>
      <c r="BQ1" s="122" t="s">
        <v>6</v>
      </c>
      <c r="BR1" s="181" t="s">
        <v>115</v>
      </c>
      <c r="BS1" s="39" t="s">
        <v>2</v>
      </c>
      <c r="BT1" s="65" t="s">
        <v>3</v>
      </c>
      <c r="BU1" s="102" t="s">
        <v>113</v>
      </c>
      <c r="BV1" s="117" t="s">
        <v>5</v>
      </c>
      <c r="BW1" s="122" t="s">
        <v>6</v>
      </c>
      <c r="BX1" s="181" t="s">
        <v>115</v>
      </c>
      <c r="BY1" s="39" t="s">
        <v>2</v>
      </c>
      <c r="BZ1" s="65" t="s">
        <v>3</v>
      </c>
      <c r="CA1" s="102" t="s">
        <v>113</v>
      </c>
      <c r="CB1" s="117" t="s">
        <v>5</v>
      </c>
      <c r="CC1" s="122" t="s">
        <v>6</v>
      </c>
      <c r="CD1" s="181" t="s">
        <v>115</v>
      </c>
      <c r="CE1" s="39" t="s">
        <v>2</v>
      </c>
      <c r="CF1" s="65" t="s">
        <v>3</v>
      </c>
      <c r="CG1" s="102" t="s">
        <v>113</v>
      </c>
      <c r="CH1" s="117" t="s">
        <v>5</v>
      </c>
      <c r="CI1" s="122" t="s">
        <v>6</v>
      </c>
      <c r="CJ1" s="181" t="s">
        <v>115</v>
      </c>
      <c r="CK1" s="39" t="s">
        <v>2</v>
      </c>
      <c r="CL1" s="65" t="s">
        <v>3</v>
      </c>
      <c r="CM1" s="102" t="s">
        <v>113</v>
      </c>
      <c r="CN1" s="117" t="s">
        <v>5</v>
      </c>
      <c r="CO1" s="122" t="s">
        <v>6</v>
      </c>
      <c r="CP1" s="181" t="s">
        <v>115</v>
      </c>
      <c r="CQ1" s="39" t="s">
        <v>2</v>
      </c>
      <c r="CR1" s="65" t="s">
        <v>3</v>
      </c>
      <c r="CS1" s="70" t="s">
        <v>113</v>
      </c>
      <c r="CT1" s="117" t="s">
        <v>5</v>
      </c>
      <c r="CU1" s="122" t="s">
        <v>6</v>
      </c>
      <c r="CV1" s="111" t="s">
        <v>115</v>
      </c>
      <c r="CW1" s="39" t="s">
        <v>2</v>
      </c>
      <c r="CX1" s="65" t="s">
        <v>3</v>
      </c>
      <c r="CY1" s="102" t="s">
        <v>113</v>
      </c>
      <c r="CZ1" s="117" t="s">
        <v>5</v>
      </c>
      <c r="DA1" s="122" t="s">
        <v>6</v>
      </c>
      <c r="DB1" s="111" t="s">
        <v>115</v>
      </c>
      <c r="DC1" s="39" t="s">
        <v>2</v>
      </c>
      <c r="DD1" s="65" t="s">
        <v>3</v>
      </c>
      <c r="DE1" s="70" t="s">
        <v>113</v>
      </c>
      <c r="DF1" s="117" t="s">
        <v>5</v>
      </c>
      <c r="DG1" s="122" t="s">
        <v>6</v>
      </c>
      <c r="DH1" s="111" t="s">
        <v>115</v>
      </c>
      <c r="DI1" s="39" t="s">
        <v>2</v>
      </c>
      <c r="DJ1" s="65" t="s">
        <v>3</v>
      </c>
      <c r="DK1" s="102" t="s">
        <v>113</v>
      </c>
      <c r="DL1" s="117" t="s">
        <v>5</v>
      </c>
      <c r="DM1" s="43" t="s">
        <v>6</v>
      </c>
      <c r="DN1" s="39" t="s">
        <v>2</v>
      </c>
      <c r="DO1" s="370" t="s">
        <v>3</v>
      </c>
      <c r="DP1" s="70" t="s">
        <v>113</v>
      </c>
      <c r="DQ1" s="117" t="s">
        <v>5</v>
      </c>
      <c r="DR1" s="43" t="s">
        <v>6</v>
      </c>
      <c r="DS1" s="39" t="s">
        <v>2</v>
      </c>
      <c r="DT1" s="65" t="s">
        <v>3</v>
      </c>
      <c r="DU1" s="102" t="s">
        <v>113</v>
      </c>
      <c r="DV1" s="117" t="s">
        <v>5</v>
      </c>
      <c r="DW1" s="122" t="s">
        <v>6</v>
      </c>
      <c r="DX1" s="252" t="s">
        <v>115</v>
      </c>
      <c r="DY1" s="39" t="s">
        <v>2</v>
      </c>
      <c r="DZ1" s="65" t="s">
        <v>3</v>
      </c>
      <c r="EA1" s="70" t="s">
        <v>113</v>
      </c>
      <c r="EB1" s="117" t="s">
        <v>5</v>
      </c>
      <c r="EC1" s="122" t="s">
        <v>6</v>
      </c>
      <c r="ED1" s="252" t="s">
        <v>115</v>
      </c>
      <c r="EE1" s="39" t="s">
        <v>2</v>
      </c>
      <c r="EF1" s="65" t="s">
        <v>3</v>
      </c>
      <c r="EG1" s="70" t="s">
        <v>113</v>
      </c>
      <c r="EH1" s="190" t="s">
        <v>5</v>
      </c>
      <c r="EI1" s="146" t="s">
        <v>6</v>
      </c>
      <c r="EJ1" s="39" t="s">
        <v>2</v>
      </c>
      <c r="EK1" s="65" t="s">
        <v>3</v>
      </c>
      <c r="EL1" s="102" t="s">
        <v>113</v>
      </c>
      <c r="EM1" s="146" t="s">
        <v>6</v>
      </c>
      <c r="EN1" s="39" t="s">
        <v>2</v>
      </c>
      <c r="EO1" s="65" t="s">
        <v>3</v>
      </c>
      <c r="EP1" s="70" t="s">
        <v>113</v>
      </c>
      <c r="EQ1" s="43" t="s">
        <v>6</v>
      </c>
      <c r="ER1" s="39" t="s">
        <v>2</v>
      </c>
      <c r="ES1" s="65" t="s">
        <v>3</v>
      </c>
      <c r="ET1" s="102" t="s">
        <v>113</v>
      </c>
      <c r="EU1" s="122" t="s">
        <v>6</v>
      </c>
      <c r="EV1" s="171" t="s">
        <v>6</v>
      </c>
      <c r="EW1" s="85" t="s">
        <v>3</v>
      </c>
      <c r="EX1" s="246" t="s">
        <v>6</v>
      </c>
      <c r="EY1" s="85" t="s">
        <v>3</v>
      </c>
      <c r="EZ1" s="89" t="s">
        <v>113</v>
      </c>
      <c r="FA1" s="39" t="s">
        <v>2</v>
      </c>
      <c r="FB1" s="65" t="s">
        <v>3</v>
      </c>
      <c r="FC1" s="102" t="s">
        <v>113</v>
      </c>
      <c r="FD1" s="122" t="s">
        <v>6</v>
      </c>
      <c r="FE1" s="195" t="s">
        <v>6</v>
      </c>
      <c r="FF1" s="85" t="s">
        <v>3</v>
      </c>
      <c r="FG1" s="70" t="s">
        <v>113</v>
      </c>
      <c r="FH1" s="43" t="s">
        <v>6</v>
      </c>
      <c r="FI1" s="39" t="s">
        <v>2</v>
      </c>
      <c r="FJ1" s="65" t="s">
        <v>3</v>
      </c>
      <c r="FK1" s="102" t="s">
        <v>113</v>
      </c>
      <c r="FL1" s="43" t="s">
        <v>6</v>
      </c>
      <c r="FM1" s="39" t="s">
        <v>2</v>
      </c>
      <c r="FN1" s="146" t="s">
        <v>6</v>
      </c>
      <c r="FO1" s="206" t="s">
        <v>6</v>
      </c>
      <c r="FP1" s="206" t="s">
        <v>6</v>
      </c>
      <c r="FQ1" s="39" t="s">
        <v>2</v>
      </c>
      <c r="FR1" s="65" t="s">
        <v>3</v>
      </c>
      <c r="FS1" s="102" t="s">
        <v>113</v>
      </c>
      <c r="FT1" s="111" t="s">
        <v>115</v>
      </c>
      <c r="FU1" s="85" t="s">
        <v>3</v>
      </c>
      <c r="FV1" s="102" t="s">
        <v>113</v>
      </c>
      <c r="FW1" s="146" t="s">
        <v>6</v>
      </c>
      <c r="FX1" s="238" t="s">
        <v>2</v>
      </c>
      <c r="FY1" s="289" t="s">
        <v>6</v>
      </c>
      <c r="FZ1" s="111" t="s">
        <v>115</v>
      </c>
      <c r="GA1" s="85" t="s">
        <v>3</v>
      </c>
      <c r="GB1" s="102" t="s">
        <v>113</v>
      </c>
      <c r="GC1" s="153" t="s">
        <v>6</v>
      </c>
      <c r="GD1" s="172" t="s">
        <v>115</v>
      </c>
      <c r="GE1" s="85" t="s">
        <v>3</v>
      </c>
      <c r="GF1" s="146" t="s">
        <v>6</v>
      </c>
      <c r="GG1" s="43" t="s">
        <v>6</v>
      </c>
      <c r="GH1" s="102" t="s">
        <v>113</v>
      </c>
      <c r="GI1" s="246" t="s">
        <v>6</v>
      </c>
      <c r="GJ1" s="197" t="s">
        <v>2</v>
      </c>
      <c r="GK1" s="75" t="s">
        <v>113</v>
      </c>
      <c r="GL1" s="39" t="s">
        <v>2</v>
      </c>
      <c r="GM1" s="89" t="s">
        <v>113</v>
      </c>
      <c r="GN1" s="102" t="s">
        <v>113</v>
      </c>
      <c r="GO1" s="95" t="s">
        <v>113</v>
      </c>
      <c r="GP1" s="39" t="s">
        <v>2</v>
      </c>
      <c r="GQ1" s="89" t="s">
        <v>113</v>
      </c>
      <c r="GR1" s="47" t="s">
        <v>2</v>
      </c>
      <c r="GS1" s="95" t="s">
        <v>113</v>
      </c>
      <c r="GT1" s="95" t="s">
        <v>113</v>
      </c>
      <c r="GU1" s="95" t="s">
        <v>113</v>
      </c>
      <c r="GV1" s="39" t="s">
        <v>2</v>
      </c>
      <c r="GW1" s="89" t="s">
        <v>113</v>
      </c>
      <c r="GX1" s="279" t="s">
        <v>113</v>
      </c>
      <c r="GY1" s="39" t="s">
        <v>2</v>
      </c>
      <c r="GZ1" s="102" t="s">
        <v>113</v>
      </c>
      <c r="HA1" s="111" t="s">
        <v>115</v>
      </c>
      <c r="HB1" s="272" t="s">
        <v>2</v>
      </c>
      <c r="HC1" s="39" t="s">
        <v>2</v>
      </c>
      <c r="HD1" s="89" t="s">
        <v>113</v>
      </c>
      <c r="HE1" s="39" t="s">
        <v>2</v>
      </c>
      <c r="HF1" s="89" t="s">
        <v>113</v>
      </c>
      <c r="HG1" s="39" t="s">
        <v>2</v>
      </c>
      <c r="HH1" s="102" t="s">
        <v>113</v>
      </c>
      <c r="HI1" s="181" t="s">
        <v>115</v>
      </c>
      <c r="HJ1" s="75" t="s">
        <v>113</v>
      </c>
      <c r="HK1" s="47" t="s">
        <v>2</v>
      </c>
      <c r="HL1" s="39" t="s">
        <v>2</v>
      </c>
      <c r="HM1" s="102" t="s">
        <v>113</v>
      </c>
      <c r="HN1" s="111" t="s">
        <v>115</v>
      </c>
      <c r="HO1" s="39" t="s">
        <v>2</v>
      </c>
      <c r="HP1" s="89" t="s">
        <v>113</v>
      </c>
      <c r="HQ1" s="39" t="s">
        <v>2</v>
      </c>
      <c r="HR1" s="89" t="s">
        <v>113</v>
      </c>
      <c r="HS1" s="35" t="s">
        <v>2</v>
      </c>
      <c r="HT1" s="97" t="s">
        <v>113</v>
      </c>
      <c r="HU1" s="39" t="s">
        <v>2</v>
      </c>
      <c r="HV1" s="89" t="s">
        <v>113</v>
      </c>
      <c r="HW1" s="39" t="s">
        <v>2</v>
      </c>
      <c r="HX1" s="89" t="s">
        <v>113</v>
      </c>
      <c r="HY1" s="35" t="s">
        <v>2</v>
      </c>
      <c r="HZ1" s="39" t="s">
        <v>2</v>
      </c>
      <c r="IA1" s="75" t="s">
        <v>113</v>
      </c>
      <c r="IB1" s="39" t="s">
        <v>2</v>
      </c>
      <c r="IC1" s="89" t="s">
        <v>113</v>
      </c>
      <c r="ID1" s="39" t="s">
        <v>2</v>
      </c>
      <c r="IE1" s="75" t="s">
        <v>113</v>
      </c>
      <c r="IF1" s="47" t="s">
        <v>2</v>
      </c>
      <c r="IG1" s="35" t="s">
        <v>2</v>
      </c>
      <c r="IH1" s="31" t="s">
        <v>2</v>
      </c>
      <c r="II1" s="286" t="s">
        <v>113</v>
      </c>
      <c r="IJ1" s="256" t="s">
        <v>232</v>
      </c>
      <c r="IK1" s="257" t="s">
        <v>232</v>
      </c>
      <c r="IL1" s="257" t="s">
        <v>232</v>
      </c>
      <c r="IM1" s="47" t="s">
        <v>2</v>
      </c>
      <c r="IN1" s="39" t="s">
        <v>2</v>
      </c>
      <c r="IO1" s="181" t="s">
        <v>115</v>
      </c>
      <c r="IP1" s="257" t="s">
        <v>232</v>
      </c>
      <c r="IQ1" s="257" t="s">
        <v>232</v>
      </c>
      <c r="IR1" s="257" t="s">
        <v>232</v>
      </c>
      <c r="IS1" s="257" t="s">
        <v>232</v>
      </c>
      <c r="IT1" s="257" t="s">
        <v>232</v>
      </c>
      <c r="IU1" s="257" t="s">
        <v>232</v>
      </c>
      <c r="IV1" s="376" t="s">
        <v>232</v>
      </c>
      <c r="IW1" s="257" t="s">
        <v>232</v>
      </c>
    </row>
    <row r="2" spans="1:257" s="24" customFormat="1" ht="20.100000000000001" customHeight="1" x14ac:dyDescent="0.25">
      <c r="A2" s="438"/>
      <c r="B2" s="438"/>
      <c r="C2" s="101" t="s">
        <v>158</v>
      </c>
      <c r="D2" s="382" t="s">
        <v>7</v>
      </c>
      <c r="E2" s="382" t="s">
        <v>7</v>
      </c>
      <c r="F2" s="141" t="s">
        <v>7</v>
      </c>
      <c r="G2" s="141" t="s">
        <v>7</v>
      </c>
      <c r="H2" s="80" t="s">
        <v>7</v>
      </c>
      <c r="I2" s="98" t="s">
        <v>7</v>
      </c>
      <c r="J2" s="278" t="s">
        <v>7</v>
      </c>
      <c r="K2" s="39" t="s">
        <v>7</v>
      </c>
      <c r="L2" s="65" t="s">
        <v>7</v>
      </c>
      <c r="M2" s="89" t="s">
        <v>7</v>
      </c>
      <c r="N2" s="39" t="s">
        <v>7</v>
      </c>
      <c r="O2" s="370" t="s">
        <v>7</v>
      </c>
      <c r="P2" s="102" t="s">
        <v>7</v>
      </c>
      <c r="Q2" s="159" t="s">
        <v>7</v>
      </c>
      <c r="R2" s="111" t="s">
        <v>7</v>
      </c>
      <c r="S2" s="70" t="s">
        <v>8</v>
      </c>
      <c r="T2" s="39" t="s">
        <v>7</v>
      </c>
      <c r="U2" s="65" t="s">
        <v>7</v>
      </c>
      <c r="V2" s="70" t="s">
        <v>7</v>
      </c>
      <c r="W2" s="159" t="s">
        <v>7</v>
      </c>
      <c r="X2" s="39" t="s">
        <v>7</v>
      </c>
      <c r="Y2" s="65" t="s">
        <v>7</v>
      </c>
      <c r="Z2" s="75" t="s">
        <v>7</v>
      </c>
      <c r="AA2" s="39" t="s">
        <v>7</v>
      </c>
      <c r="AB2" s="65" t="s">
        <v>7</v>
      </c>
      <c r="AC2" s="102" t="s">
        <v>7</v>
      </c>
      <c r="AD2" s="111" t="s">
        <v>7</v>
      </c>
      <c r="AE2" s="39" t="s">
        <v>7</v>
      </c>
      <c r="AF2" s="65" t="s">
        <v>7</v>
      </c>
      <c r="AG2" s="102" t="s">
        <v>7</v>
      </c>
      <c r="AH2" s="117" t="s">
        <v>7</v>
      </c>
      <c r="AI2" s="122" t="s">
        <v>7</v>
      </c>
      <c r="AJ2" s="159" t="s">
        <v>7</v>
      </c>
      <c r="AK2" s="239" t="s">
        <v>7</v>
      </c>
      <c r="AL2" s="39" t="s">
        <v>7</v>
      </c>
      <c r="AM2" s="65" t="s">
        <v>7</v>
      </c>
      <c r="AN2" s="102" t="s">
        <v>7</v>
      </c>
      <c r="AO2" s="43" t="s">
        <v>7</v>
      </c>
      <c r="AP2" s="39" t="s">
        <v>7</v>
      </c>
      <c r="AQ2" s="65" t="s">
        <v>7</v>
      </c>
      <c r="AR2" s="102" t="s">
        <v>7</v>
      </c>
      <c r="AS2" s="117" t="s">
        <v>7</v>
      </c>
      <c r="AT2" s="43" t="s">
        <v>7</v>
      </c>
      <c r="AU2" s="39" t="s">
        <v>7</v>
      </c>
      <c r="AV2" s="65" t="s">
        <v>7</v>
      </c>
      <c r="AW2" s="102" t="s">
        <v>7</v>
      </c>
      <c r="AX2" s="117" t="s">
        <v>7</v>
      </c>
      <c r="AY2" s="122" t="s">
        <v>7</v>
      </c>
      <c r="AZ2" s="181" t="s">
        <v>7</v>
      </c>
      <c r="BA2" s="39" t="s">
        <v>7</v>
      </c>
      <c r="BB2" s="65" t="s">
        <v>7</v>
      </c>
      <c r="BC2" s="102" t="s">
        <v>7</v>
      </c>
      <c r="BD2" s="117" t="s">
        <v>7</v>
      </c>
      <c r="BE2" s="122" t="s">
        <v>7</v>
      </c>
      <c r="BF2" s="181" t="s">
        <v>7</v>
      </c>
      <c r="BG2" s="39" t="s">
        <v>7</v>
      </c>
      <c r="BH2" s="65" t="s">
        <v>7</v>
      </c>
      <c r="BI2" s="102" t="s">
        <v>7</v>
      </c>
      <c r="BJ2" s="117" t="s">
        <v>7</v>
      </c>
      <c r="BK2" s="122" t="s">
        <v>7</v>
      </c>
      <c r="BL2" s="181" t="s">
        <v>7</v>
      </c>
      <c r="BM2" s="85" t="s">
        <v>7</v>
      </c>
      <c r="BN2" s="65" t="s">
        <v>7</v>
      </c>
      <c r="BO2" s="102" t="s">
        <v>7</v>
      </c>
      <c r="BP2" s="117" t="s">
        <v>7</v>
      </c>
      <c r="BQ2" s="122" t="s">
        <v>7</v>
      </c>
      <c r="BR2" s="181" t="s">
        <v>7</v>
      </c>
      <c r="BS2" s="39" t="s">
        <v>7</v>
      </c>
      <c r="BT2" s="65" t="s">
        <v>7</v>
      </c>
      <c r="BU2" s="102" t="s">
        <v>7</v>
      </c>
      <c r="BV2" s="117" t="s">
        <v>7</v>
      </c>
      <c r="BW2" s="122" t="s">
        <v>7</v>
      </c>
      <c r="BX2" s="181" t="s">
        <v>7</v>
      </c>
      <c r="BY2" s="39" t="s">
        <v>7</v>
      </c>
      <c r="BZ2" s="65" t="s">
        <v>7</v>
      </c>
      <c r="CA2" s="102" t="s">
        <v>7</v>
      </c>
      <c r="CB2" s="117" t="s">
        <v>7</v>
      </c>
      <c r="CC2" s="122" t="s">
        <v>7</v>
      </c>
      <c r="CD2" s="181" t="s">
        <v>7</v>
      </c>
      <c r="CE2" s="39" t="s">
        <v>7</v>
      </c>
      <c r="CF2" s="65" t="s">
        <v>7</v>
      </c>
      <c r="CG2" s="102" t="s">
        <v>7</v>
      </c>
      <c r="CH2" s="117" t="s">
        <v>7</v>
      </c>
      <c r="CI2" s="122" t="s">
        <v>7</v>
      </c>
      <c r="CJ2" s="181" t="s">
        <v>7</v>
      </c>
      <c r="CK2" s="39" t="s">
        <v>7</v>
      </c>
      <c r="CL2" s="65" t="s">
        <v>7</v>
      </c>
      <c r="CM2" s="102" t="s">
        <v>7</v>
      </c>
      <c r="CN2" s="117" t="s">
        <v>7</v>
      </c>
      <c r="CO2" s="122" t="s">
        <v>7</v>
      </c>
      <c r="CP2" s="181" t="s">
        <v>7</v>
      </c>
      <c r="CQ2" s="39" t="s">
        <v>7</v>
      </c>
      <c r="CR2" s="65" t="s">
        <v>7</v>
      </c>
      <c r="CS2" s="70" t="s">
        <v>7</v>
      </c>
      <c r="CT2" s="117" t="s">
        <v>7</v>
      </c>
      <c r="CU2" s="122" t="s">
        <v>7</v>
      </c>
      <c r="CV2" s="111" t="s">
        <v>7</v>
      </c>
      <c r="CW2" s="39" t="s">
        <v>7</v>
      </c>
      <c r="CX2" s="65" t="s">
        <v>7</v>
      </c>
      <c r="CY2" s="102" t="s">
        <v>7</v>
      </c>
      <c r="CZ2" s="117" t="s">
        <v>7</v>
      </c>
      <c r="DA2" s="122" t="s">
        <v>7</v>
      </c>
      <c r="DB2" s="111" t="s">
        <v>7</v>
      </c>
      <c r="DC2" s="39" t="s">
        <v>7</v>
      </c>
      <c r="DD2" s="65" t="s">
        <v>7</v>
      </c>
      <c r="DE2" s="70" t="s">
        <v>7</v>
      </c>
      <c r="DF2" s="117" t="s">
        <v>7</v>
      </c>
      <c r="DG2" s="122" t="s">
        <v>7</v>
      </c>
      <c r="DH2" s="111" t="s">
        <v>7</v>
      </c>
      <c r="DI2" s="39" t="s">
        <v>7</v>
      </c>
      <c r="DJ2" s="65" t="s">
        <v>7</v>
      </c>
      <c r="DK2" s="102" t="s">
        <v>7</v>
      </c>
      <c r="DL2" s="117" t="s">
        <v>7</v>
      </c>
      <c r="DM2" s="43" t="s">
        <v>7</v>
      </c>
      <c r="DN2" s="39" t="s">
        <v>7</v>
      </c>
      <c r="DO2" s="370" t="s">
        <v>7</v>
      </c>
      <c r="DP2" s="70" t="s">
        <v>7</v>
      </c>
      <c r="DQ2" s="117" t="s">
        <v>7</v>
      </c>
      <c r="DR2" s="43" t="s">
        <v>7</v>
      </c>
      <c r="DS2" s="39" t="s">
        <v>7</v>
      </c>
      <c r="DT2" s="65" t="s">
        <v>7</v>
      </c>
      <c r="DU2" s="102" t="s">
        <v>7</v>
      </c>
      <c r="DV2" s="117" t="s">
        <v>7</v>
      </c>
      <c r="DW2" s="122" t="s">
        <v>7</v>
      </c>
      <c r="DX2" s="253" t="s">
        <v>7</v>
      </c>
      <c r="DY2" s="39" t="s">
        <v>7</v>
      </c>
      <c r="DZ2" s="65" t="s">
        <v>7</v>
      </c>
      <c r="EA2" s="70" t="s">
        <v>7</v>
      </c>
      <c r="EB2" s="117" t="s">
        <v>7</v>
      </c>
      <c r="EC2" s="122" t="s">
        <v>7</v>
      </c>
      <c r="ED2" s="252" t="s">
        <v>7</v>
      </c>
      <c r="EE2" s="39" t="s">
        <v>7</v>
      </c>
      <c r="EF2" s="65" t="s">
        <v>7</v>
      </c>
      <c r="EG2" s="70" t="s">
        <v>7</v>
      </c>
      <c r="EH2" s="190" t="s">
        <v>7</v>
      </c>
      <c r="EI2" s="146" t="s">
        <v>7</v>
      </c>
      <c r="EJ2" s="39" t="s">
        <v>7</v>
      </c>
      <c r="EK2" s="65" t="s">
        <v>7</v>
      </c>
      <c r="EL2" s="102" t="s">
        <v>7</v>
      </c>
      <c r="EM2" s="146" t="s">
        <v>7</v>
      </c>
      <c r="EN2" s="39" t="s">
        <v>7</v>
      </c>
      <c r="EO2" s="65" t="s">
        <v>7</v>
      </c>
      <c r="EP2" s="70" t="s">
        <v>7</v>
      </c>
      <c r="EQ2" s="43" t="s">
        <v>7</v>
      </c>
      <c r="ER2" s="39" t="s">
        <v>7</v>
      </c>
      <c r="ES2" s="65" t="s">
        <v>7</v>
      </c>
      <c r="ET2" s="102" t="s">
        <v>7</v>
      </c>
      <c r="EU2" s="122" t="s">
        <v>7</v>
      </c>
      <c r="EV2" s="171" t="s">
        <v>142</v>
      </c>
      <c r="EW2" s="85" t="s">
        <v>7</v>
      </c>
      <c r="EX2" s="246" t="s">
        <v>142</v>
      </c>
      <c r="EY2" s="85" t="s">
        <v>9</v>
      </c>
      <c r="EZ2" s="89" t="s">
        <v>9</v>
      </c>
      <c r="FA2" s="39" t="s">
        <v>9</v>
      </c>
      <c r="FB2" s="65" t="s">
        <v>9</v>
      </c>
      <c r="FC2" s="102" t="s">
        <v>9</v>
      </c>
      <c r="FD2" s="122" t="s">
        <v>9</v>
      </c>
      <c r="FE2" s="195" t="s">
        <v>142</v>
      </c>
      <c r="FF2" s="85" t="s">
        <v>9</v>
      </c>
      <c r="FG2" s="70" t="s">
        <v>9</v>
      </c>
      <c r="FH2" s="43" t="s">
        <v>9</v>
      </c>
      <c r="FI2" s="39" t="s">
        <v>9</v>
      </c>
      <c r="FJ2" s="65" t="s">
        <v>9</v>
      </c>
      <c r="FK2" s="102" t="s">
        <v>9</v>
      </c>
      <c r="FL2" s="43" t="s">
        <v>9</v>
      </c>
      <c r="FM2" s="39" t="s">
        <v>9</v>
      </c>
      <c r="FN2" s="146" t="s">
        <v>9</v>
      </c>
      <c r="FO2" s="206" t="s">
        <v>9</v>
      </c>
      <c r="FP2" s="206" t="s">
        <v>9</v>
      </c>
      <c r="FQ2" s="39" t="s">
        <v>9</v>
      </c>
      <c r="FR2" s="65" t="s">
        <v>9</v>
      </c>
      <c r="FS2" s="102" t="s">
        <v>9</v>
      </c>
      <c r="FT2" s="111" t="s">
        <v>9</v>
      </c>
      <c r="FU2" s="85" t="s">
        <v>9</v>
      </c>
      <c r="FV2" s="102" t="s">
        <v>9</v>
      </c>
      <c r="FW2" s="146" t="s">
        <v>9</v>
      </c>
      <c r="FX2" s="31" t="s">
        <v>9</v>
      </c>
      <c r="FY2" s="289" t="s">
        <v>9</v>
      </c>
      <c r="FZ2" s="111" t="s">
        <v>9</v>
      </c>
      <c r="GA2" s="85" t="s">
        <v>9</v>
      </c>
      <c r="GB2" s="102" t="s">
        <v>9</v>
      </c>
      <c r="GC2" s="153" t="s">
        <v>9</v>
      </c>
      <c r="GD2" s="111" t="s">
        <v>9</v>
      </c>
      <c r="GE2" s="85" t="s">
        <v>9</v>
      </c>
      <c r="GF2" s="146" t="s">
        <v>9</v>
      </c>
      <c r="GG2" s="43" t="s">
        <v>227</v>
      </c>
      <c r="GH2" s="102" t="s">
        <v>9</v>
      </c>
      <c r="GI2" s="246" t="s">
        <v>9</v>
      </c>
      <c r="GJ2" s="198" t="s">
        <v>7</v>
      </c>
      <c r="GK2" s="75" t="s">
        <v>7</v>
      </c>
      <c r="GL2" s="100" t="s">
        <v>7</v>
      </c>
      <c r="GM2" s="89" t="s">
        <v>7</v>
      </c>
      <c r="GN2" s="102" t="s">
        <v>7</v>
      </c>
      <c r="GO2" s="95" t="s">
        <v>7</v>
      </c>
      <c r="GP2" s="100" t="s">
        <v>7</v>
      </c>
      <c r="GQ2" s="89" t="s">
        <v>7</v>
      </c>
      <c r="GR2" s="116" t="s">
        <v>7</v>
      </c>
      <c r="GS2" s="95" t="s">
        <v>7</v>
      </c>
      <c r="GT2" s="107" t="s">
        <v>7</v>
      </c>
      <c r="GU2" s="95" t="s">
        <v>7</v>
      </c>
      <c r="GV2" s="100" t="s">
        <v>7</v>
      </c>
      <c r="GW2" s="89" t="s">
        <v>7</v>
      </c>
      <c r="GX2" s="279" t="s">
        <v>7</v>
      </c>
      <c r="GY2" s="39" t="s">
        <v>7</v>
      </c>
      <c r="GZ2" s="102" t="s">
        <v>7</v>
      </c>
      <c r="HA2" s="111" t="s">
        <v>7</v>
      </c>
      <c r="HB2" s="272" t="s">
        <v>7</v>
      </c>
      <c r="HC2" s="100" t="s">
        <v>7</v>
      </c>
      <c r="HD2" s="89" t="s">
        <v>7</v>
      </c>
      <c r="HE2" s="100" t="s">
        <v>7</v>
      </c>
      <c r="HF2" s="89" t="s">
        <v>7</v>
      </c>
      <c r="HG2" s="100" t="s">
        <v>7</v>
      </c>
      <c r="HH2" s="102" t="s">
        <v>7</v>
      </c>
      <c r="HI2" s="181" t="s">
        <v>7</v>
      </c>
      <c r="HJ2" s="75" t="s">
        <v>7</v>
      </c>
      <c r="HK2" s="47" t="s">
        <v>7</v>
      </c>
      <c r="HL2" s="39" t="s">
        <v>7</v>
      </c>
      <c r="HM2" s="102" t="s">
        <v>7</v>
      </c>
      <c r="HN2" s="111" t="s">
        <v>7</v>
      </c>
      <c r="HO2" s="39" t="s">
        <v>7</v>
      </c>
      <c r="HP2" s="89" t="s">
        <v>7</v>
      </c>
      <c r="HQ2" s="39" t="s">
        <v>7</v>
      </c>
      <c r="HR2" s="89" t="s">
        <v>7</v>
      </c>
      <c r="HS2" s="35" t="s">
        <v>7</v>
      </c>
      <c r="HT2" s="97" t="s">
        <v>7</v>
      </c>
      <c r="HU2" s="39" t="s">
        <v>7</v>
      </c>
      <c r="HV2" s="89" t="s">
        <v>7</v>
      </c>
      <c r="HW2" s="39" t="s">
        <v>7</v>
      </c>
      <c r="HX2" s="89" t="s">
        <v>7</v>
      </c>
      <c r="HY2" s="35" t="s">
        <v>7</v>
      </c>
      <c r="HZ2" s="39" t="s">
        <v>7</v>
      </c>
      <c r="IA2" s="75" t="s">
        <v>7</v>
      </c>
      <c r="IB2" s="39" t="s">
        <v>7</v>
      </c>
      <c r="IC2" s="89" t="s">
        <v>7</v>
      </c>
      <c r="ID2" s="39" t="s">
        <v>7</v>
      </c>
      <c r="IE2" s="75" t="s">
        <v>7</v>
      </c>
      <c r="IF2" s="47" t="s">
        <v>7</v>
      </c>
      <c r="IG2" s="35" t="s">
        <v>7</v>
      </c>
      <c r="IH2" s="31" t="s">
        <v>7</v>
      </c>
      <c r="II2" s="286" t="s">
        <v>7</v>
      </c>
      <c r="IJ2" s="256" t="s">
        <v>232</v>
      </c>
      <c r="IK2" s="257" t="s">
        <v>232</v>
      </c>
      <c r="IL2" s="257" t="s">
        <v>232</v>
      </c>
      <c r="IM2" s="47" t="s">
        <v>234</v>
      </c>
      <c r="IN2" s="39" t="s">
        <v>234</v>
      </c>
      <c r="IO2" s="181" t="s">
        <v>8</v>
      </c>
      <c r="IP2" s="257" t="s">
        <v>232</v>
      </c>
      <c r="IQ2" s="257" t="s">
        <v>232</v>
      </c>
      <c r="IR2" s="257" t="s">
        <v>232</v>
      </c>
      <c r="IS2" s="257" t="s">
        <v>232</v>
      </c>
      <c r="IT2" s="257" t="s">
        <v>232</v>
      </c>
      <c r="IU2" s="257" t="s">
        <v>232</v>
      </c>
      <c r="IV2" s="376" t="s">
        <v>232</v>
      </c>
      <c r="IW2" s="257" t="s">
        <v>232</v>
      </c>
    </row>
    <row r="3" spans="1:257" s="24" customFormat="1" ht="20.100000000000001" customHeight="1" x14ac:dyDescent="0.25">
      <c r="A3" s="438"/>
      <c r="B3" s="438"/>
      <c r="C3" s="101" t="s">
        <v>159</v>
      </c>
      <c r="D3" s="382" t="s">
        <v>128</v>
      </c>
      <c r="E3" s="382" t="s">
        <v>128</v>
      </c>
      <c r="F3" s="141" t="s">
        <v>128</v>
      </c>
      <c r="G3" s="141" t="s">
        <v>128</v>
      </c>
      <c r="H3" s="80" t="s">
        <v>55</v>
      </c>
      <c r="I3" s="98" t="s">
        <v>55</v>
      </c>
      <c r="J3" s="278" t="s">
        <v>143</v>
      </c>
      <c r="K3" s="39" t="s">
        <v>55</v>
      </c>
      <c r="L3" s="65" t="s">
        <v>55</v>
      </c>
      <c r="M3" s="89" t="s">
        <v>55</v>
      </c>
      <c r="N3" s="39" t="s">
        <v>55</v>
      </c>
      <c r="O3" s="370" t="s">
        <v>55</v>
      </c>
      <c r="P3" s="102" t="s">
        <v>55</v>
      </c>
      <c r="Q3" s="159" t="s">
        <v>55</v>
      </c>
      <c r="R3" s="111" t="s">
        <v>55</v>
      </c>
      <c r="S3" s="70" t="s">
        <v>143</v>
      </c>
      <c r="T3" s="39" t="s">
        <v>55</v>
      </c>
      <c r="U3" s="65" t="s">
        <v>55</v>
      </c>
      <c r="V3" s="70" t="s">
        <v>55</v>
      </c>
      <c r="W3" s="159" t="s">
        <v>55</v>
      </c>
      <c r="X3" s="39" t="s">
        <v>55</v>
      </c>
      <c r="Y3" s="65" t="s">
        <v>55</v>
      </c>
      <c r="Z3" s="75" t="s">
        <v>55</v>
      </c>
      <c r="AA3" s="39" t="s">
        <v>55</v>
      </c>
      <c r="AB3" s="65" t="s">
        <v>55</v>
      </c>
      <c r="AC3" s="102" t="s">
        <v>55</v>
      </c>
      <c r="AD3" s="111" t="s">
        <v>55</v>
      </c>
      <c r="AE3" s="39" t="s">
        <v>55</v>
      </c>
      <c r="AF3" s="65" t="s">
        <v>55</v>
      </c>
      <c r="AG3" s="102" t="s">
        <v>55</v>
      </c>
      <c r="AH3" s="117" t="s">
        <v>55</v>
      </c>
      <c r="AI3" s="122" t="s">
        <v>55</v>
      </c>
      <c r="AJ3" s="159" t="s">
        <v>55</v>
      </c>
      <c r="AK3" s="239" t="s">
        <v>55</v>
      </c>
      <c r="AL3" s="39" t="s">
        <v>55</v>
      </c>
      <c r="AM3" s="65" t="s">
        <v>55</v>
      </c>
      <c r="AN3" s="102" t="s">
        <v>55</v>
      </c>
      <c r="AO3" s="43" t="s">
        <v>55</v>
      </c>
      <c r="AP3" s="39" t="s">
        <v>55</v>
      </c>
      <c r="AQ3" s="65" t="s">
        <v>55</v>
      </c>
      <c r="AR3" s="102" t="s">
        <v>55</v>
      </c>
      <c r="AS3" s="117" t="s">
        <v>55</v>
      </c>
      <c r="AT3" s="43" t="s">
        <v>55</v>
      </c>
      <c r="AU3" s="39" t="s">
        <v>55</v>
      </c>
      <c r="AV3" s="65" t="s">
        <v>55</v>
      </c>
      <c r="AW3" s="102" t="s">
        <v>55</v>
      </c>
      <c r="AX3" s="117" t="s">
        <v>55</v>
      </c>
      <c r="AY3" s="122" t="s">
        <v>55</v>
      </c>
      <c r="AZ3" s="181" t="s">
        <v>55</v>
      </c>
      <c r="BA3" s="39" t="s">
        <v>55</v>
      </c>
      <c r="BB3" s="65" t="s">
        <v>55</v>
      </c>
      <c r="BC3" s="102" t="s">
        <v>55</v>
      </c>
      <c r="BD3" s="117" t="s">
        <v>55</v>
      </c>
      <c r="BE3" s="122" t="s">
        <v>55</v>
      </c>
      <c r="BF3" s="181" t="s">
        <v>55</v>
      </c>
      <c r="BG3" s="39" t="s">
        <v>55</v>
      </c>
      <c r="BH3" s="65" t="s">
        <v>55</v>
      </c>
      <c r="BI3" s="102" t="s">
        <v>55</v>
      </c>
      <c r="BJ3" s="117" t="s">
        <v>55</v>
      </c>
      <c r="BK3" s="122" t="s">
        <v>55</v>
      </c>
      <c r="BL3" s="181" t="s">
        <v>55</v>
      </c>
      <c r="BM3" s="85" t="s">
        <v>55</v>
      </c>
      <c r="BN3" s="65" t="s">
        <v>55</v>
      </c>
      <c r="BO3" s="102" t="s">
        <v>55</v>
      </c>
      <c r="BP3" s="117" t="s">
        <v>55</v>
      </c>
      <c r="BQ3" s="122" t="s">
        <v>55</v>
      </c>
      <c r="BR3" s="181" t="s">
        <v>55</v>
      </c>
      <c r="BS3" s="39" t="s">
        <v>55</v>
      </c>
      <c r="BT3" s="65" t="s">
        <v>55</v>
      </c>
      <c r="BU3" s="102" t="s">
        <v>55</v>
      </c>
      <c r="BV3" s="117" t="s">
        <v>55</v>
      </c>
      <c r="BW3" s="122" t="s">
        <v>55</v>
      </c>
      <c r="BX3" s="181" t="s">
        <v>55</v>
      </c>
      <c r="BY3" s="39" t="s">
        <v>55</v>
      </c>
      <c r="BZ3" s="65" t="s">
        <v>55</v>
      </c>
      <c r="CA3" s="102" t="s">
        <v>55</v>
      </c>
      <c r="CB3" s="117" t="s">
        <v>55</v>
      </c>
      <c r="CC3" s="122" t="s">
        <v>55</v>
      </c>
      <c r="CD3" s="181" t="s">
        <v>55</v>
      </c>
      <c r="CE3" s="39" t="s">
        <v>55</v>
      </c>
      <c r="CF3" s="65" t="s">
        <v>55</v>
      </c>
      <c r="CG3" s="102" t="s">
        <v>55</v>
      </c>
      <c r="CH3" s="117" t="s">
        <v>55</v>
      </c>
      <c r="CI3" s="122" t="s">
        <v>55</v>
      </c>
      <c r="CJ3" s="181" t="s">
        <v>55</v>
      </c>
      <c r="CK3" s="39" t="s">
        <v>55</v>
      </c>
      <c r="CL3" s="65" t="s">
        <v>55</v>
      </c>
      <c r="CM3" s="102" t="s">
        <v>55</v>
      </c>
      <c r="CN3" s="117" t="s">
        <v>55</v>
      </c>
      <c r="CO3" s="122" t="s">
        <v>55</v>
      </c>
      <c r="CP3" s="181" t="s">
        <v>55</v>
      </c>
      <c r="CQ3" s="39" t="s">
        <v>55</v>
      </c>
      <c r="CR3" s="65" t="s">
        <v>55</v>
      </c>
      <c r="CS3" s="70" t="s">
        <v>55</v>
      </c>
      <c r="CT3" s="117" t="s">
        <v>55</v>
      </c>
      <c r="CU3" s="122" t="s">
        <v>55</v>
      </c>
      <c r="CV3" s="111" t="s">
        <v>55</v>
      </c>
      <c r="CW3" s="39" t="s">
        <v>55</v>
      </c>
      <c r="CX3" s="65" t="s">
        <v>55</v>
      </c>
      <c r="CY3" s="102" t="s">
        <v>55</v>
      </c>
      <c r="CZ3" s="117" t="s">
        <v>55</v>
      </c>
      <c r="DA3" s="122" t="s">
        <v>55</v>
      </c>
      <c r="DB3" s="111" t="s">
        <v>55</v>
      </c>
      <c r="DC3" s="39" t="s">
        <v>55</v>
      </c>
      <c r="DD3" s="65" t="s">
        <v>55</v>
      </c>
      <c r="DE3" s="70" t="s">
        <v>55</v>
      </c>
      <c r="DF3" s="117" t="s">
        <v>55</v>
      </c>
      <c r="DG3" s="122" t="s">
        <v>55</v>
      </c>
      <c r="DH3" s="111" t="s">
        <v>55</v>
      </c>
      <c r="DI3" s="39" t="s">
        <v>55</v>
      </c>
      <c r="DJ3" s="65" t="s">
        <v>55</v>
      </c>
      <c r="DK3" s="102" t="s">
        <v>55</v>
      </c>
      <c r="DL3" s="117" t="s">
        <v>55</v>
      </c>
      <c r="DM3" s="43" t="s">
        <v>55</v>
      </c>
      <c r="DN3" s="39" t="s">
        <v>55</v>
      </c>
      <c r="DO3" s="370" t="s">
        <v>55</v>
      </c>
      <c r="DP3" s="70" t="s">
        <v>55</v>
      </c>
      <c r="DQ3" s="117" t="s">
        <v>55</v>
      </c>
      <c r="DR3" s="43" t="s">
        <v>55</v>
      </c>
      <c r="DS3" s="39" t="s">
        <v>55</v>
      </c>
      <c r="DT3" s="65" t="s">
        <v>55</v>
      </c>
      <c r="DU3" s="102" t="s">
        <v>55</v>
      </c>
      <c r="DV3" s="117" t="s">
        <v>55</v>
      </c>
      <c r="DW3" s="122" t="s">
        <v>55</v>
      </c>
      <c r="DX3" s="253" t="s">
        <v>55</v>
      </c>
      <c r="DY3" s="39" t="s">
        <v>55</v>
      </c>
      <c r="DZ3" s="65" t="s">
        <v>55</v>
      </c>
      <c r="EA3" s="70" t="s">
        <v>55</v>
      </c>
      <c r="EB3" s="117" t="s">
        <v>55</v>
      </c>
      <c r="EC3" s="122" t="s">
        <v>55</v>
      </c>
      <c r="ED3" s="252" t="s">
        <v>55</v>
      </c>
      <c r="EE3" s="39" t="s">
        <v>55</v>
      </c>
      <c r="EF3" s="65" t="s">
        <v>55</v>
      </c>
      <c r="EG3" s="70" t="s">
        <v>55</v>
      </c>
      <c r="EH3" s="190" t="s">
        <v>55</v>
      </c>
      <c r="EI3" s="146" t="s">
        <v>55</v>
      </c>
      <c r="EJ3" s="39" t="s">
        <v>55</v>
      </c>
      <c r="EK3" s="65" t="s">
        <v>55</v>
      </c>
      <c r="EL3" s="102" t="s">
        <v>55</v>
      </c>
      <c r="EM3" s="146" t="s">
        <v>55</v>
      </c>
      <c r="EN3" s="39" t="s">
        <v>55</v>
      </c>
      <c r="EO3" s="65" t="s">
        <v>55</v>
      </c>
      <c r="EP3" s="70" t="s">
        <v>55</v>
      </c>
      <c r="EQ3" s="43" t="s">
        <v>55</v>
      </c>
      <c r="ER3" s="39" t="s">
        <v>55</v>
      </c>
      <c r="ES3" s="65" t="s">
        <v>55</v>
      </c>
      <c r="ET3" s="102" t="s">
        <v>55</v>
      </c>
      <c r="EU3" s="122" t="s">
        <v>55</v>
      </c>
      <c r="EV3" s="171" t="s">
        <v>55</v>
      </c>
      <c r="EW3" s="85" t="s">
        <v>55</v>
      </c>
      <c r="EX3" s="246" t="s">
        <v>55</v>
      </c>
      <c r="EY3" s="85" t="s">
        <v>55</v>
      </c>
      <c r="EZ3" s="89" t="s">
        <v>55</v>
      </c>
      <c r="FA3" s="39" t="s">
        <v>55</v>
      </c>
      <c r="FB3" s="65" t="s">
        <v>55</v>
      </c>
      <c r="FC3" s="102" t="s">
        <v>55</v>
      </c>
      <c r="FD3" s="122" t="s">
        <v>55</v>
      </c>
      <c r="FE3" s="195" t="s">
        <v>55</v>
      </c>
      <c r="FF3" s="85" t="s">
        <v>55</v>
      </c>
      <c r="FG3" s="70" t="s">
        <v>55</v>
      </c>
      <c r="FH3" s="43" t="s">
        <v>55</v>
      </c>
      <c r="FI3" s="39" t="s">
        <v>55</v>
      </c>
      <c r="FJ3" s="65" t="s">
        <v>55</v>
      </c>
      <c r="FK3" s="102" t="s">
        <v>55</v>
      </c>
      <c r="FL3" s="43" t="s">
        <v>55</v>
      </c>
      <c r="FM3" s="39" t="s">
        <v>55</v>
      </c>
      <c r="FN3" s="146" t="s">
        <v>55</v>
      </c>
      <c r="FO3" s="206" t="s">
        <v>55</v>
      </c>
      <c r="FP3" s="206" t="s">
        <v>55</v>
      </c>
      <c r="FQ3" s="39" t="s">
        <v>55</v>
      </c>
      <c r="FR3" s="65" t="s">
        <v>55</v>
      </c>
      <c r="FS3" s="102" t="s">
        <v>55</v>
      </c>
      <c r="FT3" s="111" t="s">
        <v>55</v>
      </c>
      <c r="FU3" s="85" t="s">
        <v>55</v>
      </c>
      <c r="FV3" s="102" t="s">
        <v>55</v>
      </c>
      <c r="FW3" s="146" t="s">
        <v>55</v>
      </c>
      <c r="FX3" s="31" t="s">
        <v>55</v>
      </c>
      <c r="FY3" s="289" t="s">
        <v>55</v>
      </c>
      <c r="FZ3" s="111" t="s">
        <v>55</v>
      </c>
      <c r="GA3" s="85" t="s">
        <v>55</v>
      </c>
      <c r="GB3" s="102" t="s">
        <v>55</v>
      </c>
      <c r="GC3" s="153" t="s">
        <v>55</v>
      </c>
      <c r="GD3" s="111" t="s">
        <v>55</v>
      </c>
      <c r="GE3" s="85" t="s">
        <v>55</v>
      </c>
      <c r="GF3" s="146" t="s">
        <v>55</v>
      </c>
      <c r="GG3" s="43" t="s">
        <v>55</v>
      </c>
      <c r="GH3" s="102" t="s">
        <v>55</v>
      </c>
      <c r="GI3" s="246" t="s">
        <v>55</v>
      </c>
      <c r="GJ3" s="197" t="s">
        <v>30</v>
      </c>
      <c r="GK3" s="75" t="s">
        <v>30</v>
      </c>
      <c r="GL3" s="39" t="s">
        <v>30</v>
      </c>
      <c r="GM3" s="89" t="s">
        <v>30</v>
      </c>
      <c r="GN3" s="102" t="s">
        <v>30</v>
      </c>
      <c r="GO3" s="95" t="s">
        <v>30</v>
      </c>
      <c r="GP3" s="39" t="s">
        <v>30</v>
      </c>
      <c r="GQ3" s="89" t="s">
        <v>30</v>
      </c>
      <c r="GR3" s="47" t="s">
        <v>30</v>
      </c>
      <c r="GS3" s="95" t="s">
        <v>129</v>
      </c>
      <c r="GT3" s="95" t="s">
        <v>129</v>
      </c>
      <c r="GU3" s="95" t="s">
        <v>30</v>
      </c>
      <c r="GV3" s="39" t="s">
        <v>30</v>
      </c>
      <c r="GW3" s="89" t="s">
        <v>30</v>
      </c>
      <c r="GX3" s="279" t="s">
        <v>30</v>
      </c>
      <c r="GY3" s="39" t="s">
        <v>30</v>
      </c>
      <c r="GZ3" s="102" t="s">
        <v>30</v>
      </c>
      <c r="HA3" s="111" t="s">
        <v>30</v>
      </c>
      <c r="HB3" s="272" t="s">
        <v>30</v>
      </c>
      <c r="HC3" s="39" t="s">
        <v>30</v>
      </c>
      <c r="HD3" s="89" t="s">
        <v>30</v>
      </c>
      <c r="HE3" s="39" t="s">
        <v>30</v>
      </c>
      <c r="HF3" s="89" t="s">
        <v>30</v>
      </c>
      <c r="HG3" s="39" t="s">
        <v>30</v>
      </c>
      <c r="HH3" s="102" t="s">
        <v>30</v>
      </c>
      <c r="HI3" s="181" t="s">
        <v>30</v>
      </c>
      <c r="HJ3" s="75" t="s">
        <v>30</v>
      </c>
      <c r="HK3" s="47" t="s">
        <v>30</v>
      </c>
      <c r="HL3" s="39" t="s">
        <v>30</v>
      </c>
      <c r="HM3" s="102" t="s">
        <v>30</v>
      </c>
      <c r="HN3" s="111" t="s">
        <v>30</v>
      </c>
      <c r="HO3" s="39" t="s">
        <v>30</v>
      </c>
      <c r="HP3" s="89" t="s">
        <v>30</v>
      </c>
      <c r="HQ3" s="39" t="s">
        <v>30</v>
      </c>
      <c r="HR3" s="89" t="s">
        <v>30</v>
      </c>
      <c r="HS3" s="35" t="s">
        <v>30</v>
      </c>
      <c r="HT3" s="97" t="s">
        <v>129</v>
      </c>
      <c r="HU3" s="39" t="s">
        <v>30</v>
      </c>
      <c r="HV3" s="89" t="s">
        <v>30</v>
      </c>
      <c r="HW3" s="39" t="s">
        <v>30</v>
      </c>
      <c r="HX3" s="89" t="s">
        <v>30</v>
      </c>
      <c r="HY3" s="35" t="s">
        <v>30</v>
      </c>
      <c r="HZ3" s="39" t="s">
        <v>30</v>
      </c>
      <c r="IA3" s="75" t="s">
        <v>30</v>
      </c>
      <c r="IB3" s="39" t="s">
        <v>30</v>
      </c>
      <c r="IC3" s="89" t="s">
        <v>30</v>
      </c>
      <c r="ID3" s="39" t="s">
        <v>30</v>
      </c>
      <c r="IE3" s="75" t="s">
        <v>30</v>
      </c>
      <c r="IF3" s="47" t="s">
        <v>30</v>
      </c>
      <c r="IG3" s="35" t="s">
        <v>30</v>
      </c>
      <c r="IH3" s="31" t="s">
        <v>30</v>
      </c>
      <c r="II3" s="286" t="s">
        <v>30</v>
      </c>
      <c r="IJ3" s="256" t="s">
        <v>10</v>
      </c>
      <c r="IK3" s="257" t="s">
        <v>10</v>
      </c>
      <c r="IL3" s="257" t="s">
        <v>10</v>
      </c>
      <c r="IM3" s="47" t="s">
        <v>10</v>
      </c>
      <c r="IN3" s="39" t="s">
        <v>10</v>
      </c>
      <c r="IO3" s="181" t="s">
        <v>10</v>
      </c>
      <c r="IP3" s="257" t="s">
        <v>10</v>
      </c>
      <c r="IQ3" s="257" t="s">
        <v>10</v>
      </c>
      <c r="IR3" s="257" t="s">
        <v>10</v>
      </c>
      <c r="IS3" s="257" t="s">
        <v>10</v>
      </c>
      <c r="IT3" s="257" t="s">
        <v>10</v>
      </c>
      <c r="IU3" s="257" t="s">
        <v>10</v>
      </c>
      <c r="IV3" s="376" t="s">
        <v>10</v>
      </c>
      <c r="IW3" s="257" t="s">
        <v>10</v>
      </c>
    </row>
    <row r="4" spans="1:257" s="25" customFormat="1" ht="30" customHeight="1" x14ac:dyDescent="0.25">
      <c r="A4" s="438"/>
      <c r="B4" s="438"/>
      <c r="C4" s="101" t="s">
        <v>160</v>
      </c>
      <c r="D4" s="383">
        <v>0.4</v>
      </c>
      <c r="E4" s="383">
        <v>0.5</v>
      </c>
      <c r="F4" s="142">
        <v>0.6</v>
      </c>
      <c r="G4" s="142">
        <v>2.6</v>
      </c>
      <c r="H4" s="81">
        <v>0.1</v>
      </c>
      <c r="I4" s="81">
        <v>0.16</v>
      </c>
      <c r="J4" s="96">
        <v>0.17</v>
      </c>
      <c r="K4" s="40">
        <v>0.2</v>
      </c>
      <c r="L4" s="66">
        <v>0.2</v>
      </c>
      <c r="M4" s="90">
        <v>0.2</v>
      </c>
      <c r="N4" s="40">
        <v>0.25</v>
      </c>
      <c r="O4" s="371">
        <v>0.25</v>
      </c>
      <c r="P4" s="103">
        <v>0.25</v>
      </c>
      <c r="Q4" s="160">
        <v>0.25</v>
      </c>
      <c r="R4" s="112">
        <v>0.25</v>
      </c>
      <c r="S4" s="71">
        <v>0.28000000000000003</v>
      </c>
      <c r="T4" s="40">
        <v>0.3</v>
      </c>
      <c r="U4" s="66">
        <v>0.3</v>
      </c>
      <c r="V4" s="71">
        <v>0.3</v>
      </c>
      <c r="W4" s="160">
        <v>0.3</v>
      </c>
      <c r="X4" s="40">
        <v>0.35</v>
      </c>
      <c r="Y4" s="66">
        <v>0.35</v>
      </c>
      <c r="Z4" s="76">
        <v>0.35</v>
      </c>
      <c r="AA4" s="40">
        <v>0.4</v>
      </c>
      <c r="AB4" s="66">
        <v>0.4</v>
      </c>
      <c r="AC4" s="103">
        <v>0.4</v>
      </c>
      <c r="AD4" s="112">
        <v>0.4</v>
      </c>
      <c r="AE4" s="40">
        <v>0.45</v>
      </c>
      <c r="AF4" s="66">
        <v>0.45</v>
      </c>
      <c r="AG4" s="103">
        <v>0.45</v>
      </c>
      <c r="AH4" s="118">
        <v>0.45</v>
      </c>
      <c r="AI4" s="123">
        <v>0.45</v>
      </c>
      <c r="AJ4" s="160">
        <v>0.45</v>
      </c>
      <c r="AK4" s="240">
        <v>0.47499999999999998</v>
      </c>
      <c r="AL4" s="40">
        <v>0.5</v>
      </c>
      <c r="AM4" s="66">
        <v>0.5</v>
      </c>
      <c r="AN4" s="103">
        <v>0.5</v>
      </c>
      <c r="AO4" s="44">
        <v>0.5</v>
      </c>
      <c r="AP4" s="40">
        <v>0.55000000000000004</v>
      </c>
      <c r="AQ4" s="66">
        <v>0.55000000000000004</v>
      </c>
      <c r="AR4" s="103">
        <v>0.55000000000000004</v>
      </c>
      <c r="AS4" s="118">
        <v>0.55000000000000004</v>
      </c>
      <c r="AT4" s="44">
        <v>0.55000000000000004</v>
      </c>
      <c r="AU4" s="40">
        <v>0.6</v>
      </c>
      <c r="AV4" s="66">
        <v>0.6</v>
      </c>
      <c r="AW4" s="103">
        <v>0.6</v>
      </c>
      <c r="AX4" s="118">
        <v>0.6</v>
      </c>
      <c r="AY4" s="123">
        <v>0.6</v>
      </c>
      <c r="AZ4" s="151">
        <v>0.6</v>
      </c>
      <c r="BA4" s="40">
        <v>0.65</v>
      </c>
      <c r="BB4" s="66">
        <v>0.65</v>
      </c>
      <c r="BC4" s="103">
        <v>0.65</v>
      </c>
      <c r="BD4" s="118">
        <v>0.65</v>
      </c>
      <c r="BE4" s="123">
        <v>0.65</v>
      </c>
      <c r="BF4" s="151">
        <v>0.65</v>
      </c>
      <c r="BG4" s="40">
        <v>0.7</v>
      </c>
      <c r="BH4" s="66">
        <v>0.7</v>
      </c>
      <c r="BI4" s="103">
        <v>0.7</v>
      </c>
      <c r="BJ4" s="118">
        <v>0.7</v>
      </c>
      <c r="BK4" s="123">
        <v>0.7</v>
      </c>
      <c r="BL4" s="151">
        <v>0.7</v>
      </c>
      <c r="BM4" s="86">
        <v>0.75</v>
      </c>
      <c r="BN4" s="66">
        <v>0.75</v>
      </c>
      <c r="BO4" s="103">
        <v>0.75</v>
      </c>
      <c r="BP4" s="118">
        <v>0.75</v>
      </c>
      <c r="BQ4" s="123">
        <v>0.75</v>
      </c>
      <c r="BR4" s="151">
        <v>0.75</v>
      </c>
      <c r="BS4" s="40">
        <v>0.8</v>
      </c>
      <c r="BT4" s="66">
        <v>0.8</v>
      </c>
      <c r="BU4" s="103">
        <v>0.8</v>
      </c>
      <c r="BV4" s="118">
        <v>0.8</v>
      </c>
      <c r="BW4" s="123">
        <v>0.8</v>
      </c>
      <c r="BX4" s="151">
        <v>0.8</v>
      </c>
      <c r="BY4" s="40">
        <v>0.85</v>
      </c>
      <c r="BZ4" s="66">
        <v>0.85</v>
      </c>
      <c r="CA4" s="103">
        <v>0.85</v>
      </c>
      <c r="CB4" s="118">
        <v>0.85</v>
      </c>
      <c r="CC4" s="123">
        <v>0.85</v>
      </c>
      <c r="CD4" s="151">
        <v>0.85</v>
      </c>
      <c r="CE4" s="40">
        <v>0.9</v>
      </c>
      <c r="CF4" s="66">
        <v>0.9</v>
      </c>
      <c r="CG4" s="103">
        <v>0.9</v>
      </c>
      <c r="CH4" s="118">
        <v>0.9</v>
      </c>
      <c r="CI4" s="123">
        <v>0.9</v>
      </c>
      <c r="CJ4" s="151">
        <v>0.9</v>
      </c>
      <c r="CK4" s="40">
        <v>0.95</v>
      </c>
      <c r="CL4" s="66">
        <v>0.95</v>
      </c>
      <c r="CM4" s="103">
        <v>0.95</v>
      </c>
      <c r="CN4" s="118">
        <v>0.95</v>
      </c>
      <c r="CO4" s="123">
        <v>0.95</v>
      </c>
      <c r="CP4" s="151">
        <v>0.95</v>
      </c>
      <c r="CQ4" s="40">
        <v>1</v>
      </c>
      <c r="CR4" s="66">
        <v>1</v>
      </c>
      <c r="CS4" s="71">
        <v>1</v>
      </c>
      <c r="CT4" s="118">
        <v>1</v>
      </c>
      <c r="CU4" s="123">
        <v>1</v>
      </c>
      <c r="CV4" s="112">
        <v>1</v>
      </c>
      <c r="CW4" s="40">
        <v>1.05</v>
      </c>
      <c r="CX4" s="66">
        <v>1.05</v>
      </c>
      <c r="CY4" s="103">
        <v>1.05</v>
      </c>
      <c r="CZ4" s="118">
        <v>1.05</v>
      </c>
      <c r="DA4" s="123">
        <v>1.05</v>
      </c>
      <c r="DB4" s="112">
        <v>1.05</v>
      </c>
      <c r="DC4" s="40">
        <v>1.1000000000000001</v>
      </c>
      <c r="DD4" s="66">
        <v>1.1000000000000001</v>
      </c>
      <c r="DE4" s="71">
        <v>1.1000000000000001</v>
      </c>
      <c r="DF4" s="118">
        <v>1.1000000000000001</v>
      </c>
      <c r="DG4" s="123">
        <v>1.1000000000000001</v>
      </c>
      <c r="DH4" s="112">
        <v>1.1000000000000001</v>
      </c>
      <c r="DI4" s="40">
        <v>1.1499999999999999</v>
      </c>
      <c r="DJ4" s="66">
        <v>1.1499999999999999</v>
      </c>
      <c r="DK4" s="103">
        <v>1.1499999999999999</v>
      </c>
      <c r="DL4" s="118">
        <v>1.1499999999999999</v>
      </c>
      <c r="DM4" s="44">
        <v>1.1499999999999999</v>
      </c>
      <c r="DN4" s="40">
        <v>1.2</v>
      </c>
      <c r="DO4" s="371">
        <v>1.2</v>
      </c>
      <c r="DP4" s="71">
        <v>1.2</v>
      </c>
      <c r="DQ4" s="118">
        <v>1.2</v>
      </c>
      <c r="DR4" s="44">
        <v>1.2</v>
      </c>
      <c r="DS4" s="40">
        <v>1.25</v>
      </c>
      <c r="DT4" s="66">
        <v>1.25</v>
      </c>
      <c r="DU4" s="103">
        <v>1.25</v>
      </c>
      <c r="DV4" s="118">
        <v>1.25</v>
      </c>
      <c r="DW4" s="123">
        <v>1.25</v>
      </c>
      <c r="DX4" s="112">
        <v>1.25</v>
      </c>
      <c r="DY4" s="40">
        <v>1.3</v>
      </c>
      <c r="DZ4" s="66">
        <v>1.3</v>
      </c>
      <c r="EA4" s="71">
        <v>1.3</v>
      </c>
      <c r="EB4" s="118">
        <v>1.3</v>
      </c>
      <c r="EC4" s="123">
        <v>1.3</v>
      </c>
      <c r="ED4" s="112">
        <v>1.3</v>
      </c>
      <c r="EE4" s="40">
        <v>1.35</v>
      </c>
      <c r="EF4" s="66">
        <v>1.35</v>
      </c>
      <c r="EG4" s="71">
        <v>1.35</v>
      </c>
      <c r="EH4" s="191">
        <v>1.35</v>
      </c>
      <c r="EI4" s="147">
        <v>1.35</v>
      </c>
      <c r="EJ4" s="40">
        <v>1.4</v>
      </c>
      <c r="EK4" s="66">
        <v>1.4</v>
      </c>
      <c r="EL4" s="103">
        <v>1.4</v>
      </c>
      <c r="EM4" s="147">
        <v>1.4</v>
      </c>
      <c r="EN4" s="40">
        <v>1.45</v>
      </c>
      <c r="EO4" s="66">
        <v>1.45</v>
      </c>
      <c r="EP4" s="71">
        <v>1.45</v>
      </c>
      <c r="EQ4" s="44">
        <v>1.45</v>
      </c>
      <c r="ER4" s="40">
        <v>1.5</v>
      </c>
      <c r="ES4" s="66">
        <v>1.5</v>
      </c>
      <c r="ET4" s="103">
        <v>1.5</v>
      </c>
      <c r="EU4" s="123">
        <v>1.5</v>
      </c>
      <c r="EV4" s="168">
        <v>1.55</v>
      </c>
      <c r="EW4" s="86">
        <v>1.6</v>
      </c>
      <c r="EX4" s="247">
        <v>1.65</v>
      </c>
      <c r="EY4" s="86">
        <v>1.7</v>
      </c>
      <c r="EZ4" s="90">
        <v>1.7</v>
      </c>
      <c r="FA4" s="40">
        <v>1.8</v>
      </c>
      <c r="FB4" s="66">
        <v>1.8</v>
      </c>
      <c r="FC4" s="103">
        <v>1.8</v>
      </c>
      <c r="FD4" s="123">
        <v>1.8</v>
      </c>
      <c r="FE4" s="168">
        <v>1.85</v>
      </c>
      <c r="FF4" s="86">
        <v>1.9</v>
      </c>
      <c r="FG4" s="71">
        <v>1.9</v>
      </c>
      <c r="FH4" s="44">
        <v>1.9</v>
      </c>
      <c r="FI4" s="40">
        <v>2</v>
      </c>
      <c r="FJ4" s="66">
        <v>2</v>
      </c>
      <c r="FK4" s="103">
        <v>2</v>
      </c>
      <c r="FL4" s="44">
        <v>2</v>
      </c>
      <c r="FM4" s="40">
        <v>2.2000000000000002</v>
      </c>
      <c r="FN4" s="147">
        <v>2.2000000000000002</v>
      </c>
      <c r="FO4" s="207">
        <v>2.2999999999999998</v>
      </c>
      <c r="FP4" s="207">
        <v>2.4</v>
      </c>
      <c r="FQ4" s="40">
        <v>2.5</v>
      </c>
      <c r="FR4" s="66">
        <v>2.5</v>
      </c>
      <c r="FS4" s="103">
        <v>2.5</v>
      </c>
      <c r="FT4" s="112">
        <v>2.5</v>
      </c>
      <c r="FU4" s="86">
        <v>2.6</v>
      </c>
      <c r="FV4" s="103">
        <v>2.6</v>
      </c>
      <c r="FW4" s="147">
        <v>2.6</v>
      </c>
      <c r="FX4" s="32">
        <v>2.7</v>
      </c>
      <c r="FY4" s="123">
        <v>2.7</v>
      </c>
      <c r="FZ4" s="112">
        <v>2.7</v>
      </c>
      <c r="GA4" s="86">
        <v>3</v>
      </c>
      <c r="GB4" s="103">
        <v>3</v>
      </c>
      <c r="GC4" s="154">
        <v>3</v>
      </c>
      <c r="GD4" s="112">
        <v>3</v>
      </c>
      <c r="GE4" s="86">
        <v>3.2</v>
      </c>
      <c r="GF4" s="147">
        <v>3.2</v>
      </c>
      <c r="GG4" s="207">
        <v>3.5</v>
      </c>
      <c r="GH4" s="103">
        <v>3.65</v>
      </c>
      <c r="GI4" s="247">
        <v>4</v>
      </c>
      <c r="GJ4" s="199">
        <v>0.08</v>
      </c>
      <c r="GK4" s="76">
        <v>0.08</v>
      </c>
      <c r="GL4" s="40">
        <v>0.1</v>
      </c>
      <c r="GM4" s="90">
        <v>0.1</v>
      </c>
      <c r="GN4" s="96">
        <v>0.11</v>
      </c>
      <c r="GO4" s="96">
        <v>0.12</v>
      </c>
      <c r="GP4" s="40">
        <v>0.14000000000000001</v>
      </c>
      <c r="GQ4" s="90">
        <v>0.14000000000000001</v>
      </c>
      <c r="GR4" s="48">
        <v>0.15</v>
      </c>
      <c r="GS4" s="96">
        <v>0.15</v>
      </c>
      <c r="GT4" s="96">
        <v>0.16</v>
      </c>
      <c r="GU4" s="96">
        <v>0.17</v>
      </c>
      <c r="GV4" s="40">
        <v>0.18</v>
      </c>
      <c r="GW4" s="90">
        <v>0.18</v>
      </c>
      <c r="GX4" s="103">
        <v>0.19</v>
      </c>
      <c r="GY4" s="40">
        <v>0.2</v>
      </c>
      <c r="GZ4" s="103">
        <v>0.2</v>
      </c>
      <c r="HA4" s="112">
        <v>0.2</v>
      </c>
      <c r="HB4" s="273">
        <v>0.22</v>
      </c>
      <c r="HC4" s="40">
        <v>0.25</v>
      </c>
      <c r="HD4" s="90">
        <v>0.25</v>
      </c>
      <c r="HE4" s="40">
        <v>0.28000000000000003</v>
      </c>
      <c r="HF4" s="90">
        <v>0.28000000000000003</v>
      </c>
      <c r="HG4" s="40">
        <v>0.3</v>
      </c>
      <c r="HH4" s="103">
        <v>0.3</v>
      </c>
      <c r="HI4" s="151">
        <v>0.3</v>
      </c>
      <c r="HJ4" s="76">
        <v>0.32</v>
      </c>
      <c r="HK4" s="48">
        <v>0.33</v>
      </c>
      <c r="HL4" s="40">
        <v>0.35</v>
      </c>
      <c r="HM4" s="103">
        <v>0.35</v>
      </c>
      <c r="HN4" s="112">
        <v>0.35</v>
      </c>
      <c r="HO4" s="40">
        <v>0.38</v>
      </c>
      <c r="HP4" s="90">
        <v>0.38</v>
      </c>
      <c r="HQ4" s="40">
        <v>0.4</v>
      </c>
      <c r="HR4" s="90">
        <v>0.4</v>
      </c>
      <c r="HS4" s="36">
        <v>0.45</v>
      </c>
      <c r="HT4" s="81">
        <v>0.45</v>
      </c>
      <c r="HU4" s="40">
        <v>0.5</v>
      </c>
      <c r="HV4" s="90">
        <v>0.5</v>
      </c>
      <c r="HW4" s="40">
        <v>0.55000000000000004</v>
      </c>
      <c r="HX4" s="90">
        <v>0.55000000000000004</v>
      </c>
      <c r="HY4" s="36">
        <v>0.6</v>
      </c>
      <c r="HZ4" s="40">
        <v>0.65</v>
      </c>
      <c r="IA4" s="76">
        <v>0.65</v>
      </c>
      <c r="IB4" s="40">
        <v>0.7</v>
      </c>
      <c r="IC4" s="90">
        <v>0.7</v>
      </c>
      <c r="ID4" s="40">
        <v>0.75</v>
      </c>
      <c r="IE4" s="76">
        <v>0.75</v>
      </c>
      <c r="IF4" s="48">
        <v>0.8</v>
      </c>
      <c r="IG4" s="36">
        <v>0.85</v>
      </c>
      <c r="IH4" s="32">
        <v>0.9</v>
      </c>
      <c r="II4" s="280">
        <v>0.95</v>
      </c>
      <c r="IJ4" s="258">
        <v>0.3</v>
      </c>
      <c r="IK4" s="259">
        <v>0.5</v>
      </c>
      <c r="IL4" s="259">
        <v>0.55000000000000004</v>
      </c>
      <c r="IM4" s="48">
        <v>0.6</v>
      </c>
      <c r="IN4" s="40">
        <v>0.7</v>
      </c>
      <c r="IO4" s="151">
        <v>0.7</v>
      </c>
      <c r="IP4" s="259">
        <v>1</v>
      </c>
      <c r="IQ4" s="259">
        <v>1.2</v>
      </c>
      <c r="IR4" s="259">
        <v>1.3</v>
      </c>
      <c r="IS4" s="259">
        <v>1.4</v>
      </c>
      <c r="IT4" s="259">
        <v>1.6</v>
      </c>
      <c r="IU4" s="259">
        <v>1.7</v>
      </c>
      <c r="IV4" s="377">
        <v>1.8</v>
      </c>
      <c r="IW4" s="259">
        <v>3.5</v>
      </c>
    </row>
    <row r="5" spans="1:257" ht="6.75" customHeight="1" x14ac:dyDescent="0.65">
      <c r="A5" s="438"/>
      <c r="B5" s="438"/>
      <c r="C5" s="99"/>
      <c r="D5" s="152"/>
      <c r="E5" s="384"/>
      <c r="F5" s="143"/>
      <c r="G5" s="143"/>
      <c r="H5" s="82"/>
      <c r="I5" s="82"/>
      <c r="J5" s="108"/>
      <c r="K5" s="41"/>
      <c r="L5" s="67"/>
      <c r="M5" s="91"/>
      <c r="N5" s="41"/>
      <c r="O5" s="372"/>
      <c r="P5" s="104"/>
      <c r="Q5" s="161"/>
      <c r="R5" s="113"/>
      <c r="S5" s="72"/>
      <c r="T5" s="41"/>
      <c r="U5" s="67"/>
      <c r="V5" s="72"/>
      <c r="W5" s="161"/>
      <c r="X5" s="41"/>
      <c r="Y5" s="67"/>
      <c r="Z5" s="77"/>
      <c r="AA5" s="41"/>
      <c r="AB5" s="67"/>
      <c r="AC5" s="104"/>
      <c r="AD5" s="113"/>
      <c r="AE5" s="41"/>
      <c r="AF5" s="67"/>
      <c r="AG5" s="104"/>
      <c r="AH5" s="119"/>
      <c r="AI5" s="124"/>
      <c r="AJ5" s="161"/>
      <c r="AK5" s="241"/>
      <c r="AL5" s="41"/>
      <c r="AM5" s="67"/>
      <c r="AN5" s="104"/>
      <c r="AO5" s="45"/>
      <c r="AP5" s="41"/>
      <c r="AQ5" s="67"/>
      <c r="AR5" s="104"/>
      <c r="AS5" s="119"/>
      <c r="AT5" s="45"/>
      <c r="AU5" s="41"/>
      <c r="AV5" s="67"/>
      <c r="AW5" s="104"/>
      <c r="AX5" s="119"/>
      <c r="AY5" s="124"/>
      <c r="AZ5" s="152"/>
      <c r="BA5" s="41"/>
      <c r="BB5" s="67"/>
      <c r="BC5" s="104"/>
      <c r="BD5" s="119"/>
      <c r="BE5" s="124"/>
      <c r="BF5" s="152"/>
      <c r="BG5" s="41"/>
      <c r="BH5" s="67"/>
      <c r="BI5" s="104"/>
      <c r="BJ5" s="119"/>
      <c r="BK5" s="124"/>
      <c r="BL5" s="152"/>
      <c r="BM5" s="87"/>
      <c r="BN5" s="67"/>
      <c r="BO5" s="104"/>
      <c r="BP5" s="119"/>
      <c r="BQ5" s="124"/>
      <c r="BR5" s="152"/>
      <c r="BS5" s="41"/>
      <c r="BT5" s="67"/>
      <c r="BU5" s="104"/>
      <c r="BV5" s="119"/>
      <c r="BW5" s="124"/>
      <c r="BX5" s="152"/>
      <c r="BY5" s="41"/>
      <c r="BZ5" s="67"/>
      <c r="CA5" s="104"/>
      <c r="CB5" s="119"/>
      <c r="CC5" s="124"/>
      <c r="CD5" s="152"/>
      <c r="CE5" s="41"/>
      <c r="CF5" s="67"/>
      <c r="CG5" s="104"/>
      <c r="CH5" s="119"/>
      <c r="CI5" s="124"/>
      <c r="CJ5" s="152"/>
      <c r="CK5" s="41"/>
      <c r="CL5" s="67"/>
      <c r="CM5" s="104"/>
      <c r="CN5" s="119"/>
      <c r="CO5" s="124"/>
      <c r="CP5" s="152"/>
      <c r="CQ5" s="41"/>
      <c r="CR5" s="67"/>
      <c r="CS5" s="72"/>
      <c r="CT5" s="119"/>
      <c r="CU5" s="124"/>
      <c r="CV5" s="113"/>
      <c r="CW5" s="41"/>
      <c r="CX5" s="67"/>
      <c r="CY5" s="104"/>
      <c r="CZ5" s="119"/>
      <c r="DA5" s="124"/>
      <c r="DB5" s="113"/>
      <c r="DC5" s="41"/>
      <c r="DD5" s="67"/>
      <c r="DE5" s="72"/>
      <c r="DF5" s="119"/>
      <c r="DG5" s="124"/>
      <c r="DH5" s="113"/>
      <c r="DI5" s="41"/>
      <c r="DJ5" s="67"/>
      <c r="DK5" s="104"/>
      <c r="DL5" s="119"/>
      <c r="DM5" s="45"/>
      <c r="DN5" s="41"/>
      <c r="DO5" s="372"/>
      <c r="DP5" s="72"/>
      <c r="DQ5" s="119"/>
      <c r="DR5" s="45"/>
      <c r="DS5" s="41"/>
      <c r="DT5" s="67"/>
      <c r="DU5" s="104"/>
      <c r="DV5" s="119"/>
      <c r="DW5" s="124"/>
      <c r="DX5" s="113"/>
      <c r="DY5" s="41"/>
      <c r="DZ5" s="67"/>
      <c r="EA5" s="72"/>
      <c r="EB5" s="119"/>
      <c r="EC5" s="124"/>
      <c r="ED5" s="113"/>
      <c r="EE5" s="41"/>
      <c r="EF5" s="67"/>
      <c r="EG5" s="72"/>
      <c r="EH5" s="192"/>
      <c r="EI5" s="148"/>
      <c r="EJ5" s="41"/>
      <c r="EK5" s="67"/>
      <c r="EL5" s="104"/>
      <c r="EM5" s="148"/>
      <c r="EN5" s="41"/>
      <c r="EO5" s="67"/>
      <c r="EP5" s="72"/>
      <c r="EQ5" s="45"/>
      <c r="ER5" s="41"/>
      <c r="ES5" s="67"/>
      <c r="ET5" s="104"/>
      <c r="EU5" s="124"/>
      <c r="EV5" s="169"/>
      <c r="EW5" s="87"/>
      <c r="EX5" s="248"/>
      <c r="EY5" s="87"/>
      <c r="EZ5" s="91"/>
      <c r="FA5" s="41"/>
      <c r="FB5" s="67"/>
      <c r="FC5" s="104"/>
      <c r="FD5" s="124"/>
      <c r="FE5" s="169"/>
      <c r="FF5" s="87"/>
      <c r="FG5" s="72"/>
      <c r="FH5" s="45"/>
      <c r="FI5" s="41"/>
      <c r="FJ5" s="67"/>
      <c r="FK5" s="104"/>
      <c r="FL5" s="45"/>
      <c r="FM5" s="41"/>
      <c r="FN5" s="148"/>
      <c r="FO5" s="208"/>
      <c r="FP5" s="208"/>
      <c r="FQ5" s="41"/>
      <c r="FR5" s="67"/>
      <c r="FS5" s="104"/>
      <c r="FT5" s="113"/>
      <c r="FU5" s="87"/>
      <c r="FV5" s="104"/>
      <c r="FW5" s="148"/>
      <c r="FX5" s="33"/>
      <c r="FY5" s="124"/>
      <c r="FZ5" s="113"/>
      <c r="GA5" s="87"/>
      <c r="GB5" s="104"/>
      <c r="GC5" s="155"/>
      <c r="GD5" s="113"/>
      <c r="GE5" s="87"/>
      <c r="GF5" s="148"/>
      <c r="GG5" s="208"/>
      <c r="GH5" s="104"/>
      <c r="GI5" s="248"/>
      <c r="GJ5" s="200"/>
      <c r="GK5" s="77"/>
      <c r="GL5" s="41"/>
      <c r="GM5" s="91"/>
      <c r="GN5" s="108"/>
      <c r="GO5" s="108"/>
      <c r="GP5" s="41"/>
      <c r="GQ5" s="91"/>
      <c r="GR5" s="49"/>
      <c r="GS5" s="108"/>
      <c r="GT5" s="108"/>
      <c r="GU5" s="108"/>
      <c r="GV5" s="41"/>
      <c r="GW5" s="91"/>
      <c r="GX5" s="104"/>
      <c r="GY5" s="41"/>
      <c r="GZ5" s="104"/>
      <c r="HA5" s="113"/>
      <c r="HB5" s="274"/>
      <c r="HC5" s="41"/>
      <c r="HD5" s="91"/>
      <c r="HE5" s="41"/>
      <c r="HF5" s="91"/>
      <c r="HG5" s="41"/>
      <c r="HH5" s="104"/>
      <c r="HI5" s="152"/>
      <c r="HJ5" s="77"/>
      <c r="HK5" s="49"/>
      <c r="HL5" s="41"/>
      <c r="HM5" s="104"/>
      <c r="HN5" s="113"/>
      <c r="HO5" s="41"/>
      <c r="HP5" s="91"/>
      <c r="HQ5" s="41"/>
      <c r="HR5" s="91"/>
      <c r="HS5" s="37"/>
      <c r="HT5" s="82"/>
      <c r="HU5" s="41"/>
      <c r="HV5" s="91"/>
      <c r="HW5" s="41"/>
      <c r="HX5" s="91"/>
      <c r="HY5" s="37"/>
      <c r="HZ5" s="41"/>
      <c r="IA5" s="77"/>
      <c r="IB5" s="41"/>
      <c r="IC5" s="91"/>
      <c r="ID5" s="41"/>
      <c r="IE5" s="77"/>
      <c r="IF5" s="49"/>
      <c r="IG5" s="37"/>
      <c r="IH5" s="33"/>
      <c r="II5" s="281"/>
      <c r="IJ5" s="260"/>
      <c r="IK5" s="261"/>
    </row>
    <row r="6" spans="1:257" s="236" customFormat="1" ht="27.95" customHeight="1" thickBot="1" x14ac:dyDescent="0.3">
      <c r="A6" s="211" t="s">
        <v>11</v>
      </c>
      <c r="B6" s="211" t="s">
        <v>208</v>
      </c>
      <c r="C6" s="212">
        <f>SUM(D6:IW6)</f>
        <v>2793.2629999999999</v>
      </c>
      <c r="D6" s="213">
        <f t="shared" ref="D6:BO6" si="0">SUM(D8:D1048576)</f>
        <v>25.675000000000001</v>
      </c>
      <c r="E6" s="213">
        <f t="shared" si="0"/>
        <v>0</v>
      </c>
      <c r="F6" s="214">
        <f t="shared" si="0"/>
        <v>0</v>
      </c>
      <c r="G6" s="214">
        <f t="shared" si="0"/>
        <v>0</v>
      </c>
      <c r="H6" s="215">
        <f t="shared" si="0"/>
        <v>92.75</v>
      </c>
      <c r="I6" s="215">
        <f t="shared" si="0"/>
        <v>38.11</v>
      </c>
      <c r="J6" s="234">
        <f t="shared" si="0"/>
        <v>0</v>
      </c>
      <c r="K6" s="216">
        <f t="shared" si="0"/>
        <v>0</v>
      </c>
      <c r="L6" s="217">
        <f t="shared" si="0"/>
        <v>0</v>
      </c>
      <c r="M6" s="218">
        <f t="shared" si="0"/>
        <v>0</v>
      </c>
      <c r="N6" s="216">
        <f t="shared" si="0"/>
        <v>0</v>
      </c>
      <c r="O6" s="373">
        <f t="shared" si="0"/>
        <v>8.6150000000000002</v>
      </c>
      <c r="P6" s="228">
        <f t="shared" si="0"/>
        <v>0</v>
      </c>
      <c r="Q6" s="221">
        <f t="shared" si="0"/>
        <v>0</v>
      </c>
      <c r="R6" s="214">
        <f t="shared" si="0"/>
        <v>0</v>
      </c>
      <c r="S6" s="220">
        <f t="shared" si="0"/>
        <v>93.21</v>
      </c>
      <c r="T6" s="216">
        <f t="shared" si="0"/>
        <v>0</v>
      </c>
      <c r="U6" s="217">
        <f t="shared" si="0"/>
        <v>0</v>
      </c>
      <c r="V6" s="220">
        <f t="shared" si="0"/>
        <v>54.594999999999999</v>
      </c>
      <c r="W6" s="221">
        <f t="shared" si="0"/>
        <v>0</v>
      </c>
      <c r="X6" s="216">
        <f t="shared" si="0"/>
        <v>0</v>
      </c>
      <c r="Y6" s="217">
        <f t="shared" si="0"/>
        <v>0</v>
      </c>
      <c r="Z6" s="219">
        <f t="shared" si="0"/>
        <v>8.3550000000000004</v>
      </c>
      <c r="AA6" s="216">
        <f t="shared" si="0"/>
        <v>0</v>
      </c>
      <c r="AB6" s="217">
        <f t="shared" si="0"/>
        <v>0</v>
      </c>
      <c r="AC6" s="228">
        <f t="shared" si="0"/>
        <v>0</v>
      </c>
      <c r="AD6" s="214">
        <f t="shared" si="0"/>
        <v>0</v>
      </c>
      <c r="AE6" s="216">
        <f t="shared" si="0"/>
        <v>0</v>
      </c>
      <c r="AF6" s="217">
        <f t="shared" si="0"/>
        <v>0</v>
      </c>
      <c r="AG6" s="228">
        <f t="shared" si="0"/>
        <v>0</v>
      </c>
      <c r="AH6" s="222">
        <f t="shared" si="0"/>
        <v>0</v>
      </c>
      <c r="AI6" s="223">
        <f t="shared" si="0"/>
        <v>0</v>
      </c>
      <c r="AJ6" s="221">
        <f t="shared" si="0"/>
        <v>0</v>
      </c>
      <c r="AK6" s="244">
        <f t="shared" si="0"/>
        <v>24.27</v>
      </c>
      <c r="AL6" s="216">
        <f t="shared" si="0"/>
        <v>0</v>
      </c>
      <c r="AM6" s="217">
        <f t="shared" si="0"/>
        <v>0</v>
      </c>
      <c r="AN6" s="228">
        <f t="shared" si="0"/>
        <v>0</v>
      </c>
      <c r="AO6" s="224">
        <f t="shared" si="0"/>
        <v>0</v>
      </c>
      <c r="AP6" s="216">
        <f t="shared" si="0"/>
        <v>0</v>
      </c>
      <c r="AQ6" s="217">
        <f t="shared" si="0"/>
        <v>0</v>
      </c>
      <c r="AR6" s="228">
        <f t="shared" si="0"/>
        <v>0</v>
      </c>
      <c r="AS6" s="222">
        <f t="shared" si="0"/>
        <v>0</v>
      </c>
      <c r="AT6" s="224">
        <f t="shared" si="0"/>
        <v>0</v>
      </c>
      <c r="AU6" s="216">
        <f t="shared" si="0"/>
        <v>0</v>
      </c>
      <c r="AV6" s="217">
        <f t="shared" si="0"/>
        <v>0</v>
      </c>
      <c r="AW6" s="228">
        <f t="shared" si="0"/>
        <v>0</v>
      </c>
      <c r="AX6" s="222">
        <f t="shared" si="0"/>
        <v>0</v>
      </c>
      <c r="AY6" s="223">
        <f t="shared" si="0"/>
        <v>0</v>
      </c>
      <c r="AZ6" s="213">
        <f t="shared" si="0"/>
        <v>17</v>
      </c>
      <c r="BA6" s="216">
        <f t="shared" si="0"/>
        <v>0</v>
      </c>
      <c r="BB6" s="217">
        <f t="shared" si="0"/>
        <v>0</v>
      </c>
      <c r="BC6" s="228">
        <f t="shared" si="0"/>
        <v>0</v>
      </c>
      <c r="BD6" s="222">
        <f t="shared" si="0"/>
        <v>0</v>
      </c>
      <c r="BE6" s="223">
        <f t="shared" si="0"/>
        <v>0</v>
      </c>
      <c r="BF6" s="213">
        <f t="shared" si="0"/>
        <v>8.5649999999999995</v>
      </c>
      <c r="BG6" s="216">
        <f t="shared" si="0"/>
        <v>0</v>
      </c>
      <c r="BH6" s="217">
        <f t="shared" si="0"/>
        <v>0</v>
      </c>
      <c r="BI6" s="228">
        <f t="shared" si="0"/>
        <v>0</v>
      </c>
      <c r="BJ6" s="222">
        <f t="shared" si="0"/>
        <v>0</v>
      </c>
      <c r="BK6" s="223">
        <f t="shared" si="0"/>
        <v>0</v>
      </c>
      <c r="BL6" s="213">
        <f t="shared" si="0"/>
        <v>34.685000000000002</v>
      </c>
      <c r="BM6" s="225">
        <f t="shared" si="0"/>
        <v>0</v>
      </c>
      <c r="BN6" s="217">
        <f t="shared" si="0"/>
        <v>0</v>
      </c>
      <c r="BO6" s="228">
        <f t="shared" si="0"/>
        <v>0</v>
      </c>
      <c r="BP6" s="222">
        <f t="shared" ref="BP6:EA6" si="1">SUM(BP8:BP1048576)</f>
        <v>0</v>
      </c>
      <c r="BQ6" s="223">
        <f t="shared" si="1"/>
        <v>0</v>
      </c>
      <c r="BR6" s="213">
        <f t="shared" si="1"/>
        <v>42.744999999999997</v>
      </c>
      <c r="BS6" s="216">
        <f t="shared" si="1"/>
        <v>0</v>
      </c>
      <c r="BT6" s="217">
        <f t="shared" si="1"/>
        <v>0</v>
      </c>
      <c r="BU6" s="228">
        <f t="shared" si="1"/>
        <v>0</v>
      </c>
      <c r="BV6" s="222">
        <f t="shared" si="1"/>
        <v>0</v>
      </c>
      <c r="BW6" s="223">
        <f t="shared" si="1"/>
        <v>0</v>
      </c>
      <c r="BX6" s="213">
        <f t="shared" si="1"/>
        <v>53.14</v>
      </c>
      <c r="BY6" s="216">
        <f t="shared" si="1"/>
        <v>0</v>
      </c>
      <c r="BZ6" s="217">
        <f t="shared" si="1"/>
        <v>0</v>
      </c>
      <c r="CA6" s="228">
        <f t="shared" si="1"/>
        <v>0</v>
      </c>
      <c r="CB6" s="222">
        <f t="shared" si="1"/>
        <v>0</v>
      </c>
      <c r="CC6" s="223">
        <f t="shared" si="1"/>
        <v>0</v>
      </c>
      <c r="CD6" s="387">
        <f t="shared" si="1"/>
        <v>49.975000000000001</v>
      </c>
      <c r="CE6" s="216">
        <f t="shared" si="1"/>
        <v>0</v>
      </c>
      <c r="CF6" s="217">
        <f t="shared" si="1"/>
        <v>0</v>
      </c>
      <c r="CG6" s="228">
        <f t="shared" si="1"/>
        <v>0</v>
      </c>
      <c r="CH6" s="222">
        <f t="shared" si="1"/>
        <v>0</v>
      </c>
      <c r="CI6" s="223">
        <f t="shared" si="1"/>
        <v>0</v>
      </c>
      <c r="CJ6" s="213">
        <f t="shared" si="1"/>
        <v>50.62</v>
      </c>
      <c r="CK6" s="216">
        <f t="shared" si="1"/>
        <v>0</v>
      </c>
      <c r="CL6" s="217">
        <f t="shared" si="1"/>
        <v>8.6449999999999996</v>
      </c>
      <c r="CM6" s="228">
        <f t="shared" si="1"/>
        <v>0</v>
      </c>
      <c r="CN6" s="222">
        <f t="shared" si="1"/>
        <v>0</v>
      </c>
      <c r="CO6" s="223">
        <f t="shared" si="1"/>
        <v>0</v>
      </c>
      <c r="CP6" s="213">
        <f t="shared" si="1"/>
        <v>16.7</v>
      </c>
      <c r="CQ6" s="216">
        <f t="shared" si="1"/>
        <v>0</v>
      </c>
      <c r="CR6" s="217">
        <f t="shared" si="1"/>
        <v>0</v>
      </c>
      <c r="CS6" s="220">
        <f t="shared" si="1"/>
        <v>24.93</v>
      </c>
      <c r="CT6" s="222">
        <f t="shared" si="1"/>
        <v>0</v>
      </c>
      <c r="CU6" s="223">
        <f t="shared" si="1"/>
        <v>0</v>
      </c>
      <c r="CV6" s="214">
        <f t="shared" si="1"/>
        <v>0</v>
      </c>
      <c r="CW6" s="216">
        <f t="shared" si="1"/>
        <v>0</v>
      </c>
      <c r="CX6" s="217">
        <f t="shared" si="1"/>
        <v>0</v>
      </c>
      <c r="CY6" s="228">
        <f t="shared" si="1"/>
        <v>0</v>
      </c>
      <c r="CZ6" s="222">
        <f t="shared" si="1"/>
        <v>0</v>
      </c>
      <c r="DA6" s="223">
        <f t="shared" si="1"/>
        <v>0</v>
      </c>
      <c r="DB6" s="214">
        <f t="shared" si="1"/>
        <v>0</v>
      </c>
      <c r="DC6" s="216">
        <f t="shared" si="1"/>
        <v>0</v>
      </c>
      <c r="DD6" s="217">
        <f t="shared" si="1"/>
        <v>0</v>
      </c>
      <c r="DE6" s="220">
        <f t="shared" si="1"/>
        <v>25.734999999999999</v>
      </c>
      <c r="DF6" s="222">
        <f t="shared" si="1"/>
        <v>0</v>
      </c>
      <c r="DG6" s="223">
        <f t="shared" si="1"/>
        <v>0</v>
      </c>
      <c r="DH6" s="214">
        <f t="shared" si="1"/>
        <v>0</v>
      </c>
      <c r="DI6" s="216">
        <f t="shared" si="1"/>
        <v>0</v>
      </c>
      <c r="DJ6" s="217">
        <f t="shared" si="1"/>
        <v>0</v>
      </c>
      <c r="DK6" s="228">
        <f t="shared" si="1"/>
        <v>0</v>
      </c>
      <c r="DL6" s="222">
        <f t="shared" si="1"/>
        <v>0</v>
      </c>
      <c r="DM6" s="224">
        <f t="shared" si="1"/>
        <v>0</v>
      </c>
      <c r="DN6" s="216">
        <f t="shared" si="1"/>
        <v>0</v>
      </c>
      <c r="DO6" s="373">
        <f t="shared" si="1"/>
        <v>8.5250000000000004</v>
      </c>
      <c r="DP6" s="220">
        <f t="shared" si="1"/>
        <v>8.8049999999999997</v>
      </c>
      <c r="DQ6" s="222">
        <f t="shared" si="1"/>
        <v>0</v>
      </c>
      <c r="DR6" s="224">
        <f t="shared" si="1"/>
        <v>0</v>
      </c>
      <c r="DS6" s="216">
        <f t="shared" si="1"/>
        <v>0</v>
      </c>
      <c r="DT6" s="217">
        <f t="shared" si="1"/>
        <v>0</v>
      </c>
      <c r="DU6" s="228">
        <f t="shared" si="1"/>
        <v>0</v>
      </c>
      <c r="DV6" s="222">
        <f t="shared" si="1"/>
        <v>0</v>
      </c>
      <c r="DW6" s="223">
        <f t="shared" si="1"/>
        <v>0</v>
      </c>
      <c r="DX6" s="221">
        <f t="shared" si="1"/>
        <v>0</v>
      </c>
      <c r="DY6" s="216">
        <f t="shared" si="1"/>
        <v>0</v>
      </c>
      <c r="DZ6" s="217">
        <f t="shared" si="1"/>
        <v>0</v>
      </c>
      <c r="EA6" s="220">
        <f t="shared" si="1"/>
        <v>8.3800000000000008</v>
      </c>
      <c r="EB6" s="222">
        <f t="shared" ref="EB6:GM6" si="2">SUM(EB8:EB1048576)</f>
        <v>0</v>
      </c>
      <c r="EC6" s="223">
        <f t="shared" si="2"/>
        <v>0</v>
      </c>
      <c r="ED6" s="214">
        <f t="shared" si="2"/>
        <v>0</v>
      </c>
      <c r="EE6" s="216">
        <f t="shared" si="2"/>
        <v>0</v>
      </c>
      <c r="EF6" s="217">
        <f t="shared" si="2"/>
        <v>0</v>
      </c>
      <c r="EG6" s="220">
        <f t="shared" si="2"/>
        <v>378.33</v>
      </c>
      <c r="EH6" s="229">
        <f t="shared" si="2"/>
        <v>1.75</v>
      </c>
      <c r="EI6" s="227">
        <f t="shared" si="2"/>
        <v>8.44</v>
      </c>
      <c r="EJ6" s="216">
        <f t="shared" si="2"/>
        <v>0</v>
      </c>
      <c r="EK6" s="217">
        <f t="shared" si="2"/>
        <v>0</v>
      </c>
      <c r="EL6" s="228">
        <f t="shared" si="2"/>
        <v>0</v>
      </c>
      <c r="EM6" s="226">
        <f t="shared" si="2"/>
        <v>68.8</v>
      </c>
      <c r="EN6" s="216">
        <f t="shared" si="2"/>
        <v>0</v>
      </c>
      <c r="EO6" s="217">
        <f t="shared" si="2"/>
        <v>0</v>
      </c>
      <c r="EP6" s="220">
        <f t="shared" si="2"/>
        <v>16.170000000000002</v>
      </c>
      <c r="EQ6" s="224">
        <f t="shared" si="2"/>
        <v>0</v>
      </c>
      <c r="ER6" s="216">
        <f t="shared" si="2"/>
        <v>0</v>
      </c>
      <c r="ES6" s="217">
        <f t="shared" si="2"/>
        <v>0</v>
      </c>
      <c r="ET6" s="228">
        <f t="shared" si="2"/>
        <v>0</v>
      </c>
      <c r="EU6" s="223">
        <f t="shared" si="2"/>
        <v>0</v>
      </c>
      <c r="EV6" s="231">
        <f t="shared" si="2"/>
        <v>27.65</v>
      </c>
      <c r="EW6" s="225">
        <f t="shared" si="2"/>
        <v>0</v>
      </c>
      <c r="EX6" s="249">
        <f t="shared" si="2"/>
        <v>0</v>
      </c>
      <c r="EY6" s="225">
        <f t="shared" si="2"/>
        <v>0</v>
      </c>
      <c r="EZ6" s="218">
        <f t="shared" si="2"/>
        <v>0</v>
      </c>
      <c r="FA6" s="216">
        <f t="shared" si="2"/>
        <v>0</v>
      </c>
      <c r="FB6" s="217">
        <f t="shared" si="2"/>
        <v>0</v>
      </c>
      <c r="FC6" s="228">
        <f t="shared" si="2"/>
        <v>0</v>
      </c>
      <c r="FD6" s="223">
        <f t="shared" si="2"/>
        <v>0</v>
      </c>
      <c r="FE6" s="231">
        <f t="shared" si="2"/>
        <v>28</v>
      </c>
      <c r="FF6" s="225">
        <f t="shared" si="2"/>
        <v>0</v>
      </c>
      <c r="FG6" s="220">
        <f t="shared" si="2"/>
        <v>103.66500000000001</v>
      </c>
      <c r="FH6" s="224">
        <f t="shared" si="2"/>
        <v>0</v>
      </c>
      <c r="FI6" s="216">
        <f t="shared" si="2"/>
        <v>0</v>
      </c>
      <c r="FJ6" s="217">
        <f t="shared" si="2"/>
        <v>0</v>
      </c>
      <c r="FK6" s="228">
        <f t="shared" si="2"/>
        <v>0</v>
      </c>
      <c r="FL6" s="224">
        <f t="shared" si="2"/>
        <v>0</v>
      </c>
      <c r="FM6" s="216">
        <f t="shared" si="2"/>
        <v>0</v>
      </c>
      <c r="FN6" s="227">
        <f t="shared" si="2"/>
        <v>45.85</v>
      </c>
      <c r="FO6" s="224">
        <f t="shared" si="2"/>
        <v>0</v>
      </c>
      <c r="FP6" s="224">
        <f t="shared" si="2"/>
        <v>0</v>
      </c>
      <c r="FQ6" s="216">
        <f t="shared" si="2"/>
        <v>0</v>
      </c>
      <c r="FR6" s="217">
        <f t="shared" si="2"/>
        <v>0</v>
      </c>
      <c r="FS6" s="228">
        <f t="shared" si="2"/>
        <v>0</v>
      </c>
      <c r="FT6" s="214">
        <f t="shared" si="2"/>
        <v>0</v>
      </c>
      <c r="FU6" s="225">
        <f t="shared" si="2"/>
        <v>0</v>
      </c>
      <c r="FV6" s="228">
        <f t="shared" si="2"/>
        <v>0</v>
      </c>
      <c r="FW6" s="227">
        <f t="shared" si="2"/>
        <v>45.4</v>
      </c>
      <c r="FX6" s="230">
        <f t="shared" si="2"/>
        <v>9.1999999999999993</v>
      </c>
      <c r="FY6" s="223">
        <f t="shared" si="2"/>
        <v>0</v>
      </c>
      <c r="FZ6" s="214">
        <f t="shared" si="2"/>
        <v>0</v>
      </c>
      <c r="GA6" s="225">
        <f t="shared" si="2"/>
        <v>0</v>
      </c>
      <c r="GB6" s="228">
        <f t="shared" si="2"/>
        <v>0</v>
      </c>
      <c r="GC6" s="226">
        <f t="shared" si="2"/>
        <v>89.45</v>
      </c>
      <c r="GD6" s="214">
        <f t="shared" si="2"/>
        <v>0</v>
      </c>
      <c r="GE6" s="225">
        <f t="shared" si="2"/>
        <v>0</v>
      </c>
      <c r="GF6" s="227">
        <f t="shared" si="2"/>
        <v>21.45</v>
      </c>
      <c r="GG6" s="224">
        <f t="shared" si="2"/>
        <v>0</v>
      </c>
      <c r="GH6" s="228">
        <f t="shared" si="2"/>
        <v>0</v>
      </c>
      <c r="GI6" s="356">
        <f t="shared" si="2"/>
        <v>0</v>
      </c>
      <c r="GJ6" s="232">
        <f t="shared" si="2"/>
        <v>0</v>
      </c>
      <c r="GK6" s="219">
        <f t="shared" si="2"/>
        <v>76.703000000000003</v>
      </c>
      <c r="GL6" s="216">
        <f t="shared" si="2"/>
        <v>0</v>
      </c>
      <c r="GM6" s="218">
        <f t="shared" si="2"/>
        <v>0</v>
      </c>
      <c r="GN6" s="218">
        <f t="shared" ref="GN6:IW6" si="3">SUM(GN8:GN1048576)</f>
        <v>0</v>
      </c>
      <c r="GO6" s="234">
        <f t="shared" si="3"/>
        <v>0</v>
      </c>
      <c r="GP6" s="216">
        <f t="shared" si="3"/>
        <v>0</v>
      </c>
      <c r="GQ6" s="218">
        <f t="shared" si="3"/>
        <v>0</v>
      </c>
      <c r="GR6" s="233">
        <f t="shared" si="3"/>
        <v>0</v>
      </c>
      <c r="GS6" s="234">
        <f t="shared" si="3"/>
        <v>0</v>
      </c>
      <c r="GT6" s="234">
        <f t="shared" si="3"/>
        <v>0</v>
      </c>
      <c r="GU6" s="234">
        <f t="shared" si="3"/>
        <v>0</v>
      </c>
      <c r="GV6" s="216">
        <f t="shared" si="3"/>
        <v>0</v>
      </c>
      <c r="GW6" s="218">
        <f t="shared" si="3"/>
        <v>0</v>
      </c>
      <c r="GX6" s="218">
        <f t="shared" si="3"/>
        <v>0</v>
      </c>
      <c r="GY6" s="216">
        <f t="shared" si="3"/>
        <v>0</v>
      </c>
      <c r="GZ6" s="228">
        <f t="shared" si="3"/>
        <v>0</v>
      </c>
      <c r="HA6" s="214">
        <f t="shared" si="3"/>
        <v>0</v>
      </c>
      <c r="HB6" s="275">
        <f t="shared" si="3"/>
        <v>0</v>
      </c>
      <c r="HC6" s="216">
        <f t="shared" si="3"/>
        <v>0</v>
      </c>
      <c r="HD6" s="218">
        <f t="shared" si="3"/>
        <v>0</v>
      </c>
      <c r="HE6" s="216">
        <f t="shared" si="3"/>
        <v>0</v>
      </c>
      <c r="HF6" s="218">
        <f t="shared" si="3"/>
        <v>0</v>
      </c>
      <c r="HG6" s="216">
        <f t="shared" si="3"/>
        <v>0</v>
      </c>
      <c r="HH6" s="228">
        <f t="shared" si="3"/>
        <v>0</v>
      </c>
      <c r="HI6" s="213">
        <f t="shared" si="3"/>
        <v>13.32</v>
      </c>
      <c r="HJ6" s="219">
        <f t="shared" si="3"/>
        <v>8.9849999999999994</v>
      </c>
      <c r="HK6" s="233">
        <f t="shared" si="3"/>
        <v>0</v>
      </c>
      <c r="HL6" s="216">
        <f t="shared" si="3"/>
        <v>0</v>
      </c>
      <c r="HM6" s="228">
        <f t="shared" si="3"/>
        <v>0</v>
      </c>
      <c r="HN6" s="214">
        <f t="shared" si="3"/>
        <v>0</v>
      </c>
      <c r="HO6" s="216">
        <f t="shared" si="3"/>
        <v>0</v>
      </c>
      <c r="HP6" s="218">
        <f t="shared" si="3"/>
        <v>0</v>
      </c>
      <c r="HQ6" s="216">
        <f t="shared" si="3"/>
        <v>0</v>
      </c>
      <c r="HR6" s="218">
        <f t="shared" si="3"/>
        <v>0</v>
      </c>
      <c r="HS6" s="235">
        <f t="shared" si="3"/>
        <v>93.39</v>
      </c>
      <c r="HT6" s="215">
        <f t="shared" si="3"/>
        <v>31.1</v>
      </c>
      <c r="HU6" s="216">
        <f t="shared" si="3"/>
        <v>0</v>
      </c>
      <c r="HV6" s="218">
        <f t="shared" si="3"/>
        <v>0</v>
      </c>
      <c r="HW6" s="216">
        <f t="shared" si="3"/>
        <v>0</v>
      </c>
      <c r="HX6" s="218">
        <f t="shared" si="3"/>
        <v>0</v>
      </c>
      <c r="HY6" s="235">
        <f t="shared" si="3"/>
        <v>8.94</v>
      </c>
      <c r="HZ6" s="216">
        <f t="shared" si="3"/>
        <v>0</v>
      </c>
      <c r="IA6" s="219">
        <f t="shared" si="3"/>
        <v>83.82</v>
      </c>
      <c r="IB6" s="216">
        <f t="shared" si="3"/>
        <v>0</v>
      </c>
      <c r="IC6" s="218">
        <f t="shared" si="3"/>
        <v>0</v>
      </c>
      <c r="ID6" s="216">
        <f t="shared" si="3"/>
        <v>0</v>
      </c>
      <c r="IE6" s="219">
        <f t="shared" si="3"/>
        <v>2.42</v>
      </c>
      <c r="IF6" s="233">
        <f t="shared" si="3"/>
        <v>0</v>
      </c>
      <c r="IG6" s="235">
        <f t="shared" si="3"/>
        <v>127.11</v>
      </c>
      <c r="IH6" s="230">
        <f t="shared" si="3"/>
        <v>128.26</v>
      </c>
      <c r="II6" s="285">
        <f t="shared" si="3"/>
        <v>29.6</v>
      </c>
      <c r="IJ6" s="284">
        <f t="shared" si="3"/>
        <v>3.28</v>
      </c>
      <c r="IK6" s="263">
        <f t="shared" si="3"/>
        <v>63.54</v>
      </c>
      <c r="IL6" s="263">
        <f t="shared" si="3"/>
        <v>10.45</v>
      </c>
      <c r="IM6" s="233">
        <f t="shared" si="3"/>
        <v>0</v>
      </c>
      <c r="IN6" s="216">
        <f t="shared" si="3"/>
        <v>0</v>
      </c>
      <c r="IO6" s="213">
        <f t="shared" si="3"/>
        <v>457.2</v>
      </c>
      <c r="IP6" s="263">
        <f t="shared" si="3"/>
        <v>2.5</v>
      </c>
      <c r="IQ6" s="263">
        <f t="shared" si="3"/>
        <v>14.7</v>
      </c>
      <c r="IR6" s="263">
        <f t="shared" si="3"/>
        <v>2.85</v>
      </c>
      <c r="IS6" s="263">
        <f t="shared" si="3"/>
        <v>6.83</v>
      </c>
      <c r="IT6" s="263">
        <f t="shared" si="3"/>
        <v>9.2200000000000006</v>
      </c>
      <c r="IU6" s="263">
        <f t="shared" si="3"/>
        <v>18.5</v>
      </c>
      <c r="IV6" s="379">
        <f t="shared" si="3"/>
        <v>0</v>
      </c>
      <c r="IW6" s="263">
        <f t="shared" si="3"/>
        <v>52.36</v>
      </c>
    </row>
    <row r="7" spans="1:257" s="63" customFormat="1" ht="6.75" customHeight="1" x14ac:dyDescent="0.25">
      <c r="A7" s="128"/>
      <c r="B7" s="56"/>
      <c r="C7" s="57"/>
      <c r="D7" s="385"/>
      <c r="E7" s="385"/>
      <c r="F7" s="144"/>
      <c r="G7" s="144"/>
      <c r="H7" s="83"/>
      <c r="I7" s="83"/>
      <c r="J7" s="109"/>
      <c r="K7" s="60"/>
      <c r="L7" s="68"/>
      <c r="M7" s="94"/>
      <c r="N7" s="60"/>
      <c r="O7" s="374"/>
      <c r="P7" s="105"/>
      <c r="Q7" s="162"/>
      <c r="R7" s="114"/>
      <c r="S7" s="73"/>
      <c r="T7" s="60"/>
      <c r="U7" s="68"/>
      <c r="V7" s="73"/>
      <c r="W7" s="162"/>
      <c r="X7" s="60"/>
      <c r="Y7" s="68"/>
      <c r="Z7" s="78"/>
      <c r="AA7" s="60"/>
      <c r="AB7" s="68"/>
      <c r="AC7" s="105"/>
      <c r="AD7" s="114"/>
      <c r="AE7" s="60"/>
      <c r="AF7" s="68"/>
      <c r="AG7" s="105"/>
      <c r="AH7" s="120"/>
      <c r="AI7" s="125"/>
      <c r="AJ7" s="162"/>
      <c r="AK7" s="242"/>
      <c r="AL7" s="60"/>
      <c r="AM7" s="68"/>
      <c r="AN7" s="105"/>
      <c r="AO7" s="59"/>
      <c r="AP7" s="60"/>
      <c r="AQ7" s="68"/>
      <c r="AR7" s="105"/>
      <c r="AS7" s="120"/>
      <c r="AT7" s="59"/>
      <c r="AU7" s="60"/>
      <c r="AV7" s="68"/>
      <c r="AW7" s="105"/>
      <c r="AX7" s="120"/>
      <c r="AY7" s="125"/>
      <c r="AZ7" s="290"/>
      <c r="BA7" s="60"/>
      <c r="BB7" s="68"/>
      <c r="BC7" s="105"/>
      <c r="BD7" s="120"/>
      <c r="BE7" s="125"/>
      <c r="BF7" s="290"/>
      <c r="BG7" s="60"/>
      <c r="BH7" s="68"/>
      <c r="BI7" s="105"/>
      <c r="BJ7" s="120"/>
      <c r="BK7" s="125"/>
      <c r="BL7" s="290"/>
      <c r="BM7" s="93"/>
      <c r="BN7" s="68"/>
      <c r="BO7" s="105"/>
      <c r="BP7" s="120"/>
      <c r="BQ7" s="125"/>
      <c r="BR7" s="290"/>
      <c r="BS7" s="60"/>
      <c r="BT7" s="68"/>
      <c r="BU7" s="105"/>
      <c r="BV7" s="120"/>
      <c r="BW7" s="125"/>
      <c r="BX7" s="290"/>
      <c r="BY7" s="60"/>
      <c r="BZ7" s="68"/>
      <c r="CA7" s="105"/>
      <c r="CB7" s="120"/>
      <c r="CC7" s="125"/>
      <c r="CD7" s="290"/>
      <c r="CE7" s="60"/>
      <c r="CF7" s="68"/>
      <c r="CG7" s="105"/>
      <c r="CH7" s="120"/>
      <c r="CI7" s="125"/>
      <c r="CJ7" s="290"/>
      <c r="CK7" s="60"/>
      <c r="CL7" s="68"/>
      <c r="CM7" s="105"/>
      <c r="CN7" s="120"/>
      <c r="CO7" s="125"/>
      <c r="CP7" s="290"/>
      <c r="CQ7" s="60"/>
      <c r="CR7" s="68"/>
      <c r="CS7" s="73"/>
      <c r="CT7" s="120"/>
      <c r="CU7" s="125"/>
      <c r="CV7" s="114"/>
      <c r="CW7" s="60"/>
      <c r="CX7" s="68"/>
      <c r="CY7" s="105"/>
      <c r="CZ7" s="120"/>
      <c r="DA7" s="125"/>
      <c r="DB7" s="114"/>
      <c r="DC7" s="60"/>
      <c r="DD7" s="68"/>
      <c r="DE7" s="73"/>
      <c r="DF7" s="120"/>
      <c r="DG7" s="125"/>
      <c r="DH7" s="114"/>
      <c r="DI7" s="60"/>
      <c r="DJ7" s="68"/>
      <c r="DK7" s="105"/>
      <c r="DL7" s="120"/>
      <c r="DM7" s="59"/>
      <c r="DN7" s="60"/>
      <c r="DO7" s="374"/>
      <c r="DP7" s="73"/>
      <c r="DQ7" s="120"/>
      <c r="DR7" s="59"/>
      <c r="DS7" s="60"/>
      <c r="DT7" s="68"/>
      <c r="DU7" s="105"/>
      <c r="DV7" s="120"/>
      <c r="DW7" s="125"/>
      <c r="DX7" s="114"/>
      <c r="DY7" s="60"/>
      <c r="DZ7" s="68"/>
      <c r="EA7" s="73"/>
      <c r="EB7" s="120"/>
      <c r="EC7" s="125"/>
      <c r="ED7" s="114"/>
      <c r="EE7" s="60"/>
      <c r="EF7" s="68"/>
      <c r="EG7" s="73"/>
      <c r="EH7" s="193"/>
      <c r="EI7" s="149"/>
      <c r="EJ7" s="60"/>
      <c r="EK7" s="68"/>
      <c r="EL7" s="105"/>
      <c r="EM7" s="149"/>
      <c r="EN7" s="60"/>
      <c r="EO7" s="68"/>
      <c r="EP7" s="73"/>
      <c r="EQ7" s="59"/>
      <c r="ER7" s="60"/>
      <c r="ES7" s="68"/>
      <c r="ET7" s="105"/>
      <c r="EU7" s="125"/>
      <c r="EV7" s="196"/>
      <c r="EW7" s="93"/>
      <c r="EX7" s="250"/>
      <c r="EY7" s="93"/>
      <c r="EZ7" s="94"/>
      <c r="FA7" s="60"/>
      <c r="FB7" s="68"/>
      <c r="FC7" s="105"/>
      <c r="FD7" s="125"/>
      <c r="FE7" s="196"/>
      <c r="FF7" s="93"/>
      <c r="FG7" s="73"/>
      <c r="FH7" s="59"/>
      <c r="FI7" s="60"/>
      <c r="FJ7" s="68"/>
      <c r="FK7" s="105"/>
      <c r="FL7" s="59"/>
      <c r="FM7" s="60"/>
      <c r="FN7" s="149"/>
      <c r="FO7" s="209"/>
      <c r="FP7" s="209"/>
      <c r="FQ7" s="60"/>
      <c r="FR7" s="68"/>
      <c r="FS7" s="105"/>
      <c r="FT7" s="114"/>
      <c r="FU7" s="93"/>
      <c r="FV7" s="105"/>
      <c r="FW7" s="149"/>
      <c r="FX7" s="58"/>
      <c r="FY7" s="125"/>
      <c r="FZ7" s="114"/>
      <c r="GA7" s="93"/>
      <c r="GB7" s="105"/>
      <c r="GC7" s="156"/>
      <c r="GD7" s="114"/>
      <c r="GE7" s="93"/>
      <c r="GF7" s="149"/>
      <c r="GG7" s="209"/>
      <c r="GH7" s="105"/>
      <c r="GI7" s="250"/>
      <c r="GJ7" s="201"/>
      <c r="GK7" s="78"/>
      <c r="GL7" s="60"/>
      <c r="GM7" s="94"/>
      <c r="GN7" s="109"/>
      <c r="GO7" s="109"/>
      <c r="GP7" s="60"/>
      <c r="GQ7" s="94"/>
      <c r="GR7" s="62"/>
      <c r="GS7" s="109"/>
      <c r="GT7" s="109"/>
      <c r="GU7" s="109"/>
      <c r="GV7" s="60"/>
      <c r="GW7" s="94"/>
      <c r="GX7" s="105"/>
      <c r="GY7" s="60"/>
      <c r="GZ7" s="105"/>
      <c r="HA7" s="114"/>
      <c r="HB7" s="276"/>
      <c r="HC7" s="60"/>
      <c r="HD7" s="94"/>
      <c r="HE7" s="60"/>
      <c r="HF7" s="94"/>
      <c r="HG7" s="60"/>
      <c r="HH7" s="105"/>
      <c r="HI7" s="290"/>
      <c r="HJ7" s="78"/>
      <c r="HK7" s="62"/>
      <c r="HL7" s="60"/>
      <c r="HM7" s="105"/>
      <c r="HN7" s="114"/>
      <c r="HO7" s="60"/>
      <c r="HP7" s="94"/>
      <c r="HQ7" s="60"/>
      <c r="HR7" s="94"/>
      <c r="HS7" s="61"/>
      <c r="HT7" s="83"/>
      <c r="HU7" s="60"/>
      <c r="HV7" s="94"/>
      <c r="HW7" s="60"/>
      <c r="HX7" s="94"/>
      <c r="HY7" s="61"/>
      <c r="HZ7" s="60"/>
      <c r="IA7" s="78"/>
      <c r="IB7" s="60"/>
      <c r="IC7" s="94"/>
      <c r="ID7" s="60"/>
      <c r="IE7" s="78"/>
      <c r="IF7" s="62"/>
      <c r="IG7" s="61"/>
      <c r="IH7" s="58"/>
      <c r="II7" s="282"/>
      <c r="IJ7" s="264"/>
      <c r="IK7" s="265"/>
      <c r="IL7" s="266"/>
      <c r="IM7" s="361"/>
      <c r="IN7" s="362"/>
      <c r="IO7" s="287"/>
      <c r="IP7" s="266"/>
      <c r="IQ7" s="266"/>
      <c r="IR7" s="266"/>
      <c r="IS7" s="266"/>
      <c r="IT7" s="266"/>
      <c r="IU7" s="266"/>
      <c r="IV7" s="380"/>
      <c r="IW7" s="266"/>
    </row>
    <row r="8" spans="1:257" x14ac:dyDescent="0.25">
      <c r="A8" s="129">
        <v>44316</v>
      </c>
      <c r="B8" s="19" t="s">
        <v>36</v>
      </c>
      <c r="C8" s="21">
        <f t="shared" ref="C8:C71" si="4">SUM(I8:JT8)</f>
        <v>27884.78</v>
      </c>
      <c r="D8" s="384"/>
      <c r="E8" s="384"/>
      <c r="F8" s="143"/>
      <c r="G8" s="143"/>
      <c r="H8" s="82"/>
      <c r="I8" s="82"/>
      <c r="J8" s="108"/>
      <c r="K8" s="41">
        <v>453.3</v>
      </c>
      <c r="L8" s="67">
        <v>431.98</v>
      </c>
      <c r="M8" s="91"/>
      <c r="N8" s="41"/>
      <c r="O8" s="372">
        <v>254.86</v>
      </c>
      <c r="P8" s="104"/>
      <c r="Q8" s="161">
        <v>21.62</v>
      </c>
      <c r="R8" s="113"/>
      <c r="S8" s="72"/>
      <c r="T8" s="41">
        <v>0</v>
      </c>
      <c r="U8" s="67">
        <v>689.54499999999996</v>
      </c>
      <c r="V8" s="72"/>
      <c r="W8" s="161"/>
      <c r="X8" s="41"/>
      <c r="Y8" s="67">
        <v>775.63499999999999</v>
      </c>
      <c r="Z8" s="77"/>
      <c r="AA8" s="41"/>
      <c r="AB8" s="67">
        <v>33.975000000000001</v>
      </c>
      <c r="AC8" s="104"/>
      <c r="AD8" s="113">
        <v>31.38</v>
      </c>
      <c r="AE8" s="41">
        <v>195.66</v>
      </c>
      <c r="AF8" s="67">
        <v>42.65</v>
      </c>
      <c r="AG8" s="104"/>
      <c r="AH8" s="119">
        <v>7.28</v>
      </c>
      <c r="AI8" s="124">
        <v>7.88</v>
      </c>
      <c r="AJ8" s="161"/>
      <c r="AK8" s="241"/>
      <c r="AL8" s="41">
        <v>8.5</v>
      </c>
      <c r="AM8" s="67">
        <v>309.17</v>
      </c>
      <c r="AN8" s="104"/>
      <c r="AO8" s="45">
        <v>44.15</v>
      </c>
      <c r="AP8" s="41">
        <v>352.52</v>
      </c>
      <c r="AQ8" s="67">
        <v>0</v>
      </c>
      <c r="AR8" s="104"/>
      <c r="AS8" s="119">
        <v>25.25</v>
      </c>
      <c r="AT8" s="45">
        <v>22.73</v>
      </c>
      <c r="AU8" s="41">
        <v>0</v>
      </c>
      <c r="AV8" s="67">
        <v>555.73500000000001</v>
      </c>
      <c r="AW8" s="104"/>
      <c r="AX8" s="119"/>
      <c r="AY8" s="124"/>
      <c r="AZ8" s="152">
        <v>17.079999999999998</v>
      </c>
      <c r="BA8" s="41">
        <v>121.93</v>
      </c>
      <c r="BB8" s="67">
        <v>0</v>
      </c>
      <c r="BC8" s="104"/>
      <c r="BD8" s="119"/>
      <c r="BE8" s="124"/>
      <c r="BF8" s="152">
        <v>22.81</v>
      </c>
      <c r="BG8" s="41">
        <v>8.43</v>
      </c>
      <c r="BH8" s="67"/>
      <c r="BI8" s="104"/>
      <c r="BJ8" s="119"/>
      <c r="BK8" s="124"/>
      <c r="BL8" s="152">
        <v>42.34</v>
      </c>
      <c r="BM8" s="87">
        <v>76.819999999999993</v>
      </c>
      <c r="BN8" s="67">
        <v>34.104999999999997</v>
      </c>
      <c r="BO8" s="104"/>
      <c r="BP8" s="119"/>
      <c r="BQ8" s="124"/>
      <c r="BR8" s="152">
        <v>49.48</v>
      </c>
      <c r="BS8" s="41">
        <v>375.55</v>
      </c>
      <c r="BT8" s="67">
        <v>8.51</v>
      </c>
      <c r="BU8" s="104"/>
      <c r="BV8" s="119"/>
      <c r="BW8" s="124"/>
      <c r="BX8" s="152">
        <v>0</v>
      </c>
      <c r="BY8" s="41">
        <v>662.91</v>
      </c>
      <c r="BZ8" s="67">
        <v>0</v>
      </c>
      <c r="CA8" s="104"/>
      <c r="CB8" s="119"/>
      <c r="CC8" s="124">
        <f>16.27-8.73</f>
        <v>7.54</v>
      </c>
      <c r="CD8" s="152"/>
      <c r="CE8" s="41">
        <v>365.38</v>
      </c>
      <c r="CF8" s="67">
        <v>0</v>
      </c>
      <c r="CG8" s="104"/>
      <c r="CH8" s="119"/>
      <c r="CI8" s="124"/>
      <c r="CJ8" s="152">
        <v>0</v>
      </c>
      <c r="CK8" s="41">
        <v>325.45999999999998</v>
      </c>
      <c r="CL8" s="67">
        <v>0</v>
      </c>
      <c r="CM8" s="104">
        <v>0</v>
      </c>
      <c r="CN8" s="119"/>
      <c r="CO8" s="124"/>
      <c r="CP8" s="152">
        <v>25.14</v>
      </c>
      <c r="CQ8" s="41">
        <v>494.4</v>
      </c>
      <c r="CR8" s="67">
        <v>34.085000000000001</v>
      </c>
      <c r="CS8" s="72"/>
      <c r="CT8" s="119">
        <v>7.85</v>
      </c>
      <c r="CU8" s="124"/>
      <c r="CV8" s="113">
        <v>16.54</v>
      </c>
      <c r="CW8" s="41">
        <f>446.93-8.67</f>
        <v>438.26</v>
      </c>
      <c r="CX8" s="67">
        <v>0</v>
      </c>
      <c r="CY8" s="104"/>
      <c r="CZ8" s="119">
        <v>9</v>
      </c>
      <c r="DA8" s="124"/>
      <c r="DB8" s="113">
        <v>30.71</v>
      </c>
      <c r="DC8" s="41">
        <v>467.51</v>
      </c>
      <c r="DD8" s="67">
        <v>0</v>
      </c>
      <c r="DE8" s="72"/>
      <c r="DF8" s="119">
        <v>7.58</v>
      </c>
      <c r="DG8" s="124">
        <v>75.260000000000005</v>
      </c>
      <c r="DH8" s="113"/>
      <c r="DI8" s="41">
        <v>42.84</v>
      </c>
      <c r="DJ8" s="67">
        <v>76.11</v>
      </c>
      <c r="DK8" s="104"/>
      <c r="DL8" s="119"/>
      <c r="DM8" s="45">
        <v>67.69</v>
      </c>
      <c r="DN8" s="41">
        <v>387.94</v>
      </c>
      <c r="DO8" s="372">
        <v>208.34</v>
      </c>
      <c r="DP8" s="72"/>
      <c r="DQ8" s="119">
        <v>25.23</v>
      </c>
      <c r="DR8" s="45">
        <v>31.1</v>
      </c>
      <c r="DS8" s="41">
        <v>98.03</v>
      </c>
      <c r="DT8" s="67">
        <v>408.02</v>
      </c>
      <c r="DU8" s="104"/>
      <c r="DV8" s="119">
        <v>32.380000000000003</v>
      </c>
      <c r="DW8" s="124">
        <v>57.84</v>
      </c>
      <c r="DX8" s="113"/>
      <c r="DY8" s="41">
        <v>32.49</v>
      </c>
      <c r="DZ8" s="67">
        <v>570.01499999999999</v>
      </c>
      <c r="EA8" s="72"/>
      <c r="EB8" s="119">
        <v>8.32</v>
      </c>
      <c r="EC8" s="124"/>
      <c r="ED8" s="113"/>
      <c r="EE8" s="41">
        <v>117.4</v>
      </c>
      <c r="EF8" s="67">
        <v>274.245</v>
      </c>
      <c r="EG8" s="72"/>
      <c r="EH8" s="192"/>
      <c r="EI8" s="148"/>
      <c r="EJ8" s="41">
        <v>509.01</v>
      </c>
      <c r="EK8" s="67">
        <v>17.035</v>
      </c>
      <c r="EL8" s="104"/>
      <c r="EM8" s="148"/>
      <c r="EN8" s="41">
        <v>479.62</v>
      </c>
      <c r="EO8" s="67">
        <v>446.36</v>
      </c>
      <c r="EP8" s="72"/>
      <c r="EQ8" s="45"/>
      <c r="ER8" s="41"/>
      <c r="ES8" s="67">
        <v>574.55499999999995</v>
      </c>
      <c r="ET8" s="104"/>
      <c r="EU8" s="124"/>
      <c r="EV8" s="169"/>
      <c r="EW8" s="87">
        <v>973.29499999999996</v>
      </c>
      <c r="EX8" s="248"/>
      <c r="EY8" s="87">
        <v>628.27499999999998</v>
      </c>
      <c r="EZ8" s="91"/>
      <c r="FA8" s="41"/>
      <c r="FB8" s="67">
        <v>129.72</v>
      </c>
      <c r="FC8" s="104"/>
      <c r="FD8" s="124"/>
      <c r="FE8" s="169"/>
      <c r="FF8" s="87">
        <v>902.88499999999999</v>
      </c>
      <c r="FG8" s="72"/>
      <c r="FH8" s="45"/>
      <c r="FI8" s="41"/>
      <c r="FJ8" s="67">
        <v>1112.6199999999999</v>
      </c>
      <c r="FK8" s="104"/>
      <c r="FL8" s="45"/>
      <c r="FM8" s="41"/>
      <c r="FN8" s="148"/>
      <c r="FO8" s="208"/>
      <c r="FP8" s="208"/>
      <c r="FQ8" s="41">
        <v>82.4</v>
      </c>
      <c r="FR8" s="67">
        <v>363.65499999999997</v>
      </c>
      <c r="FS8" s="104"/>
      <c r="FT8" s="113"/>
      <c r="FU8" s="87">
        <v>415.39</v>
      </c>
      <c r="FV8" s="104"/>
      <c r="FW8" s="148"/>
      <c r="FX8" s="33">
        <v>511.76</v>
      </c>
      <c r="FY8" s="124"/>
      <c r="FZ8" s="113"/>
      <c r="GA8" s="87">
        <v>626.41499999999996</v>
      </c>
      <c r="GB8" s="104"/>
      <c r="GC8" s="155"/>
      <c r="GD8" s="113"/>
      <c r="GE8" s="87">
        <v>379.57499999999999</v>
      </c>
      <c r="GF8" s="148"/>
      <c r="GG8" s="208"/>
      <c r="GH8" s="104"/>
      <c r="GI8" s="248"/>
      <c r="GJ8" s="200"/>
      <c r="GK8" s="77"/>
      <c r="GL8" s="41"/>
      <c r="GM8" s="91"/>
      <c r="GN8" s="108"/>
      <c r="GO8" s="108"/>
      <c r="GP8" s="41">
        <v>282.95</v>
      </c>
      <c r="GQ8" s="91"/>
      <c r="GR8" s="49"/>
      <c r="GS8" s="108"/>
      <c r="GT8" s="108"/>
      <c r="GU8" s="108"/>
      <c r="GV8" s="41">
        <v>502.85</v>
      </c>
      <c r="GW8" s="91"/>
      <c r="GX8" s="104"/>
      <c r="GY8" s="41">
        <v>738.9</v>
      </c>
      <c r="GZ8" s="104"/>
      <c r="HA8" s="113"/>
      <c r="HB8" s="274"/>
      <c r="HC8" s="41">
        <v>572.62</v>
      </c>
      <c r="HD8" s="91"/>
      <c r="HE8" s="41">
        <v>55.7</v>
      </c>
      <c r="HF8" s="91"/>
      <c r="HG8" s="41">
        <v>477.75</v>
      </c>
      <c r="HH8" s="104"/>
      <c r="HI8" s="152"/>
      <c r="HJ8" s="77"/>
      <c r="HK8" s="49">
        <v>1270.42</v>
      </c>
      <c r="HL8" s="41">
        <v>675.14</v>
      </c>
      <c r="HM8" s="104"/>
      <c r="HN8" s="113"/>
      <c r="HO8" s="41">
        <v>472.64</v>
      </c>
      <c r="HP8" s="91">
        <v>77.680000000000007</v>
      </c>
      <c r="HQ8" s="41">
        <v>343.73</v>
      </c>
      <c r="HR8" s="91">
        <v>-1</v>
      </c>
      <c r="HS8" s="37">
        <v>480.17</v>
      </c>
      <c r="HT8" s="82"/>
      <c r="HU8" s="41">
        <v>781.34</v>
      </c>
      <c r="HV8" s="91"/>
      <c r="HW8" s="41">
        <v>661.06</v>
      </c>
      <c r="HX8" s="91"/>
      <c r="HY8" s="37">
        <v>343</v>
      </c>
      <c r="HZ8" s="41">
        <v>555.38</v>
      </c>
      <c r="IA8" s="77"/>
      <c r="IB8" s="41">
        <v>155.1</v>
      </c>
      <c r="IC8" s="91"/>
      <c r="ID8" s="41">
        <v>333.43</v>
      </c>
      <c r="IE8" s="77"/>
      <c r="IF8" s="49">
        <v>414.78</v>
      </c>
      <c r="IG8" s="37">
        <v>112.08</v>
      </c>
      <c r="IH8" s="33"/>
      <c r="II8" s="281"/>
      <c r="IJ8" s="260"/>
      <c r="IK8" s="261"/>
    </row>
    <row r="9" spans="1:257" x14ac:dyDescent="0.25">
      <c r="A9" s="129">
        <v>44320</v>
      </c>
      <c r="B9" s="19" t="s">
        <v>23</v>
      </c>
      <c r="C9" s="21">
        <f t="shared" si="4"/>
        <v>0</v>
      </c>
      <c r="D9" s="384"/>
      <c r="E9" s="384"/>
      <c r="F9" s="143"/>
      <c r="G9" s="143"/>
      <c r="H9" s="82"/>
      <c r="I9" s="82"/>
      <c r="J9" s="108"/>
      <c r="K9" s="41"/>
      <c r="L9" s="67"/>
      <c r="M9" s="91"/>
      <c r="N9" s="41"/>
      <c r="O9" s="372"/>
      <c r="P9" s="104"/>
      <c r="Q9" s="161"/>
      <c r="R9" s="113"/>
      <c r="S9" s="72"/>
      <c r="T9" s="41"/>
      <c r="U9" s="67"/>
      <c r="V9" s="72"/>
      <c r="W9" s="161"/>
      <c r="X9" s="41"/>
      <c r="Y9" s="67"/>
      <c r="Z9" s="77"/>
      <c r="AA9" s="41"/>
      <c r="AB9" s="67"/>
      <c r="AC9" s="104"/>
      <c r="AD9" s="113"/>
      <c r="AE9" s="41"/>
      <c r="AF9" s="67"/>
      <c r="AG9" s="104"/>
      <c r="AH9" s="119"/>
      <c r="AI9" s="124"/>
      <c r="AJ9" s="161"/>
      <c r="AK9" s="241"/>
      <c r="AL9" s="41"/>
      <c r="AM9" s="67"/>
      <c r="AN9" s="104"/>
      <c r="AO9" s="45"/>
      <c r="AP9" s="41"/>
      <c r="AQ9" s="67"/>
      <c r="AR9" s="104"/>
      <c r="AS9" s="119"/>
      <c r="AT9" s="45"/>
      <c r="AU9" s="41"/>
      <c r="AV9" s="67"/>
      <c r="AW9" s="104"/>
      <c r="AX9" s="119"/>
      <c r="AY9" s="124"/>
      <c r="AZ9" s="152"/>
      <c r="BA9" s="41"/>
      <c r="BB9" s="67"/>
      <c r="BC9" s="104"/>
      <c r="BD9" s="119"/>
      <c r="BE9" s="124"/>
      <c r="BF9" s="152"/>
      <c r="BG9" s="41"/>
      <c r="BH9" s="67"/>
      <c r="BI9" s="104"/>
      <c r="BJ9" s="119"/>
      <c r="BK9" s="124"/>
      <c r="BL9" s="152"/>
      <c r="BM9" s="87"/>
      <c r="BN9" s="67"/>
      <c r="BO9" s="104"/>
      <c r="BP9" s="119"/>
      <c r="BQ9" s="124"/>
      <c r="BR9" s="152"/>
      <c r="BS9" s="41"/>
      <c r="BT9" s="67"/>
      <c r="BU9" s="104"/>
      <c r="BV9" s="119"/>
      <c r="BW9" s="124"/>
      <c r="BX9" s="152"/>
      <c r="BY9" s="41"/>
      <c r="BZ9" s="67"/>
      <c r="CA9" s="104"/>
      <c r="CB9" s="119"/>
      <c r="CC9" s="124"/>
      <c r="CD9" s="152"/>
      <c r="CE9" s="41"/>
      <c r="CF9" s="67"/>
      <c r="CG9" s="104"/>
      <c r="CH9" s="119"/>
      <c r="CI9" s="124"/>
      <c r="CJ9" s="152"/>
      <c r="CK9" s="41"/>
      <c r="CL9" s="67"/>
      <c r="CM9" s="104"/>
      <c r="CN9" s="119"/>
      <c r="CO9" s="124"/>
      <c r="CP9" s="152"/>
      <c r="CQ9" s="41"/>
      <c r="CR9" s="67"/>
      <c r="CS9" s="72"/>
      <c r="CT9" s="119"/>
      <c r="CU9" s="124"/>
      <c r="CV9" s="113"/>
      <c r="CW9" s="41"/>
      <c r="CX9" s="67"/>
      <c r="CY9" s="104"/>
      <c r="CZ9" s="119"/>
      <c r="DA9" s="124"/>
      <c r="DB9" s="113"/>
      <c r="DC9" s="41"/>
      <c r="DD9" s="67"/>
      <c r="DE9" s="72"/>
      <c r="DF9" s="119"/>
      <c r="DG9" s="124"/>
      <c r="DH9" s="113"/>
      <c r="DI9" s="41"/>
      <c r="DJ9" s="67"/>
      <c r="DK9" s="104"/>
      <c r="DL9" s="119"/>
      <c r="DM9" s="45"/>
      <c r="DN9" s="41"/>
      <c r="DO9" s="372"/>
      <c r="DP9" s="72"/>
      <c r="DQ9" s="119"/>
      <c r="DR9" s="45"/>
      <c r="DS9" s="41"/>
      <c r="DT9" s="67"/>
      <c r="DU9" s="104"/>
      <c r="DV9" s="119"/>
      <c r="DW9" s="124"/>
      <c r="DX9" s="113"/>
      <c r="DY9" s="41"/>
      <c r="DZ9" s="67"/>
      <c r="EA9" s="72"/>
      <c r="EB9" s="119"/>
      <c r="EC9" s="124"/>
      <c r="ED9" s="113"/>
      <c r="EE9" s="41"/>
      <c r="EF9" s="67"/>
      <c r="EG9" s="72"/>
      <c r="EH9" s="192"/>
      <c r="EI9" s="148"/>
      <c r="EJ9" s="41"/>
      <c r="EK9" s="67"/>
      <c r="EL9" s="104"/>
      <c r="EM9" s="148"/>
      <c r="EN9" s="41"/>
      <c r="EO9" s="67"/>
      <c r="EP9" s="72"/>
      <c r="EQ9" s="45"/>
      <c r="ER9" s="41"/>
      <c r="ES9" s="67"/>
      <c r="ET9" s="104"/>
      <c r="EU9" s="124"/>
      <c r="EV9" s="169"/>
      <c r="EW9" s="87"/>
      <c r="EX9" s="248"/>
      <c r="EY9" s="87"/>
      <c r="EZ9" s="91"/>
      <c r="FA9" s="41"/>
      <c r="FB9" s="67"/>
      <c r="FC9" s="104"/>
      <c r="FD9" s="124"/>
      <c r="FE9" s="169"/>
      <c r="FF9" s="87"/>
      <c r="FG9" s="72"/>
      <c r="FH9" s="45"/>
      <c r="FI9" s="41"/>
      <c r="FJ9" s="67"/>
      <c r="FK9" s="104"/>
      <c r="FL9" s="45"/>
      <c r="FM9" s="41"/>
      <c r="FN9" s="148"/>
      <c r="FO9" s="208"/>
      <c r="FP9" s="208"/>
      <c r="FQ9" s="41"/>
      <c r="FR9" s="67"/>
      <c r="FS9" s="104"/>
      <c r="FT9" s="113"/>
      <c r="FU9" s="87"/>
      <c r="FV9" s="104"/>
      <c r="FW9" s="148"/>
      <c r="FX9" s="33"/>
      <c r="FY9" s="124"/>
      <c r="FZ9" s="113"/>
      <c r="GA9" s="87"/>
      <c r="GB9" s="104"/>
      <c r="GC9" s="155"/>
      <c r="GD9" s="113"/>
      <c r="GE9" s="87"/>
      <c r="GF9" s="148"/>
      <c r="GG9" s="208"/>
      <c r="GH9" s="104"/>
      <c r="GI9" s="248"/>
      <c r="GJ9" s="200"/>
      <c r="GK9" s="77"/>
      <c r="GL9" s="41"/>
      <c r="GM9" s="91"/>
      <c r="GN9" s="108"/>
      <c r="GO9" s="108"/>
      <c r="GP9" s="41"/>
      <c r="GQ9" s="91"/>
      <c r="GR9" s="49"/>
      <c r="GS9" s="108"/>
      <c r="GT9" s="108"/>
      <c r="GU9" s="108"/>
      <c r="GV9" s="41"/>
      <c r="GW9" s="91"/>
      <c r="GX9" s="104"/>
      <c r="GY9" s="41"/>
      <c r="GZ9" s="104"/>
      <c r="HA9" s="113"/>
      <c r="HB9" s="274"/>
      <c r="HC9" s="41"/>
      <c r="HD9" s="91"/>
      <c r="HE9" s="41"/>
      <c r="HF9" s="91"/>
      <c r="HG9" s="41"/>
      <c r="HH9" s="104"/>
      <c r="HI9" s="152"/>
      <c r="HJ9" s="77"/>
      <c r="HK9" s="49"/>
      <c r="HL9" s="41"/>
      <c r="HM9" s="104"/>
      <c r="HN9" s="113"/>
      <c r="HO9" s="41"/>
      <c r="HP9" s="91"/>
      <c r="HQ9" s="41"/>
      <c r="HR9" s="91"/>
      <c r="HS9" s="37"/>
      <c r="HT9" s="82"/>
      <c r="HU9" s="41"/>
      <c r="HV9" s="91"/>
      <c r="HW9" s="41"/>
      <c r="HX9" s="91"/>
      <c r="HY9" s="37"/>
      <c r="HZ9" s="41"/>
      <c r="IA9" s="77"/>
      <c r="IB9" s="41"/>
      <c r="IC9" s="91"/>
      <c r="ID9" s="41"/>
      <c r="IE9" s="77"/>
      <c r="IF9" s="49"/>
      <c r="IG9" s="37"/>
      <c r="IH9" s="33"/>
      <c r="II9" s="281"/>
      <c r="IJ9" s="260"/>
      <c r="IK9" s="261"/>
    </row>
    <row r="10" spans="1:257" x14ac:dyDescent="0.25">
      <c r="A10" s="129">
        <v>44320</v>
      </c>
      <c r="B10" s="19" t="s">
        <v>34</v>
      </c>
      <c r="C10" s="21">
        <f t="shared" si="4"/>
        <v>-8.31</v>
      </c>
      <c r="D10" s="384"/>
      <c r="E10" s="384"/>
      <c r="F10" s="143"/>
      <c r="G10" s="143"/>
      <c r="H10" s="82"/>
      <c r="I10" s="82"/>
      <c r="J10" s="108"/>
      <c r="K10" s="41"/>
      <c r="L10" s="67"/>
      <c r="M10" s="91"/>
      <c r="N10" s="41"/>
      <c r="O10" s="372"/>
      <c r="P10" s="104"/>
      <c r="Q10" s="161"/>
      <c r="R10" s="113"/>
      <c r="S10" s="72"/>
      <c r="T10" s="41"/>
      <c r="U10" s="67"/>
      <c r="V10" s="72"/>
      <c r="W10" s="161"/>
      <c r="X10" s="41"/>
      <c r="Y10" s="67"/>
      <c r="Z10" s="77"/>
      <c r="AA10" s="41"/>
      <c r="AB10" s="67"/>
      <c r="AC10" s="104"/>
      <c r="AD10" s="113"/>
      <c r="AE10" s="41"/>
      <c r="AF10" s="67"/>
      <c r="AG10" s="104"/>
      <c r="AH10" s="119"/>
      <c r="AI10" s="124"/>
      <c r="AJ10" s="161"/>
      <c r="AK10" s="241"/>
      <c r="AL10" s="41"/>
      <c r="AM10" s="67"/>
      <c r="AN10" s="104"/>
      <c r="AO10" s="45"/>
      <c r="AP10" s="41"/>
      <c r="AQ10" s="67"/>
      <c r="AR10" s="104"/>
      <c r="AS10" s="119"/>
      <c r="AT10" s="45"/>
      <c r="AU10" s="41"/>
      <c r="AV10" s="67"/>
      <c r="AW10" s="104"/>
      <c r="AX10" s="119"/>
      <c r="AY10" s="124"/>
      <c r="AZ10" s="152"/>
      <c r="BA10" s="41"/>
      <c r="BB10" s="67"/>
      <c r="BC10" s="104"/>
      <c r="BD10" s="119"/>
      <c r="BE10" s="124"/>
      <c r="BF10" s="152"/>
      <c r="BG10" s="41"/>
      <c r="BH10" s="67"/>
      <c r="BI10" s="104"/>
      <c r="BJ10" s="119"/>
      <c r="BK10" s="124"/>
      <c r="BL10" s="152"/>
      <c r="BM10" s="87"/>
      <c r="BN10" s="67"/>
      <c r="BO10" s="104"/>
      <c r="BP10" s="119"/>
      <c r="BQ10" s="124"/>
      <c r="BR10" s="152"/>
      <c r="BS10" s="41"/>
      <c r="BT10" s="67"/>
      <c r="BU10" s="104"/>
      <c r="BV10" s="119"/>
      <c r="BW10" s="124"/>
      <c r="BX10" s="152"/>
      <c r="BY10" s="41"/>
      <c r="BZ10" s="67"/>
      <c r="CA10" s="104"/>
      <c r="CB10" s="119"/>
      <c r="CC10" s="124"/>
      <c r="CD10" s="152"/>
      <c r="CE10" s="41"/>
      <c r="CF10" s="67"/>
      <c r="CG10" s="104"/>
      <c r="CH10" s="119"/>
      <c r="CI10" s="124"/>
      <c r="CJ10" s="152"/>
      <c r="CK10" s="41"/>
      <c r="CL10" s="67"/>
      <c r="CM10" s="104"/>
      <c r="CN10" s="119"/>
      <c r="CO10" s="124"/>
      <c r="CP10" s="152">
        <v>-8.31</v>
      </c>
      <c r="CQ10" s="41"/>
      <c r="CR10" s="67"/>
      <c r="CS10" s="72"/>
      <c r="CT10" s="119"/>
      <c r="CU10" s="124"/>
      <c r="CV10" s="113"/>
      <c r="CW10" s="41"/>
      <c r="CX10" s="67"/>
      <c r="CY10" s="104"/>
      <c r="CZ10" s="119"/>
      <c r="DA10" s="124"/>
      <c r="DB10" s="113"/>
      <c r="DC10" s="41"/>
      <c r="DD10" s="67"/>
      <c r="DE10" s="72"/>
      <c r="DF10" s="119"/>
      <c r="DG10" s="124"/>
      <c r="DH10" s="113"/>
      <c r="DI10" s="41"/>
      <c r="DJ10" s="67"/>
      <c r="DK10" s="104"/>
      <c r="DL10" s="119"/>
      <c r="DM10" s="45"/>
      <c r="DN10" s="41"/>
      <c r="DO10" s="372"/>
      <c r="DP10" s="72"/>
      <c r="DQ10" s="119"/>
      <c r="DR10" s="45"/>
      <c r="DS10" s="41"/>
      <c r="DT10" s="67"/>
      <c r="DU10" s="104"/>
      <c r="DV10" s="119"/>
      <c r="DW10" s="124"/>
      <c r="DX10" s="113"/>
      <c r="DY10" s="41"/>
      <c r="DZ10" s="67"/>
      <c r="EA10" s="72"/>
      <c r="EB10" s="119"/>
      <c r="EC10" s="124"/>
      <c r="ED10" s="113"/>
      <c r="EE10" s="41"/>
      <c r="EF10" s="67"/>
      <c r="EG10" s="72"/>
      <c r="EH10" s="192"/>
      <c r="EI10" s="148"/>
      <c r="EJ10" s="41"/>
      <c r="EK10" s="67"/>
      <c r="EL10" s="104"/>
      <c r="EM10" s="148"/>
      <c r="EN10" s="41"/>
      <c r="EO10" s="67"/>
      <c r="EP10" s="72"/>
      <c r="EQ10" s="45"/>
      <c r="ER10" s="41"/>
      <c r="ES10" s="67"/>
      <c r="ET10" s="104"/>
      <c r="EU10" s="124"/>
      <c r="EV10" s="169"/>
      <c r="EW10" s="87"/>
      <c r="EX10" s="248"/>
      <c r="EY10" s="87"/>
      <c r="EZ10" s="91"/>
      <c r="FA10" s="41"/>
      <c r="FB10" s="67"/>
      <c r="FC10" s="104"/>
      <c r="FD10" s="124"/>
      <c r="FE10" s="169"/>
      <c r="FF10" s="87"/>
      <c r="FG10" s="72"/>
      <c r="FH10" s="45"/>
      <c r="FI10" s="41"/>
      <c r="FJ10" s="67"/>
      <c r="FK10" s="104"/>
      <c r="FL10" s="45"/>
      <c r="FM10" s="41"/>
      <c r="FN10" s="148"/>
      <c r="FO10" s="208"/>
      <c r="FP10" s="208"/>
      <c r="FQ10" s="41"/>
      <c r="FR10" s="67"/>
      <c r="FS10" s="104"/>
      <c r="FT10" s="113"/>
      <c r="FU10" s="87"/>
      <c r="FV10" s="104"/>
      <c r="FW10" s="148"/>
      <c r="FX10" s="33"/>
      <c r="FY10" s="124"/>
      <c r="FZ10" s="113"/>
      <c r="GA10" s="87"/>
      <c r="GB10" s="104"/>
      <c r="GC10" s="155"/>
      <c r="GD10" s="113"/>
      <c r="GE10" s="87"/>
      <c r="GF10" s="148"/>
      <c r="GG10" s="208"/>
      <c r="GH10" s="104"/>
      <c r="GI10" s="248"/>
      <c r="GJ10" s="200"/>
      <c r="GK10" s="77"/>
      <c r="GL10" s="41"/>
      <c r="GM10" s="91"/>
      <c r="GN10" s="108"/>
      <c r="GO10" s="108"/>
      <c r="GP10" s="41"/>
      <c r="GQ10" s="91"/>
      <c r="GR10" s="49"/>
      <c r="GS10" s="108"/>
      <c r="GT10" s="108"/>
      <c r="GU10" s="108"/>
      <c r="GV10" s="41"/>
      <c r="GW10" s="91"/>
      <c r="GX10" s="104"/>
      <c r="GY10" s="41"/>
      <c r="GZ10" s="104"/>
      <c r="HA10" s="113"/>
      <c r="HB10" s="274"/>
      <c r="HC10" s="41"/>
      <c r="HD10" s="91"/>
      <c r="HE10" s="41"/>
      <c r="HF10" s="91"/>
      <c r="HG10" s="41"/>
      <c r="HH10" s="104"/>
      <c r="HI10" s="152"/>
      <c r="HJ10" s="77"/>
      <c r="HK10" s="49"/>
      <c r="HL10" s="41"/>
      <c r="HM10" s="104"/>
      <c r="HN10" s="113"/>
      <c r="HO10" s="41"/>
      <c r="HP10" s="91"/>
      <c r="HQ10" s="41"/>
      <c r="HR10" s="91"/>
      <c r="HS10" s="37"/>
      <c r="HT10" s="82"/>
      <c r="HU10" s="41"/>
      <c r="HV10" s="91"/>
      <c r="HW10" s="41"/>
      <c r="HX10" s="91"/>
      <c r="HY10" s="37"/>
      <c r="HZ10" s="41"/>
      <c r="IA10" s="77"/>
      <c r="IB10" s="41"/>
      <c r="IC10" s="91"/>
      <c r="ID10" s="41"/>
      <c r="IE10" s="77"/>
      <c r="IF10" s="49"/>
      <c r="IG10" s="37"/>
      <c r="IH10" s="33"/>
      <c r="II10" s="281"/>
      <c r="IJ10" s="260"/>
      <c r="IK10" s="261"/>
    </row>
    <row r="11" spans="1:257" x14ac:dyDescent="0.25">
      <c r="A11" s="129">
        <v>44320</v>
      </c>
      <c r="B11" s="18" t="s">
        <v>20</v>
      </c>
      <c r="C11" s="21">
        <f t="shared" si="4"/>
        <v>-35.799999999999997</v>
      </c>
      <c r="D11" s="384"/>
      <c r="E11" s="384"/>
      <c r="F11" s="143"/>
      <c r="G11" s="143"/>
      <c r="H11" s="82"/>
      <c r="I11" s="82"/>
      <c r="J11" s="108"/>
      <c r="K11" s="41"/>
      <c r="L11" s="67"/>
      <c r="M11" s="91"/>
      <c r="N11" s="41"/>
      <c r="O11" s="372"/>
      <c r="P11" s="104"/>
      <c r="Q11" s="161"/>
      <c r="R11" s="113"/>
      <c r="S11" s="72"/>
      <c r="T11" s="41"/>
      <c r="U11" s="67"/>
      <c r="V11" s="72"/>
      <c r="W11" s="161"/>
      <c r="X11" s="41"/>
      <c r="Y11" s="67"/>
      <c r="Z11" s="77"/>
      <c r="AA11" s="41"/>
      <c r="AB11" s="67"/>
      <c r="AC11" s="104"/>
      <c r="AD11" s="113"/>
      <c r="AE11" s="41"/>
      <c r="AF11" s="67"/>
      <c r="AG11" s="104"/>
      <c r="AH11" s="119"/>
      <c r="AI11" s="124"/>
      <c r="AJ11" s="161"/>
      <c r="AK11" s="241"/>
      <c r="AL11" s="41"/>
      <c r="AM11" s="67"/>
      <c r="AN11" s="104"/>
      <c r="AO11" s="45"/>
      <c r="AP11" s="41"/>
      <c r="AQ11" s="67"/>
      <c r="AR11" s="104"/>
      <c r="AS11" s="119"/>
      <c r="AT11" s="45"/>
      <c r="AU11" s="41"/>
      <c r="AV11" s="67"/>
      <c r="AW11" s="104"/>
      <c r="AX11" s="119"/>
      <c r="AY11" s="124"/>
      <c r="AZ11" s="152"/>
      <c r="BA11" s="41"/>
      <c r="BB11" s="67"/>
      <c r="BC11" s="104"/>
      <c r="BD11" s="119"/>
      <c r="BE11" s="124"/>
      <c r="BF11" s="152"/>
      <c r="BG11" s="41"/>
      <c r="BH11" s="67"/>
      <c r="BI11" s="104"/>
      <c r="BJ11" s="119"/>
      <c r="BK11" s="124"/>
      <c r="BL11" s="152"/>
      <c r="BM11" s="87"/>
      <c r="BN11" s="67"/>
      <c r="BO11" s="104"/>
      <c r="BP11" s="119"/>
      <c r="BQ11" s="124"/>
      <c r="BR11" s="152"/>
      <c r="BS11" s="41"/>
      <c r="BT11" s="67"/>
      <c r="BU11" s="104"/>
      <c r="BV11" s="119"/>
      <c r="BW11" s="124"/>
      <c r="BX11" s="152"/>
      <c r="BY11" s="41"/>
      <c r="BZ11" s="67"/>
      <c r="CA11" s="104"/>
      <c r="CB11" s="119"/>
      <c r="CC11" s="124"/>
      <c r="CD11" s="152"/>
      <c r="CE11" s="41"/>
      <c r="CF11" s="67"/>
      <c r="CG11" s="104"/>
      <c r="CH11" s="119"/>
      <c r="CI11" s="124"/>
      <c r="CJ11" s="152"/>
      <c r="CK11" s="41"/>
      <c r="CL11" s="67"/>
      <c r="CM11" s="104"/>
      <c r="CN11" s="119"/>
      <c r="CO11" s="124"/>
      <c r="CP11" s="152"/>
      <c r="CQ11" s="41"/>
      <c r="CR11" s="67"/>
      <c r="CS11" s="72"/>
      <c r="CT11" s="119"/>
      <c r="CU11" s="124"/>
      <c r="CV11" s="113"/>
      <c r="CW11" s="41"/>
      <c r="CX11" s="67"/>
      <c r="CY11" s="104"/>
      <c r="CZ11" s="119"/>
      <c r="DA11" s="124"/>
      <c r="DB11" s="113"/>
      <c r="DC11" s="41"/>
      <c r="DD11" s="67"/>
      <c r="DE11" s="72"/>
      <c r="DF11" s="119"/>
      <c r="DG11" s="124"/>
      <c r="DH11" s="113"/>
      <c r="DI11" s="41"/>
      <c r="DJ11" s="67"/>
      <c r="DK11" s="104"/>
      <c r="DL11" s="119"/>
      <c r="DM11" s="45"/>
      <c r="DN11" s="41"/>
      <c r="DO11" s="372"/>
      <c r="DP11" s="72"/>
      <c r="DQ11" s="119"/>
      <c r="DR11" s="45"/>
      <c r="DS11" s="41"/>
      <c r="DT11" s="67"/>
      <c r="DU11" s="104"/>
      <c r="DV11" s="119"/>
      <c r="DW11" s="124"/>
      <c r="DX11" s="113"/>
      <c r="DY11" s="41"/>
      <c r="DZ11" s="67"/>
      <c r="EA11" s="72"/>
      <c r="EB11" s="119"/>
      <c r="EC11" s="124"/>
      <c r="ED11" s="113"/>
      <c r="EE11" s="41"/>
      <c r="EF11" s="67"/>
      <c r="EG11" s="72"/>
      <c r="EH11" s="192"/>
      <c r="EI11" s="148"/>
      <c r="EJ11" s="41"/>
      <c r="EK11" s="67"/>
      <c r="EL11" s="104"/>
      <c r="EM11" s="148"/>
      <c r="EN11" s="41"/>
      <c r="EO11" s="67"/>
      <c r="EP11" s="72"/>
      <c r="EQ11" s="45"/>
      <c r="ER11" s="41"/>
      <c r="ES11" s="67"/>
      <c r="ET11" s="104"/>
      <c r="EU11" s="124"/>
      <c r="EV11" s="169"/>
      <c r="EW11" s="87"/>
      <c r="EX11" s="248"/>
      <c r="EY11" s="87"/>
      <c r="EZ11" s="91"/>
      <c r="FA11" s="41"/>
      <c r="FB11" s="67"/>
      <c r="FC11" s="104"/>
      <c r="FD11" s="124"/>
      <c r="FE11" s="169"/>
      <c r="FF11" s="87"/>
      <c r="FG11" s="72"/>
      <c r="FH11" s="45"/>
      <c r="FI11" s="41"/>
      <c r="FJ11" s="67"/>
      <c r="FK11" s="104"/>
      <c r="FL11" s="45"/>
      <c r="FM11" s="41"/>
      <c r="FN11" s="148"/>
      <c r="FO11" s="208"/>
      <c r="FP11" s="208"/>
      <c r="FQ11" s="41"/>
      <c r="FR11" s="67"/>
      <c r="FS11" s="104"/>
      <c r="FT11" s="113"/>
      <c r="FU11" s="87"/>
      <c r="FV11" s="104"/>
      <c r="FW11" s="148"/>
      <c r="FX11" s="33"/>
      <c r="FY11" s="124"/>
      <c r="FZ11" s="113"/>
      <c r="GA11" s="87"/>
      <c r="GB11" s="104"/>
      <c r="GC11" s="155"/>
      <c r="GD11" s="113"/>
      <c r="GE11" s="87"/>
      <c r="GF11" s="148"/>
      <c r="GG11" s="208"/>
      <c r="GH11" s="104"/>
      <c r="GI11" s="248"/>
      <c r="GJ11" s="200"/>
      <c r="GK11" s="77"/>
      <c r="GL11" s="41"/>
      <c r="GM11" s="91"/>
      <c r="GN11" s="108"/>
      <c r="GO11" s="108"/>
      <c r="GP11" s="41"/>
      <c r="GQ11" s="91"/>
      <c r="GR11" s="49"/>
      <c r="GS11" s="108"/>
      <c r="GT11" s="108"/>
      <c r="GU11" s="108"/>
      <c r="GV11" s="41"/>
      <c r="GW11" s="91"/>
      <c r="GX11" s="104"/>
      <c r="GY11" s="41">
        <v>-35.799999999999997</v>
      </c>
      <c r="GZ11" s="104"/>
      <c r="HA11" s="113"/>
      <c r="HB11" s="274"/>
      <c r="HC11" s="41"/>
      <c r="HD11" s="91"/>
      <c r="HE11" s="41"/>
      <c r="HF11" s="91"/>
      <c r="HG11" s="41"/>
      <c r="HH11" s="104"/>
      <c r="HI11" s="152"/>
      <c r="HJ11" s="77"/>
      <c r="HK11" s="49"/>
      <c r="HL11" s="41"/>
      <c r="HM11" s="104"/>
      <c r="HN11" s="113"/>
      <c r="HO11" s="41"/>
      <c r="HP11" s="91"/>
      <c r="HQ11" s="41"/>
      <c r="HR11" s="91"/>
      <c r="HS11" s="37"/>
      <c r="HT11" s="82"/>
      <c r="HU11" s="41"/>
      <c r="HV11" s="91"/>
      <c r="HW11" s="41"/>
      <c r="HX11" s="91"/>
      <c r="HY11" s="37"/>
      <c r="HZ11" s="41"/>
      <c r="IA11" s="77"/>
      <c r="IB11" s="41"/>
      <c r="IC11" s="91"/>
      <c r="ID11" s="41"/>
      <c r="IE11" s="77"/>
      <c r="IF11" s="49"/>
      <c r="IG11" s="37"/>
      <c r="IH11" s="33"/>
      <c r="II11" s="281"/>
      <c r="IJ11" s="260"/>
      <c r="IK11" s="261"/>
    </row>
    <row r="12" spans="1:257" x14ac:dyDescent="0.25">
      <c r="A12" s="129">
        <v>44320</v>
      </c>
      <c r="B12" s="18" t="s">
        <v>24</v>
      </c>
      <c r="C12" s="21">
        <f t="shared" si="4"/>
        <v>-33.814999999999998</v>
      </c>
      <c r="D12" s="384"/>
      <c r="E12" s="384"/>
      <c r="F12" s="143"/>
      <c r="G12" s="143"/>
      <c r="H12" s="82"/>
      <c r="I12" s="82"/>
      <c r="J12" s="108"/>
      <c r="K12" s="41"/>
      <c r="L12" s="67"/>
      <c r="M12" s="91"/>
      <c r="N12" s="41"/>
      <c r="O12" s="372">
        <v>-8.49</v>
      </c>
      <c r="P12" s="104"/>
      <c r="Q12" s="161"/>
      <c r="R12" s="113"/>
      <c r="S12" s="72"/>
      <c r="T12" s="41"/>
      <c r="U12" s="67"/>
      <c r="V12" s="72"/>
      <c r="W12" s="161"/>
      <c r="X12" s="41"/>
      <c r="Y12" s="67"/>
      <c r="Z12" s="77"/>
      <c r="AA12" s="41"/>
      <c r="AB12" s="67"/>
      <c r="AC12" s="104"/>
      <c r="AD12" s="113"/>
      <c r="AE12" s="41"/>
      <c r="AF12" s="67"/>
      <c r="AG12" s="104"/>
      <c r="AH12" s="119"/>
      <c r="AI12" s="124"/>
      <c r="AJ12" s="161"/>
      <c r="AK12" s="241"/>
      <c r="AL12" s="41"/>
      <c r="AM12" s="67">
        <v>-8.25</v>
      </c>
      <c r="AN12" s="104"/>
      <c r="AO12" s="45"/>
      <c r="AP12" s="41"/>
      <c r="AQ12" s="67"/>
      <c r="AR12" s="104"/>
      <c r="AS12" s="119"/>
      <c r="AT12" s="45"/>
      <c r="AU12" s="41"/>
      <c r="AV12" s="67">
        <v>-17.074999999999999</v>
      </c>
      <c r="AW12" s="104"/>
      <c r="AX12" s="119"/>
      <c r="AY12" s="124"/>
      <c r="AZ12" s="152"/>
      <c r="BA12" s="41"/>
      <c r="BB12" s="67"/>
      <c r="BC12" s="104"/>
      <c r="BD12" s="119"/>
      <c r="BE12" s="124"/>
      <c r="BF12" s="152"/>
      <c r="BG12" s="41"/>
      <c r="BH12" s="67"/>
      <c r="BI12" s="104"/>
      <c r="BJ12" s="119"/>
      <c r="BK12" s="124"/>
      <c r="BL12" s="152"/>
      <c r="BM12" s="87"/>
      <c r="BN12" s="67"/>
      <c r="BO12" s="104"/>
      <c r="BP12" s="119"/>
      <c r="BQ12" s="124"/>
      <c r="BR12" s="152"/>
      <c r="BS12" s="41"/>
      <c r="BT12" s="67"/>
      <c r="BU12" s="104"/>
      <c r="BV12" s="119"/>
      <c r="BW12" s="124"/>
      <c r="BX12" s="152"/>
      <c r="BY12" s="41"/>
      <c r="BZ12" s="67"/>
      <c r="CA12" s="104"/>
      <c r="CB12" s="119"/>
      <c r="CC12" s="124"/>
      <c r="CD12" s="152"/>
      <c r="CE12" s="41"/>
      <c r="CF12" s="67"/>
      <c r="CG12" s="104"/>
      <c r="CH12" s="119"/>
      <c r="CI12" s="124"/>
      <c r="CJ12" s="152"/>
      <c r="CK12" s="41"/>
      <c r="CL12" s="67"/>
      <c r="CM12" s="104"/>
      <c r="CN12" s="119"/>
      <c r="CO12" s="124"/>
      <c r="CP12" s="152"/>
      <c r="CQ12" s="41"/>
      <c r="CR12" s="67"/>
      <c r="CS12" s="72"/>
      <c r="CT12" s="119"/>
      <c r="CU12" s="124"/>
      <c r="CV12" s="113"/>
      <c r="CW12" s="41"/>
      <c r="CX12" s="67"/>
      <c r="CY12" s="104"/>
      <c r="CZ12" s="119"/>
      <c r="DA12" s="124"/>
      <c r="DB12" s="113"/>
      <c r="DC12" s="41"/>
      <c r="DD12" s="67"/>
      <c r="DE12" s="72"/>
      <c r="DF12" s="119"/>
      <c r="DG12" s="124"/>
      <c r="DH12" s="113"/>
      <c r="DI12" s="41"/>
      <c r="DJ12" s="67"/>
      <c r="DK12" s="104"/>
      <c r="DL12" s="119"/>
      <c r="DM12" s="45"/>
      <c r="DN12" s="41"/>
      <c r="DO12" s="372"/>
      <c r="DP12" s="72"/>
      <c r="DQ12" s="119"/>
      <c r="DR12" s="45"/>
      <c r="DS12" s="41"/>
      <c r="DT12" s="67"/>
      <c r="DU12" s="104"/>
      <c r="DV12" s="119"/>
      <c r="DW12" s="124"/>
      <c r="DX12" s="113"/>
      <c r="DY12" s="41"/>
      <c r="DZ12" s="67"/>
      <c r="EA12" s="72"/>
      <c r="EB12" s="119"/>
      <c r="EC12" s="124"/>
      <c r="ED12" s="113"/>
      <c r="EE12" s="41"/>
      <c r="EF12" s="67"/>
      <c r="EG12" s="72"/>
      <c r="EH12" s="192"/>
      <c r="EI12" s="148"/>
      <c r="EJ12" s="41"/>
      <c r="EK12" s="67"/>
      <c r="EL12" s="104"/>
      <c r="EM12" s="148"/>
      <c r="EN12" s="41"/>
      <c r="EO12" s="67"/>
      <c r="EP12" s="72"/>
      <c r="EQ12" s="45"/>
      <c r="ER12" s="41"/>
      <c r="ES12" s="67"/>
      <c r="ET12" s="104"/>
      <c r="EU12" s="124"/>
      <c r="EV12" s="169"/>
      <c r="EW12" s="87"/>
      <c r="EX12" s="248"/>
      <c r="EY12" s="87"/>
      <c r="EZ12" s="91"/>
      <c r="FA12" s="41"/>
      <c r="FB12" s="67"/>
      <c r="FC12" s="104"/>
      <c r="FD12" s="124"/>
      <c r="FE12" s="169"/>
      <c r="FF12" s="87"/>
      <c r="FG12" s="72"/>
      <c r="FH12" s="45"/>
      <c r="FI12" s="41"/>
      <c r="FJ12" s="67"/>
      <c r="FK12" s="104"/>
      <c r="FL12" s="45"/>
      <c r="FM12" s="41"/>
      <c r="FN12" s="148"/>
      <c r="FO12" s="208"/>
      <c r="FP12" s="208"/>
      <c r="FQ12" s="41"/>
      <c r="FR12" s="67"/>
      <c r="FS12" s="104"/>
      <c r="FT12" s="113"/>
      <c r="FU12" s="87"/>
      <c r="FV12" s="104"/>
      <c r="FW12" s="148"/>
      <c r="FX12" s="33"/>
      <c r="FY12" s="124"/>
      <c r="FZ12" s="113"/>
      <c r="GA12" s="87"/>
      <c r="GB12" s="104"/>
      <c r="GC12" s="155"/>
      <c r="GD12" s="113"/>
      <c r="GE12" s="87"/>
      <c r="GF12" s="148"/>
      <c r="GG12" s="208"/>
      <c r="GH12" s="104"/>
      <c r="GI12" s="248"/>
      <c r="GJ12" s="200"/>
      <c r="GK12" s="77"/>
      <c r="GL12" s="41"/>
      <c r="GM12" s="91"/>
      <c r="GN12" s="108"/>
      <c r="GO12" s="108"/>
      <c r="GP12" s="41"/>
      <c r="GQ12" s="91"/>
      <c r="GR12" s="49"/>
      <c r="GS12" s="108"/>
      <c r="GT12" s="108"/>
      <c r="GU12" s="108"/>
      <c r="GV12" s="41"/>
      <c r="GW12" s="91"/>
      <c r="GX12" s="104"/>
      <c r="GY12" s="41"/>
      <c r="GZ12" s="104"/>
      <c r="HA12" s="113"/>
      <c r="HB12" s="274"/>
      <c r="HC12" s="41"/>
      <c r="HD12" s="91"/>
      <c r="HE12" s="41"/>
      <c r="HF12" s="91"/>
      <c r="HG12" s="41"/>
      <c r="HH12" s="104"/>
      <c r="HI12" s="152"/>
      <c r="HJ12" s="77"/>
      <c r="HK12" s="49"/>
      <c r="HL12" s="41"/>
      <c r="HM12" s="104"/>
      <c r="HN12" s="113"/>
      <c r="HO12" s="41"/>
      <c r="HP12" s="91"/>
      <c r="HQ12" s="41"/>
      <c r="HR12" s="91"/>
      <c r="HS12" s="37"/>
      <c r="HT12" s="82"/>
      <c r="HU12" s="41"/>
      <c r="HV12" s="91"/>
      <c r="HW12" s="41"/>
      <c r="HX12" s="91"/>
      <c r="HY12" s="37"/>
      <c r="HZ12" s="41"/>
      <c r="IA12" s="77"/>
      <c r="IB12" s="41"/>
      <c r="IC12" s="91"/>
      <c r="ID12" s="41"/>
      <c r="IE12" s="77"/>
      <c r="IF12" s="49"/>
      <c r="IG12" s="37"/>
      <c r="IH12" s="33"/>
      <c r="II12" s="281"/>
      <c r="IJ12" s="260"/>
      <c r="IK12" s="261"/>
    </row>
    <row r="13" spans="1:257" x14ac:dyDescent="0.25">
      <c r="A13" s="129">
        <v>44321</v>
      </c>
      <c r="B13" s="18" t="s">
        <v>29</v>
      </c>
      <c r="C13" s="21">
        <f t="shared" si="4"/>
        <v>-34.299999999999997</v>
      </c>
      <c r="D13" s="384"/>
      <c r="E13" s="384"/>
      <c r="F13" s="143"/>
      <c r="G13" s="143"/>
      <c r="H13" s="82"/>
      <c r="I13" s="82"/>
      <c r="J13" s="108"/>
      <c r="K13" s="41"/>
      <c r="L13" s="67"/>
      <c r="M13" s="91"/>
      <c r="N13" s="41"/>
      <c r="O13" s="372"/>
      <c r="P13" s="104"/>
      <c r="Q13" s="161"/>
      <c r="R13" s="113"/>
      <c r="S13" s="72"/>
      <c r="T13" s="41"/>
      <c r="U13" s="67"/>
      <c r="V13" s="72"/>
      <c r="W13" s="161"/>
      <c r="X13" s="41"/>
      <c r="Y13" s="67"/>
      <c r="Z13" s="77"/>
      <c r="AA13" s="41"/>
      <c r="AB13" s="67"/>
      <c r="AC13" s="104"/>
      <c r="AD13" s="113"/>
      <c r="AE13" s="41"/>
      <c r="AF13" s="67"/>
      <c r="AG13" s="104"/>
      <c r="AH13" s="119"/>
      <c r="AI13" s="124"/>
      <c r="AJ13" s="161"/>
      <c r="AK13" s="241"/>
      <c r="AL13" s="41"/>
      <c r="AM13" s="67"/>
      <c r="AN13" s="104"/>
      <c r="AO13" s="45"/>
      <c r="AP13" s="41"/>
      <c r="AQ13" s="67"/>
      <c r="AR13" s="104"/>
      <c r="AS13" s="119"/>
      <c r="AT13" s="45"/>
      <c r="AU13" s="41"/>
      <c r="AV13" s="67"/>
      <c r="AW13" s="104"/>
      <c r="AX13" s="119"/>
      <c r="AY13" s="124"/>
      <c r="AZ13" s="152"/>
      <c r="BA13" s="41"/>
      <c r="BB13" s="67"/>
      <c r="BC13" s="104"/>
      <c r="BD13" s="119"/>
      <c r="BE13" s="124"/>
      <c r="BF13" s="152"/>
      <c r="BG13" s="41"/>
      <c r="BH13" s="67"/>
      <c r="BI13" s="104"/>
      <c r="BJ13" s="119"/>
      <c r="BK13" s="124"/>
      <c r="BL13" s="152"/>
      <c r="BM13" s="87"/>
      <c r="BN13" s="67"/>
      <c r="BO13" s="104"/>
      <c r="BP13" s="119"/>
      <c r="BQ13" s="124"/>
      <c r="BR13" s="152"/>
      <c r="BS13" s="41"/>
      <c r="BT13" s="67"/>
      <c r="BU13" s="104"/>
      <c r="BV13" s="119"/>
      <c r="BW13" s="124"/>
      <c r="BX13" s="152"/>
      <c r="BY13" s="41"/>
      <c r="BZ13" s="67"/>
      <c r="CA13" s="104"/>
      <c r="CB13" s="119"/>
      <c r="CC13" s="124"/>
      <c r="CD13" s="152"/>
      <c r="CE13" s="41"/>
      <c r="CF13" s="67"/>
      <c r="CG13" s="104"/>
      <c r="CH13" s="119"/>
      <c r="CI13" s="124"/>
      <c r="CJ13" s="152"/>
      <c r="CK13" s="41"/>
      <c r="CL13" s="67"/>
      <c r="CM13" s="104"/>
      <c r="CN13" s="119"/>
      <c r="CO13" s="124"/>
      <c r="CP13" s="152"/>
      <c r="CQ13" s="41"/>
      <c r="CR13" s="67"/>
      <c r="CS13" s="72"/>
      <c r="CT13" s="119"/>
      <c r="CU13" s="124"/>
      <c r="CV13" s="113"/>
      <c r="CW13" s="41"/>
      <c r="CX13" s="67"/>
      <c r="CY13" s="104"/>
      <c r="CZ13" s="119"/>
      <c r="DA13" s="124"/>
      <c r="DB13" s="113"/>
      <c r="DC13" s="41"/>
      <c r="DD13" s="67"/>
      <c r="DE13" s="72"/>
      <c r="DF13" s="119"/>
      <c r="DG13" s="124"/>
      <c r="DH13" s="113"/>
      <c r="DI13" s="41"/>
      <c r="DJ13" s="67"/>
      <c r="DK13" s="104"/>
      <c r="DL13" s="119"/>
      <c r="DM13" s="45"/>
      <c r="DN13" s="41">
        <v>-34.299999999999997</v>
      </c>
      <c r="DO13" s="372"/>
      <c r="DP13" s="72"/>
      <c r="DQ13" s="119"/>
      <c r="DR13" s="45"/>
      <c r="DS13" s="41"/>
      <c r="DT13" s="67"/>
      <c r="DU13" s="104"/>
      <c r="DV13" s="119"/>
      <c r="DW13" s="124"/>
      <c r="DX13" s="113"/>
      <c r="DY13" s="41"/>
      <c r="DZ13" s="67"/>
      <c r="EA13" s="72"/>
      <c r="EB13" s="119"/>
      <c r="EC13" s="124"/>
      <c r="ED13" s="113"/>
      <c r="EE13" s="41"/>
      <c r="EF13" s="67"/>
      <c r="EG13" s="72"/>
      <c r="EH13" s="192"/>
      <c r="EI13" s="148"/>
      <c r="EJ13" s="41"/>
      <c r="EK13" s="67"/>
      <c r="EL13" s="104"/>
      <c r="EM13" s="148"/>
      <c r="EN13" s="41"/>
      <c r="EO13" s="67"/>
      <c r="EP13" s="72"/>
      <c r="EQ13" s="45"/>
      <c r="ER13" s="41"/>
      <c r="ES13" s="67"/>
      <c r="ET13" s="104"/>
      <c r="EU13" s="124"/>
      <c r="EV13" s="169"/>
      <c r="EW13" s="87"/>
      <c r="EX13" s="248"/>
      <c r="EY13" s="87"/>
      <c r="EZ13" s="91"/>
      <c r="FA13" s="41"/>
      <c r="FB13" s="67"/>
      <c r="FC13" s="104"/>
      <c r="FD13" s="124"/>
      <c r="FE13" s="169"/>
      <c r="FF13" s="87"/>
      <c r="FG13" s="72"/>
      <c r="FH13" s="45"/>
      <c r="FI13" s="41"/>
      <c r="FJ13" s="67"/>
      <c r="FK13" s="104"/>
      <c r="FL13" s="45"/>
      <c r="FM13" s="41"/>
      <c r="FN13" s="148"/>
      <c r="FO13" s="208"/>
      <c r="FP13" s="208"/>
      <c r="FQ13" s="41"/>
      <c r="FR13" s="67"/>
      <c r="FS13" s="104"/>
      <c r="FT13" s="113"/>
      <c r="FU13" s="87"/>
      <c r="FV13" s="104"/>
      <c r="FW13" s="148"/>
      <c r="FX13" s="33"/>
      <c r="FY13" s="124"/>
      <c r="FZ13" s="113"/>
      <c r="GA13" s="87"/>
      <c r="GB13" s="104"/>
      <c r="GC13" s="155"/>
      <c r="GD13" s="113"/>
      <c r="GE13" s="87"/>
      <c r="GF13" s="148"/>
      <c r="GG13" s="208"/>
      <c r="GH13" s="104"/>
      <c r="GI13" s="248"/>
      <c r="GJ13" s="200"/>
      <c r="GK13" s="77"/>
      <c r="GL13" s="41"/>
      <c r="GM13" s="91"/>
      <c r="GN13" s="108"/>
      <c r="GO13" s="108"/>
      <c r="GP13" s="41"/>
      <c r="GQ13" s="91"/>
      <c r="GR13" s="49"/>
      <c r="GS13" s="108"/>
      <c r="GT13" s="108"/>
      <c r="GU13" s="108"/>
      <c r="GV13" s="41"/>
      <c r="GW13" s="91"/>
      <c r="GX13" s="104"/>
      <c r="GY13" s="41"/>
      <c r="GZ13" s="104"/>
      <c r="HA13" s="113"/>
      <c r="HB13" s="274"/>
      <c r="HC13" s="41"/>
      <c r="HD13" s="91"/>
      <c r="HE13" s="41"/>
      <c r="HF13" s="91"/>
      <c r="HG13" s="41"/>
      <c r="HH13" s="104"/>
      <c r="HI13" s="152"/>
      <c r="HJ13" s="77"/>
      <c r="HK13" s="49"/>
      <c r="HL13" s="41"/>
      <c r="HM13" s="104"/>
      <c r="HN13" s="113"/>
      <c r="HO13" s="41"/>
      <c r="HP13" s="91"/>
      <c r="HQ13" s="41"/>
      <c r="HR13" s="91"/>
      <c r="HS13" s="37"/>
      <c r="HT13" s="82"/>
      <c r="HU13" s="41"/>
      <c r="HV13" s="91"/>
      <c r="HW13" s="41"/>
      <c r="HX13" s="91"/>
      <c r="HY13" s="37"/>
      <c r="HZ13" s="41"/>
      <c r="IA13" s="77"/>
      <c r="IB13" s="41"/>
      <c r="IC13" s="91"/>
      <c r="ID13" s="41"/>
      <c r="IE13" s="77"/>
      <c r="IF13" s="49"/>
      <c r="IG13" s="37"/>
      <c r="IH13" s="33"/>
      <c r="II13" s="281"/>
      <c r="IJ13" s="260"/>
      <c r="IK13" s="261"/>
    </row>
    <row r="14" spans="1:257" x14ac:dyDescent="0.25">
      <c r="A14" s="129">
        <v>44321</v>
      </c>
      <c r="B14" s="18" t="s">
        <v>20</v>
      </c>
      <c r="C14" s="21">
        <f t="shared" si="4"/>
        <v>-52.06</v>
      </c>
      <c r="D14" s="384"/>
      <c r="E14" s="384"/>
      <c r="F14" s="143"/>
      <c r="G14" s="143"/>
      <c r="H14" s="82"/>
      <c r="I14" s="82"/>
      <c r="J14" s="108"/>
      <c r="K14" s="41"/>
      <c r="L14" s="67"/>
      <c r="M14" s="91"/>
      <c r="N14" s="41"/>
      <c r="O14" s="372"/>
      <c r="P14" s="104"/>
      <c r="Q14" s="161"/>
      <c r="R14" s="113"/>
      <c r="S14" s="72"/>
      <c r="T14" s="41"/>
      <c r="U14" s="67"/>
      <c r="V14" s="72"/>
      <c r="W14" s="161"/>
      <c r="X14" s="41"/>
      <c r="Y14" s="67"/>
      <c r="Z14" s="77"/>
      <c r="AA14" s="41"/>
      <c r="AB14" s="67"/>
      <c r="AC14" s="104"/>
      <c r="AD14" s="113"/>
      <c r="AE14" s="41"/>
      <c r="AF14" s="67"/>
      <c r="AG14" s="104"/>
      <c r="AH14" s="119"/>
      <c r="AI14" s="124"/>
      <c r="AJ14" s="161"/>
      <c r="AK14" s="241"/>
      <c r="AL14" s="41"/>
      <c r="AM14" s="67"/>
      <c r="AN14" s="104"/>
      <c r="AO14" s="45"/>
      <c r="AP14" s="41"/>
      <c r="AQ14" s="67"/>
      <c r="AR14" s="104"/>
      <c r="AS14" s="119"/>
      <c r="AT14" s="45"/>
      <c r="AU14" s="41"/>
      <c r="AV14" s="67"/>
      <c r="AW14" s="104"/>
      <c r="AX14" s="119"/>
      <c r="AY14" s="124"/>
      <c r="AZ14" s="152"/>
      <c r="BA14" s="41">
        <v>-8.7899999999999991</v>
      </c>
      <c r="BB14" s="67"/>
      <c r="BC14" s="104"/>
      <c r="BD14" s="119"/>
      <c r="BE14" s="124"/>
      <c r="BF14" s="152"/>
      <c r="BG14" s="41">
        <v>-8.43</v>
      </c>
      <c r="BH14" s="67"/>
      <c r="BI14" s="104"/>
      <c r="BJ14" s="119"/>
      <c r="BK14" s="124"/>
      <c r="BL14" s="152"/>
      <c r="BM14" s="87">
        <v>-8.77</v>
      </c>
      <c r="BN14" s="67"/>
      <c r="BO14" s="104"/>
      <c r="BP14" s="119"/>
      <c r="BQ14" s="124"/>
      <c r="BR14" s="152"/>
      <c r="BS14" s="41"/>
      <c r="BT14" s="67">
        <v>-8.27</v>
      </c>
      <c r="BU14" s="104"/>
      <c r="BV14" s="119"/>
      <c r="BW14" s="124"/>
      <c r="BX14" s="152"/>
      <c r="BY14" s="41"/>
      <c r="BZ14" s="67"/>
      <c r="CA14" s="104"/>
      <c r="CB14" s="119"/>
      <c r="CC14" s="124"/>
      <c r="CD14" s="152"/>
      <c r="CE14" s="41"/>
      <c r="CF14" s="67"/>
      <c r="CG14" s="104"/>
      <c r="CH14" s="119"/>
      <c r="CI14" s="124"/>
      <c r="CJ14" s="152"/>
      <c r="CK14" s="41"/>
      <c r="CL14" s="67"/>
      <c r="CM14" s="104"/>
      <c r="CN14" s="119"/>
      <c r="CO14" s="124"/>
      <c r="CP14" s="152"/>
      <c r="CQ14" s="41">
        <v>-9.09</v>
      </c>
      <c r="CR14" s="67"/>
      <c r="CS14" s="72"/>
      <c r="CT14" s="119"/>
      <c r="CU14" s="124"/>
      <c r="CV14" s="113"/>
      <c r="CW14" s="41">
        <v>-8.7100000000000009</v>
      </c>
      <c r="CX14" s="67"/>
      <c r="CY14" s="104"/>
      <c r="CZ14" s="119"/>
      <c r="DA14" s="124"/>
      <c r="DB14" s="113"/>
      <c r="DC14" s="41"/>
      <c r="DD14" s="67"/>
      <c r="DE14" s="72"/>
      <c r="DF14" s="119"/>
      <c r="DG14" s="124"/>
      <c r="DH14" s="113"/>
      <c r="DI14" s="41"/>
      <c r="DJ14" s="67"/>
      <c r="DK14" s="104"/>
      <c r="DL14" s="119"/>
      <c r="DM14" s="45"/>
      <c r="DN14" s="41"/>
      <c r="DO14" s="372"/>
      <c r="DP14" s="72"/>
      <c r="DQ14" s="119"/>
      <c r="DR14" s="45"/>
      <c r="DS14" s="41"/>
      <c r="DT14" s="67"/>
      <c r="DU14" s="104"/>
      <c r="DV14" s="119"/>
      <c r="DW14" s="124"/>
      <c r="DX14" s="113"/>
      <c r="DY14" s="41"/>
      <c r="DZ14" s="67"/>
      <c r="EA14" s="72"/>
      <c r="EB14" s="119"/>
      <c r="EC14" s="124"/>
      <c r="ED14" s="113"/>
      <c r="EE14" s="41"/>
      <c r="EF14" s="67"/>
      <c r="EG14" s="72"/>
      <c r="EH14" s="192"/>
      <c r="EI14" s="148"/>
      <c r="EJ14" s="41"/>
      <c r="EK14" s="67"/>
      <c r="EL14" s="104"/>
      <c r="EM14" s="148"/>
      <c r="EN14" s="41"/>
      <c r="EO14" s="67"/>
      <c r="EP14" s="72"/>
      <c r="EQ14" s="45"/>
      <c r="ER14" s="41"/>
      <c r="ES14" s="67"/>
      <c r="ET14" s="104"/>
      <c r="EU14" s="124"/>
      <c r="EV14" s="169"/>
      <c r="EW14" s="87"/>
      <c r="EX14" s="248"/>
      <c r="EY14" s="87"/>
      <c r="EZ14" s="91"/>
      <c r="FA14" s="41"/>
      <c r="FB14" s="67"/>
      <c r="FC14" s="104"/>
      <c r="FD14" s="124"/>
      <c r="FE14" s="169"/>
      <c r="FF14" s="87"/>
      <c r="FG14" s="72"/>
      <c r="FH14" s="45"/>
      <c r="FI14" s="41"/>
      <c r="FJ14" s="67"/>
      <c r="FK14" s="104"/>
      <c r="FL14" s="45"/>
      <c r="FM14" s="41"/>
      <c r="FN14" s="148"/>
      <c r="FO14" s="208"/>
      <c r="FP14" s="208"/>
      <c r="FQ14" s="41"/>
      <c r="FR14" s="67"/>
      <c r="FS14" s="104"/>
      <c r="FT14" s="113"/>
      <c r="FU14" s="87"/>
      <c r="FV14" s="104"/>
      <c r="FW14" s="148"/>
      <c r="FX14" s="33"/>
      <c r="FY14" s="124"/>
      <c r="FZ14" s="113"/>
      <c r="GA14" s="87"/>
      <c r="GB14" s="104"/>
      <c r="GC14" s="155"/>
      <c r="GD14" s="113"/>
      <c r="GE14" s="87"/>
      <c r="GF14" s="148"/>
      <c r="GG14" s="208"/>
      <c r="GH14" s="104"/>
      <c r="GI14" s="248"/>
      <c r="GJ14" s="200"/>
      <c r="GK14" s="77"/>
      <c r="GL14" s="41"/>
      <c r="GM14" s="91"/>
      <c r="GN14" s="108"/>
      <c r="GO14" s="108"/>
      <c r="GP14" s="41"/>
      <c r="GQ14" s="91"/>
      <c r="GR14" s="49"/>
      <c r="GS14" s="108"/>
      <c r="GT14" s="108"/>
      <c r="GU14" s="108"/>
      <c r="GV14" s="41"/>
      <c r="GW14" s="91"/>
      <c r="GX14" s="104"/>
      <c r="GY14" s="41"/>
      <c r="GZ14" s="104"/>
      <c r="HA14" s="113"/>
      <c r="HB14" s="274"/>
      <c r="HC14" s="41"/>
      <c r="HD14" s="91"/>
      <c r="HE14" s="41"/>
      <c r="HF14" s="91"/>
      <c r="HG14" s="41"/>
      <c r="HH14" s="104"/>
      <c r="HI14" s="152"/>
      <c r="HJ14" s="77"/>
      <c r="HK14" s="49"/>
      <c r="HL14" s="41"/>
      <c r="HM14" s="104"/>
      <c r="HN14" s="113"/>
      <c r="HO14" s="41"/>
      <c r="HP14" s="91"/>
      <c r="HQ14" s="41"/>
      <c r="HR14" s="91"/>
      <c r="HS14" s="37"/>
      <c r="HT14" s="82"/>
      <c r="HU14" s="41"/>
      <c r="HV14" s="91"/>
      <c r="HW14" s="41"/>
      <c r="HX14" s="91"/>
      <c r="HY14" s="37"/>
      <c r="HZ14" s="41"/>
      <c r="IA14" s="77"/>
      <c r="IB14" s="41"/>
      <c r="IC14" s="91"/>
      <c r="ID14" s="41"/>
      <c r="IE14" s="77"/>
      <c r="IF14" s="49"/>
      <c r="IG14" s="37"/>
      <c r="IH14" s="33"/>
      <c r="II14" s="281"/>
      <c r="IJ14" s="260"/>
      <c r="IK14" s="261"/>
    </row>
    <row r="15" spans="1:257" x14ac:dyDescent="0.25">
      <c r="A15" s="129">
        <v>44321</v>
      </c>
      <c r="B15" s="18" t="s">
        <v>3</v>
      </c>
      <c r="C15" s="21">
        <f t="shared" si="4"/>
        <v>6039.39</v>
      </c>
      <c r="D15" s="384"/>
      <c r="E15" s="384"/>
      <c r="F15" s="143"/>
      <c r="G15" s="143"/>
      <c r="H15" s="82"/>
      <c r="I15" s="82"/>
      <c r="J15" s="108"/>
      <c r="K15" s="41"/>
      <c r="L15" s="67"/>
      <c r="M15" s="91"/>
      <c r="N15" s="41"/>
      <c r="O15" s="372"/>
      <c r="P15" s="104"/>
      <c r="Q15" s="161"/>
      <c r="R15" s="113"/>
      <c r="S15" s="72"/>
      <c r="T15" s="41"/>
      <c r="U15" s="67"/>
      <c r="V15" s="72"/>
      <c r="W15" s="161"/>
      <c r="X15" s="41"/>
      <c r="Y15" s="67"/>
      <c r="Z15" s="77"/>
      <c r="AA15" s="41"/>
      <c r="AB15" s="67">
        <v>505.34</v>
      </c>
      <c r="AC15" s="104"/>
      <c r="AD15" s="113"/>
      <c r="AE15" s="41"/>
      <c r="AF15" s="67">
        <v>500.26</v>
      </c>
      <c r="AG15" s="104"/>
      <c r="AH15" s="119"/>
      <c r="AI15" s="124"/>
      <c r="AJ15" s="161"/>
      <c r="AK15" s="241"/>
      <c r="AL15" s="41"/>
      <c r="AM15" s="67">
        <v>501.77</v>
      </c>
      <c r="AN15" s="104"/>
      <c r="AO15" s="45"/>
      <c r="AP15" s="41"/>
      <c r="AQ15" s="67"/>
      <c r="AR15" s="104"/>
      <c r="AS15" s="119"/>
      <c r="AT15" s="45"/>
      <c r="AU15" s="41"/>
      <c r="AV15" s="67"/>
      <c r="AW15" s="104"/>
      <c r="AX15" s="119"/>
      <c r="AY15" s="124"/>
      <c r="AZ15" s="152"/>
      <c r="BA15" s="41"/>
      <c r="BB15" s="67"/>
      <c r="BC15" s="104"/>
      <c r="BD15" s="119"/>
      <c r="BE15" s="124"/>
      <c r="BF15" s="152"/>
      <c r="BG15" s="41"/>
      <c r="BH15" s="67">
        <v>1010.05</v>
      </c>
      <c r="BI15" s="104"/>
      <c r="BJ15" s="119"/>
      <c r="BK15" s="124"/>
      <c r="BL15" s="152"/>
      <c r="BM15" s="87"/>
      <c r="BN15" s="67">
        <v>1004.44</v>
      </c>
      <c r="BO15" s="104"/>
      <c r="BP15" s="119"/>
      <c r="BQ15" s="124"/>
      <c r="BR15" s="152"/>
      <c r="BS15" s="41"/>
      <c r="BT15" s="67">
        <v>499.99</v>
      </c>
      <c r="BU15" s="104"/>
      <c r="BV15" s="119"/>
      <c r="BW15" s="124"/>
      <c r="BX15" s="152"/>
      <c r="BY15" s="41"/>
      <c r="BZ15" s="67">
        <v>503.08</v>
      </c>
      <c r="CA15" s="104"/>
      <c r="CB15" s="119"/>
      <c r="CC15" s="124"/>
      <c r="CD15" s="152"/>
      <c r="CE15" s="41"/>
      <c r="CF15" s="67">
        <v>509.55</v>
      </c>
      <c r="CG15" s="104"/>
      <c r="CH15" s="119"/>
      <c r="CI15" s="124"/>
      <c r="CJ15" s="152"/>
      <c r="CK15" s="41"/>
      <c r="CL15" s="67">
        <v>504.61</v>
      </c>
      <c r="CM15" s="104"/>
      <c r="CN15" s="119"/>
      <c r="CO15" s="124"/>
      <c r="CP15" s="152"/>
      <c r="CQ15" s="41"/>
      <c r="CR15" s="67">
        <v>500.3</v>
      </c>
      <c r="CS15" s="72"/>
      <c r="CT15" s="119"/>
      <c r="CU15" s="124"/>
      <c r="CV15" s="113"/>
      <c r="CW15" s="41"/>
      <c r="CX15" s="67"/>
      <c r="CY15" s="104"/>
      <c r="CZ15" s="119"/>
      <c r="DA15" s="124"/>
      <c r="DB15" s="113"/>
      <c r="DC15" s="41"/>
      <c r="DD15" s="67"/>
      <c r="DE15" s="72"/>
      <c r="DF15" s="119"/>
      <c r="DG15" s="124"/>
      <c r="DH15" s="113"/>
      <c r="DI15" s="41"/>
      <c r="DJ15" s="67"/>
      <c r="DK15" s="104"/>
      <c r="DL15" s="119"/>
      <c r="DM15" s="45"/>
      <c r="DN15" s="41"/>
      <c r="DO15" s="372"/>
      <c r="DP15" s="72"/>
      <c r="DQ15" s="119"/>
      <c r="DR15" s="45"/>
      <c r="DS15" s="41"/>
      <c r="DT15" s="67"/>
      <c r="DU15" s="104"/>
      <c r="DV15" s="119"/>
      <c r="DW15" s="124"/>
      <c r="DX15" s="113"/>
      <c r="DY15" s="41"/>
      <c r="DZ15" s="67"/>
      <c r="EA15" s="72"/>
      <c r="EB15" s="119"/>
      <c r="EC15" s="124"/>
      <c r="ED15" s="113"/>
      <c r="EE15" s="41"/>
      <c r="EF15" s="67"/>
      <c r="EG15" s="72"/>
      <c r="EH15" s="192"/>
      <c r="EI15" s="148"/>
      <c r="EJ15" s="41"/>
      <c r="EK15" s="67"/>
      <c r="EL15" s="104"/>
      <c r="EM15" s="148"/>
      <c r="EN15" s="41"/>
      <c r="EO15" s="67"/>
      <c r="EP15" s="72"/>
      <c r="EQ15" s="45"/>
      <c r="ER15" s="41"/>
      <c r="ES15" s="67"/>
      <c r="ET15" s="104"/>
      <c r="EU15" s="124"/>
      <c r="EV15" s="169"/>
      <c r="EW15" s="87"/>
      <c r="EX15" s="248"/>
      <c r="EY15" s="87"/>
      <c r="EZ15" s="91"/>
      <c r="FA15" s="41"/>
      <c r="FB15" s="67"/>
      <c r="FC15" s="104"/>
      <c r="FD15" s="124"/>
      <c r="FE15" s="169"/>
      <c r="FF15" s="87"/>
      <c r="FG15" s="72"/>
      <c r="FH15" s="45"/>
      <c r="FI15" s="41"/>
      <c r="FJ15" s="67"/>
      <c r="FK15" s="104"/>
      <c r="FL15" s="45"/>
      <c r="FM15" s="41"/>
      <c r="FN15" s="148"/>
      <c r="FO15" s="208"/>
      <c r="FP15" s="208"/>
      <c r="FQ15" s="41"/>
      <c r="FR15" s="67"/>
      <c r="FS15" s="104"/>
      <c r="FT15" s="113"/>
      <c r="FU15" s="87"/>
      <c r="FV15" s="104"/>
      <c r="FW15" s="148"/>
      <c r="FX15" s="33"/>
      <c r="FY15" s="124"/>
      <c r="FZ15" s="113"/>
      <c r="GA15" s="87"/>
      <c r="GB15" s="104"/>
      <c r="GC15" s="155"/>
      <c r="GD15" s="113"/>
      <c r="GE15" s="87"/>
      <c r="GF15" s="148"/>
      <c r="GG15" s="208"/>
      <c r="GH15" s="104"/>
      <c r="GI15" s="248"/>
      <c r="GJ15" s="200"/>
      <c r="GK15" s="77"/>
      <c r="GL15" s="41"/>
      <c r="GM15" s="91"/>
      <c r="GN15" s="108"/>
      <c r="GO15" s="108"/>
      <c r="GP15" s="41"/>
      <c r="GQ15" s="91"/>
      <c r="GR15" s="49"/>
      <c r="GS15" s="108"/>
      <c r="GT15" s="108"/>
      <c r="GU15" s="108"/>
      <c r="GV15" s="41"/>
      <c r="GW15" s="91"/>
      <c r="GX15" s="104"/>
      <c r="GY15" s="41"/>
      <c r="GZ15" s="104"/>
      <c r="HA15" s="113"/>
      <c r="HB15" s="274"/>
      <c r="HC15" s="41"/>
      <c r="HD15" s="91"/>
      <c r="HE15" s="41"/>
      <c r="HF15" s="91"/>
      <c r="HG15" s="41"/>
      <c r="HH15" s="104"/>
      <c r="HI15" s="152"/>
      <c r="HJ15" s="77"/>
      <c r="HK15" s="49"/>
      <c r="HL15" s="41"/>
      <c r="HM15" s="104"/>
      <c r="HN15" s="113"/>
      <c r="HO15" s="41"/>
      <c r="HP15" s="91"/>
      <c r="HQ15" s="41"/>
      <c r="HR15" s="91"/>
      <c r="HS15" s="37"/>
      <c r="HT15" s="82"/>
      <c r="HU15" s="41"/>
      <c r="HV15" s="91"/>
      <c r="HW15" s="41"/>
      <c r="HX15" s="91"/>
      <c r="HY15" s="37"/>
      <c r="HZ15" s="41"/>
      <c r="IA15" s="77"/>
      <c r="IB15" s="41"/>
      <c r="IC15" s="91"/>
      <c r="ID15" s="41"/>
      <c r="IE15" s="77"/>
      <c r="IF15" s="49"/>
      <c r="IG15" s="37"/>
      <c r="IH15" s="33"/>
      <c r="II15" s="281"/>
      <c r="IJ15" s="260"/>
      <c r="IK15" s="261"/>
    </row>
    <row r="16" spans="1:257" x14ac:dyDescent="0.25">
      <c r="A16" s="129">
        <v>44322</v>
      </c>
      <c r="B16" s="18" t="s">
        <v>15</v>
      </c>
      <c r="C16" s="21">
        <f t="shared" si="4"/>
        <v>-397.34</v>
      </c>
      <c r="D16" s="384"/>
      <c r="E16" s="384"/>
      <c r="F16" s="143"/>
      <c r="G16" s="143"/>
      <c r="H16" s="82"/>
      <c r="I16" s="82"/>
      <c r="J16" s="108"/>
      <c r="K16" s="41"/>
      <c r="L16" s="67"/>
      <c r="M16" s="91"/>
      <c r="N16" s="41"/>
      <c r="O16" s="372"/>
      <c r="P16" s="104"/>
      <c r="Q16" s="161"/>
      <c r="R16" s="113"/>
      <c r="S16" s="72"/>
      <c r="T16" s="41"/>
      <c r="U16" s="67"/>
      <c r="V16" s="72"/>
      <c r="W16" s="161"/>
      <c r="X16" s="41"/>
      <c r="Y16" s="67"/>
      <c r="Z16" s="77"/>
      <c r="AA16" s="41"/>
      <c r="AB16" s="67">
        <v>-33.770000000000003</v>
      </c>
      <c r="AC16" s="104"/>
      <c r="AD16" s="113"/>
      <c r="AE16" s="41"/>
      <c r="AF16" s="67"/>
      <c r="AG16" s="104"/>
      <c r="AH16" s="119"/>
      <c r="AI16" s="124"/>
      <c r="AJ16" s="161"/>
      <c r="AK16" s="241"/>
      <c r="AL16" s="41"/>
      <c r="AM16" s="67"/>
      <c r="AN16" s="104"/>
      <c r="AO16" s="45"/>
      <c r="AP16" s="41"/>
      <c r="AQ16" s="67"/>
      <c r="AR16" s="104"/>
      <c r="AS16" s="119"/>
      <c r="AT16" s="45"/>
      <c r="AU16" s="41"/>
      <c r="AV16" s="67">
        <v>-68.215000000000003</v>
      </c>
      <c r="AW16" s="104"/>
      <c r="AX16" s="119"/>
      <c r="AY16" s="124"/>
      <c r="AZ16" s="152"/>
      <c r="BA16" s="41"/>
      <c r="BB16" s="67"/>
      <c r="BC16" s="104"/>
      <c r="BD16" s="119"/>
      <c r="BE16" s="124"/>
      <c r="BF16" s="152"/>
      <c r="BG16" s="41"/>
      <c r="BH16" s="67">
        <v>-102.30500000000001</v>
      </c>
      <c r="BI16" s="104"/>
      <c r="BJ16" s="119"/>
      <c r="BK16" s="124"/>
      <c r="BL16" s="152"/>
      <c r="BM16" s="87">
        <v>-58.45</v>
      </c>
      <c r="BN16" s="67">
        <v>-34</v>
      </c>
      <c r="BO16" s="104"/>
      <c r="BP16" s="119"/>
      <c r="BQ16" s="124"/>
      <c r="BR16" s="152"/>
      <c r="BS16" s="41"/>
      <c r="BT16" s="67"/>
      <c r="BU16" s="104"/>
      <c r="BV16" s="119"/>
      <c r="BW16" s="124"/>
      <c r="BX16" s="152"/>
      <c r="BY16" s="41"/>
      <c r="BZ16" s="67"/>
      <c r="CA16" s="104"/>
      <c r="CB16" s="119"/>
      <c r="CC16" s="124"/>
      <c r="CD16" s="152"/>
      <c r="CE16" s="41"/>
      <c r="CF16" s="67"/>
      <c r="CG16" s="104"/>
      <c r="CH16" s="119"/>
      <c r="CI16" s="124"/>
      <c r="CJ16" s="152"/>
      <c r="CK16" s="41"/>
      <c r="CL16" s="67"/>
      <c r="CM16" s="104"/>
      <c r="CN16" s="119"/>
      <c r="CO16" s="124"/>
      <c r="CP16" s="152"/>
      <c r="CQ16" s="41"/>
      <c r="CR16" s="67"/>
      <c r="CS16" s="72"/>
      <c r="CT16" s="119"/>
      <c r="CU16" s="124"/>
      <c r="CV16" s="113"/>
      <c r="CW16" s="41"/>
      <c r="CX16" s="67"/>
      <c r="CY16" s="104"/>
      <c r="CZ16" s="119"/>
      <c r="DA16" s="124"/>
      <c r="DB16" s="113"/>
      <c r="DC16" s="41"/>
      <c r="DD16" s="67"/>
      <c r="DE16" s="72"/>
      <c r="DF16" s="119"/>
      <c r="DG16" s="124"/>
      <c r="DH16" s="113"/>
      <c r="DI16" s="41"/>
      <c r="DJ16" s="67"/>
      <c r="DK16" s="104"/>
      <c r="DL16" s="119"/>
      <c r="DM16" s="45"/>
      <c r="DN16" s="41"/>
      <c r="DO16" s="372"/>
      <c r="DP16" s="72"/>
      <c r="DQ16" s="119"/>
      <c r="DR16" s="45"/>
      <c r="DS16" s="41"/>
      <c r="DT16" s="67"/>
      <c r="DU16" s="104"/>
      <c r="DV16" s="119"/>
      <c r="DW16" s="124"/>
      <c r="DX16" s="113"/>
      <c r="DY16" s="41"/>
      <c r="DZ16" s="67">
        <v>-100.6</v>
      </c>
      <c r="EA16" s="72"/>
      <c r="EB16" s="119"/>
      <c r="EC16" s="124"/>
      <c r="ED16" s="113"/>
      <c r="EE16" s="41"/>
      <c r="EF16" s="67"/>
      <c r="EG16" s="72"/>
      <c r="EH16" s="192"/>
      <c r="EI16" s="148"/>
      <c r="EJ16" s="41"/>
      <c r="EK16" s="67"/>
      <c r="EL16" s="104"/>
      <c r="EM16" s="148"/>
      <c r="EN16" s="41"/>
      <c r="EO16" s="67"/>
      <c r="EP16" s="72"/>
      <c r="EQ16" s="45"/>
      <c r="ER16" s="41"/>
      <c r="ES16" s="67"/>
      <c r="ET16" s="104"/>
      <c r="EU16" s="124"/>
      <c r="EV16" s="169"/>
      <c r="EW16" s="87"/>
      <c r="EX16" s="248"/>
      <c r="EY16" s="87"/>
      <c r="EZ16" s="91"/>
      <c r="FA16" s="41"/>
      <c r="FB16" s="67"/>
      <c r="FC16" s="104"/>
      <c r="FD16" s="124"/>
      <c r="FE16" s="169"/>
      <c r="FF16" s="87"/>
      <c r="FG16" s="72"/>
      <c r="FH16" s="45"/>
      <c r="FI16" s="41"/>
      <c r="FJ16" s="67"/>
      <c r="FK16" s="104"/>
      <c r="FL16" s="45"/>
      <c r="FM16" s="41"/>
      <c r="FN16" s="148"/>
      <c r="FO16" s="208"/>
      <c r="FP16" s="208"/>
      <c r="FQ16" s="41"/>
      <c r="FR16" s="67"/>
      <c r="FS16" s="104"/>
      <c r="FT16" s="113"/>
      <c r="FU16" s="87"/>
      <c r="FV16" s="104"/>
      <c r="FW16" s="148"/>
      <c r="FX16" s="33"/>
      <c r="FY16" s="124"/>
      <c r="FZ16" s="113"/>
      <c r="GA16" s="87"/>
      <c r="GB16" s="104"/>
      <c r="GC16" s="155"/>
      <c r="GD16" s="113"/>
      <c r="GE16" s="87"/>
      <c r="GF16" s="148"/>
      <c r="GG16" s="208"/>
      <c r="GH16" s="104"/>
      <c r="GI16" s="248"/>
      <c r="GJ16" s="200"/>
      <c r="GK16" s="77"/>
      <c r="GL16" s="41"/>
      <c r="GM16" s="91"/>
      <c r="GN16" s="108"/>
      <c r="GO16" s="108"/>
      <c r="GP16" s="41"/>
      <c r="GQ16" s="91"/>
      <c r="GR16" s="49"/>
      <c r="GS16" s="108"/>
      <c r="GT16" s="108"/>
      <c r="GU16" s="108"/>
      <c r="GV16" s="41"/>
      <c r="GW16" s="91"/>
      <c r="GX16" s="104"/>
      <c r="GY16" s="41"/>
      <c r="GZ16" s="104"/>
      <c r="HA16" s="113"/>
      <c r="HB16" s="274"/>
      <c r="HC16" s="41"/>
      <c r="HD16" s="91"/>
      <c r="HE16" s="41"/>
      <c r="HF16" s="91"/>
      <c r="HG16" s="41"/>
      <c r="HH16" s="104"/>
      <c r="HI16" s="152"/>
      <c r="HJ16" s="77"/>
      <c r="HK16" s="49"/>
      <c r="HL16" s="41"/>
      <c r="HM16" s="104"/>
      <c r="HN16" s="113"/>
      <c r="HO16" s="41"/>
      <c r="HP16" s="91"/>
      <c r="HQ16" s="41"/>
      <c r="HR16" s="91"/>
      <c r="HS16" s="37"/>
      <c r="HT16" s="82"/>
      <c r="HU16" s="41"/>
      <c r="HV16" s="91"/>
      <c r="HW16" s="41"/>
      <c r="HX16" s="91"/>
      <c r="HY16" s="37"/>
      <c r="HZ16" s="41"/>
      <c r="IA16" s="77"/>
      <c r="IB16" s="41"/>
      <c r="IC16" s="91"/>
      <c r="ID16" s="41"/>
      <c r="IE16" s="77"/>
      <c r="IF16" s="49"/>
      <c r="IG16" s="37"/>
      <c r="IH16" s="33"/>
      <c r="II16" s="281"/>
      <c r="IJ16" s="260"/>
      <c r="IK16" s="261"/>
    </row>
    <row r="17" spans="1:245" x14ac:dyDescent="0.25">
      <c r="A17" s="129">
        <v>44322</v>
      </c>
      <c r="B17" s="18" t="s">
        <v>31</v>
      </c>
      <c r="C17" s="21">
        <f t="shared" si="4"/>
        <v>-26.02</v>
      </c>
      <c r="D17" s="384"/>
      <c r="E17" s="384"/>
      <c r="F17" s="143"/>
      <c r="G17" s="143"/>
      <c r="H17" s="82"/>
      <c r="I17" s="82"/>
      <c r="J17" s="108"/>
      <c r="K17" s="41"/>
      <c r="L17" s="67"/>
      <c r="M17" s="91"/>
      <c r="N17" s="41"/>
      <c r="O17" s="372"/>
      <c r="P17" s="104"/>
      <c r="Q17" s="161"/>
      <c r="R17" s="113"/>
      <c r="S17" s="72"/>
      <c r="T17" s="41"/>
      <c r="U17" s="67"/>
      <c r="V17" s="72"/>
      <c r="W17" s="161"/>
      <c r="X17" s="41"/>
      <c r="Y17" s="67"/>
      <c r="Z17" s="77"/>
      <c r="AA17" s="41"/>
      <c r="AB17" s="67"/>
      <c r="AC17" s="104"/>
      <c r="AD17" s="113"/>
      <c r="AE17" s="41"/>
      <c r="AF17" s="67"/>
      <c r="AG17" s="104"/>
      <c r="AH17" s="119"/>
      <c r="AI17" s="124"/>
      <c r="AJ17" s="161"/>
      <c r="AK17" s="241"/>
      <c r="AL17" s="41"/>
      <c r="AM17" s="67"/>
      <c r="AN17" s="104"/>
      <c r="AO17" s="45"/>
      <c r="AP17" s="41"/>
      <c r="AQ17" s="67"/>
      <c r="AR17" s="104"/>
      <c r="AS17" s="119"/>
      <c r="AT17" s="45"/>
      <c r="AU17" s="41"/>
      <c r="AV17" s="67"/>
      <c r="AW17" s="104"/>
      <c r="AX17" s="119"/>
      <c r="AY17" s="124"/>
      <c r="AZ17" s="152"/>
      <c r="BA17" s="41"/>
      <c r="BB17" s="67"/>
      <c r="BC17" s="104"/>
      <c r="BD17" s="119"/>
      <c r="BE17" s="124"/>
      <c r="BF17" s="152"/>
      <c r="BG17" s="41"/>
      <c r="BH17" s="67"/>
      <c r="BI17" s="104"/>
      <c r="BJ17" s="119"/>
      <c r="BK17" s="124"/>
      <c r="BL17" s="152"/>
      <c r="BM17" s="87"/>
      <c r="BN17" s="67"/>
      <c r="BO17" s="104"/>
      <c r="BP17" s="119"/>
      <c r="BQ17" s="124"/>
      <c r="BR17" s="152"/>
      <c r="BS17" s="41"/>
      <c r="BT17" s="67"/>
      <c r="BU17" s="104"/>
      <c r="BV17" s="119"/>
      <c r="BW17" s="124"/>
      <c r="BX17" s="152"/>
      <c r="BY17" s="41"/>
      <c r="BZ17" s="67"/>
      <c r="CA17" s="104"/>
      <c r="CB17" s="119"/>
      <c r="CC17" s="124"/>
      <c r="CD17" s="152"/>
      <c r="CE17" s="41"/>
      <c r="CF17" s="67"/>
      <c r="CG17" s="104"/>
      <c r="CH17" s="119"/>
      <c r="CI17" s="124"/>
      <c r="CJ17" s="152"/>
      <c r="CK17" s="41"/>
      <c r="CL17" s="67"/>
      <c r="CM17" s="104"/>
      <c r="CN17" s="119"/>
      <c r="CO17" s="124"/>
      <c r="CP17" s="152"/>
      <c r="CQ17" s="41"/>
      <c r="CR17" s="67"/>
      <c r="CS17" s="72"/>
      <c r="CT17" s="119"/>
      <c r="CU17" s="124"/>
      <c r="CV17" s="113"/>
      <c r="CW17" s="41"/>
      <c r="CX17" s="67"/>
      <c r="CY17" s="104"/>
      <c r="CZ17" s="119"/>
      <c r="DA17" s="124"/>
      <c r="DB17" s="113"/>
      <c r="DC17" s="41"/>
      <c r="DD17" s="67"/>
      <c r="DE17" s="72"/>
      <c r="DF17" s="119"/>
      <c r="DG17" s="124"/>
      <c r="DH17" s="113"/>
      <c r="DI17" s="41"/>
      <c r="DJ17" s="67"/>
      <c r="DK17" s="104"/>
      <c r="DL17" s="119"/>
      <c r="DM17" s="45"/>
      <c r="DN17" s="41"/>
      <c r="DO17" s="372"/>
      <c r="DP17" s="72"/>
      <c r="DQ17" s="119"/>
      <c r="DR17" s="45"/>
      <c r="DS17" s="41"/>
      <c r="DT17" s="67"/>
      <c r="DU17" s="104"/>
      <c r="DV17" s="119"/>
      <c r="DW17" s="124"/>
      <c r="DX17" s="113"/>
      <c r="DY17" s="41"/>
      <c r="DZ17" s="67"/>
      <c r="EA17" s="72"/>
      <c r="EB17" s="119"/>
      <c r="EC17" s="124"/>
      <c r="ED17" s="113"/>
      <c r="EE17" s="41"/>
      <c r="EF17" s="67"/>
      <c r="EG17" s="72"/>
      <c r="EH17" s="192"/>
      <c r="EI17" s="148"/>
      <c r="EJ17" s="41"/>
      <c r="EK17" s="67"/>
      <c r="EL17" s="104"/>
      <c r="EM17" s="148"/>
      <c r="EN17" s="41"/>
      <c r="EO17" s="67"/>
      <c r="EP17" s="72"/>
      <c r="EQ17" s="45"/>
      <c r="ER17" s="41"/>
      <c r="ES17" s="67"/>
      <c r="ET17" s="104"/>
      <c r="EU17" s="124"/>
      <c r="EV17" s="169"/>
      <c r="EW17" s="87"/>
      <c r="EX17" s="248"/>
      <c r="EY17" s="87"/>
      <c r="EZ17" s="91"/>
      <c r="FA17" s="41"/>
      <c r="FB17" s="67"/>
      <c r="FC17" s="104"/>
      <c r="FD17" s="124"/>
      <c r="FE17" s="169"/>
      <c r="FF17" s="87"/>
      <c r="FG17" s="72"/>
      <c r="FH17" s="45"/>
      <c r="FI17" s="41"/>
      <c r="FJ17" s="67"/>
      <c r="FK17" s="104"/>
      <c r="FL17" s="45"/>
      <c r="FM17" s="41"/>
      <c r="FN17" s="148"/>
      <c r="FO17" s="208"/>
      <c r="FP17" s="208"/>
      <c r="FQ17" s="41"/>
      <c r="FR17" s="67"/>
      <c r="FS17" s="104"/>
      <c r="FT17" s="113"/>
      <c r="FU17" s="87"/>
      <c r="FV17" s="104"/>
      <c r="FW17" s="148"/>
      <c r="FX17" s="33"/>
      <c r="FY17" s="124"/>
      <c r="FZ17" s="113"/>
      <c r="GA17" s="87"/>
      <c r="GB17" s="104"/>
      <c r="GC17" s="155"/>
      <c r="GD17" s="113"/>
      <c r="GE17" s="87"/>
      <c r="GF17" s="148"/>
      <c r="GG17" s="208"/>
      <c r="GH17" s="104"/>
      <c r="GI17" s="248"/>
      <c r="GJ17" s="200"/>
      <c r="GK17" s="77"/>
      <c r="GL17" s="41"/>
      <c r="GM17" s="91"/>
      <c r="GN17" s="108"/>
      <c r="GO17" s="108"/>
      <c r="GP17" s="41"/>
      <c r="GQ17" s="91"/>
      <c r="GR17" s="49"/>
      <c r="GS17" s="108"/>
      <c r="GT17" s="108"/>
      <c r="GU17" s="108"/>
      <c r="GV17" s="41"/>
      <c r="GW17" s="91"/>
      <c r="GX17" s="104"/>
      <c r="GY17" s="41"/>
      <c r="GZ17" s="104"/>
      <c r="HA17" s="113"/>
      <c r="HB17" s="274"/>
      <c r="HC17" s="41"/>
      <c r="HD17" s="91"/>
      <c r="HE17" s="41"/>
      <c r="HF17" s="91"/>
      <c r="HG17" s="41"/>
      <c r="HH17" s="104"/>
      <c r="HI17" s="152"/>
      <c r="HJ17" s="77"/>
      <c r="HK17" s="49"/>
      <c r="HL17" s="41"/>
      <c r="HM17" s="104"/>
      <c r="HN17" s="113"/>
      <c r="HO17" s="41"/>
      <c r="HP17" s="91"/>
      <c r="HQ17" s="41"/>
      <c r="HR17" s="91"/>
      <c r="HS17" s="37"/>
      <c r="HT17" s="82"/>
      <c r="HU17" s="41"/>
      <c r="HV17" s="91"/>
      <c r="HW17" s="41"/>
      <c r="HX17" s="91"/>
      <c r="HY17" s="37"/>
      <c r="HZ17" s="41"/>
      <c r="IA17" s="77"/>
      <c r="IB17" s="41"/>
      <c r="IC17" s="91"/>
      <c r="ID17" s="41"/>
      <c r="IE17" s="77"/>
      <c r="IF17" s="49">
        <v>-9.44</v>
      </c>
      <c r="IG17" s="37">
        <v>-16.579999999999998</v>
      </c>
      <c r="IH17" s="33"/>
      <c r="II17" s="281"/>
      <c r="IJ17" s="260"/>
      <c r="IK17" s="261"/>
    </row>
    <row r="18" spans="1:245" x14ac:dyDescent="0.25">
      <c r="A18" s="129">
        <v>44322</v>
      </c>
      <c r="B18" s="18" t="s">
        <v>27</v>
      </c>
      <c r="C18" s="21">
        <f t="shared" si="4"/>
        <v>-24.05</v>
      </c>
      <c r="D18" s="384"/>
      <c r="E18" s="384"/>
      <c r="F18" s="143"/>
      <c r="G18" s="143"/>
      <c r="H18" s="82"/>
      <c r="I18" s="82"/>
      <c r="J18" s="108"/>
      <c r="K18" s="41"/>
      <c r="L18" s="67"/>
      <c r="M18" s="91"/>
      <c r="N18" s="41"/>
      <c r="O18" s="372"/>
      <c r="P18" s="104"/>
      <c r="Q18" s="161"/>
      <c r="R18" s="113"/>
      <c r="S18" s="72"/>
      <c r="T18" s="41"/>
      <c r="U18" s="67"/>
      <c r="V18" s="72"/>
      <c r="W18" s="161"/>
      <c r="X18" s="41"/>
      <c r="Y18" s="67"/>
      <c r="Z18" s="77"/>
      <c r="AA18" s="41"/>
      <c r="AB18" s="67"/>
      <c r="AC18" s="104"/>
      <c r="AD18" s="113"/>
      <c r="AE18" s="41"/>
      <c r="AF18" s="67"/>
      <c r="AG18" s="104"/>
      <c r="AH18" s="119"/>
      <c r="AI18" s="124"/>
      <c r="AJ18" s="161"/>
      <c r="AK18" s="241"/>
      <c r="AL18" s="41"/>
      <c r="AM18" s="67"/>
      <c r="AN18" s="104"/>
      <c r="AO18" s="45"/>
      <c r="AP18" s="41"/>
      <c r="AQ18" s="67"/>
      <c r="AR18" s="104"/>
      <c r="AS18" s="119"/>
      <c r="AT18" s="45"/>
      <c r="AU18" s="41"/>
      <c r="AV18" s="67"/>
      <c r="AW18" s="104"/>
      <c r="AX18" s="119"/>
      <c r="AY18" s="124"/>
      <c r="AZ18" s="152"/>
      <c r="BA18" s="41"/>
      <c r="BB18" s="67"/>
      <c r="BC18" s="104"/>
      <c r="BD18" s="119"/>
      <c r="BE18" s="124"/>
      <c r="BF18" s="152"/>
      <c r="BG18" s="41"/>
      <c r="BH18" s="67"/>
      <c r="BI18" s="104"/>
      <c r="BJ18" s="119"/>
      <c r="BK18" s="124"/>
      <c r="BL18" s="152"/>
      <c r="BM18" s="87"/>
      <c r="BN18" s="67"/>
      <c r="BO18" s="104"/>
      <c r="BP18" s="119"/>
      <c r="BQ18" s="124"/>
      <c r="BR18" s="152">
        <v>-8.1999999999999993</v>
      </c>
      <c r="BS18" s="41"/>
      <c r="BT18" s="67"/>
      <c r="BU18" s="104"/>
      <c r="BV18" s="119"/>
      <c r="BW18" s="124"/>
      <c r="BX18" s="152"/>
      <c r="BY18" s="41"/>
      <c r="BZ18" s="67"/>
      <c r="CA18" s="104"/>
      <c r="CB18" s="119"/>
      <c r="CC18" s="124"/>
      <c r="CD18" s="152"/>
      <c r="CE18" s="41"/>
      <c r="CF18" s="67"/>
      <c r="CG18" s="104"/>
      <c r="CH18" s="119"/>
      <c r="CI18" s="124"/>
      <c r="CJ18" s="152"/>
      <c r="CK18" s="41"/>
      <c r="CL18" s="67"/>
      <c r="CM18" s="104"/>
      <c r="CN18" s="119"/>
      <c r="CO18" s="124"/>
      <c r="CP18" s="152"/>
      <c r="CQ18" s="41"/>
      <c r="CR18" s="67"/>
      <c r="CS18" s="72"/>
      <c r="CT18" s="119"/>
      <c r="CU18" s="124"/>
      <c r="CV18" s="113"/>
      <c r="CW18" s="41"/>
      <c r="CX18" s="67"/>
      <c r="CY18" s="104"/>
      <c r="CZ18" s="119"/>
      <c r="DA18" s="124"/>
      <c r="DB18" s="113">
        <v>-7.25</v>
      </c>
      <c r="DC18" s="41"/>
      <c r="DD18" s="67"/>
      <c r="DE18" s="72"/>
      <c r="DF18" s="119"/>
      <c r="DG18" s="124">
        <v>-8.6</v>
      </c>
      <c r="DH18" s="113"/>
      <c r="DI18" s="41"/>
      <c r="DJ18" s="67"/>
      <c r="DK18" s="104"/>
      <c r="DL18" s="119"/>
      <c r="DM18" s="45"/>
      <c r="DN18" s="41"/>
      <c r="DO18" s="372"/>
      <c r="DP18" s="72"/>
      <c r="DQ18" s="119"/>
      <c r="DR18" s="45"/>
      <c r="DS18" s="41"/>
      <c r="DT18" s="67"/>
      <c r="DU18" s="104"/>
      <c r="DV18" s="119"/>
      <c r="DW18" s="124"/>
      <c r="DX18" s="113"/>
      <c r="DY18" s="41"/>
      <c r="DZ18" s="67"/>
      <c r="EA18" s="72"/>
      <c r="EB18" s="119"/>
      <c r="EC18" s="124"/>
      <c r="ED18" s="113"/>
      <c r="EE18" s="41"/>
      <c r="EF18" s="67"/>
      <c r="EG18" s="72"/>
      <c r="EH18" s="192"/>
      <c r="EI18" s="148"/>
      <c r="EJ18" s="41"/>
      <c r="EK18" s="67"/>
      <c r="EL18" s="104"/>
      <c r="EM18" s="148"/>
      <c r="EN18" s="41"/>
      <c r="EO18" s="67"/>
      <c r="EP18" s="72"/>
      <c r="EQ18" s="45"/>
      <c r="ER18" s="41"/>
      <c r="ES18" s="67"/>
      <c r="ET18" s="104"/>
      <c r="EU18" s="124"/>
      <c r="EV18" s="169"/>
      <c r="EW18" s="87"/>
      <c r="EX18" s="248"/>
      <c r="EY18" s="87"/>
      <c r="EZ18" s="91"/>
      <c r="FA18" s="41"/>
      <c r="FB18" s="67"/>
      <c r="FC18" s="104"/>
      <c r="FD18" s="124"/>
      <c r="FE18" s="169"/>
      <c r="FF18" s="87"/>
      <c r="FG18" s="72"/>
      <c r="FH18" s="45"/>
      <c r="FI18" s="41"/>
      <c r="FJ18" s="67"/>
      <c r="FK18" s="104"/>
      <c r="FL18" s="45"/>
      <c r="FM18" s="41"/>
      <c r="FN18" s="148"/>
      <c r="FO18" s="208"/>
      <c r="FP18" s="208"/>
      <c r="FQ18" s="41"/>
      <c r="FR18" s="67"/>
      <c r="FS18" s="104"/>
      <c r="FT18" s="113"/>
      <c r="FU18" s="87"/>
      <c r="FV18" s="104"/>
      <c r="FW18" s="148"/>
      <c r="FX18" s="33"/>
      <c r="FY18" s="124"/>
      <c r="FZ18" s="113"/>
      <c r="GA18" s="87"/>
      <c r="GB18" s="104"/>
      <c r="GC18" s="155"/>
      <c r="GD18" s="113"/>
      <c r="GE18" s="87"/>
      <c r="GF18" s="148"/>
      <c r="GG18" s="208"/>
      <c r="GH18" s="104"/>
      <c r="GI18" s="248"/>
      <c r="GJ18" s="200"/>
      <c r="GK18" s="77"/>
      <c r="GL18" s="41"/>
      <c r="GM18" s="91"/>
      <c r="GN18" s="108"/>
      <c r="GO18" s="108"/>
      <c r="GP18" s="41"/>
      <c r="GQ18" s="91"/>
      <c r="GR18" s="49"/>
      <c r="GS18" s="108"/>
      <c r="GT18" s="108"/>
      <c r="GU18" s="108"/>
      <c r="GV18" s="41"/>
      <c r="GW18" s="91"/>
      <c r="GX18" s="104"/>
      <c r="GY18" s="41"/>
      <c r="GZ18" s="104"/>
      <c r="HA18" s="113"/>
      <c r="HB18" s="274"/>
      <c r="HC18" s="41"/>
      <c r="HD18" s="91"/>
      <c r="HE18" s="41"/>
      <c r="HF18" s="91"/>
      <c r="HG18" s="41"/>
      <c r="HH18" s="104"/>
      <c r="HI18" s="152"/>
      <c r="HJ18" s="77"/>
      <c r="HK18" s="49"/>
      <c r="HL18" s="41"/>
      <c r="HM18" s="104"/>
      <c r="HN18" s="113"/>
      <c r="HO18" s="41"/>
      <c r="HP18" s="91"/>
      <c r="HQ18" s="41"/>
      <c r="HR18" s="91"/>
      <c r="HS18" s="37"/>
      <c r="HT18" s="82"/>
      <c r="HU18" s="41"/>
      <c r="HV18" s="91"/>
      <c r="HW18" s="41"/>
      <c r="HX18" s="91"/>
      <c r="HY18" s="37"/>
      <c r="HZ18" s="41"/>
      <c r="IA18" s="77"/>
      <c r="IB18" s="41"/>
      <c r="IC18" s="91"/>
      <c r="ID18" s="41"/>
      <c r="IE18" s="77"/>
      <c r="IF18" s="49"/>
      <c r="IG18" s="37"/>
      <c r="IH18" s="33"/>
      <c r="II18" s="281"/>
      <c r="IJ18" s="260"/>
      <c r="IK18" s="261"/>
    </row>
    <row r="19" spans="1:245" x14ac:dyDescent="0.25">
      <c r="A19" s="129">
        <v>44322</v>
      </c>
      <c r="B19" s="18" t="s">
        <v>26</v>
      </c>
      <c r="C19" s="21">
        <f t="shared" si="4"/>
        <v>-25.73</v>
      </c>
      <c r="D19" s="384"/>
      <c r="E19" s="384"/>
      <c r="F19" s="143"/>
      <c r="G19" s="143"/>
      <c r="H19" s="82"/>
      <c r="I19" s="82"/>
      <c r="J19" s="108"/>
      <c r="K19" s="41"/>
      <c r="L19" s="67"/>
      <c r="M19" s="91"/>
      <c r="N19" s="41"/>
      <c r="O19" s="372"/>
      <c r="P19" s="104"/>
      <c r="Q19" s="161"/>
      <c r="R19" s="113"/>
      <c r="S19" s="72"/>
      <c r="T19" s="41"/>
      <c r="U19" s="67"/>
      <c r="V19" s="72"/>
      <c r="W19" s="161"/>
      <c r="X19" s="41"/>
      <c r="Y19" s="67"/>
      <c r="Z19" s="77"/>
      <c r="AA19" s="41"/>
      <c r="AB19" s="67"/>
      <c r="AC19" s="104"/>
      <c r="AD19" s="113"/>
      <c r="AE19" s="41"/>
      <c r="AF19" s="67"/>
      <c r="AG19" s="104"/>
      <c r="AH19" s="119"/>
      <c r="AI19" s="124"/>
      <c r="AJ19" s="161"/>
      <c r="AK19" s="241"/>
      <c r="AL19" s="41"/>
      <c r="AM19" s="67"/>
      <c r="AN19" s="104"/>
      <c r="AO19" s="45"/>
      <c r="AP19" s="41"/>
      <c r="AQ19" s="67"/>
      <c r="AR19" s="104"/>
      <c r="AS19" s="119"/>
      <c r="AT19" s="45"/>
      <c r="AU19" s="41"/>
      <c r="AV19" s="67"/>
      <c r="AW19" s="104"/>
      <c r="AX19" s="119"/>
      <c r="AY19" s="124"/>
      <c r="AZ19" s="152"/>
      <c r="BA19" s="41">
        <v>-8.7899999999999991</v>
      </c>
      <c r="BB19" s="67"/>
      <c r="BC19" s="104"/>
      <c r="BD19" s="119"/>
      <c r="BE19" s="124"/>
      <c r="BF19" s="152"/>
      <c r="BG19" s="41"/>
      <c r="BH19" s="67">
        <v>-8.5950000000000006</v>
      </c>
      <c r="BI19" s="104"/>
      <c r="BJ19" s="119"/>
      <c r="BK19" s="124"/>
      <c r="BL19" s="152"/>
      <c r="BM19" s="87"/>
      <c r="BN19" s="67"/>
      <c r="BO19" s="104"/>
      <c r="BP19" s="119"/>
      <c r="BQ19" s="124"/>
      <c r="BR19" s="152"/>
      <c r="BS19" s="41"/>
      <c r="BT19" s="67">
        <v>-8.3450000000000006</v>
      </c>
      <c r="BU19" s="104"/>
      <c r="BV19" s="119"/>
      <c r="BW19" s="124"/>
      <c r="BX19" s="152"/>
      <c r="BY19" s="41"/>
      <c r="BZ19" s="67"/>
      <c r="CA19" s="104"/>
      <c r="CB19" s="119"/>
      <c r="CC19" s="124"/>
      <c r="CD19" s="152"/>
      <c r="CE19" s="41"/>
      <c r="CF19" s="67"/>
      <c r="CG19" s="104"/>
      <c r="CH19" s="119"/>
      <c r="CI19" s="124"/>
      <c r="CJ19" s="152"/>
      <c r="CK19" s="41"/>
      <c r="CL19" s="67"/>
      <c r="CM19" s="104"/>
      <c r="CN19" s="119"/>
      <c r="CO19" s="124"/>
      <c r="CP19" s="152"/>
      <c r="CQ19" s="41"/>
      <c r="CR19" s="67"/>
      <c r="CS19" s="72"/>
      <c r="CT19" s="119"/>
      <c r="CU19" s="124"/>
      <c r="CV19" s="113"/>
      <c r="CW19" s="41"/>
      <c r="CX19" s="67"/>
      <c r="CY19" s="104"/>
      <c r="CZ19" s="119"/>
      <c r="DA19" s="124"/>
      <c r="DB19" s="113"/>
      <c r="DC19" s="41"/>
      <c r="DD19" s="67"/>
      <c r="DE19" s="72"/>
      <c r="DF19" s="119"/>
      <c r="DG19" s="124"/>
      <c r="DH19" s="113"/>
      <c r="DI19" s="41"/>
      <c r="DJ19" s="67"/>
      <c r="DK19" s="104"/>
      <c r="DL19" s="119"/>
      <c r="DM19" s="45"/>
      <c r="DN19" s="41"/>
      <c r="DO19" s="372"/>
      <c r="DP19" s="72"/>
      <c r="DQ19" s="119"/>
      <c r="DR19" s="45"/>
      <c r="DS19" s="41"/>
      <c r="DT19" s="67"/>
      <c r="DU19" s="104"/>
      <c r="DV19" s="119"/>
      <c r="DW19" s="124"/>
      <c r="DX19" s="113"/>
      <c r="DY19" s="41"/>
      <c r="DZ19" s="67"/>
      <c r="EA19" s="72"/>
      <c r="EB19" s="119"/>
      <c r="EC19" s="124"/>
      <c r="ED19" s="113"/>
      <c r="EE19" s="41"/>
      <c r="EF19" s="67"/>
      <c r="EG19" s="72"/>
      <c r="EH19" s="192"/>
      <c r="EI19" s="148"/>
      <c r="EJ19" s="41"/>
      <c r="EK19" s="67"/>
      <c r="EL19" s="104"/>
      <c r="EM19" s="148"/>
      <c r="EN19" s="41"/>
      <c r="EO19" s="67"/>
      <c r="EP19" s="72"/>
      <c r="EQ19" s="45"/>
      <c r="ER19" s="41"/>
      <c r="ES19" s="67"/>
      <c r="ET19" s="104"/>
      <c r="EU19" s="124"/>
      <c r="EV19" s="169"/>
      <c r="EW19" s="87"/>
      <c r="EX19" s="248"/>
      <c r="EY19" s="87"/>
      <c r="EZ19" s="91"/>
      <c r="FA19" s="41"/>
      <c r="FB19" s="67"/>
      <c r="FC19" s="104"/>
      <c r="FD19" s="124"/>
      <c r="FE19" s="169"/>
      <c r="FF19" s="87"/>
      <c r="FG19" s="72"/>
      <c r="FH19" s="45"/>
      <c r="FI19" s="41"/>
      <c r="FJ19" s="67"/>
      <c r="FK19" s="104"/>
      <c r="FL19" s="45"/>
      <c r="FM19" s="41"/>
      <c r="FN19" s="148"/>
      <c r="FO19" s="208"/>
      <c r="FP19" s="208"/>
      <c r="FQ19" s="41"/>
      <c r="FR19" s="67"/>
      <c r="FS19" s="104"/>
      <c r="FT19" s="113"/>
      <c r="FU19" s="87"/>
      <c r="FV19" s="104"/>
      <c r="FW19" s="148"/>
      <c r="FX19" s="33"/>
      <c r="FY19" s="124"/>
      <c r="FZ19" s="113"/>
      <c r="GA19" s="87"/>
      <c r="GB19" s="104"/>
      <c r="GC19" s="155"/>
      <c r="GD19" s="113"/>
      <c r="GE19" s="87"/>
      <c r="GF19" s="148"/>
      <c r="GG19" s="208"/>
      <c r="GH19" s="104"/>
      <c r="GI19" s="248"/>
      <c r="GJ19" s="200"/>
      <c r="GK19" s="77"/>
      <c r="GL19" s="41"/>
      <c r="GM19" s="91"/>
      <c r="GN19" s="108"/>
      <c r="GO19" s="108"/>
      <c r="GP19" s="41"/>
      <c r="GQ19" s="91"/>
      <c r="GR19" s="49"/>
      <c r="GS19" s="108"/>
      <c r="GT19" s="108"/>
      <c r="GU19" s="108"/>
      <c r="GV19" s="41"/>
      <c r="GW19" s="91"/>
      <c r="GX19" s="104"/>
      <c r="GY19" s="41"/>
      <c r="GZ19" s="104"/>
      <c r="HA19" s="113"/>
      <c r="HB19" s="274"/>
      <c r="HC19" s="41"/>
      <c r="HD19" s="91"/>
      <c r="HE19" s="41"/>
      <c r="HF19" s="91"/>
      <c r="HG19" s="41"/>
      <c r="HH19" s="104"/>
      <c r="HI19" s="152"/>
      <c r="HJ19" s="77"/>
      <c r="HK19" s="49"/>
      <c r="HL19" s="41"/>
      <c r="HM19" s="104"/>
      <c r="HN19" s="113"/>
      <c r="HO19" s="41"/>
      <c r="HP19" s="91"/>
      <c r="HQ19" s="41"/>
      <c r="HR19" s="91"/>
      <c r="HS19" s="37"/>
      <c r="HT19" s="82"/>
      <c r="HU19" s="41"/>
      <c r="HV19" s="91"/>
      <c r="HW19" s="41"/>
      <c r="HX19" s="91"/>
      <c r="HY19" s="37"/>
      <c r="HZ19" s="41"/>
      <c r="IA19" s="77"/>
      <c r="IB19" s="41"/>
      <c r="IC19" s="91"/>
      <c r="ID19" s="41"/>
      <c r="IE19" s="77"/>
      <c r="IF19" s="49"/>
      <c r="IG19" s="37"/>
      <c r="IH19" s="33"/>
      <c r="II19" s="281"/>
      <c r="IJ19" s="260"/>
      <c r="IK19" s="261"/>
    </row>
    <row r="20" spans="1:245" x14ac:dyDescent="0.25">
      <c r="A20" s="129">
        <v>44322</v>
      </c>
      <c r="B20" s="18" t="s">
        <v>24</v>
      </c>
      <c r="C20" s="21">
        <f t="shared" si="4"/>
        <v>-8.75</v>
      </c>
      <c r="D20" s="384"/>
      <c r="E20" s="384"/>
      <c r="F20" s="143"/>
      <c r="G20" s="143"/>
      <c r="H20" s="82"/>
      <c r="I20" s="82"/>
      <c r="J20" s="108"/>
      <c r="K20" s="41"/>
      <c r="L20" s="67"/>
      <c r="M20" s="91"/>
      <c r="N20" s="41"/>
      <c r="O20" s="372"/>
      <c r="P20" s="104"/>
      <c r="Q20" s="161"/>
      <c r="R20" s="113"/>
      <c r="S20" s="72"/>
      <c r="T20" s="41"/>
      <c r="U20" s="67"/>
      <c r="V20" s="72"/>
      <c r="W20" s="161"/>
      <c r="X20" s="41"/>
      <c r="Y20" s="67"/>
      <c r="Z20" s="77"/>
      <c r="AA20" s="41"/>
      <c r="AB20" s="67"/>
      <c r="AC20" s="104"/>
      <c r="AD20" s="113"/>
      <c r="AE20" s="41"/>
      <c r="AF20" s="67"/>
      <c r="AG20" s="104"/>
      <c r="AH20" s="119"/>
      <c r="AI20" s="124"/>
      <c r="AJ20" s="161"/>
      <c r="AK20" s="241"/>
      <c r="AL20" s="41"/>
      <c r="AM20" s="67"/>
      <c r="AN20" s="104"/>
      <c r="AO20" s="45"/>
      <c r="AP20" s="41"/>
      <c r="AQ20" s="67"/>
      <c r="AR20" s="104"/>
      <c r="AS20" s="119"/>
      <c r="AT20" s="45"/>
      <c r="AU20" s="41"/>
      <c r="AV20" s="67"/>
      <c r="AW20" s="104"/>
      <c r="AX20" s="119"/>
      <c r="AY20" s="124"/>
      <c r="AZ20" s="152"/>
      <c r="BA20" s="41">
        <v>-8.75</v>
      </c>
      <c r="BB20" s="67"/>
      <c r="BC20" s="104"/>
      <c r="BD20" s="119"/>
      <c r="BE20" s="124"/>
      <c r="BF20" s="152"/>
      <c r="BG20" s="41"/>
      <c r="BH20" s="67"/>
      <c r="BI20" s="104"/>
      <c r="BJ20" s="119"/>
      <c r="BK20" s="124"/>
      <c r="BL20" s="152"/>
      <c r="BM20" s="87"/>
      <c r="BN20" s="67"/>
      <c r="BO20" s="104"/>
      <c r="BP20" s="119"/>
      <c r="BQ20" s="124"/>
      <c r="BR20" s="152"/>
      <c r="BS20" s="41"/>
      <c r="BT20" s="67"/>
      <c r="BU20" s="104"/>
      <c r="BV20" s="119"/>
      <c r="BW20" s="124"/>
      <c r="BX20" s="152"/>
      <c r="BY20" s="41"/>
      <c r="BZ20" s="67"/>
      <c r="CA20" s="104"/>
      <c r="CB20" s="119"/>
      <c r="CC20" s="124"/>
      <c r="CD20" s="152"/>
      <c r="CE20" s="41"/>
      <c r="CF20" s="67"/>
      <c r="CG20" s="104"/>
      <c r="CH20" s="119"/>
      <c r="CI20" s="124"/>
      <c r="CJ20" s="152"/>
      <c r="CK20" s="41"/>
      <c r="CL20" s="67"/>
      <c r="CM20" s="104"/>
      <c r="CN20" s="119"/>
      <c r="CO20" s="124"/>
      <c r="CP20" s="152"/>
      <c r="CQ20" s="41"/>
      <c r="CR20" s="67"/>
      <c r="CS20" s="72"/>
      <c r="CT20" s="119"/>
      <c r="CU20" s="124"/>
      <c r="CV20" s="113"/>
      <c r="CW20" s="41"/>
      <c r="CX20" s="67"/>
      <c r="CY20" s="104"/>
      <c r="CZ20" s="119"/>
      <c r="DA20" s="124"/>
      <c r="DB20" s="113"/>
      <c r="DC20" s="41"/>
      <c r="DD20" s="67"/>
      <c r="DE20" s="72"/>
      <c r="DF20" s="119"/>
      <c r="DG20" s="124"/>
      <c r="DH20" s="113"/>
      <c r="DI20" s="41"/>
      <c r="DJ20" s="67"/>
      <c r="DK20" s="104"/>
      <c r="DL20" s="119"/>
      <c r="DM20" s="45"/>
      <c r="DN20" s="41"/>
      <c r="DO20" s="372"/>
      <c r="DP20" s="72"/>
      <c r="DQ20" s="119"/>
      <c r="DR20" s="45"/>
      <c r="DS20" s="41"/>
      <c r="DT20" s="67"/>
      <c r="DU20" s="104"/>
      <c r="DV20" s="119"/>
      <c r="DW20" s="124"/>
      <c r="DX20" s="113"/>
      <c r="DY20" s="41"/>
      <c r="DZ20" s="67"/>
      <c r="EA20" s="72"/>
      <c r="EB20" s="119"/>
      <c r="EC20" s="124"/>
      <c r="ED20" s="113"/>
      <c r="EE20" s="41"/>
      <c r="EF20" s="67"/>
      <c r="EG20" s="72"/>
      <c r="EH20" s="192"/>
      <c r="EI20" s="148"/>
      <c r="EJ20" s="41"/>
      <c r="EK20" s="67"/>
      <c r="EL20" s="104"/>
      <c r="EM20" s="148"/>
      <c r="EN20" s="41"/>
      <c r="EO20" s="67"/>
      <c r="EP20" s="72"/>
      <c r="EQ20" s="45"/>
      <c r="ER20" s="41"/>
      <c r="ES20" s="67"/>
      <c r="ET20" s="104"/>
      <c r="EU20" s="124"/>
      <c r="EV20" s="169"/>
      <c r="EW20" s="87"/>
      <c r="EX20" s="248"/>
      <c r="EY20" s="87"/>
      <c r="EZ20" s="91"/>
      <c r="FA20" s="41"/>
      <c r="FB20" s="67"/>
      <c r="FC20" s="104"/>
      <c r="FD20" s="124"/>
      <c r="FE20" s="169"/>
      <c r="FF20" s="87"/>
      <c r="FG20" s="72"/>
      <c r="FH20" s="45"/>
      <c r="FI20" s="41"/>
      <c r="FJ20" s="67"/>
      <c r="FK20" s="104"/>
      <c r="FL20" s="45"/>
      <c r="FM20" s="41"/>
      <c r="FN20" s="148"/>
      <c r="FO20" s="208"/>
      <c r="FP20" s="208"/>
      <c r="FQ20" s="41"/>
      <c r="FR20" s="67"/>
      <c r="FS20" s="104"/>
      <c r="FT20" s="113"/>
      <c r="FU20" s="87"/>
      <c r="FV20" s="104"/>
      <c r="FW20" s="148"/>
      <c r="FX20" s="33"/>
      <c r="FY20" s="124"/>
      <c r="FZ20" s="113"/>
      <c r="GA20" s="87"/>
      <c r="GB20" s="104"/>
      <c r="GC20" s="155"/>
      <c r="GD20" s="113"/>
      <c r="GE20" s="87"/>
      <c r="GF20" s="148"/>
      <c r="GG20" s="208"/>
      <c r="GH20" s="104"/>
      <c r="GI20" s="248"/>
      <c r="GJ20" s="200"/>
      <c r="GK20" s="77"/>
      <c r="GL20" s="41"/>
      <c r="GM20" s="91"/>
      <c r="GN20" s="108"/>
      <c r="GO20" s="108"/>
      <c r="GP20" s="41"/>
      <c r="GQ20" s="91"/>
      <c r="GR20" s="49"/>
      <c r="GS20" s="108"/>
      <c r="GT20" s="108"/>
      <c r="GU20" s="108"/>
      <c r="GV20" s="41"/>
      <c r="GW20" s="91"/>
      <c r="GX20" s="104"/>
      <c r="GY20" s="41"/>
      <c r="GZ20" s="104"/>
      <c r="HA20" s="113"/>
      <c r="HB20" s="274"/>
      <c r="HC20" s="41"/>
      <c r="HD20" s="91"/>
      <c r="HE20" s="41"/>
      <c r="HF20" s="91"/>
      <c r="HG20" s="41"/>
      <c r="HH20" s="104"/>
      <c r="HI20" s="152"/>
      <c r="HJ20" s="77"/>
      <c r="HK20" s="49"/>
      <c r="HL20" s="41"/>
      <c r="HM20" s="104"/>
      <c r="HN20" s="113"/>
      <c r="HO20" s="41"/>
      <c r="HP20" s="91"/>
      <c r="HQ20" s="41"/>
      <c r="HR20" s="91"/>
      <c r="HS20" s="37"/>
      <c r="HT20" s="82"/>
      <c r="HU20" s="41"/>
      <c r="HV20" s="91"/>
      <c r="HW20" s="41"/>
      <c r="HX20" s="91"/>
      <c r="HY20" s="37"/>
      <c r="HZ20" s="41"/>
      <c r="IA20" s="77"/>
      <c r="IB20" s="41"/>
      <c r="IC20" s="91"/>
      <c r="ID20" s="41"/>
      <c r="IE20" s="77"/>
      <c r="IF20" s="49"/>
      <c r="IG20" s="37"/>
      <c r="IH20" s="33"/>
      <c r="II20" s="281"/>
      <c r="IJ20" s="260"/>
      <c r="IK20" s="261"/>
    </row>
    <row r="21" spans="1:245" x14ac:dyDescent="0.25">
      <c r="A21" s="129">
        <v>44323</v>
      </c>
      <c r="B21" s="18" t="s">
        <v>31</v>
      </c>
      <c r="C21" s="21">
        <f t="shared" si="4"/>
        <v>18.5</v>
      </c>
      <c r="D21" s="384"/>
      <c r="E21" s="384"/>
      <c r="F21" s="143"/>
      <c r="G21" s="143"/>
      <c r="H21" s="82"/>
      <c r="I21" s="82"/>
      <c r="J21" s="108"/>
      <c r="K21" s="41"/>
      <c r="L21" s="67"/>
      <c r="M21" s="91"/>
      <c r="N21" s="41"/>
      <c r="O21" s="372"/>
      <c r="P21" s="104"/>
      <c r="Q21" s="161"/>
      <c r="R21" s="113"/>
      <c r="S21" s="72"/>
      <c r="T21" s="41"/>
      <c r="U21" s="67"/>
      <c r="V21" s="72"/>
      <c r="W21" s="161"/>
      <c r="X21" s="41"/>
      <c r="Y21" s="67"/>
      <c r="Z21" s="77"/>
      <c r="AA21" s="41"/>
      <c r="AB21" s="67"/>
      <c r="AC21" s="104"/>
      <c r="AD21" s="113"/>
      <c r="AE21" s="41"/>
      <c r="AF21" s="67"/>
      <c r="AG21" s="104"/>
      <c r="AH21" s="119"/>
      <c r="AI21" s="124"/>
      <c r="AJ21" s="161"/>
      <c r="AK21" s="241"/>
      <c r="AL21" s="41"/>
      <c r="AM21" s="67"/>
      <c r="AN21" s="104"/>
      <c r="AO21" s="45"/>
      <c r="AP21" s="41"/>
      <c r="AQ21" s="67"/>
      <c r="AR21" s="104"/>
      <c r="AS21" s="119"/>
      <c r="AT21" s="45"/>
      <c r="AU21" s="41"/>
      <c r="AV21" s="67"/>
      <c r="AW21" s="104"/>
      <c r="AX21" s="119"/>
      <c r="AY21" s="124"/>
      <c r="AZ21" s="152"/>
      <c r="BA21" s="41"/>
      <c r="BB21" s="67"/>
      <c r="BC21" s="104"/>
      <c r="BD21" s="119"/>
      <c r="BE21" s="124"/>
      <c r="BF21" s="152"/>
      <c r="BG21" s="41"/>
      <c r="BH21" s="67"/>
      <c r="BI21" s="104"/>
      <c r="BJ21" s="119"/>
      <c r="BK21" s="124"/>
      <c r="BL21" s="152"/>
      <c r="BM21" s="87"/>
      <c r="BN21" s="67"/>
      <c r="BO21" s="104"/>
      <c r="BP21" s="119"/>
      <c r="BQ21" s="124"/>
      <c r="BR21" s="152"/>
      <c r="BS21" s="41"/>
      <c r="BT21" s="67"/>
      <c r="BU21" s="104"/>
      <c r="BV21" s="119"/>
      <c r="BW21" s="124"/>
      <c r="BX21" s="152"/>
      <c r="BY21" s="41"/>
      <c r="BZ21" s="67"/>
      <c r="CA21" s="104"/>
      <c r="CB21" s="119"/>
      <c r="CC21" s="124"/>
      <c r="CD21" s="152"/>
      <c r="CE21" s="41"/>
      <c r="CF21" s="67"/>
      <c r="CG21" s="104"/>
      <c r="CH21" s="119"/>
      <c r="CI21" s="124"/>
      <c r="CJ21" s="152"/>
      <c r="CK21" s="41"/>
      <c r="CL21" s="67"/>
      <c r="CM21" s="104"/>
      <c r="CN21" s="119"/>
      <c r="CO21" s="124"/>
      <c r="CP21" s="152"/>
      <c r="CQ21" s="41"/>
      <c r="CR21" s="67"/>
      <c r="CS21" s="72"/>
      <c r="CT21" s="119"/>
      <c r="CU21" s="124"/>
      <c r="CV21" s="113"/>
      <c r="CW21" s="41"/>
      <c r="CX21" s="67"/>
      <c r="CY21" s="104"/>
      <c r="CZ21" s="119"/>
      <c r="DA21" s="124"/>
      <c r="DB21" s="113"/>
      <c r="DC21" s="41"/>
      <c r="DD21" s="67"/>
      <c r="DE21" s="72"/>
      <c r="DF21" s="119"/>
      <c r="DG21" s="124"/>
      <c r="DH21" s="113"/>
      <c r="DI21" s="41"/>
      <c r="DJ21" s="67"/>
      <c r="DK21" s="104"/>
      <c r="DL21" s="119"/>
      <c r="DM21" s="45"/>
      <c r="DN21" s="41"/>
      <c r="DO21" s="372"/>
      <c r="DP21" s="72"/>
      <c r="DQ21" s="119"/>
      <c r="DR21" s="45"/>
      <c r="DS21" s="41"/>
      <c r="DT21" s="67"/>
      <c r="DU21" s="104"/>
      <c r="DV21" s="119"/>
      <c r="DW21" s="124"/>
      <c r="DX21" s="113"/>
      <c r="DY21" s="41"/>
      <c r="DZ21" s="67"/>
      <c r="EA21" s="72"/>
      <c r="EB21" s="119"/>
      <c r="EC21" s="124"/>
      <c r="ED21" s="113"/>
      <c r="EE21" s="41"/>
      <c r="EF21" s="67"/>
      <c r="EG21" s="72"/>
      <c r="EH21" s="192"/>
      <c r="EI21" s="148"/>
      <c r="EJ21" s="41"/>
      <c r="EK21" s="67"/>
      <c r="EL21" s="104"/>
      <c r="EM21" s="148"/>
      <c r="EN21" s="41"/>
      <c r="EO21" s="67"/>
      <c r="EP21" s="72"/>
      <c r="EQ21" s="45"/>
      <c r="ER21" s="41"/>
      <c r="ES21" s="67"/>
      <c r="ET21" s="104"/>
      <c r="EU21" s="124"/>
      <c r="EV21" s="169"/>
      <c r="EW21" s="87"/>
      <c r="EX21" s="248"/>
      <c r="EY21" s="87"/>
      <c r="EZ21" s="91"/>
      <c r="FA21" s="41"/>
      <c r="FB21" s="67"/>
      <c r="FC21" s="104"/>
      <c r="FD21" s="124"/>
      <c r="FE21" s="169"/>
      <c r="FF21" s="87"/>
      <c r="FG21" s="72"/>
      <c r="FH21" s="45"/>
      <c r="FI21" s="41"/>
      <c r="FJ21" s="67"/>
      <c r="FK21" s="104"/>
      <c r="FL21" s="45"/>
      <c r="FM21" s="41"/>
      <c r="FN21" s="148"/>
      <c r="FO21" s="208"/>
      <c r="FP21" s="208"/>
      <c r="FQ21" s="41"/>
      <c r="FR21" s="67"/>
      <c r="FS21" s="104"/>
      <c r="FT21" s="113"/>
      <c r="FU21" s="87"/>
      <c r="FV21" s="104"/>
      <c r="FW21" s="148"/>
      <c r="FX21" s="33"/>
      <c r="FY21" s="124"/>
      <c r="FZ21" s="113"/>
      <c r="GA21" s="87"/>
      <c r="GB21" s="104"/>
      <c r="GC21" s="155"/>
      <c r="GD21" s="113"/>
      <c r="GE21" s="87"/>
      <c r="GF21" s="148"/>
      <c r="GG21" s="208"/>
      <c r="GH21" s="104"/>
      <c r="GI21" s="248"/>
      <c r="GJ21" s="200"/>
      <c r="GK21" s="77"/>
      <c r="GL21" s="41"/>
      <c r="GM21" s="91"/>
      <c r="GN21" s="108"/>
      <c r="GO21" s="108"/>
      <c r="GP21" s="41"/>
      <c r="GQ21" s="91"/>
      <c r="GR21" s="49"/>
      <c r="GS21" s="108"/>
      <c r="GT21" s="108"/>
      <c r="GU21" s="108"/>
      <c r="GV21" s="41"/>
      <c r="GW21" s="91"/>
      <c r="GX21" s="104"/>
      <c r="GY21" s="41">
        <v>18.5</v>
      </c>
      <c r="GZ21" s="104"/>
      <c r="HA21" s="113"/>
      <c r="HB21" s="274"/>
      <c r="HC21" s="41"/>
      <c r="HD21" s="91"/>
      <c r="HE21" s="41"/>
      <c r="HF21" s="91"/>
      <c r="HG21" s="41"/>
      <c r="HH21" s="104"/>
      <c r="HI21" s="152"/>
      <c r="HJ21" s="77"/>
      <c r="HK21" s="49"/>
      <c r="HL21" s="41"/>
      <c r="HM21" s="104"/>
      <c r="HN21" s="113"/>
      <c r="HO21" s="41"/>
      <c r="HP21" s="91"/>
      <c r="HQ21" s="41"/>
      <c r="HR21" s="91"/>
      <c r="HS21" s="37"/>
      <c r="HT21" s="82"/>
      <c r="HU21" s="41"/>
      <c r="HV21" s="91"/>
      <c r="HW21" s="41"/>
      <c r="HX21" s="91"/>
      <c r="HY21" s="37"/>
      <c r="HZ21" s="41"/>
      <c r="IA21" s="77"/>
      <c r="IB21" s="41"/>
      <c r="IC21" s="91"/>
      <c r="ID21" s="41"/>
      <c r="IE21" s="77"/>
      <c r="IF21" s="49"/>
      <c r="IG21" s="37"/>
      <c r="IH21" s="33"/>
      <c r="II21" s="281"/>
      <c r="IJ21" s="260"/>
      <c r="IK21" s="261"/>
    </row>
    <row r="22" spans="1:245" x14ac:dyDescent="0.25">
      <c r="A22" s="129">
        <v>44323</v>
      </c>
      <c r="B22" s="18" t="s">
        <v>15</v>
      </c>
      <c r="C22" s="21">
        <f t="shared" si="4"/>
        <v>-133.63999999999999</v>
      </c>
      <c r="D22" s="384"/>
      <c r="E22" s="384"/>
      <c r="F22" s="143"/>
      <c r="G22" s="143"/>
      <c r="H22" s="82"/>
      <c r="I22" s="82"/>
      <c r="J22" s="108"/>
      <c r="K22" s="41"/>
      <c r="L22" s="67"/>
      <c r="M22" s="91"/>
      <c r="N22" s="41"/>
      <c r="O22" s="372"/>
      <c r="P22" s="104"/>
      <c r="Q22" s="161"/>
      <c r="R22" s="113"/>
      <c r="S22" s="72"/>
      <c r="T22" s="41"/>
      <c r="U22" s="67"/>
      <c r="V22" s="72"/>
      <c r="W22" s="161"/>
      <c r="X22" s="41"/>
      <c r="Y22" s="67"/>
      <c r="Z22" s="77"/>
      <c r="AA22" s="41"/>
      <c r="AB22" s="67"/>
      <c r="AC22" s="104"/>
      <c r="AD22" s="113"/>
      <c r="AE22" s="41"/>
      <c r="AF22" s="67"/>
      <c r="AG22" s="104"/>
      <c r="AH22" s="119"/>
      <c r="AI22" s="124"/>
      <c r="AJ22" s="161"/>
      <c r="AK22" s="241"/>
      <c r="AL22" s="41"/>
      <c r="AM22" s="67"/>
      <c r="AN22" s="104"/>
      <c r="AO22" s="45"/>
      <c r="AP22" s="41"/>
      <c r="AQ22" s="67"/>
      <c r="AR22" s="104"/>
      <c r="AS22" s="119"/>
      <c r="AT22" s="45"/>
      <c r="AU22" s="41"/>
      <c r="AV22" s="67"/>
      <c r="AW22" s="104"/>
      <c r="AX22" s="119"/>
      <c r="AY22" s="124"/>
      <c r="AZ22" s="152"/>
      <c r="BA22" s="41"/>
      <c r="BB22" s="67"/>
      <c r="BC22" s="104"/>
      <c r="BD22" s="119"/>
      <c r="BE22" s="124"/>
      <c r="BF22" s="152"/>
      <c r="BG22" s="41"/>
      <c r="BH22" s="67"/>
      <c r="BI22" s="104"/>
      <c r="BJ22" s="119"/>
      <c r="BK22" s="124"/>
      <c r="BL22" s="152"/>
      <c r="BM22" s="87"/>
      <c r="BN22" s="67"/>
      <c r="BO22" s="104"/>
      <c r="BP22" s="119"/>
      <c r="BQ22" s="124"/>
      <c r="BR22" s="152"/>
      <c r="BS22" s="41"/>
      <c r="BT22" s="67"/>
      <c r="BU22" s="104"/>
      <c r="BV22" s="119"/>
      <c r="BW22" s="124"/>
      <c r="BX22" s="152"/>
      <c r="BY22" s="41"/>
      <c r="BZ22" s="67">
        <v>-63.67</v>
      </c>
      <c r="CA22" s="104"/>
      <c r="CB22" s="119"/>
      <c r="CC22" s="124"/>
      <c r="CD22" s="152"/>
      <c r="CE22" s="41"/>
      <c r="CF22" s="67"/>
      <c r="CG22" s="104"/>
      <c r="CH22" s="119"/>
      <c r="CI22" s="124"/>
      <c r="CJ22" s="152"/>
      <c r="CK22" s="41"/>
      <c r="CL22" s="67"/>
      <c r="CM22" s="104"/>
      <c r="CN22" s="119"/>
      <c r="CO22" s="124"/>
      <c r="CP22" s="152"/>
      <c r="CQ22" s="41"/>
      <c r="CR22" s="67"/>
      <c r="CS22" s="72"/>
      <c r="CT22" s="119"/>
      <c r="CU22" s="124"/>
      <c r="CV22" s="113"/>
      <c r="CW22" s="41"/>
      <c r="CX22" s="67"/>
      <c r="CY22" s="104"/>
      <c r="CZ22" s="119"/>
      <c r="DA22" s="124"/>
      <c r="DB22" s="113"/>
      <c r="DC22" s="41">
        <v>-69.97</v>
      </c>
      <c r="DD22" s="67"/>
      <c r="DE22" s="72"/>
      <c r="DF22" s="119"/>
      <c r="DG22" s="124"/>
      <c r="DH22" s="113"/>
      <c r="DI22" s="41"/>
      <c r="DJ22" s="67"/>
      <c r="DK22" s="104"/>
      <c r="DL22" s="119"/>
      <c r="DM22" s="45"/>
      <c r="DN22" s="41"/>
      <c r="DO22" s="372"/>
      <c r="DP22" s="72"/>
      <c r="DQ22" s="119"/>
      <c r="DR22" s="45"/>
      <c r="DS22" s="41"/>
      <c r="DT22" s="67"/>
      <c r="DU22" s="104"/>
      <c r="DV22" s="119"/>
      <c r="DW22" s="124"/>
      <c r="DX22" s="113"/>
      <c r="DY22" s="41"/>
      <c r="DZ22" s="67"/>
      <c r="EA22" s="72"/>
      <c r="EB22" s="119"/>
      <c r="EC22" s="124"/>
      <c r="ED22" s="113"/>
      <c r="EE22" s="41"/>
      <c r="EF22" s="67"/>
      <c r="EG22" s="72"/>
      <c r="EH22" s="192"/>
      <c r="EI22" s="148"/>
      <c r="EJ22" s="41"/>
      <c r="EK22" s="67"/>
      <c r="EL22" s="104"/>
      <c r="EM22" s="148"/>
      <c r="EN22" s="41"/>
      <c r="EO22" s="67"/>
      <c r="EP22" s="72"/>
      <c r="EQ22" s="45"/>
      <c r="ER22" s="41"/>
      <c r="ES22" s="67"/>
      <c r="ET22" s="104"/>
      <c r="EU22" s="124"/>
      <c r="EV22" s="169"/>
      <c r="EW22" s="87"/>
      <c r="EX22" s="248"/>
      <c r="EY22" s="87"/>
      <c r="EZ22" s="91"/>
      <c r="FA22" s="41"/>
      <c r="FB22" s="67"/>
      <c r="FC22" s="104"/>
      <c r="FD22" s="124"/>
      <c r="FE22" s="169"/>
      <c r="FF22" s="87"/>
      <c r="FG22" s="72"/>
      <c r="FH22" s="45"/>
      <c r="FI22" s="41"/>
      <c r="FJ22" s="67"/>
      <c r="FK22" s="104"/>
      <c r="FL22" s="45"/>
      <c r="FM22" s="41"/>
      <c r="FN22" s="148"/>
      <c r="FO22" s="208"/>
      <c r="FP22" s="208"/>
      <c r="FQ22" s="41"/>
      <c r="FR22" s="67"/>
      <c r="FS22" s="104"/>
      <c r="FT22" s="113"/>
      <c r="FU22" s="87"/>
      <c r="FV22" s="104"/>
      <c r="FW22" s="148"/>
      <c r="FX22" s="33"/>
      <c r="FY22" s="124"/>
      <c r="FZ22" s="113"/>
      <c r="GA22" s="87"/>
      <c r="GB22" s="104"/>
      <c r="GC22" s="155"/>
      <c r="GD22" s="113"/>
      <c r="GE22" s="87"/>
      <c r="GF22" s="148"/>
      <c r="GG22" s="208"/>
      <c r="GH22" s="104"/>
      <c r="GI22" s="248"/>
      <c r="GJ22" s="200"/>
      <c r="GK22" s="77"/>
      <c r="GL22" s="41"/>
      <c r="GM22" s="91"/>
      <c r="GN22" s="108"/>
      <c r="GO22" s="108"/>
      <c r="GP22" s="41"/>
      <c r="GQ22" s="91"/>
      <c r="GR22" s="49"/>
      <c r="GS22" s="108"/>
      <c r="GT22" s="108"/>
      <c r="GU22" s="108"/>
      <c r="GV22" s="41"/>
      <c r="GW22" s="91"/>
      <c r="GX22" s="104"/>
      <c r="GY22" s="41"/>
      <c r="GZ22" s="104"/>
      <c r="HA22" s="113"/>
      <c r="HB22" s="274"/>
      <c r="HC22" s="41"/>
      <c r="HD22" s="91"/>
      <c r="HE22" s="41"/>
      <c r="HF22" s="91"/>
      <c r="HG22" s="41"/>
      <c r="HH22" s="104"/>
      <c r="HI22" s="152"/>
      <c r="HJ22" s="77"/>
      <c r="HK22" s="49"/>
      <c r="HL22" s="41"/>
      <c r="HM22" s="104"/>
      <c r="HN22" s="113"/>
      <c r="HO22" s="41"/>
      <c r="HP22" s="91"/>
      <c r="HQ22" s="41"/>
      <c r="HR22" s="91"/>
      <c r="HS22" s="37"/>
      <c r="HT22" s="82"/>
      <c r="HU22" s="41"/>
      <c r="HV22" s="91"/>
      <c r="HW22" s="41"/>
      <c r="HX22" s="91"/>
      <c r="HY22" s="37"/>
      <c r="HZ22" s="41"/>
      <c r="IA22" s="77"/>
      <c r="IB22" s="41"/>
      <c r="IC22" s="91"/>
      <c r="ID22" s="41"/>
      <c r="IE22" s="77"/>
      <c r="IF22" s="49"/>
      <c r="IG22" s="37"/>
      <c r="IH22" s="33"/>
      <c r="II22" s="281"/>
      <c r="IJ22" s="260"/>
      <c r="IK22" s="261"/>
    </row>
    <row r="23" spans="1:245" x14ac:dyDescent="0.25">
      <c r="A23" s="129">
        <v>44323</v>
      </c>
      <c r="B23" s="18" t="s">
        <v>25</v>
      </c>
      <c r="C23" s="21">
        <f t="shared" si="4"/>
        <v>-51.3</v>
      </c>
      <c r="D23" s="384"/>
      <c r="E23" s="384"/>
      <c r="F23" s="143"/>
      <c r="G23" s="143"/>
      <c r="H23" s="82"/>
      <c r="I23" s="82"/>
      <c r="J23" s="108"/>
      <c r="K23" s="41"/>
      <c r="L23" s="67"/>
      <c r="M23" s="91"/>
      <c r="N23" s="41"/>
      <c r="O23" s="372"/>
      <c r="P23" s="104"/>
      <c r="Q23" s="161"/>
      <c r="R23" s="113"/>
      <c r="S23" s="72"/>
      <c r="T23" s="41"/>
      <c r="U23" s="67"/>
      <c r="V23" s="72"/>
      <c r="W23" s="161"/>
      <c r="X23" s="41"/>
      <c r="Y23" s="67"/>
      <c r="Z23" s="77"/>
      <c r="AA23" s="41"/>
      <c r="AB23" s="67"/>
      <c r="AC23" s="104"/>
      <c r="AD23" s="113"/>
      <c r="AE23" s="41"/>
      <c r="AF23" s="67"/>
      <c r="AG23" s="104"/>
      <c r="AH23" s="119"/>
      <c r="AI23" s="124"/>
      <c r="AJ23" s="161"/>
      <c r="AK23" s="241"/>
      <c r="AL23" s="41"/>
      <c r="AM23" s="67"/>
      <c r="AN23" s="104"/>
      <c r="AO23" s="45"/>
      <c r="AP23" s="41"/>
      <c r="AQ23" s="67"/>
      <c r="AR23" s="104"/>
      <c r="AS23" s="119"/>
      <c r="AT23" s="45"/>
      <c r="AU23" s="41"/>
      <c r="AV23" s="67"/>
      <c r="AW23" s="104"/>
      <c r="AX23" s="119"/>
      <c r="AY23" s="124"/>
      <c r="AZ23" s="152"/>
      <c r="BA23" s="41"/>
      <c r="BB23" s="67"/>
      <c r="BC23" s="104"/>
      <c r="BD23" s="119"/>
      <c r="BE23" s="124"/>
      <c r="BF23" s="152"/>
      <c r="BG23" s="41"/>
      <c r="BH23" s="67">
        <v>-8.5850000000000009</v>
      </c>
      <c r="BI23" s="104"/>
      <c r="BJ23" s="119"/>
      <c r="BK23" s="124"/>
      <c r="BL23" s="152"/>
      <c r="BM23" s="87">
        <v>-8.7799999999999994</v>
      </c>
      <c r="BN23" s="67"/>
      <c r="BO23" s="104"/>
      <c r="BP23" s="119"/>
      <c r="BQ23" s="124"/>
      <c r="BR23" s="152"/>
      <c r="BS23" s="41"/>
      <c r="BT23" s="67">
        <v>-16.594999999999999</v>
      </c>
      <c r="BU23" s="104"/>
      <c r="BV23" s="119"/>
      <c r="BW23" s="124"/>
      <c r="BX23" s="152"/>
      <c r="BY23" s="41">
        <v>-8.59</v>
      </c>
      <c r="BZ23" s="67"/>
      <c r="CA23" s="104"/>
      <c r="CB23" s="119"/>
      <c r="CC23" s="124"/>
      <c r="CD23" s="152"/>
      <c r="CE23" s="41">
        <v>-8.75</v>
      </c>
      <c r="CF23" s="67"/>
      <c r="CG23" s="104"/>
      <c r="CH23" s="119"/>
      <c r="CI23" s="124"/>
      <c r="CJ23" s="152"/>
      <c r="CK23" s="41"/>
      <c r="CL23" s="67"/>
      <c r="CM23" s="104"/>
      <c r="CN23" s="119"/>
      <c r="CO23" s="124"/>
      <c r="CP23" s="152"/>
      <c r="CQ23" s="41"/>
      <c r="CR23" s="67"/>
      <c r="CS23" s="72"/>
      <c r="CT23" s="119"/>
      <c r="CU23" s="124"/>
      <c r="CV23" s="113"/>
      <c r="CW23" s="41"/>
      <c r="CX23" s="67"/>
      <c r="CY23" s="104"/>
      <c r="CZ23" s="119"/>
      <c r="DA23" s="124"/>
      <c r="DB23" s="113"/>
      <c r="DC23" s="41"/>
      <c r="DD23" s="67"/>
      <c r="DE23" s="72"/>
      <c r="DF23" s="119"/>
      <c r="DG23" s="124"/>
      <c r="DH23" s="113"/>
      <c r="DI23" s="41"/>
      <c r="DJ23" s="67"/>
      <c r="DK23" s="104"/>
      <c r="DL23" s="119"/>
      <c r="DM23" s="45"/>
      <c r="DN23" s="41"/>
      <c r="DO23" s="372"/>
      <c r="DP23" s="72"/>
      <c r="DQ23" s="119"/>
      <c r="DR23" s="45"/>
      <c r="DS23" s="41"/>
      <c r="DT23" s="67"/>
      <c r="DU23" s="104"/>
      <c r="DV23" s="119"/>
      <c r="DW23" s="124"/>
      <c r="DX23" s="113"/>
      <c r="DY23" s="41"/>
      <c r="DZ23" s="67"/>
      <c r="EA23" s="72"/>
      <c r="EB23" s="119"/>
      <c r="EC23" s="124"/>
      <c r="ED23" s="113"/>
      <c r="EE23" s="41"/>
      <c r="EF23" s="67"/>
      <c r="EG23" s="72"/>
      <c r="EH23" s="192"/>
      <c r="EI23" s="148"/>
      <c r="EJ23" s="41"/>
      <c r="EK23" s="67"/>
      <c r="EL23" s="104"/>
      <c r="EM23" s="148"/>
      <c r="EN23" s="41"/>
      <c r="EO23" s="67"/>
      <c r="EP23" s="72"/>
      <c r="EQ23" s="45"/>
      <c r="ER23" s="41"/>
      <c r="ES23" s="67"/>
      <c r="ET23" s="104"/>
      <c r="EU23" s="124"/>
      <c r="EV23" s="169"/>
      <c r="EW23" s="87"/>
      <c r="EX23" s="248"/>
      <c r="EY23" s="87"/>
      <c r="EZ23" s="91"/>
      <c r="FA23" s="41"/>
      <c r="FB23" s="67"/>
      <c r="FC23" s="104"/>
      <c r="FD23" s="124"/>
      <c r="FE23" s="169"/>
      <c r="FF23" s="87"/>
      <c r="FG23" s="72"/>
      <c r="FH23" s="45"/>
      <c r="FI23" s="41"/>
      <c r="FJ23" s="67"/>
      <c r="FK23" s="104"/>
      <c r="FL23" s="45"/>
      <c r="FM23" s="41"/>
      <c r="FN23" s="148"/>
      <c r="FO23" s="208"/>
      <c r="FP23" s="208"/>
      <c r="FQ23" s="41"/>
      <c r="FR23" s="67"/>
      <c r="FS23" s="104"/>
      <c r="FT23" s="113"/>
      <c r="FU23" s="87"/>
      <c r="FV23" s="104"/>
      <c r="FW23" s="148"/>
      <c r="FX23" s="33"/>
      <c r="FY23" s="124"/>
      <c r="FZ23" s="113"/>
      <c r="GA23" s="87"/>
      <c r="GB23" s="104"/>
      <c r="GC23" s="155"/>
      <c r="GD23" s="113"/>
      <c r="GE23" s="87"/>
      <c r="GF23" s="148"/>
      <c r="GG23" s="208"/>
      <c r="GH23" s="104"/>
      <c r="GI23" s="248"/>
      <c r="GJ23" s="200"/>
      <c r="GK23" s="77"/>
      <c r="GL23" s="41"/>
      <c r="GM23" s="91"/>
      <c r="GN23" s="108"/>
      <c r="GO23" s="108"/>
      <c r="GP23" s="41"/>
      <c r="GQ23" s="91"/>
      <c r="GR23" s="49"/>
      <c r="GS23" s="108"/>
      <c r="GT23" s="108"/>
      <c r="GU23" s="108"/>
      <c r="GV23" s="41"/>
      <c r="GW23" s="91"/>
      <c r="GX23" s="104"/>
      <c r="GY23" s="41"/>
      <c r="GZ23" s="104"/>
      <c r="HA23" s="113"/>
      <c r="HB23" s="274"/>
      <c r="HC23" s="41"/>
      <c r="HD23" s="91"/>
      <c r="HE23" s="41"/>
      <c r="HF23" s="91"/>
      <c r="HG23" s="41"/>
      <c r="HH23" s="104"/>
      <c r="HI23" s="152"/>
      <c r="HJ23" s="77"/>
      <c r="HK23" s="49"/>
      <c r="HL23" s="41"/>
      <c r="HM23" s="104"/>
      <c r="HN23" s="113"/>
      <c r="HO23" s="41"/>
      <c r="HP23" s="91"/>
      <c r="HQ23" s="41"/>
      <c r="HR23" s="91"/>
      <c r="HS23" s="37"/>
      <c r="HT23" s="82"/>
      <c r="HU23" s="41"/>
      <c r="HV23" s="91"/>
      <c r="HW23" s="41"/>
      <c r="HX23" s="91"/>
      <c r="HY23" s="37"/>
      <c r="HZ23" s="41"/>
      <c r="IA23" s="77"/>
      <c r="IB23" s="41"/>
      <c r="IC23" s="91"/>
      <c r="ID23" s="41"/>
      <c r="IE23" s="77"/>
      <c r="IF23" s="49"/>
      <c r="IG23" s="37"/>
      <c r="IH23" s="33"/>
      <c r="II23" s="281"/>
      <c r="IJ23" s="260"/>
      <c r="IK23" s="261"/>
    </row>
    <row r="24" spans="1:245" x14ac:dyDescent="0.25">
      <c r="A24" s="129">
        <v>44326</v>
      </c>
      <c r="B24" s="18" t="s">
        <v>21</v>
      </c>
      <c r="C24" s="21">
        <f t="shared" si="4"/>
        <v>-270.26</v>
      </c>
      <c r="D24" s="384"/>
      <c r="E24" s="384"/>
      <c r="F24" s="143"/>
      <c r="G24" s="143"/>
      <c r="H24" s="82"/>
      <c r="I24" s="82"/>
      <c r="J24" s="108"/>
      <c r="K24" s="41"/>
      <c r="L24" s="67"/>
      <c r="M24" s="91"/>
      <c r="N24" s="41"/>
      <c r="O24" s="372"/>
      <c r="P24" s="104"/>
      <c r="Q24" s="161"/>
      <c r="R24" s="113"/>
      <c r="S24" s="72"/>
      <c r="T24" s="41"/>
      <c r="U24" s="67"/>
      <c r="V24" s="72"/>
      <c r="W24" s="161"/>
      <c r="X24" s="41"/>
      <c r="Y24" s="67"/>
      <c r="Z24" s="77"/>
      <c r="AA24" s="41"/>
      <c r="AB24" s="67"/>
      <c r="AC24" s="104"/>
      <c r="AD24" s="113"/>
      <c r="AE24" s="41"/>
      <c r="AF24" s="67"/>
      <c r="AG24" s="104"/>
      <c r="AH24" s="119"/>
      <c r="AI24" s="124"/>
      <c r="AJ24" s="161"/>
      <c r="AK24" s="241"/>
      <c r="AL24" s="41"/>
      <c r="AM24" s="67"/>
      <c r="AN24" s="104"/>
      <c r="AO24" s="45"/>
      <c r="AP24" s="41"/>
      <c r="AQ24" s="67"/>
      <c r="AR24" s="104"/>
      <c r="AS24" s="119"/>
      <c r="AT24" s="45"/>
      <c r="AU24" s="41"/>
      <c r="AV24" s="67"/>
      <c r="AW24" s="104"/>
      <c r="AX24" s="119"/>
      <c r="AY24" s="124"/>
      <c r="AZ24" s="152"/>
      <c r="BA24" s="41"/>
      <c r="BB24" s="67"/>
      <c r="BC24" s="104"/>
      <c r="BD24" s="119"/>
      <c r="BE24" s="124"/>
      <c r="BF24" s="152"/>
      <c r="BG24" s="41"/>
      <c r="BH24" s="67"/>
      <c r="BI24" s="104"/>
      <c r="BJ24" s="119"/>
      <c r="BK24" s="124"/>
      <c r="BL24" s="152"/>
      <c r="BM24" s="87"/>
      <c r="BN24" s="67">
        <v>-66.86</v>
      </c>
      <c r="BO24" s="104"/>
      <c r="BP24" s="119"/>
      <c r="BQ24" s="124"/>
      <c r="BR24" s="152"/>
      <c r="BS24" s="41"/>
      <c r="BT24" s="67">
        <v>-66.784999999999997</v>
      </c>
      <c r="BU24" s="104"/>
      <c r="BV24" s="119"/>
      <c r="BW24" s="124"/>
      <c r="BX24" s="152"/>
      <c r="BY24" s="41">
        <v>-69.13</v>
      </c>
      <c r="BZ24" s="67"/>
      <c r="CA24" s="104"/>
      <c r="CB24" s="119"/>
      <c r="CC24" s="124"/>
      <c r="CD24" s="152"/>
      <c r="CE24" s="41"/>
      <c r="CF24" s="67">
        <v>-34.005000000000003</v>
      </c>
      <c r="CG24" s="104"/>
      <c r="CH24" s="119"/>
      <c r="CI24" s="124"/>
      <c r="CJ24" s="152"/>
      <c r="CK24" s="41"/>
      <c r="CL24" s="67">
        <v>-33.479999999999997</v>
      </c>
      <c r="CM24" s="104"/>
      <c r="CN24" s="119"/>
      <c r="CO24" s="124"/>
      <c r="CP24" s="152"/>
      <c r="CQ24" s="41"/>
      <c r="CR24" s="67"/>
      <c r="CS24" s="72"/>
      <c r="CT24" s="119"/>
      <c r="CU24" s="124"/>
      <c r="CV24" s="113"/>
      <c r="CW24" s="41"/>
      <c r="CX24" s="67"/>
      <c r="CY24" s="104"/>
      <c r="CZ24" s="119"/>
      <c r="DA24" s="124"/>
      <c r="DB24" s="113"/>
      <c r="DC24" s="41"/>
      <c r="DD24" s="67"/>
      <c r="DE24" s="72"/>
      <c r="DF24" s="119"/>
      <c r="DG24" s="124"/>
      <c r="DH24" s="113"/>
      <c r="DI24" s="41"/>
      <c r="DJ24" s="67"/>
      <c r="DK24" s="104"/>
      <c r="DL24" s="119"/>
      <c r="DM24" s="45"/>
      <c r="DN24" s="41"/>
      <c r="DO24" s="372"/>
      <c r="DP24" s="72"/>
      <c r="DQ24" s="119"/>
      <c r="DR24" s="45"/>
      <c r="DS24" s="41"/>
      <c r="DT24" s="67"/>
      <c r="DU24" s="104"/>
      <c r="DV24" s="119"/>
      <c r="DW24" s="124"/>
      <c r="DX24" s="113"/>
      <c r="DY24" s="41"/>
      <c r="DZ24" s="67"/>
      <c r="EA24" s="72"/>
      <c r="EB24" s="119"/>
      <c r="EC24" s="124"/>
      <c r="ED24" s="113"/>
      <c r="EE24" s="41"/>
      <c r="EF24" s="67"/>
      <c r="EG24" s="72"/>
      <c r="EH24" s="192"/>
      <c r="EI24" s="148"/>
      <c r="EJ24" s="41"/>
      <c r="EK24" s="67"/>
      <c r="EL24" s="104"/>
      <c r="EM24" s="148"/>
      <c r="EN24" s="41"/>
      <c r="EO24" s="67"/>
      <c r="EP24" s="72"/>
      <c r="EQ24" s="45"/>
      <c r="ER24" s="41"/>
      <c r="ES24" s="67"/>
      <c r="ET24" s="104"/>
      <c r="EU24" s="124"/>
      <c r="EV24" s="169"/>
      <c r="EW24" s="87"/>
      <c r="EX24" s="248"/>
      <c r="EY24" s="87"/>
      <c r="EZ24" s="91"/>
      <c r="FA24" s="41"/>
      <c r="FB24" s="67"/>
      <c r="FC24" s="104"/>
      <c r="FD24" s="124"/>
      <c r="FE24" s="169"/>
      <c r="FF24" s="87"/>
      <c r="FG24" s="72"/>
      <c r="FH24" s="45"/>
      <c r="FI24" s="41"/>
      <c r="FJ24" s="67"/>
      <c r="FK24" s="104"/>
      <c r="FL24" s="45"/>
      <c r="FM24" s="41"/>
      <c r="FN24" s="148"/>
      <c r="FO24" s="208"/>
      <c r="FP24" s="208"/>
      <c r="FQ24" s="41"/>
      <c r="FR24" s="67"/>
      <c r="FS24" s="104"/>
      <c r="FT24" s="113"/>
      <c r="FU24" s="87"/>
      <c r="FV24" s="104"/>
      <c r="FW24" s="148"/>
      <c r="FX24" s="33"/>
      <c r="FY24" s="124"/>
      <c r="FZ24" s="113"/>
      <c r="GA24" s="87"/>
      <c r="GB24" s="104"/>
      <c r="GC24" s="155"/>
      <c r="GD24" s="113"/>
      <c r="GE24" s="87"/>
      <c r="GF24" s="148"/>
      <c r="GG24" s="208"/>
      <c r="GH24" s="104"/>
      <c r="GI24" s="248"/>
      <c r="GJ24" s="200"/>
      <c r="GK24" s="77"/>
      <c r="GL24" s="41"/>
      <c r="GM24" s="91"/>
      <c r="GN24" s="108"/>
      <c r="GO24" s="108"/>
      <c r="GP24" s="41"/>
      <c r="GQ24" s="91"/>
      <c r="GR24" s="49"/>
      <c r="GS24" s="108"/>
      <c r="GT24" s="108"/>
      <c r="GU24" s="108"/>
      <c r="GV24" s="41"/>
      <c r="GW24" s="91"/>
      <c r="GX24" s="104"/>
      <c r="GY24" s="41"/>
      <c r="GZ24" s="104"/>
      <c r="HA24" s="113"/>
      <c r="HB24" s="274"/>
      <c r="HC24" s="41"/>
      <c r="HD24" s="91"/>
      <c r="HE24" s="41"/>
      <c r="HF24" s="91"/>
      <c r="HG24" s="41"/>
      <c r="HH24" s="104"/>
      <c r="HI24" s="152"/>
      <c r="HJ24" s="77"/>
      <c r="HK24" s="49"/>
      <c r="HL24" s="41"/>
      <c r="HM24" s="104"/>
      <c r="HN24" s="113"/>
      <c r="HO24" s="41"/>
      <c r="HP24" s="91"/>
      <c r="HQ24" s="41"/>
      <c r="HR24" s="91"/>
      <c r="HS24" s="37"/>
      <c r="HT24" s="82"/>
      <c r="HU24" s="41"/>
      <c r="HV24" s="91"/>
      <c r="HW24" s="41"/>
      <c r="HX24" s="91"/>
      <c r="HY24" s="37"/>
      <c r="HZ24" s="41"/>
      <c r="IA24" s="77"/>
      <c r="IB24" s="41"/>
      <c r="IC24" s="91"/>
      <c r="ID24" s="41"/>
      <c r="IE24" s="77"/>
      <c r="IF24" s="49"/>
      <c r="IG24" s="37"/>
      <c r="IH24" s="33"/>
      <c r="II24" s="281"/>
      <c r="IJ24" s="260"/>
      <c r="IK24" s="261"/>
    </row>
    <row r="25" spans="1:245" x14ac:dyDescent="0.25">
      <c r="A25" s="129">
        <v>44326</v>
      </c>
      <c r="B25" s="18" t="s">
        <v>22</v>
      </c>
      <c r="C25" s="21">
        <f t="shared" si="4"/>
        <v>-375.46499999999997</v>
      </c>
      <c r="D25" s="384"/>
      <c r="E25" s="384"/>
      <c r="F25" s="143"/>
      <c r="G25" s="143"/>
      <c r="H25" s="82"/>
      <c r="I25" s="82"/>
      <c r="J25" s="108"/>
      <c r="K25" s="41"/>
      <c r="L25" s="67"/>
      <c r="M25" s="91"/>
      <c r="N25" s="41"/>
      <c r="O25" s="372"/>
      <c r="P25" s="104"/>
      <c r="Q25" s="161"/>
      <c r="R25" s="113"/>
      <c r="S25" s="72"/>
      <c r="T25" s="41"/>
      <c r="U25" s="67"/>
      <c r="V25" s="72"/>
      <c r="W25" s="161"/>
      <c r="X25" s="41"/>
      <c r="Y25" s="67"/>
      <c r="Z25" s="77"/>
      <c r="AA25" s="41"/>
      <c r="AB25" s="67"/>
      <c r="AC25" s="104"/>
      <c r="AD25" s="113"/>
      <c r="AE25" s="41"/>
      <c r="AF25" s="67"/>
      <c r="AG25" s="104"/>
      <c r="AH25" s="119"/>
      <c r="AI25" s="124"/>
      <c r="AJ25" s="161"/>
      <c r="AK25" s="241"/>
      <c r="AL25" s="41"/>
      <c r="AM25" s="67"/>
      <c r="AN25" s="104"/>
      <c r="AO25" s="45"/>
      <c r="AP25" s="41">
        <v>-32.31</v>
      </c>
      <c r="AQ25" s="67"/>
      <c r="AR25" s="104"/>
      <c r="AS25" s="119"/>
      <c r="AT25" s="45"/>
      <c r="AU25" s="41"/>
      <c r="AV25" s="67"/>
      <c r="AW25" s="104"/>
      <c r="AX25" s="119"/>
      <c r="AY25" s="124"/>
      <c r="AZ25" s="152"/>
      <c r="BA25" s="41">
        <v>-34.82</v>
      </c>
      <c r="BB25" s="67"/>
      <c r="BC25" s="104"/>
      <c r="BD25" s="119"/>
      <c r="BE25" s="124"/>
      <c r="BF25" s="152"/>
      <c r="BG25" s="41"/>
      <c r="BH25" s="67">
        <v>-33.604999999999997</v>
      </c>
      <c r="BI25" s="104"/>
      <c r="BJ25" s="119"/>
      <c r="BK25" s="124"/>
      <c r="BL25" s="152"/>
      <c r="BM25" s="87"/>
      <c r="BN25" s="67">
        <v>-33.479999999999997</v>
      </c>
      <c r="BO25" s="104"/>
      <c r="BP25" s="119"/>
      <c r="BQ25" s="124"/>
      <c r="BR25" s="152"/>
      <c r="BS25" s="41">
        <v>-34.9</v>
      </c>
      <c r="BT25" s="67"/>
      <c r="BU25" s="104"/>
      <c r="BV25" s="119"/>
      <c r="BW25" s="124"/>
      <c r="BX25" s="152"/>
      <c r="BY25" s="41"/>
      <c r="BZ25" s="67">
        <v>-33.924999999999997</v>
      </c>
      <c r="CA25" s="104"/>
      <c r="CB25" s="119"/>
      <c r="CC25" s="124"/>
      <c r="CD25" s="152"/>
      <c r="CE25" s="41"/>
      <c r="CF25" s="67"/>
      <c r="CG25" s="104"/>
      <c r="CH25" s="119"/>
      <c r="CI25" s="124"/>
      <c r="CJ25" s="152"/>
      <c r="CK25" s="41"/>
      <c r="CL25" s="67">
        <v>-33.965000000000003</v>
      </c>
      <c r="CM25" s="104"/>
      <c r="CN25" s="119"/>
      <c r="CO25" s="124"/>
      <c r="CP25" s="152"/>
      <c r="CQ25" s="41"/>
      <c r="CR25" s="67"/>
      <c r="CS25" s="72"/>
      <c r="CT25" s="119"/>
      <c r="CU25" s="124"/>
      <c r="CV25" s="113"/>
      <c r="CW25" s="41">
        <v>-68.94</v>
      </c>
      <c r="CX25" s="67"/>
      <c r="CY25" s="104"/>
      <c r="CZ25" s="119"/>
      <c r="DA25" s="124"/>
      <c r="DB25" s="113"/>
      <c r="DC25" s="41">
        <v>-69.52</v>
      </c>
      <c r="DD25" s="67"/>
      <c r="DE25" s="72"/>
      <c r="DF25" s="119"/>
      <c r="DG25" s="124"/>
      <c r="DH25" s="113"/>
      <c r="DI25" s="41"/>
      <c r="DJ25" s="67"/>
      <c r="DK25" s="104"/>
      <c r="DL25" s="119"/>
      <c r="DM25" s="45"/>
      <c r="DN25" s="41"/>
      <c r="DO25" s="372"/>
      <c r="DP25" s="72"/>
      <c r="DQ25" s="119"/>
      <c r="DR25" s="45"/>
      <c r="DS25" s="41"/>
      <c r="DT25" s="67"/>
      <c r="DU25" s="104"/>
      <c r="DV25" s="119"/>
      <c r="DW25" s="124"/>
      <c r="DX25" s="113"/>
      <c r="DY25" s="41"/>
      <c r="DZ25" s="67"/>
      <c r="EA25" s="72"/>
      <c r="EB25" s="119"/>
      <c r="EC25" s="124"/>
      <c r="ED25" s="113"/>
      <c r="EE25" s="41"/>
      <c r="EF25" s="67"/>
      <c r="EG25" s="72"/>
      <c r="EH25" s="192"/>
      <c r="EI25" s="148"/>
      <c r="EJ25" s="41"/>
      <c r="EK25" s="67"/>
      <c r="EL25" s="104"/>
      <c r="EM25" s="148"/>
      <c r="EN25" s="41"/>
      <c r="EO25" s="67"/>
      <c r="EP25" s="72"/>
      <c r="EQ25" s="45"/>
      <c r="ER25" s="41"/>
      <c r="ES25" s="67"/>
      <c r="ET25" s="104"/>
      <c r="EU25" s="124"/>
      <c r="EV25" s="169"/>
      <c r="EW25" s="87"/>
      <c r="EX25" s="248"/>
      <c r="EY25" s="87"/>
      <c r="EZ25" s="91"/>
      <c r="FA25" s="41"/>
      <c r="FB25" s="67"/>
      <c r="FC25" s="104"/>
      <c r="FD25" s="124"/>
      <c r="FE25" s="169"/>
      <c r="FF25" s="87"/>
      <c r="FG25" s="72"/>
      <c r="FH25" s="45"/>
      <c r="FI25" s="41"/>
      <c r="FJ25" s="67"/>
      <c r="FK25" s="104"/>
      <c r="FL25" s="45"/>
      <c r="FM25" s="41"/>
      <c r="FN25" s="148"/>
      <c r="FO25" s="208"/>
      <c r="FP25" s="208"/>
      <c r="FQ25" s="41"/>
      <c r="FR25" s="67"/>
      <c r="FS25" s="104"/>
      <c r="FT25" s="113"/>
      <c r="FU25" s="87"/>
      <c r="FV25" s="104"/>
      <c r="FW25" s="148"/>
      <c r="FX25" s="33"/>
      <c r="FY25" s="124"/>
      <c r="FZ25" s="113"/>
      <c r="GA25" s="87"/>
      <c r="GB25" s="104"/>
      <c r="GC25" s="155"/>
      <c r="GD25" s="113"/>
      <c r="GE25" s="87"/>
      <c r="GF25" s="148"/>
      <c r="GG25" s="208"/>
      <c r="GH25" s="104"/>
      <c r="GI25" s="248"/>
      <c r="GJ25" s="200"/>
      <c r="GK25" s="77"/>
      <c r="GL25" s="41"/>
      <c r="GM25" s="91"/>
      <c r="GN25" s="108"/>
      <c r="GO25" s="108"/>
      <c r="GP25" s="41"/>
      <c r="GQ25" s="91"/>
      <c r="GR25" s="49"/>
      <c r="GS25" s="108"/>
      <c r="GT25" s="108"/>
      <c r="GU25" s="108"/>
      <c r="GV25" s="41"/>
      <c r="GW25" s="91"/>
      <c r="GX25" s="104"/>
      <c r="GY25" s="41"/>
      <c r="GZ25" s="104"/>
      <c r="HA25" s="113"/>
      <c r="HB25" s="274"/>
      <c r="HC25" s="41"/>
      <c r="HD25" s="91"/>
      <c r="HE25" s="41"/>
      <c r="HF25" s="91"/>
      <c r="HG25" s="41"/>
      <c r="HH25" s="104"/>
      <c r="HI25" s="152"/>
      <c r="HJ25" s="77"/>
      <c r="HK25" s="49"/>
      <c r="HL25" s="41"/>
      <c r="HM25" s="104"/>
      <c r="HN25" s="113"/>
      <c r="HO25" s="41"/>
      <c r="HP25" s="91"/>
      <c r="HQ25" s="41"/>
      <c r="HR25" s="91"/>
      <c r="HS25" s="37"/>
      <c r="HT25" s="82"/>
      <c r="HU25" s="41"/>
      <c r="HV25" s="91"/>
      <c r="HW25" s="41"/>
      <c r="HX25" s="91"/>
      <c r="HY25" s="37"/>
      <c r="HZ25" s="41"/>
      <c r="IA25" s="77"/>
      <c r="IB25" s="41"/>
      <c r="IC25" s="91"/>
      <c r="ID25" s="41"/>
      <c r="IE25" s="77"/>
      <c r="IF25" s="49"/>
      <c r="IG25" s="37"/>
      <c r="IH25" s="33"/>
      <c r="II25" s="281"/>
      <c r="IJ25" s="260"/>
      <c r="IK25" s="261"/>
    </row>
    <row r="26" spans="1:245" x14ac:dyDescent="0.25">
      <c r="A26" s="129">
        <v>44326</v>
      </c>
      <c r="B26" s="18" t="s">
        <v>16</v>
      </c>
      <c r="C26" s="21">
        <f t="shared" si="4"/>
        <v>-102.55</v>
      </c>
      <c r="D26" s="384"/>
      <c r="E26" s="384"/>
      <c r="F26" s="143"/>
      <c r="G26" s="143"/>
      <c r="H26" s="82"/>
      <c r="I26" s="82"/>
      <c r="J26" s="108"/>
      <c r="K26" s="41"/>
      <c r="L26" s="67"/>
      <c r="M26" s="91"/>
      <c r="N26" s="41"/>
      <c r="O26" s="372"/>
      <c r="P26" s="104"/>
      <c r="Q26" s="161"/>
      <c r="R26" s="113"/>
      <c r="S26" s="72"/>
      <c r="T26" s="41"/>
      <c r="U26" s="67"/>
      <c r="V26" s="72"/>
      <c r="W26" s="161"/>
      <c r="X26" s="41"/>
      <c r="Y26" s="67"/>
      <c r="Z26" s="77"/>
      <c r="AA26" s="41"/>
      <c r="AB26" s="67"/>
      <c r="AC26" s="104"/>
      <c r="AD26" s="113"/>
      <c r="AE26" s="41"/>
      <c r="AF26" s="67"/>
      <c r="AG26" s="104"/>
      <c r="AH26" s="119"/>
      <c r="AI26" s="124"/>
      <c r="AJ26" s="161"/>
      <c r="AK26" s="241"/>
      <c r="AL26" s="41"/>
      <c r="AM26" s="67"/>
      <c r="AN26" s="104"/>
      <c r="AO26" s="45"/>
      <c r="AP26" s="41"/>
      <c r="AQ26" s="67"/>
      <c r="AR26" s="104"/>
      <c r="AS26" s="119"/>
      <c r="AT26" s="45"/>
      <c r="AU26" s="41"/>
      <c r="AV26" s="67"/>
      <c r="AW26" s="104"/>
      <c r="AX26" s="119"/>
      <c r="AY26" s="124"/>
      <c r="AZ26" s="152"/>
      <c r="BA26" s="41"/>
      <c r="BB26" s="67"/>
      <c r="BC26" s="104"/>
      <c r="BD26" s="119"/>
      <c r="BE26" s="124"/>
      <c r="BF26" s="152"/>
      <c r="BG26" s="41"/>
      <c r="BH26" s="67">
        <v>-33.47</v>
      </c>
      <c r="BI26" s="104"/>
      <c r="BJ26" s="119"/>
      <c r="BK26" s="124"/>
      <c r="BL26" s="152"/>
      <c r="BM26" s="87"/>
      <c r="BN26" s="67">
        <v>-33.54</v>
      </c>
      <c r="BO26" s="104"/>
      <c r="BP26" s="119"/>
      <c r="BQ26" s="124"/>
      <c r="BR26" s="152"/>
      <c r="BS26" s="41"/>
      <c r="BT26" s="67"/>
      <c r="BU26" s="104"/>
      <c r="BV26" s="119"/>
      <c r="BW26" s="124"/>
      <c r="BX26" s="152"/>
      <c r="BY26" s="41">
        <v>-35.54</v>
      </c>
      <c r="BZ26" s="67"/>
      <c r="CA26" s="104"/>
      <c r="CB26" s="119"/>
      <c r="CC26" s="124"/>
      <c r="CD26" s="152"/>
      <c r="CE26" s="41"/>
      <c r="CF26" s="67"/>
      <c r="CG26" s="104"/>
      <c r="CH26" s="119"/>
      <c r="CI26" s="124"/>
      <c r="CJ26" s="152"/>
      <c r="CK26" s="41"/>
      <c r="CL26" s="67"/>
      <c r="CM26" s="104"/>
      <c r="CN26" s="119"/>
      <c r="CO26" s="124"/>
      <c r="CP26" s="152"/>
      <c r="CQ26" s="41"/>
      <c r="CR26" s="67"/>
      <c r="CS26" s="72"/>
      <c r="CT26" s="119"/>
      <c r="CU26" s="124"/>
      <c r="CV26" s="113"/>
      <c r="CW26" s="41"/>
      <c r="CX26" s="67"/>
      <c r="CY26" s="104"/>
      <c r="CZ26" s="119"/>
      <c r="DA26" s="124"/>
      <c r="DB26" s="113"/>
      <c r="DC26" s="41"/>
      <c r="DD26" s="67"/>
      <c r="DE26" s="72"/>
      <c r="DF26" s="119"/>
      <c r="DG26" s="124"/>
      <c r="DH26" s="113"/>
      <c r="DI26" s="41"/>
      <c r="DJ26" s="67"/>
      <c r="DK26" s="104"/>
      <c r="DL26" s="119"/>
      <c r="DM26" s="45"/>
      <c r="DN26" s="41"/>
      <c r="DO26" s="372"/>
      <c r="DP26" s="72"/>
      <c r="DQ26" s="119"/>
      <c r="DR26" s="45"/>
      <c r="DS26" s="41"/>
      <c r="DT26" s="67"/>
      <c r="DU26" s="104"/>
      <c r="DV26" s="119"/>
      <c r="DW26" s="124"/>
      <c r="DX26" s="113"/>
      <c r="DY26" s="41"/>
      <c r="DZ26" s="67"/>
      <c r="EA26" s="72"/>
      <c r="EB26" s="119"/>
      <c r="EC26" s="124"/>
      <c r="ED26" s="113"/>
      <c r="EE26" s="41"/>
      <c r="EF26" s="67"/>
      <c r="EG26" s="72"/>
      <c r="EH26" s="192"/>
      <c r="EI26" s="148"/>
      <c r="EJ26" s="41"/>
      <c r="EK26" s="67"/>
      <c r="EL26" s="104"/>
      <c r="EM26" s="148"/>
      <c r="EN26" s="41"/>
      <c r="EO26" s="67"/>
      <c r="EP26" s="72"/>
      <c r="EQ26" s="45"/>
      <c r="ER26" s="41"/>
      <c r="ES26" s="67"/>
      <c r="ET26" s="104"/>
      <c r="EU26" s="124"/>
      <c r="EV26" s="169"/>
      <c r="EW26" s="87"/>
      <c r="EX26" s="248"/>
      <c r="EY26" s="87"/>
      <c r="EZ26" s="91"/>
      <c r="FA26" s="41"/>
      <c r="FB26" s="67"/>
      <c r="FC26" s="104"/>
      <c r="FD26" s="124"/>
      <c r="FE26" s="169"/>
      <c r="FF26" s="87"/>
      <c r="FG26" s="72"/>
      <c r="FH26" s="45"/>
      <c r="FI26" s="41"/>
      <c r="FJ26" s="67"/>
      <c r="FK26" s="104"/>
      <c r="FL26" s="45"/>
      <c r="FM26" s="41"/>
      <c r="FN26" s="148"/>
      <c r="FO26" s="208"/>
      <c r="FP26" s="208"/>
      <c r="FQ26" s="41"/>
      <c r="FR26" s="67"/>
      <c r="FS26" s="104"/>
      <c r="FT26" s="113"/>
      <c r="FU26" s="87"/>
      <c r="FV26" s="104"/>
      <c r="FW26" s="148"/>
      <c r="FX26" s="33"/>
      <c r="FY26" s="124"/>
      <c r="FZ26" s="113"/>
      <c r="GA26" s="87"/>
      <c r="GB26" s="104"/>
      <c r="GC26" s="155"/>
      <c r="GD26" s="113"/>
      <c r="GE26" s="87"/>
      <c r="GF26" s="148"/>
      <c r="GG26" s="208"/>
      <c r="GH26" s="104"/>
      <c r="GI26" s="248"/>
      <c r="GJ26" s="200"/>
      <c r="GK26" s="77"/>
      <c r="GL26" s="41"/>
      <c r="GM26" s="91"/>
      <c r="GN26" s="108"/>
      <c r="GO26" s="108"/>
      <c r="GP26" s="41"/>
      <c r="GQ26" s="91"/>
      <c r="GR26" s="49"/>
      <c r="GS26" s="108"/>
      <c r="GT26" s="108"/>
      <c r="GU26" s="108"/>
      <c r="GV26" s="41"/>
      <c r="GW26" s="91"/>
      <c r="GX26" s="104"/>
      <c r="GY26" s="41"/>
      <c r="GZ26" s="104"/>
      <c r="HA26" s="113"/>
      <c r="HB26" s="274"/>
      <c r="HC26" s="41"/>
      <c r="HD26" s="91"/>
      <c r="HE26" s="41"/>
      <c r="HF26" s="91"/>
      <c r="HG26" s="41"/>
      <c r="HH26" s="104"/>
      <c r="HI26" s="152"/>
      <c r="HJ26" s="77"/>
      <c r="HK26" s="49"/>
      <c r="HL26" s="41"/>
      <c r="HM26" s="104"/>
      <c r="HN26" s="113"/>
      <c r="HO26" s="41"/>
      <c r="HP26" s="91"/>
      <c r="HQ26" s="41"/>
      <c r="HR26" s="91"/>
      <c r="HS26" s="37"/>
      <c r="HT26" s="82"/>
      <c r="HU26" s="41"/>
      <c r="HV26" s="91"/>
      <c r="HW26" s="41"/>
      <c r="HX26" s="91"/>
      <c r="HY26" s="37"/>
      <c r="HZ26" s="41"/>
      <c r="IA26" s="77"/>
      <c r="IB26" s="41"/>
      <c r="IC26" s="91"/>
      <c r="ID26" s="41"/>
      <c r="IE26" s="77"/>
      <c r="IF26" s="49"/>
      <c r="IG26" s="37"/>
      <c r="IH26" s="33"/>
      <c r="II26" s="281"/>
      <c r="IJ26" s="260"/>
      <c r="IK26" s="261"/>
    </row>
    <row r="27" spans="1:245" x14ac:dyDescent="0.25">
      <c r="A27" s="129">
        <v>44327</v>
      </c>
      <c r="B27" s="18" t="s">
        <v>28</v>
      </c>
      <c r="C27" s="21">
        <f t="shared" si="4"/>
        <v>-50.914999999999999</v>
      </c>
      <c r="D27" s="384"/>
      <c r="E27" s="384"/>
      <c r="F27" s="143"/>
      <c r="G27" s="143"/>
      <c r="H27" s="82"/>
      <c r="I27" s="82"/>
      <c r="J27" s="108"/>
      <c r="K27" s="41"/>
      <c r="L27" s="67"/>
      <c r="M27" s="91"/>
      <c r="N27" s="41"/>
      <c r="O27" s="372"/>
      <c r="P27" s="104"/>
      <c r="Q27" s="161"/>
      <c r="R27" s="113"/>
      <c r="S27" s="72"/>
      <c r="T27" s="41"/>
      <c r="U27" s="67"/>
      <c r="V27" s="72"/>
      <c r="W27" s="161"/>
      <c r="X27" s="41"/>
      <c r="Y27" s="67"/>
      <c r="Z27" s="77"/>
      <c r="AA27" s="41"/>
      <c r="AB27" s="67"/>
      <c r="AC27" s="104"/>
      <c r="AD27" s="113"/>
      <c r="AE27" s="41"/>
      <c r="AF27" s="67"/>
      <c r="AG27" s="104"/>
      <c r="AH27" s="119"/>
      <c r="AI27" s="124"/>
      <c r="AJ27" s="161"/>
      <c r="AK27" s="241"/>
      <c r="AL27" s="41"/>
      <c r="AM27" s="67"/>
      <c r="AN27" s="104"/>
      <c r="AO27" s="45"/>
      <c r="AP27" s="41"/>
      <c r="AQ27" s="67"/>
      <c r="AR27" s="104"/>
      <c r="AS27" s="119"/>
      <c r="AT27" s="45"/>
      <c r="AU27" s="41"/>
      <c r="AV27" s="67"/>
      <c r="AW27" s="104"/>
      <c r="AX27" s="119"/>
      <c r="AY27" s="124"/>
      <c r="AZ27" s="152"/>
      <c r="BA27" s="41">
        <v>-16.91</v>
      </c>
      <c r="BB27" s="67"/>
      <c r="BC27" s="104"/>
      <c r="BD27" s="119"/>
      <c r="BE27" s="124"/>
      <c r="BF27" s="152"/>
      <c r="BG27" s="41"/>
      <c r="BH27" s="67">
        <v>-17.184999999999999</v>
      </c>
      <c r="BI27" s="104"/>
      <c r="BJ27" s="119"/>
      <c r="BK27" s="124"/>
      <c r="BL27" s="152"/>
      <c r="BM27" s="87"/>
      <c r="BN27" s="67"/>
      <c r="BO27" s="104"/>
      <c r="BP27" s="119"/>
      <c r="BQ27" s="124"/>
      <c r="BR27" s="152"/>
      <c r="BS27" s="41">
        <v>-8.34</v>
      </c>
      <c r="BT27" s="67"/>
      <c r="BU27" s="104"/>
      <c r="BV27" s="119"/>
      <c r="BW27" s="124"/>
      <c r="BX27" s="152"/>
      <c r="BY27" s="41"/>
      <c r="BZ27" s="67">
        <v>-8.48</v>
      </c>
      <c r="CA27" s="104"/>
      <c r="CB27" s="119"/>
      <c r="CC27" s="124"/>
      <c r="CD27" s="152"/>
      <c r="CE27" s="41"/>
      <c r="CF27" s="67"/>
      <c r="CG27" s="104"/>
      <c r="CH27" s="119"/>
      <c r="CI27" s="124"/>
      <c r="CJ27" s="152"/>
      <c r="CK27" s="41"/>
      <c r="CL27" s="67"/>
      <c r="CM27" s="104"/>
      <c r="CN27" s="119"/>
      <c r="CO27" s="124"/>
      <c r="CP27" s="152"/>
      <c r="CQ27" s="41"/>
      <c r="CR27" s="67"/>
      <c r="CS27" s="72"/>
      <c r="CT27" s="119"/>
      <c r="CU27" s="124"/>
      <c r="CV27" s="113"/>
      <c r="CW27" s="41"/>
      <c r="CX27" s="67"/>
      <c r="CY27" s="104"/>
      <c r="CZ27" s="119"/>
      <c r="DA27" s="124"/>
      <c r="DB27" s="113"/>
      <c r="DC27" s="41"/>
      <c r="DD27" s="67"/>
      <c r="DE27" s="72"/>
      <c r="DF27" s="119"/>
      <c r="DG27" s="124"/>
      <c r="DH27" s="113"/>
      <c r="DI27" s="41"/>
      <c r="DJ27" s="67"/>
      <c r="DK27" s="104"/>
      <c r="DL27" s="119"/>
      <c r="DM27" s="45"/>
      <c r="DN27" s="41"/>
      <c r="DO27" s="372"/>
      <c r="DP27" s="72"/>
      <c r="DQ27" s="119"/>
      <c r="DR27" s="45"/>
      <c r="DS27" s="41"/>
      <c r="DT27" s="67"/>
      <c r="DU27" s="104"/>
      <c r="DV27" s="119"/>
      <c r="DW27" s="124"/>
      <c r="DX27" s="113"/>
      <c r="DY27" s="41"/>
      <c r="DZ27" s="67"/>
      <c r="EA27" s="72"/>
      <c r="EB27" s="119"/>
      <c r="EC27" s="124"/>
      <c r="ED27" s="113"/>
      <c r="EE27" s="41"/>
      <c r="EF27" s="67"/>
      <c r="EG27" s="72"/>
      <c r="EH27" s="192"/>
      <c r="EI27" s="148"/>
      <c r="EJ27" s="41"/>
      <c r="EK27" s="67"/>
      <c r="EL27" s="104"/>
      <c r="EM27" s="148"/>
      <c r="EN27" s="41"/>
      <c r="EO27" s="67"/>
      <c r="EP27" s="72"/>
      <c r="EQ27" s="45"/>
      <c r="ER27" s="41"/>
      <c r="ES27" s="67"/>
      <c r="ET27" s="104"/>
      <c r="EU27" s="124"/>
      <c r="EV27" s="169"/>
      <c r="EW27" s="87"/>
      <c r="EX27" s="248"/>
      <c r="EY27" s="87"/>
      <c r="EZ27" s="91"/>
      <c r="FA27" s="41"/>
      <c r="FB27" s="67"/>
      <c r="FC27" s="104"/>
      <c r="FD27" s="124"/>
      <c r="FE27" s="169"/>
      <c r="FF27" s="87"/>
      <c r="FG27" s="72"/>
      <c r="FH27" s="45"/>
      <c r="FI27" s="41"/>
      <c r="FJ27" s="67"/>
      <c r="FK27" s="104"/>
      <c r="FL27" s="45"/>
      <c r="FM27" s="41"/>
      <c r="FN27" s="148"/>
      <c r="FO27" s="208"/>
      <c r="FP27" s="208"/>
      <c r="FQ27" s="41"/>
      <c r="FR27" s="67"/>
      <c r="FS27" s="104"/>
      <c r="FT27" s="113"/>
      <c r="FU27" s="87"/>
      <c r="FV27" s="104"/>
      <c r="FW27" s="148"/>
      <c r="FX27" s="33"/>
      <c r="FY27" s="124"/>
      <c r="FZ27" s="113"/>
      <c r="GA27" s="87"/>
      <c r="GB27" s="104"/>
      <c r="GC27" s="155"/>
      <c r="GD27" s="113"/>
      <c r="GE27" s="87"/>
      <c r="GF27" s="148"/>
      <c r="GG27" s="208"/>
      <c r="GH27" s="104"/>
      <c r="GI27" s="248"/>
      <c r="GJ27" s="200"/>
      <c r="GK27" s="77"/>
      <c r="GL27" s="41"/>
      <c r="GM27" s="91"/>
      <c r="GN27" s="108"/>
      <c r="GO27" s="108"/>
      <c r="GP27" s="41"/>
      <c r="GQ27" s="91"/>
      <c r="GR27" s="49"/>
      <c r="GS27" s="108"/>
      <c r="GT27" s="108"/>
      <c r="GU27" s="108"/>
      <c r="GV27" s="41"/>
      <c r="GW27" s="91"/>
      <c r="GX27" s="104"/>
      <c r="GY27" s="41"/>
      <c r="GZ27" s="104"/>
      <c r="HA27" s="113"/>
      <c r="HB27" s="274"/>
      <c r="HC27" s="41"/>
      <c r="HD27" s="91"/>
      <c r="HE27" s="41"/>
      <c r="HF27" s="91"/>
      <c r="HG27" s="41"/>
      <c r="HH27" s="104"/>
      <c r="HI27" s="152"/>
      <c r="HJ27" s="77"/>
      <c r="HK27" s="49"/>
      <c r="HL27" s="41"/>
      <c r="HM27" s="104"/>
      <c r="HN27" s="113"/>
      <c r="HO27" s="41"/>
      <c r="HP27" s="91"/>
      <c r="HQ27" s="41"/>
      <c r="HR27" s="91"/>
      <c r="HS27" s="37"/>
      <c r="HT27" s="82"/>
      <c r="HU27" s="41"/>
      <c r="HV27" s="91"/>
      <c r="HW27" s="41"/>
      <c r="HX27" s="91"/>
      <c r="HY27" s="37"/>
      <c r="HZ27" s="41"/>
      <c r="IA27" s="77"/>
      <c r="IB27" s="41"/>
      <c r="IC27" s="91"/>
      <c r="ID27" s="41"/>
      <c r="IE27" s="77"/>
      <c r="IF27" s="49"/>
      <c r="IG27" s="37"/>
      <c r="IH27" s="33"/>
      <c r="II27" s="281"/>
      <c r="IJ27" s="260"/>
      <c r="IK27" s="261"/>
    </row>
    <row r="28" spans="1:245" x14ac:dyDescent="0.25">
      <c r="A28" s="129">
        <v>44333</v>
      </c>
      <c r="B28" s="18" t="s">
        <v>19</v>
      </c>
      <c r="C28" s="21">
        <f t="shared" si="4"/>
        <v>-375.34</v>
      </c>
      <c r="D28" s="384"/>
      <c r="E28" s="384"/>
      <c r="F28" s="143"/>
      <c r="G28" s="143"/>
      <c r="H28" s="82"/>
      <c r="I28" s="82"/>
      <c r="J28" s="108"/>
      <c r="K28" s="41"/>
      <c r="L28" s="67"/>
      <c r="M28" s="91"/>
      <c r="N28" s="41"/>
      <c r="O28" s="372"/>
      <c r="P28" s="104"/>
      <c r="Q28" s="161"/>
      <c r="R28" s="113"/>
      <c r="S28" s="72"/>
      <c r="T28" s="41"/>
      <c r="U28" s="67"/>
      <c r="V28" s="72"/>
      <c r="W28" s="161"/>
      <c r="X28" s="41"/>
      <c r="Y28" s="67"/>
      <c r="Z28" s="77"/>
      <c r="AA28" s="41"/>
      <c r="AB28" s="67"/>
      <c r="AC28" s="104"/>
      <c r="AD28" s="113"/>
      <c r="AE28" s="41"/>
      <c r="AF28" s="67"/>
      <c r="AG28" s="104"/>
      <c r="AH28" s="119"/>
      <c r="AI28" s="124"/>
      <c r="AJ28" s="161"/>
      <c r="AK28" s="241"/>
      <c r="AL28" s="41"/>
      <c r="AM28" s="67"/>
      <c r="AN28" s="104"/>
      <c r="AO28" s="45"/>
      <c r="AP28" s="41"/>
      <c r="AQ28" s="67"/>
      <c r="AR28" s="104"/>
      <c r="AS28" s="119"/>
      <c r="AT28" s="45"/>
      <c r="AU28" s="41"/>
      <c r="AV28" s="67"/>
      <c r="AW28" s="104"/>
      <c r="AX28" s="119"/>
      <c r="AY28" s="124"/>
      <c r="AZ28" s="152"/>
      <c r="BA28" s="41"/>
      <c r="BB28" s="67"/>
      <c r="BC28" s="104"/>
      <c r="BD28" s="119"/>
      <c r="BE28" s="124"/>
      <c r="BF28" s="152"/>
      <c r="BG28" s="41"/>
      <c r="BH28" s="67"/>
      <c r="BI28" s="104"/>
      <c r="BJ28" s="119"/>
      <c r="BK28" s="124"/>
      <c r="BL28" s="152"/>
      <c r="BM28" s="87"/>
      <c r="BN28" s="67"/>
      <c r="BO28" s="104"/>
      <c r="BP28" s="119"/>
      <c r="BQ28" s="124"/>
      <c r="BR28" s="152"/>
      <c r="BS28" s="41">
        <v>-70.02</v>
      </c>
      <c r="BT28" s="67"/>
      <c r="BU28" s="104"/>
      <c r="BV28" s="119"/>
      <c r="BW28" s="124"/>
      <c r="BX28" s="152"/>
      <c r="BY28" s="41">
        <v>-68.47</v>
      </c>
      <c r="BZ28" s="67"/>
      <c r="CA28" s="104"/>
      <c r="CB28" s="119"/>
      <c r="CC28" s="124"/>
      <c r="CD28" s="152"/>
      <c r="CE28" s="41">
        <v>-69.599999999999994</v>
      </c>
      <c r="CF28" s="67"/>
      <c r="CG28" s="104"/>
      <c r="CH28" s="119"/>
      <c r="CI28" s="124"/>
      <c r="CJ28" s="152"/>
      <c r="CK28" s="41">
        <v>-64.760000000000005</v>
      </c>
      <c r="CL28" s="67"/>
      <c r="CM28" s="104"/>
      <c r="CN28" s="119"/>
      <c r="CO28" s="124"/>
      <c r="CP28" s="152"/>
      <c r="CQ28" s="41"/>
      <c r="CR28" s="67"/>
      <c r="CS28" s="72"/>
      <c r="CT28" s="119"/>
      <c r="CU28" s="124"/>
      <c r="CV28" s="113"/>
      <c r="CW28" s="41"/>
      <c r="CX28" s="67"/>
      <c r="CY28" s="104"/>
      <c r="CZ28" s="119"/>
      <c r="DA28" s="124"/>
      <c r="DB28" s="113"/>
      <c r="DC28" s="41">
        <v>-70</v>
      </c>
      <c r="DD28" s="67"/>
      <c r="DE28" s="72"/>
      <c r="DF28" s="119"/>
      <c r="DG28" s="124"/>
      <c r="DH28" s="113"/>
      <c r="DI28" s="41"/>
      <c r="DJ28" s="67"/>
      <c r="DK28" s="104"/>
      <c r="DL28" s="119"/>
      <c r="DM28" s="45"/>
      <c r="DN28" s="41"/>
      <c r="DO28" s="372"/>
      <c r="DP28" s="72"/>
      <c r="DQ28" s="119"/>
      <c r="DR28" s="45"/>
      <c r="DS28" s="41"/>
      <c r="DT28" s="67"/>
      <c r="DU28" s="104"/>
      <c r="DV28" s="119"/>
      <c r="DW28" s="124"/>
      <c r="DX28" s="113"/>
      <c r="DY28" s="41">
        <v>-32.49</v>
      </c>
      <c r="DZ28" s="67"/>
      <c r="EA28" s="72"/>
      <c r="EB28" s="119"/>
      <c r="EC28" s="124"/>
      <c r="ED28" s="113"/>
      <c r="EE28" s="41"/>
      <c r="EF28" s="67"/>
      <c r="EG28" s="72"/>
      <c r="EH28" s="192"/>
      <c r="EI28" s="148"/>
      <c r="EJ28" s="41"/>
      <c r="EK28" s="67"/>
      <c r="EL28" s="104"/>
      <c r="EM28" s="148"/>
      <c r="EN28" s="41"/>
      <c r="EO28" s="67"/>
      <c r="EP28" s="72"/>
      <c r="EQ28" s="45"/>
      <c r="ER28" s="41"/>
      <c r="ES28" s="67"/>
      <c r="ET28" s="104"/>
      <c r="EU28" s="124"/>
      <c r="EV28" s="169"/>
      <c r="EW28" s="87"/>
      <c r="EX28" s="248"/>
      <c r="EY28" s="87"/>
      <c r="EZ28" s="91"/>
      <c r="FA28" s="41"/>
      <c r="FB28" s="67"/>
      <c r="FC28" s="104"/>
      <c r="FD28" s="124"/>
      <c r="FE28" s="169"/>
      <c r="FF28" s="87"/>
      <c r="FG28" s="72"/>
      <c r="FH28" s="45"/>
      <c r="FI28" s="41"/>
      <c r="FJ28" s="67"/>
      <c r="FK28" s="104"/>
      <c r="FL28" s="45"/>
      <c r="FM28" s="41"/>
      <c r="FN28" s="148"/>
      <c r="FO28" s="208"/>
      <c r="FP28" s="208"/>
      <c r="FQ28" s="41"/>
      <c r="FR28" s="67"/>
      <c r="FS28" s="104"/>
      <c r="FT28" s="113"/>
      <c r="FU28" s="87"/>
      <c r="FV28" s="104"/>
      <c r="FW28" s="148"/>
      <c r="FX28" s="33"/>
      <c r="FY28" s="124"/>
      <c r="FZ28" s="113"/>
      <c r="GA28" s="87"/>
      <c r="GB28" s="104"/>
      <c r="GC28" s="155"/>
      <c r="GD28" s="113"/>
      <c r="GE28" s="87"/>
      <c r="GF28" s="148"/>
      <c r="GG28" s="208"/>
      <c r="GH28" s="104"/>
      <c r="GI28" s="248"/>
      <c r="GJ28" s="200"/>
      <c r="GK28" s="77"/>
      <c r="GL28" s="41"/>
      <c r="GM28" s="91"/>
      <c r="GN28" s="108"/>
      <c r="GO28" s="108"/>
      <c r="GP28" s="41"/>
      <c r="GQ28" s="91"/>
      <c r="GR28" s="49"/>
      <c r="GS28" s="108"/>
      <c r="GT28" s="108"/>
      <c r="GU28" s="108"/>
      <c r="GV28" s="41"/>
      <c r="GW28" s="91"/>
      <c r="GX28" s="104"/>
      <c r="GY28" s="41"/>
      <c r="GZ28" s="104"/>
      <c r="HA28" s="113"/>
      <c r="HB28" s="274"/>
      <c r="HC28" s="41"/>
      <c r="HD28" s="91"/>
      <c r="HE28" s="41"/>
      <c r="HF28" s="91"/>
      <c r="HG28" s="41"/>
      <c r="HH28" s="104"/>
      <c r="HI28" s="152"/>
      <c r="HJ28" s="77"/>
      <c r="HK28" s="49"/>
      <c r="HL28" s="41"/>
      <c r="HM28" s="104"/>
      <c r="HN28" s="113"/>
      <c r="HO28" s="41"/>
      <c r="HP28" s="91"/>
      <c r="HQ28" s="41"/>
      <c r="HR28" s="91"/>
      <c r="HS28" s="37"/>
      <c r="HT28" s="82"/>
      <c r="HU28" s="41"/>
      <c r="HV28" s="91"/>
      <c r="HW28" s="41"/>
      <c r="HX28" s="91"/>
      <c r="HY28" s="37"/>
      <c r="HZ28" s="41"/>
      <c r="IA28" s="77"/>
      <c r="IB28" s="41"/>
      <c r="IC28" s="91"/>
      <c r="ID28" s="41"/>
      <c r="IE28" s="77"/>
      <c r="IF28" s="49"/>
      <c r="IG28" s="37"/>
      <c r="IH28" s="33"/>
      <c r="II28" s="281"/>
      <c r="IJ28" s="260"/>
      <c r="IK28" s="261"/>
    </row>
    <row r="29" spans="1:245" x14ac:dyDescent="0.25">
      <c r="A29" s="129">
        <v>44333</v>
      </c>
      <c r="B29" s="18" t="s">
        <v>18</v>
      </c>
      <c r="C29" s="21">
        <f t="shared" si="4"/>
        <v>-875.60500000000002</v>
      </c>
      <c r="D29" s="384"/>
      <c r="E29" s="384"/>
      <c r="F29" s="143"/>
      <c r="G29" s="143"/>
      <c r="H29" s="82"/>
      <c r="I29" s="82"/>
      <c r="J29" s="108"/>
      <c r="K29" s="41"/>
      <c r="L29" s="67"/>
      <c r="M29" s="91"/>
      <c r="N29" s="41"/>
      <c r="O29" s="372"/>
      <c r="P29" s="104"/>
      <c r="Q29" s="161"/>
      <c r="R29" s="113"/>
      <c r="S29" s="72"/>
      <c r="T29" s="41"/>
      <c r="U29" s="67"/>
      <c r="V29" s="72"/>
      <c r="W29" s="161"/>
      <c r="X29" s="41"/>
      <c r="Y29" s="67"/>
      <c r="Z29" s="77"/>
      <c r="AA29" s="41"/>
      <c r="AB29" s="67"/>
      <c r="AC29" s="104"/>
      <c r="AD29" s="113"/>
      <c r="AE29" s="41"/>
      <c r="AF29" s="67"/>
      <c r="AG29" s="104"/>
      <c r="AH29" s="119"/>
      <c r="AI29" s="124"/>
      <c r="AJ29" s="161"/>
      <c r="AK29" s="241"/>
      <c r="AL29" s="41"/>
      <c r="AM29" s="67"/>
      <c r="AN29" s="104"/>
      <c r="AO29" s="45"/>
      <c r="AP29" s="41"/>
      <c r="AQ29" s="67"/>
      <c r="AR29" s="104"/>
      <c r="AS29" s="119"/>
      <c r="AT29" s="45"/>
      <c r="AU29" s="41"/>
      <c r="AV29" s="67"/>
      <c r="AW29" s="104"/>
      <c r="AX29" s="119"/>
      <c r="AY29" s="124"/>
      <c r="AZ29" s="152"/>
      <c r="BA29" s="41"/>
      <c r="BB29" s="67"/>
      <c r="BC29" s="104"/>
      <c r="BD29" s="119"/>
      <c r="BE29" s="124"/>
      <c r="BF29" s="152"/>
      <c r="BG29" s="41"/>
      <c r="BH29" s="67">
        <v>-99.47</v>
      </c>
      <c r="BI29" s="104"/>
      <c r="BJ29" s="119"/>
      <c r="BK29" s="124"/>
      <c r="BL29" s="152"/>
      <c r="BM29" s="87"/>
      <c r="BN29" s="67">
        <v>-234.44</v>
      </c>
      <c r="BO29" s="104"/>
      <c r="BP29" s="119"/>
      <c r="BQ29" s="124"/>
      <c r="BR29" s="152"/>
      <c r="BS29" s="41"/>
      <c r="BT29" s="67">
        <v>-100.005</v>
      </c>
      <c r="BU29" s="104"/>
      <c r="BV29" s="119"/>
      <c r="BW29" s="124"/>
      <c r="BX29" s="152"/>
      <c r="BY29" s="41"/>
      <c r="BZ29" s="67">
        <v>-101.495</v>
      </c>
      <c r="CA29" s="104"/>
      <c r="CB29" s="119"/>
      <c r="CC29" s="124"/>
      <c r="CD29" s="152"/>
      <c r="CE29" s="41"/>
      <c r="CF29" s="67">
        <v>-102.185</v>
      </c>
      <c r="CG29" s="104"/>
      <c r="CH29" s="119"/>
      <c r="CI29" s="124"/>
      <c r="CJ29" s="152"/>
      <c r="CK29" s="41"/>
      <c r="CL29" s="67">
        <v>-33.634999999999998</v>
      </c>
      <c r="CM29" s="104"/>
      <c r="CN29" s="119"/>
      <c r="CO29" s="124"/>
      <c r="CP29" s="152"/>
      <c r="CQ29" s="41"/>
      <c r="CR29" s="67">
        <v>-33.685000000000002</v>
      </c>
      <c r="CS29" s="72"/>
      <c r="CT29" s="119"/>
      <c r="CU29" s="124"/>
      <c r="CV29" s="113"/>
      <c r="CW29" s="41">
        <v>-34.42</v>
      </c>
      <c r="CX29" s="67"/>
      <c r="CY29" s="104"/>
      <c r="CZ29" s="119"/>
      <c r="DA29" s="124"/>
      <c r="DB29" s="113"/>
      <c r="DC29" s="41">
        <v>-34.590000000000003</v>
      </c>
      <c r="DD29" s="67"/>
      <c r="DE29" s="72"/>
      <c r="DF29" s="119"/>
      <c r="DG29" s="124"/>
      <c r="DH29" s="113"/>
      <c r="DI29" s="41"/>
      <c r="DJ29" s="67"/>
      <c r="DK29" s="104"/>
      <c r="DL29" s="119"/>
      <c r="DM29" s="45"/>
      <c r="DN29" s="41"/>
      <c r="DO29" s="372"/>
      <c r="DP29" s="72"/>
      <c r="DQ29" s="119"/>
      <c r="DR29" s="45"/>
      <c r="DS29" s="41"/>
      <c r="DT29" s="67">
        <v>-101.68</v>
      </c>
      <c r="DU29" s="104"/>
      <c r="DV29" s="119"/>
      <c r="DW29" s="124"/>
      <c r="DX29" s="113"/>
      <c r="DY29" s="41"/>
      <c r="DZ29" s="67"/>
      <c r="EA29" s="72"/>
      <c r="EB29" s="119"/>
      <c r="EC29" s="124"/>
      <c r="ED29" s="113"/>
      <c r="EE29" s="41"/>
      <c r="EF29" s="67"/>
      <c r="EG29" s="72"/>
      <c r="EH29" s="192"/>
      <c r="EI29" s="148"/>
      <c r="EJ29" s="41"/>
      <c r="EK29" s="67"/>
      <c r="EL29" s="104"/>
      <c r="EM29" s="148"/>
      <c r="EN29" s="41"/>
      <c r="EO29" s="67"/>
      <c r="EP29" s="72"/>
      <c r="EQ29" s="45"/>
      <c r="ER29" s="41"/>
      <c r="ES29" s="67"/>
      <c r="ET29" s="104"/>
      <c r="EU29" s="124"/>
      <c r="EV29" s="169"/>
      <c r="EW29" s="87"/>
      <c r="EX29" s="248"/>
      <c r="EY29" s="87"/>
      <c r="EZ29" s="91"/>
      <c r="FA29" s="41"/>
      <c r="FB29" s="67"/>
      <c r="FC29" s="104"/>
      <c r="FD29" s="124"/>
      <c r="FE29" s="169"/>
      <c r="FF29" s="87"/>
      <c r="FG29" s="72"/>
      <c r="FH29" s="45"/>
      <c r="FI29" s="41"/>
      <c r="FJ29" s="67"/>
      <c r="FK29" s="104"/>
      <c r="FL29" s="45"/>
      <c r="FM29" s="41"/>
      <c r="FN29" s="148"/>
      <c r="FO29" s="208"/>
      <c r="FP29" s="208"/>
      <c r="FQ29" s="41"/>
      <c r="FR29" s="67"/>
      <c r="FS29" s="104"/>
      <c r="FT29" s="113"/>
      <c r="FU29" s="87"/>
      <c r="FV29" s="104"/>
      <c r="FW29" s="148"/>
      <c r="FX29" s="33"/>
      <c r="FY29" s="124"/>
      <c r="FZ29" s="113"/>
      <c r="GA29" s="87"/>
      <c r="GB29" s="104"/>
      <c r="GC29" s="155"/>
      <c r="GD29" s="113"/>
      <c r="GE29" s="87"/>
      <c r="GF29" s="148"/>
      <c r="GG29" s="208"/>
      <c r="GH29" s="104"/>
      <c r="GI29" s="248"/>
      <c r="GJ29" s="200"/>
      <c r="GK29" s="77"/>
      <c r="GL29" s="41"/>
      <c r="GM29" s="91"/>
      <c r="GN29" s="108"/>
      <c r="GO29" s="108"/>
      <c r="GP29" s="41"/>
      <c r="GQ29" s="91"/>
      <c r="GR29" s="49"/>
      <c r="GS29" s="108"/>
      <c r="GT29" s="108"/>
      <c r="GU29" s="108"/>
      <c r="GV29" s="41"/>
      <c r="GW29" s="91"/>
      <c r="GX29" s="104"/>
      <c r="GY29" s="41"/>
      <c r="GZ29" s="104"/>
      <c r="HA29" s="113"/>
      <c r="HB29" s="274"/>
      <c r="HC29" s="41"/>
      <c r="HD29" s="91"/>
      <c r="HE29" s="41"/>
      <c r="HF29" s="91"/>
      <c r="HG29" s="41"/>
      <c r="HH29" s="104"/>
      <c r="HI29" s="152"/>
      <c r="HJ29" s="77"/>
      <c r="HK29" s="49"/>
      <c r="HL29" s="41"/>
      <c r="HM29" s="104"/>
      <c r="HN29" s="113"/>
      <c r="HO29" s="41"/>
      <c r="HP29" s="91"/>
      <c r="HQ29" s="41"/>
      <c r="HR29" s="91"/>
      <c r="HS29" s="37"/>
      <c r="HT29" s="82"/>
      <c r="HU29" s="41"/>
      <c r="HV29" s="91"/>
      <c r="HW29" s="41"/>
      <c r="HX29" s="91"/>
      <c r="HY29" s="37"/>
      <c r="HZ29" s="41"/>
      <c r="IA29" s="77"/>
      <c r="IB29" s="41"/>
      <c r="IC29" s="91"/>
      <c r="ID29" s="41"/>
      <c r="IE29" s="77"/>
      <c r="IF29" s="49"/>
      <c r="IG29" s="37"/>
      <c r="IH29" s="33"/>
      <c r="II29" s="281"/>
      <c r="IJ29" s="260"/>
      <c r="IK29" s="261"/>
    </row>
    <row r="30" spans="1:245" x14ac:dyDescent="0.25">
      <c r="A30" s="129">
        <v>44333</v>
      </c>
      <c r="B30" s="18" t="s">
        <v>2</v>
      </c>
      <c r="C30" s="21">
        <f t="shared" si="4"/>
        <v>522.38</v>
      </c>
      <c r="D30" s="384"/>
      <c r="E30" s="384"/>
      <c r="F30" s="143"/>
      <c r="G30" s="143"/>
      <c r="H30" s="82"/>
      <c r="I30" s="82"/>
      <c r="J30" s="108"/>
      <c r="K30" s="41"/>
      <c r="L30" s="67"/>
      <c r="M30" s="91"/>
      <c r="N30" s="41"/>
      <c r="O30" s="372"/>
      <c r="P30" s="104"/>
      <c r="Q30" s="161"/>
      <c r="R30" s="113"/>
      <c r="S30" s="72"/>
      <c r="T30" s="41"/>
      <c r="U30" s="67"/>
      <c r="V30" s="72"/>
      <c r="W30" s="161"/>
      <c r="X30" s="41"/>
      <c r="Y30" s="67"/>
      <c r="Z30" s="77"/>
      <c r="AA30" s="41"/>
      <c r="AB30" s="67"/>
      <c r="AC30" s="104"/>
      <c r="AD30" s="113"/>
      <c r="AE30" s="41"/>
      <c r="AF30" s="67"/>
      <c r="AG30" s="104"/>
      <c r="AH30" s="119"/>
      <c r="AI30" s="124"/>
      <c r="AJ30" s="161"/>
      <c r="AK30" s="241"/>
      <c r="AL30" s="41"/>
      <c r="AM30" s="67"/>
      <c r="AN30" s="104"/>
      <c r="AO30" s="45"/>
      <c r="AP30" s="41"/>
      <c r="AQ30" s="67"/>
      <c r="AR30" s="104"/>
      <c r="AS30" s="119"/>
      <c r="AT30" s="45"/>
      <c r="AU30" s="41"/>
      <c r="AV30" s="67"/>
      <c r="AW30" s="104"/>
      <c r="AX30" s="119"/>
      <c r="AY30" s="124"/>
      <c r="AZ30" s="152"/>
      <c r="BA30" s="41"/>
      <c r="BB30" s="67"/>
      <c r="BC30" s="104"/>
      <c r="BD30" s="119"/>
      <c r="BE30" s="124"/>
      <c r="BF30" s="152"/>
      <c r="BG30" s="41"/>
      <c r="BH30" s="67"/>
      <c r="BI30" s="104"/>
      <c r="BJ30" s="119"/>
      <c r="BK30" s="124"/>
      <c r="BL30" s="152"/>
      <c r="BM30" s="87"/>
      <c r="BN30" s="67"/>
      <c r="BO30" s="104"/>
      <c r="BP30" s="119"/>
      <c r="BQ30" s="124"/>
      <c r="BR30" s="152"/>
      <c r="BS30" s="41"/>
      <c r="BT30" s="67"/>
      <c r="BU30" s="104"/>
      <c r="BV30" s="119"/>
      <c r="BW30" s="124"/>
      <c r="BX30" s="152"/>
      <c r="BY30" s="41"/>
      <c r="BZ30" s="67"/>
      <c r="CA30" s="104"/>
      <c r="CB30" s="119"/>
      <c r="CC30" s="124"/>
      <c r="CD30" s="152"/>
      <c r="CE30" s="41"/>
      <c r="CF30" s="67"/>
      <c r="CG30" s="104"/>
      <c r="CH30" s="119"/>
      <c r="CI30" s="124"/>
      <c r="CJ30" s="152"/>
      <c r="CK30" s="41"/>
      <c r="CL30" s="67"/>
      <c r="CM30" s="104"/>
      <c r="CN30" s="119"/>
      <c r="CO30" s="124"/>
      <c r="CP30" s="152"/>
      <c r="CQ30" s="41"/>
      <c r="CR30" s="67"/>
      <c r="CS30" s="72"/>
      <c r="CT30" s="119"/>
      <c r="CU30" s="124"/>
      <c r="CV30" s="113"/>
      <c r="CW30" s="41"/>
      <c r="CX30" s="67"/>
      <c r="CY30" s="104"/>
      <c r="CZ30" s="119"/>
      <c r="DA30" s="124"/>
      <c r="DB30" s="113"/>
      <c r="DC30" s="41"/>
      <c r="DD30" s="67"/>
      <c r="DE30" s="72"/>
      <c r="DF30" s="119"/>
      <c r="DG30" s="124"/>
      <c r="DH30" s="113"/>
      <c r="DI30" s="41"/>
      <c r="DJ30" s="67"/>
      <c r="DK30" s="104"/>
      <c r="DL30" s="119"/>
      <c r="DM30" s="45"/>
      <c r="DN30" s="41"/>
      <c r="DO30" s="372"/>
      <c r="DP30" s="72"/>
      <c r="DQ30" s="119"/>
      <c r="DR30" s="45"/>
      <c r="DS30" s="41"/>
      <c r="DT30" s="67"/>
      <c r="DU30" s="104"/>
      <c r="DV30" s="119"/>
      <c r="DW30" s="124"/>
      <c r="DX30" s="113"/>
      <c r="DY30" s="41"/>
      <c r="DZ30" s="67"/>
      <c r="EA30" s="72"/>
      <c r="EB30" s="119"/>
      <c r="EC30" s="124"/>
      <c r="ED30" s="113"/>
      <c r="EE30" s="41"/>
      <c r="EF30" s="67"/>
      <c r="EG30" s="72"/>
      <c r="EH30" s="192"/>
      <c r="EI30" s="148"/>
      <c r="EJ30" s="41"/>
      <c r="EK30" s="67"/>
      <c r="EL30" s="104"/>
      <c r="EM30" s="148"/>
      <c r="EN30" s="41"/>
      <c r="EO30" s="67"/>
      <c r="EP30" s="72"/>
      <c r="EQ30" s="45"/>
      <c r="ER30" s="41"/>
      <c r="ES30" s="67"/>
      <c r="ET30" s="104"/>
      <c r="EU30" s="124"/>
      <c r="EV30" s="169"/>
      <c r="EW30" s="87"/>
      <c r="EX30" s="248"/>
      <c r="EY30" s="87"/>
      <c r="EZ30" s="91"/>
      <c r="FA30" s="41"/>
      <c r="FB30" s="67"/>
      <c r="FC30" s="104"/>
      <c r="FD30" s="124"/>
      <c r="FE30" s="169"/>
      <c r="FF30" s="87"/>
      <c r="FG30" s="72"/>
      <c r="FH30" s="45"/>
      <c r="FI30" s="41"/>
      <c r="FJ30" s="67"/>
      <c r="FK30" s="104"/>
      <c r="FL30" s="45"/>
      <c r="FM30" s="41"/>
      <c r="FN30" s="148"/>
      <c r="FO30" s="208"/>
      <c r="FP30" s="208"/>
      <c r="FQ30" s="41"/>
      <c r="FR30" s="67"/>
      <c r="FS30" s="104"/>
      <c r="FT30" s="113"/>
      <c r="FU30" s="87"/>
      <c r="FV30" s="104"/>
      <c r="FW30" s="148"/>
      <c r="FX30" s="33"/>
      <c r="FY30" s="124"/>
      <c r="FZ30" s="113"/>
      <c r="GA30" s="87"/>
      <c r="GB30" s="104"/>
      <c r="GC30" s="155"/>
      <c r="GD30" s="113"/>
      <c r="GE30" s="87"/>
      <c r="GF30" s="148"/>
      <c r="GG30" s="208"/>
      <c r="GH30" s="104"/>
      <c r="GI30" s="248"/>
      <c r="GJ30" s="200"/>
      <c r="GK30" s="77"/>
      <c r="GL30" s="41"/>
      <c r="GM30" s="91"/>
      <c r="GN30" s="108"/>
      <c r="GO30" s="108"/>
      <c r="GP30" s="41"/>
      <c r="GQ30" s="91"/>
      <c r="GR30" s="49"/>
      <c r="GS30" s="108"/>
      <c r="GT30" s="108"/>
      <c r="GU30" s="108"/>
      <c r="GV30" s="41"/>
      <c r="GW30" s="91"/>
      <c r="GX30" s="104"/>
      <c r="GY30" s="41"/>
      <c r="GZ30" s="104"/>
      <c r="HA30" s="113"/>
      <c r="HB30" s="274"/>
      <c r="HC30" s="41"/>
      <c r="HD30" s="91"/>
      <c r="HE30" s="41"/>
      <c r="HF30" s="91"/>
      <c r="HG30" s="41"/>
      <c r="HH30" s="104"/>
      <c r="HI30" s="152"/>
      <c r="HJ30" s="77"/>
      <c r="HK30" s="49"/>
      <c r="HL30" s="41"/>
      <c r="HM30" s="104"/>
      <c r="HN30" s="113"/>
      <c r="HO30" s="41"/>
      <c r="HP30" s="91"/>
      <c r="HQ30" s="41"/>
      <c r="HR30" s="91"/>
      <c r="HS30" s="37"/>
      <c r="HT30" s="82"/>
      <c r="HU30" s="41"/>
      <c r="HV30" s="91"/>
      <c r="HW30" s="41"/>
      <c r="HX30" s="91"/>
      <c r="HY30" s="37"/>
      <c r="HZ30" s="41"/>
      <c r="IA30" s="77"/>
      <c r="IB30" s="41"/>
      <c r="IC30" s="91"/>
      <c r="ID30" s="41"/>
      <c r="IE30" s="77"/>
      <c r="IF30" s="49"/>
      <c r="IG30" s="37">
        <v>522.38</v>
      </c>
      <c r="IH30" s="33"/>
      <c r="II30" s="281"/>
      <c r="IJ30" s="260"/>
      <c r="IK30" s="261"/>
    </row>
    <row r="31" spans="1:245" x14ac:dyDescent="0.25">
      <c r="A31" s="129">
        <v>44334</v>
      </c>
      <c r="B31" s="18" t="s">
        <v>27</v>
      </c>
      <c r="C31" s="21">
        <f t="shared" si="4"/>
        <v>-24.08</v>
      </c>
      <c r="D31" s="384"/>
      <c r="E31" s="384"/>
      <c r="F31" s="143"/>
      <c r="G31" s="143"/>
      <c r="H31" s="82"/>
      <c r="I31" s="82"/>
      <c r="J31" s="108"/>
      <c r="K31" s="41"/>
      <c r="L31" s="67"/>
      <c r="M31" s="91"/>
      <c r="N31" s="41"/>
      <c r="O31" s="372"/>
      <c r="P31" s="104"/>
      <c r="Q31" s="161"/>
      <c r="R31" s="113"/>
      <c r="S31" s="72"/>
      <c r="T31" s="41"/>
      <c r="U31" s="67"/>
      <c r="V31" s="72"/>
      <c r="W31" s="161"/>
      <c r="X31" s="41"/>
      <c r="Y31" s="67"/>
      <c r="Z31" s="77"/>
      <c r="AA31" s="41"/>
      <c r="AB31" s="67"/>
      <c r="AC31" s="104"/>
      <c r="AD31" s="113"/>
      <c r="AE31" s="41"/>
      <c r="AF31" s="67"/>
      <c r="AG31" s="104"/>
      <c r="AH31" s="119"/>
      <c r="AI31" s="124"/>
      <c r="AJ31" s="161"/>
      <c r="AK31" s="241"/>
      <c r="AL31" s="41"/>
      <c r="AM31" s="67"/>
      <c r="AN31" s="104"/>
      <c r="AO31" s="45">
        <v>-8.19</v>
      </c>
      <c r="AP31" s="41"/>
      <c r="AQ31" s="67"/>
      <c r="AR31" s="104"/>
      <c r="AS31" s="119"/>
      <c r="AT31" s="45">
        <v>-7.58</v>
      </c>
      <c r="AU31" s="41"/>
      <c r="AV31" s="67"/>
      <c r="AW31" s="104"/>
      <c r="AX31" s="119"/>
      <c r="AY31" s="124"/>
      <c r="AZ31" s="152"/>
      <c r="BA31" s="41"/>
      <c r="BB31" s="67"/>
      <c r="BC31" s="104"/>
      <c r="BD31" s="119"/>
      <c r="BE31" s="124"/>
      <c r="BF31" s="152"/>
      <c r="BG31" s="41"/>
      <c r="BH31" s="67"/>
      <c r="BI31" s="104"/>
      <c r="BJ31" s="119"/>
      <c r="BK31" s="124"/>
      <c r="BL31" s="152">
        <v>-8.31</v>
      </c>
      <c r="BM31" s="87"/>
      <c r="BN31" s="67"/>
      <c r="BO31" s="104"/>
      <c r="BP31" s="119"/>
      <c r="BQ31" s="124"/>
      <c r="BR31" s="152"/>
      <c r="BS31" s="41"/>
      <c r="BT31" s="67"/>
      <c r="BU31" s="104"/>
      <c r="BV31" s="119"/>
      <c r="BW31" s="124"/>
      <c r="BX31" s="152"/>
      <c r="BY31" s="41"/>
      <c r="BZ31" s="67"/>
      <c r="CA31" s="104"/>
      <c r="CB31" s="119"/>
      <c r="CC31" s="124"/>
      <c r="CD31" s="152"/>
      <c r="CE31" s="41"/>
      <c r="CF31" s="67"/>
      <c r="CG31" s="104"/>
      <c r="CH31" s="119"/>
      <c r="CI31" s="124"/>
      <c r="CJ31" s="152"/>
      <c r="CK31" s="41"/>
      <c r="CL31" s="67"/>
      <c r="CM31" s="104"/>
      <c r="CN31" s="119"/>
      <c r="CO31" s="124"/>
      <c r="CP31" s="152"/>
      <c r="CQ31" s="41"/>
      <c r="CR31" s="67"/>
      <c r="CS31" s="72"/>
      <c r="CT31" s="119"/>
      <c r="CU31" s="124"/>
      <c r="CV31" s="113"/>
      <c r="CW31" s="41"/>
      <c r="CX31" s="67"/>
      <c r="CY31" s="104"/>
      <c r="CZ31" s="119"/>
      <c r="DA31" s="124"/>
      <c r="DB31" s="113"/>
      <c r="DC31" s="41"/>
      <c r="DD31" s="67"/>
      <c r="DE31" s="72"/>
      <c r="DF31" s="119"/>
      <c r="DG31" s="124"/>
      <c r="DH31" s="113"/>
      <c r="DI31" s="41"/>
      <c r="DJ31" s="67"/>
      <c r="DK31" s="104"/>
      <c r="DL31" s="119"/>
      <c r="DM31" s="45"/>
      <c r="DN31" s="41"/>
      <c r="DO31" s="372"/>
      <c r="DP31" s="72"/>
      <c r="DQ31" s="119"/>
      <c r="DR31" s="45"/>
      <c r="DS31" s="41"/>
      <c r="DT31" s="67"/>
      <c r="DU31" s="104"/>
      <c r="DV31" s="119"/>
      <c r="DW31" s="124"/>
      <c r="DX31" s="113"/>
      <c r="DY31" s="41"/>
      <c r="DZ31" s="67"/>
      <c r="EA31" s="72"/>
      <c r="EB31" s="119"/>
      <c r="EC31" s="124"/>
      <c r="ED31" s="113"/>
      <c r="EE31" s="41"/>
      <c r="EF31" s="67"/>
      <c r="EG31" s="72"/>
      <c r="EH31" s="192"/>
      <c r="EI31" s="148"/>
      <c r="EJ31" s="41"/>
      <c r="EK31" s="67"/>
      <c r="EL31" s="104"/>
      <c r="EM31" s="148"/>
      <c r="EN31" s="41"/>
      <c r="EO31" s="67"/>
      <c r="EP31" s="72"/>
      <c r="EQ31" s="45"/>
      <c r="ER31" s="41"/>
      <c r="ES31" s="67"/>
      <c r="ET31" s="104"/>
      <c r="EU31" s="124"/>
      <c r="EV31" s="169"/>
      <c r="EW31" s="87"/>
      <c r="EX31" s="248"/>
      <c r="EY31" s="87"/>
      <c r="EZ31" s="91"/>
      <c r="FA31" s="41"/>
      <c r="FB31" s="67"/>
      <c r="FC31" s="104"/>
      <c r="FD31" s="124"/>
      <c r="FE31" s="169"/>
      <c r="FF31" s="87"/>
      <c r="FG31" s="72"/>
      <c r="FH31" s="45"/>
      <c r="FI31" s="41"/>
      <c r="FJ31" s="67"/>
      <c r="FK31" s="104"/>
      <c r="FL31" s="45"/>
      <c r="FM31" s="41"/>
      <c r="FN31" s="148"/>
      <c r="FO31" s="208"/>
      <c r="FP31" s="208"/>
      <c r="FQ31" s="41"/>
      <c r="FR31" s="67"/>
      <c r="FS31" s="104"/>
      <c r="FT31" s="113"/>
      <c r="FU31" s="87"/>
      <c r="FV31" s="104"/>
      <c r="FW31" s="148"/>
      <c r="FX31" s="33"/>
      <c r="FY31" s="124"/>
      <c r="FZ31" s="113"/>
      <c r="GA31" s="87"/>
      <c r="GB31" s="104"/>
      <c r="GC31" s="155"/>
      <c r="GD31" s="113"/>
      <c r="GE31" s="87"/>
      <c r="GF31" s="148"/>
      <c r="GG31" s="208"/>
      <c r="GH31" s="104"/>
      <c r="GI31" s="248"/>
      <c r="GJ31" s="200"/>
      <c r="GK31" s="77"/>
      <c r="GL31" s="41"/>
      <c r="GM31" s="91"/>
      <c r="GN31" s="108"/>
      <c r="GO31" s="108"/>
      <c r="GP31" s="41"/>
      <c r="GQ31" s="91"/>
      <c r="GR31" s="49"/>
      <c r="GS31" s="108"/>
      <c r="GT31" s="108"/>
      <c r="GU31" s="108"/>
      <c r="GV31" s="41"/>
      <c r="GW31" s="91"/>
      <c r="GX31" s="104"/>
      <c r="GY31" s="41"/>
      <c r="GZ31" s="104"/>
      <c r="HA31" s="113"/>
      <c r="HB31" s="274"/>
      <c r="HC31" s="41"/>
      <c r="HD31" s="91"/>
      <c r="HE31" s="41"/>
      <c r="HF31" s="91"/>
      <c r="HG31" s="41"/>
      <c r="HH31" s="104"/>
      <c r="HI31" s="152"/>
      <c r="HJ31" s="77"/>
      <c r="HK31" s="49"/>
      <c r="HL31" s="41"/>
      <c r="HM31" s="104"/>
      <c r="HN31" s="113"/>
      <c r="HO31" s="41"/>
      <c r="HP31" s="91"/>
      <c r="HQ31" s="41"/>
      <c r="HR31" s="91"/>
      <c r="HS31" s="37"/>
      <c r="HT31" s="82"/>
      <c r="HU31" s="41"/>
      <c r="HV31" s="91"/>
      <c r="HW31" s="41"/>
      <c r="HX31" s="91"/>
      <c r="HY31" s="37"/>
      <c r="HZ31" s="41"/>
      <c r="IA31" s="77"/>
      <c r="IB31" s="41"/>
      <c r="IC31" s="91"/>
      <c r="ID31" s="41"/>
      <c r="IE31" s="77"/>
      <c r="IF31" s="49"/>
      <c r="IG31" s="37"/>
      <c r="IH31" s="33"/>
      <c r="II31" s="281"/>
      <c r="IJ31" s="260"/>
      <c r="IK31" s="261"/>
    </row>
    <row r="32" spans="1:245" x14ac:dyDescent="0.25">
      <c r="A32" s="129">
        <v>44334</v>
      </c>
      <c r="B32" s="18" t="s">
        <v>33</v>
      </c>
      <c r="C32" s="21">
        <f t="shared" si="4"/>
        <v>-17.54</v>
      </c>
      <c r="D32" s="384"/>
      <c r="E32" s="384"/>
      <c r="F32" s="143"/>
      <c r="G32" s="143"/>
      <c r="H32" s="82"/>
      <c r="I32" s="82"/>
      <c r="J32" s="108"/>
      <c r="K32" s="41"/>
      <c r="L32" s="67"/>
      <c r="M32" s="91"/>
      <c r="N32" s="41"/>
      <c r="O32" s="372"/>
      <c r="P32" s="104"/>
      <c r="Q32" s="161"/>
      <c r="R32" s="113"/>
      <c r="S32" s="72"/>
      <c r="T32" s="41"/>
      <c r="U32" s="67"/>
      <c r="V32" s="72"/>
      <c r="W32" s="161"/>
      <c r="X32" s="41"/>
      <c r="Y32" s="67"/>
      <c r="Z32" s="77"/>
      <c r="AA32" s="41"/>
      <c r="AB32" s="67"/>
      <c r="AC32" s="104"/>
      <c r="AD32" s="113"/>
      <c r="AE32" s="41"/>
      <c r="AF32" s="67"/>
      <c r="AG32" s="104"/>
      <c r="AH32" s="119"/>
      <c r="AI32" s="124"/>
      <c r="AJ32" s="161"/>
      <c r="AK32" s="241"/>
      <c r="AL32" s="41"/>
      <c r="AM32" s="67"/>
      <c r="AN32" s="104"/>
      <c r="AO32" s="45"/>
      <c r="AP32" s="41"/>
      <c r="AQ32" s="67"/>
      <c r="AR32" s="104"/>
      <c r="AS32" s="119"/>
      <c r="AT32" s="45"/>
      <c r="AU32" s="41"/>
      <c r="AV32" s="67"/>
      <c r="AW32" s="104"/>
      <c r="AX32" s="119"/>
      <c r="AY32" s="124"/>
      <c r="AZ32" s="152"/>
      <c r="BA32" s="41"/>
      <c r="BB32" s="67"/>
      <c r="BC32" s="104"/>
      <c r="BD32" s="119"/>
      <c r="BE32" s="124"/>
      <c r="BF32" s="152"/>
      <c r="BG32" s="41"/>
      <c r="BH32" s="67"/>
      <c r="BI32" s="104"/>
      <c r="BJ32" s="119"/>
      <c r="BK32" s="124"/>
      <c r="BL32" s="152"/>
      <c r="BM32" s="87">
        <v>-8.7899999999999991</v>
      </c>
      <c r="BN32" s="67"/>
      <c r="BO32" s="104"/>
      <c r="BP32" s="119"/>
      <c r="BQ32" s="124"/>
      <c r="BR32" s="152"/>
      <c r="BS32" s="41"/>
      <c r="BT32" s="67">
        <v>-8.75</v>
      </c>
      <c r="BU32" s="104"/>
      <c r="BV32" s="119"/>
      <c r="BW32" s="124"/>
      <c r="BX32" s="152"/>
      <c r="BY32" s="41"/>
      <c r="BZ32" s="67"/>
      <c r="CA32" s="104"/>
      <c r="CB32" s="119"/>
      <c r="CC32" s="124"/>
      <c r="CD32" s="152"/>
      <c r="CE32" s="41"/>
      <c r="CF32" s="67"/>
      <c r="CG32" s="104"/>
      <c r="CH32" s="119"/>
      <c r="CI32" s="124"/>
      <c r="CJ32" s="152"/>
      <c r="CK32" s="41"/>
      <c r="CL32" s="67"/>
      <c r="CM32" s="104"/>
      <c r="CN32" s="119"/>
      <c r="CO32" s="124"/>
      <c r="CP32" s="152"/>
      <c r="CQ32" s="41"/>
      <c r="CR32" s="67"/>
      <c r="CS32" s="72"/>
      <c r="CT32" s="119"/>
      <c r="CU32" s="124"/>
      <c r="CV32" s="113"/>
      <c r="CW32" s="41"/>
      <c r="CX32" s="67"/>
      <c r="CY32" s="104"/>
      <c r="CZ32" s="119"/>
      <c r="DA32" s="124"/>
      <c r="DB32" s="113"/>
      <c r="DC32" s="41"/>
      <c r="DD32" s="67"/>
      <c r="DE32" s="72"/>
      <c r="DF32" s="119"/>
      <c r="DG32" s="124"/>
      <c r="DH32" s="113"/>
      <c r="DI32" s="41"/>
      <c r="DJ32" s="67"/>
      <c r="DK32" s="104"/>
      <c r="DL32" s="119"/>
      <c r="DM32" s="45"/>
      <c r="DN32" s="41"/>
      <c r="DO32" s="372"/>
      <c r="DP32" s="72"/>
      <c r="DQ32" s="119"/>
      <c r="DR32" s="45"/>
      <c r="DS32" s="41"/>
      <c r="DT32" s="67"/>
      <c r="DU32" s="104"/>
      <c r="DV32" s="119"/>
      <c r="DW32" s="124"/>
      <c r="DX32" s="113"/>
      <c r="DY32" s="41"/>
      <c r="DZ32" s="67"/>
      <c r="EA32" s="72"/>
      <c r="EB32" s="119"/>
      <c r="EC32" s="124"/>
      <c r="ED32" s="113"/>
      <c r="EE32" s="41"/>
      <c r="EF32" s="67"/>
      <c r="EG32" s="72"/>
      <c r="EH32" s="192"/>
      <c r="EI32" s="148"/>
      <c r="EJ32" s="41"/>
      <c r="EK32" s="67"/>
      <c r="EL32" s="104"/>
      <c r="EM32" s="148"/>
      <c r="EN32" s="41"/>
      <c r="EO32" s="67"/>
      <c r="EP32" s="72"/>
      <c r="EQ32" s="45"/>
      <c r="ER32" s="41"/>
      <c r="ES32" s="67"/>
      <c r="ET32" s="104"/>
      <c r="EU32" s="124"/>
      <c r="EV32" s="169"/>
      <c r="EW32" s="87"/>
      <c r="EX32" s="248"/>
      <c r="EY32" s="87"/>
      <c r="EZ32" s="91"/>
      <c r="FA32" s="41"/>
      <c r="FB32" s="67"/>
      <c r="FC32" s="104"/>
      <c r="FD32" s="124"/>
      <c r="FE32" s="169"/>
      <c r="FF32" s="87"/>
      <c r="FG32" s="72"/>
      <c r="FH32" s="45"/>
      <c r="FI32" s="41"/>
      <c r="FJ32" s="67"/>
      <c r="FK32" s="104"/>
      <c r="FL32" s="45"/>
      <c r="FM32" s="41"/>
      <c r="FN32" s="148"/>
      <c r="FO32" s="208"/>
      <c r="FP32" s="208"/>
      <c r="FQ32" s="41"/>
      <c r="FR32" s="67"/>
      <c r="FS32" s="104"/>
      <c r="FT32" s="113"/>
      <c r="FU32" s="87"/>
      <c r="FV32" s="104"/>
      <c r="FW32" s="148"/>
      <c r="FX32" s="33"/>
      <c r="FY32" s="124"/>
      <c r="FZ32" s="113"/>
      <c r="GA32" s="87"/>
      <c r="GB32" s="104"/>
      <c r="GC32" s="155"/>
      <c r="GD32" s="113"/>
      <c r="GE32" s="87"/>
      <c r="GF32" s="148"/>
      <c r="GG32" s="208"/>
      <c r="GH32" s="104"/>
      <c r="GI32" s="248"/>
      <c r="GJ32" s="200"/>
      <c r="GK32" s="77"/>
      <c r="GL32" s="41"/>
      <c r="GM32" s="91"/>
      <c r="GN32" s="108"/>
      <c r="GO32" s="108"/>
      <c r="GP32" s="41"/>
      <c r="GQ32" s="91"/>
      <c r="GR32" s="49"/>
      <c r="GS32" s="108"/>
      <c r="GT32" s="108"/>
      <c r="GU32" s="108"/>
      <c r="GV32" s="41"/>
      <c r="GW32" s="91"/>
      <c r="GX32" s="104"/>
      <c r="GY32" s="41"/>
      <c r="GZ32" s="104"/>
      <c r="HA32" s="113"/>
      <c r="HB32" s="274"/>
      <c r="HC32" s="41"/>
      <c r="HD32" s="91"/>
      <c r="HE32" s="41"/>
      <c r="HF32" s="91"/>
      <c r="HG32" s="41"/>
      <c r="HH32" s="104"/>
      <c r="HI32" s="152"/>
      <c r="HJ32" s="77"/>
      <c r="HK32" s="49"/>
      <c r="HL32" s="41"/>
      <c r="HM32" s="104"/>
      <c r="HN32" s="113"/>
      <c r="HO32" s="41"/>
      <c r="HP32" s="91"/>
      <c r="HQ32" s="41"/>
      <c r="HR32" s="91"/>
      <c r="HS32" s="37"/>
      <c r="HT32" s="82"/>
      <c r="HU32" s="41"/>
      <c r="HV32" s="91"/>
      <c r="HW32" s="41"/>
      <c r="HX32" s="91"/>
      <c r="HY32" s="37"/>
      <c r="HZ32" s="41"/>
      <c r="IA32" s="77"/>
      <c r="IB32" s="41"/>
      <c r="IC32" s="91"/>
      <c r="ID32" s="41"/>
      <c r="IE32" s="77"/>
      <c r="IF32" s="49"/>
      <c r="IG32" s="37"/>
      <c r="IH32" s="33"/>
      <c r="II32" s="281"/>
      <c r="IJ32" s="260"/>
      <c r="IK32" s="261"/>
    </row>
    <row r="33" spans="1:257" x14ac:dyDescent="0.25">
      <c r="A33" s="129">
        <v>44334</v>
      </c>
      <c r="B33" s="18" t="s">
        <v>3</v>
      </c>
      <c r="C33" s="21">
        <f t="shared" si="4"/>
        <v>5556.7049999999999</v>
      </c>
      <c r="D33" s="384"/>
      <c r="E33" s="384"/>
      <c r="F33" s="143"/>
      <c r="G33" s="143"/>
      <c r="H33" s="82"/>
      <c r="I33" s="82"/>
      <c r="J33" s="108"/>
      <c r="K33" s="41"/>
      <c r="L33" s="67"/>
      <c r="M33" s="91"/>
      <c r="N33" s="41"/>
      <c r="O33" s="372">
        <v>511.46</v>
      </c>
      <c r="P33" s="104"/>
      <c r="Q33" s="161"/>
      <c r="R33" s="113"/>
      <c r="S33" s="72"/>
      <c r="T33" s="41"/>
      <c r="U33" s="67"/>
      <c r="V33" s="72"/>
      <c r="W33" s="161"/>
      <c r="X33" s="41"/>
      <c r="Y33" s="67"/>
      <c r="Z33" s="77"/>
      <c r="AA33" s="41"/>
      <c r="AB33" s="67"/>
      <c r="AC33" s="104"/>
      <c r="AD33" s="113"/>
      <c r="AE33" s="41"/>
      <c r="AF33" s="67"/>
      <c r="AG33" s="104"/>
      <c r="AH33" s="119"/>
      <c r="AI33" s="124"/>
      <c r="AJ33" s="161"/>
      <c r="AK33" s="241"/>
      <c r="AL33" s="41"/>
      <c r="AM33" s="67"/>
      <c r="AN33" s="104"/>
      <c r="AO33" s="45"/>
      <c r="AP33" s="41"/>
      <c r="AQ33" s="67"/>
      <c r="AR33" s="104"/>
      <c r="AS33" s="119"/>
      <c r="AT33" s="45"/>
      <c r="AU33" s="41"/>
      <c r="AV33" s="67"/>
      <c r="AW33" s="104"/>
      <c r="AX33" s="119"/>
      <c r="AY33" s="124"/>
      <c r="AZ33" s="152"/>
      <c r="BA33" s="41"/>
      <c r="BB33" s="67">
        <v>1018.41</v>
      </c>
      <c r="BC33" s="104"/>
      <c r="BD33" s="119"/>
      <c r="BE33" s="124"/>
      <c r="BF33" s="152"/>
      <c r="BG33" s="41"/>
      <c r="BH33" s="67">
        <v>504.59500000000003</v>
      </c>
      <c r="BI33" s="104"/>
      <c r="BJ33" s="119"/>
      <c r="BK33" s="124"/>
      <c r="BL33" s="152"/>
      <c r="BM33" s="87"/>
      <c r="BN33" s="67">
        <v>499.01</v>
      </c>
      <c r="BO33" s="104"/>
      <c r="BP33" s="119"/>
      <c r="BQ33" s="124"/>
      <c r="BR33" s="152"/>
      <c r="BS33" s="41"/>
      <c r="BT33" s="67">
        <v>506.17</v>
      </c>
      <c r="BU33" s="104"/>
      <c r="BV33" s="119"/>
      <c r="BW33" s="124"/>
      <c r="BX33" s="152"/>
      <c r="BY33" s="41"/>
      <c r="BZ33" s="67"/>
      <c r="CA33" s="104"/>
      <c r="CB33" s="119"/>
      <c r="CC33" s="124"/>
      <c r="CD33" s="152"/>
      <c r="CE33" s="41"/>
      <c r="CF33" s="67">
        <v>506.935</v>
      </c>
      <c r="CG33" s="104"/>
      <c r="CH33" s="119"/>
      <c r="CI33" s="124"/>
      <c r="CJ33" s="152"/>
      <c r="CK33" s="41"/>
      <c r="CL33" s="67">
        <v>505.91500000000002</v>
      </c>
      <c r="CM33" s="104"/>
      <c r="CN33" s="119"/>
      <c r="CO33" s="124"/>
      <c r="CP33" s="152"/>
      <c r="CQ33" s="41"/>
      <c r="CR33" s="67"/>
      <c r="CS33" s="72"/>
      <c r="CT33" s="119"/>
      <c r="CU33" s="124"/>
      <c r="CV33" s="113"/>
      <c r="CW33" s="41"/>
      <c r="CX33" s="67">
        <v>502.16</v>
      </c>
      <c r="CY33" s="104"/>
      <c r="CZ33" s="119"/>
      <c r="DA33" s="124"/>
      <c r="DB33" s="113"/>
      <c r="DC33" s="41"/>
      <c r="DD33" s="67">
        <v>502.63499999999999</v>
      </c>
      <c r="DE33" s="72"/>
      <c r="DF33" s="119"/>
      <c r="DG33" s="124"/>
      <c r="DH33" s="113"/>
      <c r="DI33" s="41"/>
      <c r="DJ33" s="67">
        <v>499.41500000000002</v>
      </c>
      <c r="DK33" s="104"/>
      <c r="DL33" s="119"/>
      <c r="DM33" s="45"/>
      <c r="DN33" s="41"/>
      <c r="DO33" s="372"/>
      <c r="DP33" s="72"/>
      <c r="DQ33" s="119"/>
      <c r="DR33" s="45"/>
      <c r="DS33" s="41"/>
      <c r="DT33" s="67"/>
      <c r="DU33" s="104"/>
      <c r="DV33" s="119"/>
      <c r="DW33" s="124"/>
      <c r="DX33" s="113"/>
      <c r="DY33" s="41"/>
      <c r="DZ33" s="67"/>
      <c r="EA33" s="72"/>
      <c r="EB33" s="119"/>
      <c r="EC33" s="124"/>
      <c r="ED33" s="113"/>
      <c r="EE33" s="41"/>
      <c r="EF33" s="67"/>
      <c r="EG33" s="72"/>
      <c r="EH33" s="192"/>
      <c r="EI33" s="148"/>
      <c r="EJ33" s="41"/>
      <c r="EK33" s="67"/>
      <c r="EL33" s="104"/>
      <c r="EM33" s="148"/>
      <c r="EN33" s="41"/>
      <c r="EO33" s="67"/>
      <c r="EP33" s="72"/>
      <c r="EQ33" s="45"/>
      <c r="ER33" s="41"/>
      <c r="ES33" s="67"/>
      <c r="ET33" s="104"/>
      <c r="EU33" s="124"/>
      <c r="EV33" s="169"/>
      <c r="EW33" s="87"/>
      <c r="EX33" s="248"/>
      <c r="EY33" s="87"/>
      <c r="EZ33" s="91"/>
      <c r="FA33" s="41"/>
      <c r="FB33" s="67"/>
      <c r="FC33" s="104"/>
      <c r="FD33" s="124"/>
      <c r="FE33" s="169"/>
      <c r="FF33" s="87"/>
      <c r="FG33" s="72"/>
      <c r="FH33" s="45"/>
      <c r="FI33" s="41"/>
      <c r="FJ33" s="67"/>
      <c r="FK33" s="104"/>
      <c r="FL33" s="45"/>
      <c r="FM33" s="41"/>
      <c r="FN33" s="148"/>
      <c r="FO33" s="208"/>
      <c r="FP33" s="208"/>
      <c r="FQ33" s="41"/>
      <c r="FR33" s="67"/>
      <c r="FS33" s="104"/>
      <c r="FT33" s="113"/>
      <c r="FU33" s="87"/>
      <c r="FV33" s="104"/>
      <c r="FW33" s="148"/>
      <c r="FX33" s="33"/>
      <c r="FY33" s="124"/>
      <c r="FZ33" s="113"/>
      <c r="GA33" s="87"/>
      <c r="GB33" s="104"/>
      <c r="GC33" s="155"/>
      <c r="GD33" s="113"/>
      <c r="GE33" s="87"/>
      <c r="GF33" s="148"/>
      <c r="GG33" s="208"/>
      <c r="GH33" s="104"/>
      <c r="GI33" s="248"/>
      <c r="GJ33" s="200"/>
      <c r="GK33" s="77"/>
      <c r="GL33" s="41"/>
      <c r="GM33" s="91"/>
      <c r="GN33" s="108"/>
      <c r="GO33" s="108"/>
      <c r="GP33" s="41"/>
      <c r="GQ33" s="91"/>
      <c r="GR33" s="49"/>
      <c r="GS33" s="108"/>
      <c r="GT33" s="108"/>
      <c r="GU33" s="108"/>
      <c r="GV33" s="41"/>
      <c r="GW33" s="91"/>
      <c r="GX33" s="104"/>
      <c r="GY33" s="41"/>
      <c r="GZ33" s="104"/>
      <c r="HA33" s="113"/>
      <c r="HB33" s="274"/>
      <c r="HC33" s="41"/>
      <c r="HD33" s="91"/>
      <c r="HE33" s="41"/>
      <c r="HF33" s="91"/>
      <c r="HG33" s="41"/>
      <c r="HH33" s="104"/>
      <c r="HI33" s="152"/>
      <c r="HJ33" s="77"/>
      <c r="HK33" s="49"/>
      <c r="HL33" s="41"/>
      <c r="HM33" s="104"/>
      <c r="HN33" s="113"/>
      <c r="HO33" s="41"/>
      <c r="HP33" s="91"/>
      <c r="HQ33" s="41"/>
      <c r="HR33" s="91"/>
      <c r="HS33" s="37"/>
      <c r="HT33" s="82"/>
      <c r="HU33" s="41"/>
      <c r="HV33" s="91"/>
      <c r="HW33" s="41"/>
      <c r="HX33" s="91"/>
      <c r="HY33" s="37"/>
      <c r="HZ33" s="41"/>
      <c r="IA33" s="77"/>
      <c r="IB33" s="41"/>
      <c r="IC33" s="91"/>
      <c r="ID33" s="41"/>
      <c r="IE33" s="77"/>
      <c r="IF33" s="49"/>
      <c r="IG33" s="37"/>
      <c r="IH33" s="33"/>
      <c r="II33" s="281"/>
      <c r="IJ33" s="260"/>
      <c r="IK33" s="261"/>
    </row>
    <row r="34" spans="1:257" x14ac:dyDescent="0.25">
      <c r="A34" s="129">
        <v>44334</v>
      </c>
      <c r="B34" s="18" t="s">
        <v>13</v>
      </c>
      <c r="C34" s="21">
        <f t="shared" si="4"/>
        <v>-268.12</v>
      </c>
      <c r="D34" s="384"/>
      <c r="E34" s="384"/>
      <c r="F34" s="143"/>
      <c r="G34" s="143"/>
      <c r="H34" s="82"/>
      <c r="I34" s="82"/>
      <c r="J34" s="108"/>
      <c r="K34" s="41"/>
      <c r="L34" s="67"/>
      <c r="M34" s="91"/>
      <c r="N34" s="41"/>
      <c r="O34" s="372"/>
      <c r="P34" s="104"/>
      <c r="Q34" s="161"/>
      <c r="R34" s="113"/>
      <c r="S34" s="72"/>
      <c r="T34" s="41"/>
      <c r="U34" s="67"/>
      <c r="V34" s="72"/>
      <c r="W34" s="161"/>
      <c r="X34" s="41"/>
      <c r="Y34" s="67"/>
      <c r="Z34" s="77"/>
      <c r="AA34" s="41"/>
      <c r="AB34" s="67"/>
      <c r="AC34" s="104"/>
      <c r="AD34" s="113"/>
      <c r="AE34" s="41"/>
      <c r="AF34" s="67"/>
      <c r="AG34" s="104"/>
      <c r="AH34" s="119"/>
      <c r="AI34" s="124"/>
      <c r="AJ34" s="161"/>
      <c r="AK34" s="241"/>
      <c r="AL34" s="41"/>
      <c r="AM34" s="67"/>
      <c r="AN34" s="104"/>
      <c r="AO34" s="45"/>
      <c r="AP34" s="41"/>
      <c r="AQ34" s="67"/>
      <c r="AR34" s="104"/>
      <c r="AS34" s="119"/>
      <c r="AT34" s="45"/>
      <c r="AU34" s="41"/>
      <c r="AV34" s="67"/>
      <c r="AW34" s="104"/>
      <c r="AX34" s="119"/>
      <c r="AY34" s="124"/>
      <c r="AZ34" s="152"/>
      <c r="BA34" s="41"/>
      <c r="BB34" s="67"/>
      <c r="BC34" s="104"/>
      <c r="BD34" s="119"/>
      <c r="BE34" s="124"/>
      <c r="BF34" s="152"/>
      <c r="BG34" s="41"/>
      <c r="BH34" s="67">
        <v>-32.704999999999998</v>
      </c>
      <c r="BI34" s="104"/>
      <c r="BJ34" s="119"/>
      <c r="BK34" s="124"/>
      <c r="BL34" s="152"/>
      <c r="BM34" s="87"/>
      <c r="BN34" s="67">
        <v>-33.340000000000003</v>
      </c>
      <c r="BO34" s="104"/>
      <c r="BP34" s="119"/>
      <c r="BQ34" s="124"/>
      <c r="BR34" s="152"/>
      <c r="BS34" s="41"/>
      <c r="BT34" s="67">
        <v>-33.375</v>
      </c>
      <c r="BU34" s="104"/>
      <c r="BV34" s="119"/>
      <c r="BW34" s="124"/>
      <c r="BX34" s="152"/>
      <c r="BY34" s="41"/>
      <c r="BZ34" s="67">
        <v>-33.744999999999997</v>
      </c>
      <c r="CA34" s="104"/>
      <c r="CB34" s="119"/>
      <c r="CC34" s="124"/>
      <c r="CD34" s="152"/>
      <c r="CE34" s="41"/>
      <c r="CF34" s="67"/>
      <c r="CG34" s="104"/>
      <c r="CH34" s="119"/>
      <c r="CI34" s="124"/>
      <c r="CJ34" s="152"/>
      <c r="CK34" s="41"/>
      <c r="CL34" s="67"/>
      <c r="CM34" s="104"/>
      <c r="CN34" s="119"/>
      <c r="CO34" s="124"/>
      <c r="CP34" s="152"/>
      <c r="CQ34" s="41"/>
      <c r="CR34" s="67">
        <v>-67.555000000000007</v>
      </c>
      <c r="CS34" s="72"/>
      <c r="CT34" s="119"/>
      <c r="CU34" s="124"/>
      <c r="CV34" s="113"/>
      <c r="CW34" s="41"/>
      <c r="CX34" s="67">
        <v>-33.725000000000001</v>
      </c>
      <c r="CY34" s="104"/>
      <c r="CZ34" s="119"/>
      <c r="DA34" s="124"/>
      <c r="DB34" s="113"/>
      <c r="DC34" s="41"/>
      <c r="DD34" s="67"/>
      <c r="DE34" s="72"/>
      <c r="DF34" s="119"/>
      <c r="DG34" s="124"/>
      <c r="DH34" s="113"/>
      <c r="DI34" s="41"/>
      <c r="DJ34" s="67"/>
      <c r="DK34" s="104"/>
      <c r="DL34" s="119"/>
      <c r="DM34" s="45"/>
      <c r="DN34" s="41"/>
      <c r="DO34" s="372"/>
      <c r="DP34" s="72"/>
      <c r="DQ34" s="119"/>
      <c r="DR34" s="45"/>
      <c r="DS34" s="41"/>
      <c r="DT34" s="67">
        <v>-33.674999999999997</v>
      </c>
      <c r="DU34" s="104"/>
      <c r="DV34" s="119"/>
      <c r="DW34" s="124"/>
      <c r="DX34" s="113"/>
      <c r="DY34" s="41"/>
      <c r="DZ34" s="67"/>
      <c r="EA34" s="72"/>
      <c r="EB34" s="119"/>
      <c r="EC34" s="124"/>
      <c r="ED34" s="113"/>
      <c r="EE34" s="41"/>
      <c r="EF34" s="67"/>
      <c r="EG34" s="72"/>
      <c r="EH34" s="192"/>
      <c r="EI34" s="148"/>
      <c r="EJ34" s="41"/>
      <c r="EK34" s="67"/>
      <c r="EL34" s="104"/>
      <c r="EM34" s="148"/>
      <c r="EN34" s="41"/>
      <c r="EO34" s="67"/>
      <c r="EP34" s="72"/>
      <c r="EQ34" s="45"/>
      <c r="ER34" s="41"/>
      <c r="ES34" s="67"/>
      <c r="ET34" s="104"/>
      <c r="EU34" s="124"/>
      <c r="EV34" s="169"/>
      <c r="EW34" s="87"/>
      <c r="EX34" s="248"/>
      <c r="EY34" s="87"/>
      <c r="EZ34" s="91"/>
      <c r="FA34" s="41"/>
      <c r="FB34" s="67"/>
      <c r="FC34" s="104"/>
      <c r="FD34" s="124"/>
      <c r="FE34" s="169"/>
      <c r="FF34" s="87"/>
      <c r="FG34" s="72"/>
      <c r="FH34" s="45"/>
      <c r="FI34" s="41"/>
      <c r="FJ34" s="67"/>
      <c r="FK34" s="104"/>
      <c r="FL34" s="45"/>
      <c r="FM34" s="41"/>
      <c r="FN34" s="148"/>
      <c r="FO34" s="208"/>
      <c r="FP34" s="208"/>
      <c r="FQ34" s="41"/>
      <c r="FR34" s="67"/>
      <c r="FS34" s="104"/>
      <c r="FT34" s="113"/>
      <c r="FU34" s="87"/>
      <c r="FV34" s="104"/>
      <c r="FW34" s="148"/>
      <c r="FX34" s="33"/>
      <c r="FY34" s="124"/>
      <c r="FZ34" s="113"/>
      <c r="GA34" s="87"/>
      <c r="GB34" s="104"/>
      <c r="GC34" s="155"/>
      <c r="GD34" s="113"/>
      <c r="GE34" s="87"/>
      <c r="GF34" s="148"/>
      <c r="GG34" s="208"/>
      <c r="GH34" s="104"/>
      <c r="GI34" s="248"/>
      <c r="GJ34" s="200"/>
      <c r="GK34" s="77"/>
      <c r="GL34" s="41"/>
      <c r="GM34" s="91"/>
      <c r="GN34" s="108"/>
      <c r="GO34" s="108"/>
      <c r="GP34" s="41"/>
      <c r="GQ34" s="91"/>
      <c r="GR34" s="49"/>
      <c r="GS34" s="108"/>
      <c r="GT34" s="108"/>
      <c r="GU34" s="108"/>
      <c r="GV34" s="41"/>
      <c r="GW34" s="91"/>
      <c r="GX34" s="104"/>
      <c r="GY34" s="41"/>
      <c r="GZ34" s="104"/>
      <c r="HA34" s="113"/>
      <c r="HB34" s="274"/>
      <c r="HC34" s="41"/>
      <c r="HD34" s="91"/>
      <c r="HE34" s="41"/>
      <c r="HF34" s="91"/>
      <c r="HG34" s="41"/>
      <c r="HH34" s="104"/>
      <c r="HI34" s="152"/>
      <c r="HJ34" s="77"/>
      <c r="HK34" s="49"/>
      <c r="HL34" s="41"/>
      <c r="HM34" s="104"/>
      <c r="HN34" s="113"/>
      <c r="HO34" s="41"/>
      <c r="HP34" s="91"/>
      <c r="HQ34" s="41"/>
      <c r="HR34" s="91"/>
      <c r="HS34" s="37"/>
      <c r="HT34" s="82"/>
      <c r="HU34" s="41"/>
      <c r="HV34" s="91"/>
      <c r="HW34" s="41"/>
      <c r="HX34" s="91"/>
      <c r="HY34" s="37"/>
      <c r="HZ34" s="41"/>
      <c r="IA34" s="77"/>
      <c r="IB34" s="41"/>
      <c r="IC34" s="91"/>
      <c r="ID34" s="41"/>
      <c r="IE34" s="77"/>
      <c r="IF34" s="49"/>
      <c r="IG34" s="37"/>
      <c r="IH34" s="33"/>
      <c r="II34" s="281"/>
      <c r="IJ34" s="260"/>
      <c r="IK34" s="261"/>
    </row>
    <row r="35" spans="1:257" x14ac:dyDescent="0.25">
      <c r="A35" s="129">
        <v>44334</v>
      </c>
      <c r="B35" s="18" t="s">
        <v>17</v>
      </c>
      <c r="C35" s="21">
        <f t="shared" si="4"/>
        <v>-200.83500000000001</v>
      </c>
      <c r="D35" s="384"/>
      <c r="E35" s="384"/>
      <c r="F35" s="143"/>
      <c r="G35" s="143"/>
      <c r="H35" s="82"/>
      <c r="I35" s="82"/>
      <c r="J35" s="108"/>
      <c r="K35" s="41"/>
      <c r="L35" s="67"/>
      <c r="M35" s="91"/>
      <c r="N35" s="41"/>
      <c r="O35" s="372"/>
      <c r="P35" s="104"/>
      <c r="Q35" s="161"/>
      <c r="R35" s="113"/>
      <c r="S35" s="72"/>
      <c r="T35" s="41"/>
      <c r="U35" s="67"/>
      <c r="V35" s="72"/>
      <c r="W35" s="161"/>
      <c r="X35" s="41"/>
      <c r="Y35" s="67"/>
      <c r="Z35" s="77"/>
      <c r="AA35" s="41"/>
      <c r="AB35" s="67"/>
      <c r="AC35" s="104"/>
      <c r="AD35" s="113"/>
      <c r="AE35" s="41"/>
      <c r="AF35" s="67"/>
      <c r="AG35" s="104"/>
      <c r="AH35" s="119"/>
      <c r="AI35" s="124"/>
      <c r="AJ35" s="161"/>
      <c r="AK35" s="241"/>
      <c r="AL35" s="41"/>
      <c r="AM35" s="67"/>
      <c r="AN35" s="104"/>
      <c r="AO35" s="45"/>
      <c r="AP35" s="41">
        <v>-32.28</v>
      </c>
      <c r="AQ35" s="67"/>
      <c r="AR35" s="104"/>
      <c r="AS35" s="119"/>
      <c r="AT35" s="45"/>
      <c r="AU35" s="41"/>
      <c r="AV35" s="67"/>
      <c r="AW35" s="104"/>
      <c r="AX35" s="119"/>
      <c r="AY35" s="124"/>
      <c r="AZ35" s="152"/>
      <c r="BA35" s="41"/>
      <c r="BB35" s="67">
        <v>-33.965000000000003</v>
      </c>
      <c r="BC35" s="104"/>
      <c r="BD35" s="119"/>
      <c r="BE35" s="124"/>
      <c r="BF35" s="152"/>
      <c r="BG35" s="41"/>
      <c r="BH35" s="67">
        <v>-33.695</v>
      </c>
      <c r="BI35" s="104"/>
      <c r="BJ35" s="119"/>
      <c r="BK35" s="124"/>
      <c r="BL35" s="152"/>
      <c r="BM35" s="87"/>
      <c r="BN35" s="67"/>
      <c r="BO35" s="104"/>
      <c r="BP35" s="119"/>
      <c r="BQ35" s="124"/>
      <c r="BR35" s="152"/>
      <c r="BS35" s="41"/>
      <c r="BT35" s="67">
        <v>-33.284999999999997</v>
      </c>
      <c r="BU35" s="104"/>
      <c r="BV35" s="119"/>
      <c r="BW35" s="124"/>
      <c r="BX35" s="152"/>
      <c r="BY35" s="41"/>
      <c r="BZ35" s="67">
        <v>-33.74</v>
      </c>
      <c r="CA35" s="104"/>
      <c r="CB35" s="119"/>
      <c r="CC35" s="124"/>
      <c r="CD35" s="152"/>
      <c r="CE35" s="41"/>
      <c r="CF35" s="67">
        <v>-33.869999999999997</v>
      </c>
      <c r="CG35" s="104"/>
      <c r="CH35" s="119"/>
      <c r="CI35" s="124"/>
      <c r="CJ35" s="152"/>
      <c r="CK35" s="41"/>
      <c r="CL35" s="67"/>
      <c r="CM35" s="104"/>
      <c r="CN35" s="119"/>
      <c r="CO35" s="124"/>
      <c r="CP35" s="152"/>
      <c r="CQ35" s="41"/>
      <c r="CR35" s="67"/>
      <c r="CS35" s="72"/>
      <c r="CT35" s="119"/>
      <c r="CU35" s="124"/>
      <c r="CV35" s="113"/>
      <c r="CW35" s="41"/>
      <c r="CX35" s="67"/>
      <c r="CY35" s="104"/>
      <c r="CZ35" s="119"/>
      <c r="DA35" s="124"/>
      <c r="DB35" s="113"/>
      <c r="DC35" s="41"/>
      <c r="DD35" s="67"/>
      <c r="DE35" s="72"/>
      <c r="DF35" s="119"/>
      <c r="DG35" s="124"/>
      <c r="DH35" s="113"/>
      <c r="DI35" s="41"/>
      <c r="DJ35" s="67"/>
      <c r="DK35" s="104"/>
      <c r="DL35" s="119"/>
      <c r="DM35" s="45"/>
      <c r="DN35" s="41"/>
      <c r="DO35" s="372"/>
      <c r="DP35" s="72"/>
      <c r="DQ35" s="119"/>
      <c r="DR35" s="45"/>
      <c r="DS35" s="41"/>
      <c r="DT35" s="67"/>
      <c r="DU35" s="104"/>
      <c r="DV35" s="119"/>
      <c r="DW35" s="124"/>
      <c r="DX35" s="113"/>
      <c r="DY35" s="41"/>
      <c r="DZ35" s="67"/>
      <c r="EA35" s="72"/>
      <c r="EB35" s="119"/>
      <c r="EC35" s="124"/>
      <c r="ED35" s="113"/>
      <c r="EE35" s="41"/>
      <c r="EF35" s="67"/>
      <c r="EG35" s="72"/>
      <c r="EH35" s="192"/>
      <c r="EI35" s="148"/>
      <c r="EJ35" s="41"/>
      <c r="EK35" s="67"/>
      <c r="EL35" s="104"/>
      <c r="EM35" s="148"/>
      <c r="EN35" s="41"/>
      <c r="EO35" s="67"/>
      <c r="EP35" s="72"/>
      <c r="EQ35" s="45"/>
      <c r="ER35" s="41"/>
      <c r="ES35" s="67"/>
      <c r="ET35" s="104"/>
      <c r="EU35" s="124"/>
      <c r="EV35" s="169"/>
      <c r="EW35" s="87"/>
      <c r="EX35" s="248"/>
      <c r="EY35" s="87"/>
      <c r="EZ35" s="91"/>
      <c r="FA35" s="41"/>
      <c r="FB35" s="67"/>
      <c r="FC35" s="104"/>
      <c r="FD35" s="124"/>
      <c r="FE35" s="169"/>
      <c r="FF35" s="87"/>
      <c r="FG35" s="72"/>
      <c r="FH35" s="45"/>
      <c r="FI35" s="41"/>
      <c r="FJ35" s="67"/>
      <c r="FK35" s="104"/>
      <c r="FL35" s="45"/>
      <c r="FM35" s="41"/>
      <c r="FN35" s="148"/>
      <c r="FO35" s="208"/>
      <c r="FP35" s="208"/>
      <c r="FQ35" s="41"/>
      <c r="FR35" s="67"/>
      <c r="FS35" s="104"/>
      <c r="FT35" s="113"/>
      <c r="FU35" s="87"/>
      <c r="FV35" s="104"/>
      <c r="FW35" s="148"/>
      <c r="FX35" s="33"/>
      <c r="FY35" s="124"/>
      <c r="FZ35" s="113"/>
      <c r="GA35" s="87"/>
      <c r="GB35" s="104"/>
      <c r="GC35" s="155"/>
      <c r="GD35" s="113"/>
      <c r="GE35" s="87"/>
      <c r="GF35" s="148"/>
      <c r="GG35" s="208"/>
      <c r="GH35" s="104"/>
      <c r="GI35" s="248"/>
      <c r="GJ35" s="200"/>
      <c r="GK35" s="77"/>
      <c r="GL35" s="41"/>
      <c r="GM35" s="91"/>
      <c r="GN35" s="108"/>
      <c r="GO35" s="108"/>
      <c r="GP35" s="41"/>
      <c r="GQ35" s="91"/>
      <c r="GR35" s="49"/>
      <c r="GS35" s="108"/>
      <c r="GT35" s="108"/>
      <c r="GU35" s="108"/>
      <c r="GV35" s="41"/>
      <c r="GW35" s="91"/>
      <c r="GX35" s="104"/>
      <c r="GY35" s="41"/>
      <c r="GZ35" s="104"/>
      <c r="HA35" s="113"/>
      <c r="HB35" s="274"/>
      <c r="HC35" s="41"/>
      <c r="HD35" s="91"/>
      <c r="HE35" s="41"/>
      <c r="HF35" s="91"/>
      <c r="HG35" s="41"/>
      <c r="HH35" s="104"/>
      <c r="HI35" s="152"/>
      <c r="HJ35" s="77"/>
      <c r="HK35" s="49"/>
      <c r="HL35" s="41"/>
      <c r="HM35" s="104"/>
      <c r="HN35" s="113"/>
      <c r="HO35" s="41"/>
      <c r="HP35" s="91"/>
      <c r="HQ35" s="41"/>
      <c r="HR35" s="91"/>
      <c r="HS35" s="37"/>
      <c r="HT35" s="82"/>
      <c r="HU35" s="41"/>
      <c r="HV35" s="91"/>
      <c r="HW35" s="41"/>
      <c r="HX35" s="91"/>
      <c r="HY35" s="37"/>
      <c r="HZ35" s="41"/>
      <c r="IA35" s="77"/>
      <c r="IB35" s="41"/>
      <c r="IC35" s="91"/>
      <c r="ID35" s="41"/>
      <c r="IE35" s="77"/>
      <c r="IF35" s="49"/>
      <c r="IG35" s="37"/>
      <c r="IH35" s="33"/>
      <c r="II35" s="281"/>
      <c r="IJ35" s="260"/>
      <c r="IK35" s="261"/>
    </row>
    <row r="36" spans="1:257" x14ac:dyDescent="0.25">
      <c r="A36" s="129">
        <v>44334</v>
      </c>
      <c r="B36" s="18" t="s">
        <v>32</v>
      </c>
      <c r="C36" s="21">
        <f t="shared" si="4"/>
        <v>-243.85</v>
      </c>
      <c r="D36" s="384"/>
      <c r="E36" s="384"/>
      <c r="F36" s="143"/>
      <c r="G36" s="143"/>
      <c r="H36" s="82"/>
      <c r="I36" s="82"/>
      <c r="J36" s="108"/>
      <c r="K36" s="41"/>
      <c r="L36" s="67"/>
      <c r="M36" s="91"/>
      <c r="N36" s="41"/>
      <c r="O36" s="372"/>
      <c r="P36" s="104"/>
      <c r="Q36" s="161"/>
      <c r="R36" s="113"/>
      <c r="S36" s="72"/>
      <c r="T36" s="41"/>
      <c r="U36" s="67"/>
      <c r="V36" s="72"/>
      <c r="W36" s="161"/>
      <c r="X36" s="41"/>
      <c r="Y36" s="67"/>
      <c r="Z36" s="77"/>
      <c r="AA36" s="41"/>
      <c r="AB36" s="67"/>
      <c r="AC36" s="104"/>
      <c r="AD36" s="113"/>
      <c r="AE36" s="41"/>
      <c r="AF36" s="67"/>
      <c r="AG36" s="104"/>
      <c r="AH36" s="119"/>
      <c r="AI36" s="124"/>
      <c r="AJ36" s="161"/>
      <c r="AK36" s="241"/>
      <c r="AL36" s="41"/>
      <c r="AM36" s="67">
        <v>-16.84</v>
      </c>
      <c r="AN36" s="104"/>
      <c r="AO36" s="45"/>
      <c r="AP36" s="41">
        <v>-15.61</v>
      </c>
      <c r="AQ36" s="67"/>
      <c r="AR36" s="104"/>
      <c r="AS36" s="119"/>
      <c r="AT36" s="45"/>
      <c r="AU36" s="41"/>
      <c r="AV36" s="67"/>
      <c r="AW36" s="104"/>
      <c r="AX36" s="119"/>
      <c r="AY36" s="124"/>
      <c r="AZ36" s="152"/>
      <c r="BA36" s="41">
        <v>-35.08</v>
      </c>
      <c r="BB36" s="67"/>
      <c r="BC36" s="104"/>
      <c r="BD36" s="119"/>
      <c r="BE36" s="124"/>
      <c r="BF36" s="152"/>
      <c r="BG36" s="41"/>
      <c r="BH36" s="67">
        <v>-32.840000000000003</v>
      </c>
      <c r="BI36" s="104"/>
      <c r="BJ36" s="119"/>
      <c r="BK36" s="124"/>
      <c r="BL36" s="152"/>
      <c r="BM36" s="87"/>
      <c r="BN36" s="67"/>
      <c r="BO36" s="104"/>
      <c r="BP36" s="119"/>
      <c r="BQ36" s="124"/>
      <c r="BR36" s="152"/>
      <c r="BS36" s="41">
        <v>-34.57</v>
      </c>
      <c r="BT36" s="67"/>
      <c r="BU36" s="104"/>
      <c r="BV36" s="119"/>
      <c r="BW36" s="124"/>
      <c r="BX36" s="152"/>
      <c r="BY36" s="41">
        <v>-34.49</v>
      </c>
      <c r="BZ36" s="67"/>
      <c r="CA36" s="104"/>
      <c r="CB36" s="119"/>
      <c r="CC36" s="124"/>
      <c r="CD36" s="152"/>
      <c r="CE36" s="41"/>
      <c r="CF36" s="67"/>
      <c r="CG36" s="104"/>
      <c r="CH36" s="119"/>
      <c r="CI36" s="124"/>
      <c r="CJ36" s="152"/>
      <c r="CK36" s="41">
        <v>-14.58</v>
      </c>
      <c r="CL36" s="67"/>
      <c r="CM36" s="104"/>
      <c r="CN36" s="119"/>
      <c r="CO36" s="124"/>
      <c r="CP36" s="152"/>
      <c r="CQ36" s="41"/>
      <c r="CR36" s="67">
        <v>-8.1</v>
      </c>
      <c r="CS36" s="72"/>
      <c r="CT36" s="119"/>
      <c r="CU36" s="124"/>
      <c r="CV36" s="113"/>
      <c r="CW36" s="41"/>
      <c r="CX36" s="67"/>
      <c r="CY36" s="104"/>
      <c r="CZ36" s="119"/>
      <c r="DA36" s="124"/>
      <c r="DB36" s="113"/>
      <c r="DC36" s="41"/>
      <c r="DD36" s="67"/>
      <c r="DE36" s="72"/>
      <c r="DF36" s="119"/>
      <c r="DG36" s="124"/>
      <c r="DH36" s="113"/>
      <c r="DI36" s="41"/>
      <c r="DJ36" s="67">
        <v>-16.914999999999999</v>
      </c>
      <c r="DK36" s="104"/>
      <c r="DL36" s="119"/>
      <c r="DM36" s="45"/>
      <c r="DN36" s="41"/>
      <c r="DO36" s="372"/>
      <c r="DP36" s="72"/>
      <c r="DQ36" s="119"/>
      <c r="DR36" s="45"/>
      <c r="DS36" s="41"/>
      <c r="DT36" s="67"/>
      <c r="DU36" s="104"/>
      <c r="DV36" s="119"/>
      <c r="DW36" s="124"/>
      <c r="DX36" s="113"/>
      <c r="DY36" s="41"/>
      <c r="DZ36" s="67"/>
      <c r="EA36" s="72"/>
      <c r="EB36" s="119"/>
      <c r="EC36" s="124"/>
      <c r="ED36" s="113"/>
      <c r="EE36" s="41"/>
      <c r="EF36" s="67">
        <v>-17.055</v>
      </c>
      <c r="EG36" s="72"/>
      <c r="EH36" s="192"/>
      <c r="EI36" s="148"/>
      <c r="EJ36" s="41">
        <v>-17.77</v>
      </c>
      <c r="EK36" s="67"/>
      <c r="EL36" s="104"/>
      <c r="EM36" s="148"/>
      <c r="EN36" s="41"/>
      <c r="EO36" s="67"/>
      <c r="EP36" s="72"/>
      <c r="EQ36" s="45"/>
      <c r="ER36" s="41"/>
      <c r="ES36" s="67"/>
      <c r="ET36" s="104"/>
      <c r="EU36" s="124"/>
      <c r="EV36" s="169"/>
      <c r="EW36" s="87"/>
      <c r="EX36" s="248"/>
      <c r="EY36" s="87"/>
      <c r="EZ36" s="91"/>
      <c r="FA36" s="41"/>
      <c r="FB36" s="67"/>
      <c r="FC36" s="104"/>
      <c r="FD36" s="124"/>
      <c r="FE36" s="169"/>
      <c r="FF36" s="87"/>
      <c r="FG36" s="72"/>
      <c r="FH36" s="45"/>
      <c r="FI36" s="41"/>
      <c r="FJ36" s="67"/>
      <c r="FK36" s="104"/>
      <c r="FL36" s="45"/>
      <c r="FM36" s="41"/>
      <c r="FN36" s="148"/>
      <c r="FO36" s="208"/>
      <c r="FP36" s="208"/>
      <c r="FQ36" s="41"/>
      <c r="FR36" s="67"/>
      <c r="FS36" s="104"/>
      <c r="FT36" s="113"/>
      <c r="FU36" s="87"/>
      <c r="FV36" s="104"/>
      <c r="FW36" s="148"/>
      <c r="FX36" s="33"/>
      <c r="FY36" s="124"/>
      <c r="FZ36" s="113"/>
      <c r="GA36" s="87"/>
      <c r="GB36" s="104"/>
      <c r="GC36" s="155"/>
      <c r="GD36" s="113"/>
      <c r="GE36" s="87"/>
      <c r="GF36" s="148"/>
      <c r="GG36" s="208"/>
      <c r="GH36" s="104"/>
      <c r="GI36" s="248"/>
      <c r="GJ36" s="200"/>
      <c r="GK36" s="77"/>
      <c r="GL36" s="41"/>
      <c r="GM36" s="91"/>
      <c r="GN36" s="108"/>
      <c r="GO36" s="108"/>
      <c r="GP36" s="41"/>
      <c r="GQ36" s="91"/>
      <c r="GR36" s="49"/>
      <c r="GS36" s="108"/>
      <c r="GT36" s="108"/>
      <c r="GU36" s="108"/>
      <c r="GV36" s="41"/>
      <c r="GW36" s="91"/>
      <c r="GX36" s="104"/>
      <c r="GY36" s="41"/>
      <c r="GZ36" s="104"/>
      <c r="HA36" s="113"/>
      <c r="HB36" s="274"/>
      <c r="HC36" s="41"/>
      <c r="HD36" s="91"/>
      <c r="HE36" s="41"/>
      <c r="HF36" s="91"/>
      <c r="HG36" s="41"/>
      <c r="HH36" s="104"/>
      <c r="HI36" s="152"/>
      <c r="HJ36" s="77"/>
      <c r="HK36" s="49"/>
      <c r="HL36" s="41"/>
      <c r="HM36" s="104"/>
      <c r="HN36" s="113"/>
      <c r="HO36" s="41"/>
      <c r="HP36" s="91"/>
      <c r="HQ36" s="41"/>
      <c r="HR36" s="91"/>
      <c r="HS36" s="37"/>
      <c r="HT36" s="82"/>
      <c r="HU36" s="41"/>
      <c r="HV36" s="91"/>
      <c r="HW36" s="41"/>
      <c r="HX36" s="91"/>
      <c r="HY36" s="37"/>
      <c r="HZ36" s="41"/>
      <c r="IA36" s="77"/>
      <c r="IB36" s="41"/>
      <c r="IC36" s="91"/>
      <c r="ID36" s="41"/>
      <c r="IE36" s="77"/>
      <c r="IF36" s="49"/>
      <c r="IG36" s="37"/>
      <c r="IH36" s="33"/>
      <c r="II36" s="281"/>
      <c r="IJ36" s="260"/>
      <c r="IK36" s="261"/>
    </row>
    <row r="37" spans="1:257" x14ac:dyDescent="0.25">
      <c r="A37" s="129">
        <v>44335</v>
      </c>
      <c r="B37" s="18" t="s">
        <v>17</v>
      </c>
      <c r="C37" s="21">
        <f t="shared" si="4"/>
        <v>-137.05500000000001</v>
      </c>
      <c r="D37" s="384"/>
      <c r="E37" s="384"/>
      <c r="F37" s="143"/>
      <c r="G37" s="143"/>
      <c r="H37" s="82"/>
      <c r="I37" s="82"/>
      <c r="J37" s="108"/>
      <c r="K37" s="41"/>
      <c r="L37" s="67"/>
      <c r="M37" s="91"/>
      <c r="N37" s="41"/>
      <c r="O37" s="372"/>
      <c r="P37" s="104"/>
      <c r="Q37" s="161"/>
      <c r="R37" s="113"/>
      <c r="S37" s="72"/>
      <c r="T37" s="41"/>
      <c r="U37" s="67"/>
      <c r="V37" s="72"/>
      <c r="W37" s="161"/>
      <c r="X37" s="41"/>
      <c r="Y37" s="67"/>
      <c r="Z37" s="77"/>
      <c r="AA37" s="41"/>
      <c r="AB37" s="67"/>
      <c r="AC37" s="104"/>
      <c r="AD37" s="113"/>
      <c r="AE37" s="41"/>
      <c r="AF37" s="67"/>
      <c r="AG37" s="104"/>
      <c r="AH37" s="119"/>
      <c r="AI37" s="124"/>
      <c r="AJ37" s="161"/>
      <c r="AK37" s="241"/>
      <c r="AL37" s="41"/>
      <c r="AM37" s="67"/>
      <c r="AN37" s="104"/>
      <c r="AO37" s="45"/>
      <c r="AP37" s="41"/>
      <c r="AQ37" s="67"/>
      <c r="AR37" s="104"/>
      <c r="AS37" s="119"/>
      <c r="AT37" s="45"/>
      <c r="AU37" s="41"/>
      <c r="AV37" s="67">
        <v>-34.185000000000002</v>
      </c>
      <c r="AW37" s="104"/>
      <c r="AX37" s="119"/>
      <c r="AY37" s="124"/>
      <c r="AZ37" s="152"/>
      <c r="BA37" s="41"/>
      <c r="BB37" s="67"/>
      <c r="BC37" s="104"/>
      <c r="BD37" s="119"/>
      <c r="BE37" s="124"/>
      <c r="BF37" s="152"/>
      <c r="BG37" s="41"/>
      <c r="BH37" s="67"/>
      <c r="BI37" s="104"/>
      <c r="BJ37" s="119"/>
      <c r="BK37" s="124"/>
      <c r="BL37" s="152"/>
      <c r="BM37" s="87"/>
      <c r="BN37" s="67">
        <v>-33.25</v>
      </c>
      <c r="BO37" s="104"/>
      <c r="BP37" s="119"/>
      <c r="BQ37" s="124"/>
      <c r="BR37" s="152"/>
      <c r="BS37" s="41"/>
      <c r="BT37" s="67"/>
      <c r="BU37" s="104"/>
      <c r="BV37" s="119"/>
      <c r="BW37" s="124"/>
      <c r="BX37" s="152"/>
      <c r="BY37" s="41"/>
      <c r="BZ37" s="67"/>
      <c r="CA37" s="104"/>
      <c r="CB37" s="119"/>
      <c r="CC37" s="124"/>
      <c r="CD37" s="152"/>
      <c r="CE37" s="41"/>
      <c r="CF37" s="67"/>
      <c r="CG37" s="104"/>
      <c r="CH37" s="119"/>
      <c r="CI37" s="124"/>
      <c r="CJ37" s="152"/>
      <c r="CK37" s="41"/>
      <c r="CL37" s="67"/>
      <c r="CM37" s="104"/>
      <c r="CN37" s="119"/>
      <c r="CO37" s="124"/>
      <c r="CP37" s="152"/>
      <c r="CQ37" s="41"/>
      <c r="CR37" s="67"/>
      <c r="CS37" s="72"/>
      <c r="CT37" s="119"/>
      <c r="CU37" s="124"/>
      <c r="CV37" s="113"/>
      <c r="CW37" s="41">
        <v>-34.5</v>
      </c>
      <c r="CX37" s="67"/>
      <c r="CY37" s="104"/>
      <c r="CZ37" s="119"/>
      <c r="DA37" s="124"/>
      <c r="DB37" s="113"/>
      <c r="DC37" s="41"/>
      <c r="DD37" s="67"/>
      <c r="DE37" s="72"/>
      <c r="DF37" s="119"/>
      <c r="DG37" s="124"/>
      <c r="DH37" s="113"/>
      <c r="DI37" s="41"/>
      <c r="DJ37" s="67"/>
      <c r="DK37" s="104"/>
      <c r="DL37" s="119"/>
      <c r="DM37" s="45"/>
      <c r="DN37" s="41">
        <v>-35.119999999999997</v>
      </c>
      <c r="DO37" s="372"/>
      <c r="DP37" s="72"/>
      <c r="DQ37" s="119"/>
      <c r="DR37" s="45"/>
      <c r="DS37" s="41"/>
      <c r="DT37" s="67"/>
      <c r="DU37" s="104"/>
      <c r="DV37" s="119"/>
      <c r="DW37" s="124"/>
      <c r="DX37" s="113"/>
      <c r="DY37" s="41"/>
      <c r="DZ37" s="67"/>
      <c r="EA37" s="72"/>
      <c r="EB37" s="119"/>
      <c r="EC37" s="124"/>
      <c r="ED37" s="113"/>
      <c r="EE37" s="41"/>
      <c r="EF37" s="67"/>
      <c r="EG37" s="72"/>
      <c r="EH37" s="192"/>
      <c r="EI37" s="148"/>
      <c r="EJ37" s="41"/>
      <c r="EK37" s="67"/>
      <c r="EL37" s="104"/>
      <c r="EM37" s="148"/>
      <c r="EN37" s="41"/>
      <c r="EO37" s="67"/>
      <c r="EP37" s="72"/>
      <c r="EQ37" s="45"/>
      <c r="ER37" s="41"/>
      <c r="ES37" s="67"/>
      <c r="ET37" s="104"/>
      <c r="EU37" s="124"/>
      <c r="EV37" s="169"/>
      <c r="EW37" s="87"/>
      <c r="EX37" s="248"/>
      <c r="EY37" s="87"/>
      <c r="EZ37" s="91"/>
      <c r="FA37" s="41"/>
      <c r="FB37" s="67"/>
      <c r="FC37" s="104"/>
      <c r="FD37" s="124"/>
      <c r="FE37" s="169"/>
      <c r="FF37" s="87"/>
      <c r="FG37" s="72"/>
      <c r="FH37" s="45"/>
      <c r="FI37" s="41"/>
      <c r="FJ37" s="67"/>
      <c r="FK37" s="104"/>
      <c r="FL37" s="45"/>
      <c r="FM37" s="41"/>
      <c r="FN37" s="148"/>
      <c r="FO37" s="208"/>
      <c r="FP37" s="208"/>
      <c r="FQ37" s="41"/>
      <c r="FR37" s="67"/>
      <c r="FS37" s="104"/>
      <c r="FT37" s="113"/>
      <c r="FU37" s="87"/>
      <c r="FV37" s="104"/>
      <c r="FW37" s="148"/>
      <c r="FX37" s="33"/>
      <c r="FY37" s="124"/>
      <c r="FZ37" s="113"/>
      <c r="GA37" s="87"/>
      <c r="GB37" s="104"/>
      <c r="GC37" s="155"/>
      <c r="GD37" s="113"/>
      <c r="GE37" s="87"/>
      <c r="GF37" s="148"/>
      <c r="GG37" s="208"/>
      <c r="GH37" s="104"/>
      <c r="GI37" s="248"/>
      <c r="GJ37" s="200"/>
      <c r="GK37" s="77"/>
      <c r="GL37" s="41"/>
      <c r="GM37" s="91"/>
      <c r="GN37" s="108"/>
      <c r="GO37" s="108"/>
      <c r="GP37" s="41"/>
      <c r="GQ37" s="91"/>
      <c r="GR37" s="49"/>
      <c r="GS37" s="108"/>
      <c r="GT37" s="108"/>
      <c r="GU37" s="108"/>
      <c r="GV37" s="41"/>
      <c r="GW37" s="91"/>
      <c r="GX37" s="104"/>
      <c r="GY37" s="41"/>
      <c r="GZ37" s="104"/>
      <c r="HA37" s="113"/>
      <c r="HB37" s="274"/>
      <c r="HC37" s="41"/>
      <c r="HD37" s="91"/>
      <c r="HE37" s="41"/>
      <c r="HF37" s="91"/>
      <c r="HG37" s="41"/>
      <c r="HH37" s="104"/>
      <c r="HI37" s="152"/>
      <c r="HJ37" s="77"/>
      <c r="HK37" s="49"/>
      <c r="HL37" s="41"/>
      <c r="HM37" s="104"/>
      <c r="HN37" s="113"/>
      <c r="HO37" s="41"/>
      <c r="HP37" s="91"/>
      <c r="HQ37" s="41"/>
      <c r="HR37" s="91"/>
      <c r="HS37" s="37"/>
      <c r="HT37" s="82"/>
      <c r="HU37" s="41"/>
      <c r="HV37" s="91"/>
      <c r="HW37" s="41"/>
      <c r="HX37" s="91"/>
      <c r="HY37" s="37"/>
      <c r="HZ37" s="41"/>
      <c r="IA37" s="77"/>
      <c r="IB37" s="41"/>
      <c r="IC37" s="91"/>
      <c r="ID37" s="41"/>
      <c r="IE37" s="77"/>
      <c r="IF37" s="49"/>
      <c r="IG37" s="37"/>
      <c r="IH37" s="33"/>
      <c r="II37" s="281"/>
      <c r="IJ37" s="260"/>
      <c r="IK37" s="261"/>
    </row>
    <row r="38" spans="1:257" x14ac:dyDescent="0.25">
      <c r="A38" s="129">
        <v>44335</v>
      </c>
      <c r="B38" s="18" t="s">
        <v>14</v>
      </c>
      <c r="C38" s="21">
        <f t="shared" si="4"/>
        <v>0</v>
      </c>
      <c r="D38" s="384"/>
      <c r="E38" s="384"/>
      <c r="F38" s="143"/>
      <c r="G38" s="143"/>
      <c r="H38" s="82"/>
      <c r="I38" s="82"/>
      <c r="J38" s="108"/>
      <c r="K38" s="41"/>
      <c r="L38" s="67"/>
      <c r="M38" s="91"/>
      <c r="N38" s="41"/>
      <c r="O38" s="372"/>
      <c r="P38" s="104"/>
      <c r="Q38" s="161"/>
      <c r="R38" s="113"/>
      <c r="S38" s="72"/>
      <c r="T38" s="41"/>
      <c r="U38" s="67"/>
      <c r="V38" s="72"/>
      <c r="W38" s="161"/>
      <c r="X38" s="41"/>
      <c r="Y38" s="67"/>
      <c r="Z38" s="77"/>
      <c r="AA38" s="41"/>
      <c r="AB38" s="67"/>
      <c r="AC38" s="104"/>
      <c r="AD38" s="113"/>
      <c r="AE38" s="41"/>
      <c r="AF38" s="67"/>
      <c r="AG38" s="104"/>
      <c r="AH38" s="119"/>
      <c r="AI38" s="124"/>
      <c r="AJ38" s="161"/>
      <c r="AK38" s="241"/>
      <c r="AL38" s="41"/>
      <c r="AM38" s="67"/>
      <c r="AN38" s="104"/>
      <c r="AO38" s="45"/>
      <c r="AP38" s="41"/>
      <c r="AQ38" s="67"/>
      <c r="AR38" s="104"/>
      <c r="AS38" s="119"/>
      <c r="AT38" s="45"/>
      <c r="AU38" s="41"/>
      <c r="AV38" s="67"/>
      <c r="AW38" s="104"/>
      <c r="AX38" s="119"/>
      <c r="AY38" s="124"/>
      <c r="AZ38" s="152"/>
      <c r="BA38" s="41"/>
      <c r="BB38" s="67"/>
      <c r="BC38" s="104"/>
      <c r="BD38" s="119"/>
      <c r="BE38" s="124"/>
      <c r="BF38" s="152"/>
      <c r="BG38" s="41"/>
      <c r="BH38" s="67"/>
      <c r="BI38" s="104"/>
      <c r="BJ38" s="119"/>
      <c r="BK38" s="124"/>
      <c r="BL38" s="152"/>
      <c r="BM38" s="87"/>
      <c r="BN38" s="67"/>
      <c r="BO38" s="104"/>
      <c r="BP38" s="119"/>
      <c r="BQ38" s="124"/>
      <c r="BR38" s="152"/>
      <c r="BS38" s="41"/>
      <c r="BT38" s="67"/>
      <c r="BU38" s="104"/>
      <c r="BV38" s="119"/>
      <c r="BW38" s="124"/>
      <c r="BX38" s="152"/>
      <c r="BY38" s="41"/>
      <c r="BZ38" s="67"/>
      <c r="CA38" s="104"/>
      <c r="CB38" s="119"/>
      <c r="CC38" s="124"/>
      <c r="CD38" s="152"/>
      <c r="CE38" s="41"/>
      <c r="CF38" s="67"/>
      <c r="CG38" s="104"/>
      <c r="CH38" s="119"/>
      <c r="CI38" s="124"/>
      <c r="CJ38" s="152"/>
      <c r="CK38" s="41"/>
      <c r="CL38" s="67"/>
      <c r="CM38" s="104"/>
      <c r="CN38" s="119"/>
      <c r="CO38" s="124"/>
      <c r="CP38" s="152"/>
      <c r="CQ38" s="41"/>
      <c r="CR38" s="67"/>
      <c r="CS38" s="72"/>
      <c r="CT38" s="119"/>
      <c r="CU38" s="124"/>
      <c r="CV38" s="113"/>
      <c r="CW38" s="41"/>
      <c r="CX38" s="67"/>
      <c r="CY38" s="104"/>
      <c r="CZ38" s="119"/>
      <c r="DA38" s="124"/>
      <c r="DB38" s="113"/>
      <c r="DC38" s="41"/>
      <c r="DD38" s="67"/>
      <c r="DE38" s="72"/>
      <c r="DF38" s="119"/>
      <c r="DG38" s="124"/>
      <c r="DH38" s="113"/>
      <c r="DI38" s="41"/>
      <c r="DJ38" s="67"/>
      <c r="DK38" s="104"/>
      <c r="DL38" s="119"/>
      <c r="DM38" s="45"/>
      <c r="DN38" s="41"/>
      <c r="DO38" s="372"/>
      <c r="DP38" s="72"/>
      <c r="DQ38" s="119"/>
      <c r="DR38" s="45"/>
      <c r="DS38" s="41"/>
      <c r="DT38" s="67"/>
      <c r="DU38" s="104"/>
      <c r="DV38" s="119"/>
      <c r="DW38" s="124"/>
      <c r="DX38" s="113"/>
      <c r="DY38" s="41"/>
      <c r="DZ38" s="67"/>
      <c r="EA38" s="72"/>
      <c r="EB38" s="119"/>
      <c r="EC38" s="124"/>
      <c r="ED38" s="113"/>
      <c r="EE38" s="41"/>
      <c r="EF38" s="67"/>
      <c r="EG38" s="72"/>
      <c r="EH38" s="192"/>
      <c r="EI38" s="148"/>
      <c r="EJ38" s="41"/>
      <c r="EK38" s="67"/>
      <c r="EL38" s="104"/>
      <c r="EM38" s="148"/>
      <c r="EN38" s="41"/>
      <c r="EO38" s="67"/>
      <c r="EP38" s="72"/>
      <c r="EQ38" s="45"/>
      <c r="ER38" s="41"/>
      <c r="ES38" s="67"/>
      <c r="ET38" s="104"/>
      <c r="EU38" s="124"/>
      <c r="EV38" s="169"/>
      <c r="EW38" s="87"/>
      <c r="EX38" s="248"/>
      <c r="EY38" s="87"/>
      <c r="EZ38" s="91"/>
      <c r="FA38" s="41"/>
      <c r="FB38" s="67"/>
      <c r="FC38" s="104"/>
      <c r="FD38" s="124"/>
      <c r="FE38" s="169"/>
      <c r="FF38" s="87"/>
      <c r="FG38" s="72"/>
      <c r="FH38" s="45"/>
      <c r="FI38" s="41"/>
      <c r="FJ38" s="67"/>
      <c r="FK38" s="104"/>
      <c r="FL38" s="45"/>
      <c r="FM38" s="41"/>
      <c r="FN38" s="148"/>
      <c r="FO38" s="208"/>
      <c r="FP38" s="208"/>
      <c r="FQ38" s="41"/>
      <c r="FR38" s="67"/>
      <c r="FS38" s="104"/>
      <c r="FT38" s="113"/>
      <c r="FU38" s="87"/>
      <c r="FV38" s="104"/>
      <c r="FW38" s="148"/>
      <c r="FX38" s="33"/>
      <c r="FY38" s="124"/>
      <c r="FZ38" s="113"/>
      <c r="GA38" s="87"/>
      <c r="GB38" s="104"/>
      <c r="GC38" s="155"/>
      <c r="GD38" s="113"/>
      <c r="GE38" s="87"/>
      <c r="GF38" s="148"/>
      <c r="GG38" s="208"/>
      <c r="GH38" s="104"/>
      <c r="GI38" s="248"/>
      <c r="GJ38" s="200"/>
      <c r="GK38" s="77"/>
      <c r="GL38" s="41"/>
      <c r="GM38" s="91"/>
      <c r="GN38" s="108"/>
      <c r="GO38" s="108"/>
      <c r="GP38" s="41"/>
      <c r="GQ38" s="91"/>
      <c r="GR38" s="49"/>
      <c r="GS38" s="108"/>
      <c r="GT38" s="108"/>
      <c r="GU38" s="108"/>
      <c r="GV38" s="41"/>
      <c r="GW38" s="91"/>
      <c r="GX38" s="104"/>
      <c r="GY38" s="41"/>
      <c r="GZ38" s="104"/>
      <c r="HA38" s="113"/>
      <c r="HB38" s="274"/>
      <c r="HC38" s="41"/>
      <c r="HD38" s="91"/>
      <c r="HE38" s="41"/>
      <c r="HF38" s="91"/>
      <c r="HG38" s="41"/>
      <c r="HH38" s="104"/>
      <c r="HI38" s="152"/>
      <c r="HJ38" s="77"/>
      <c r="HK38" s="49"/>
      <c r="HL38" s="41"/>
      <c r="HM38" s="104"/>
      <c r="HN38" s="113"/>
      <c r="HO38" s="41"/>
      <c r="HP38" s="91"/>
      <c r="HQ38" s="41"/>
      <c r="HR38" s="91"/>
      <c r="HS38" s="37"/>
      <c r="HT38" s="82"/>
      <c r="HU38" s="41"/>
      <c r="HV38" s="91"/>
      <c r="HW38" s="41"/>
      <c r="HX38" s="91"/>
      <c r="HY38" s="37"/>
      <c r="HZ38" s="41"/>
      <c r="IA38" s="77"/>
      <c r="IB38" s="41"/>
      <c r="IC38" s="91"/>
      <c r="ID38" s="41"/>
      <c r="IE38" s="77"/>
      <c r="IF38" s="49"/>
      <c r="IG38" s="37"/>
      <c r="IH38" s="33"/>
      <c r="II38" s="281"/>
      <c r="IJ38" s="260"/>
      <c r="IK38" s="261"/>
    </row>
    <row r="39" spans="1:257" x14ac:dyDescent="0.25">
      <c r="A39" s="129">
        <v>44335</v>
      </c>
      <c r="B39" s="18" t="s">
        <v>12</v>
      </c>
      <c r="C39" s="21">
        <f t="shared" si="4"/>
        <v>-135.22499999999999</v>
      </c>
      <c r="D39" s="384"/>
      <c r="E39" s="384"/>
      <c r="F39" s="143"/>
      <c r="G39" s="143"/>
      <c r="H39" s="82"/>
      <c r="I39" s="82"/>
      <c r="J39" s="108"/>
      <c r="K39" s="41"/>
      <c r="L39" s="67"/>
      <c r="M39" s="91"/>
      <c r="N39" s="41"/>
      <c r="O39" s="372"/>
      <c r="P39" s="104"/>
      <c r="Q39" s="161"/>
      <c r="R39" s="113"/>
      <c r="S39" s="72"/>
      <c r="T39" s="41"/>
      <c r="U39" s="67"/>
      <c r="V39" s="72"/>
      <c r="W39" s="161"/>
      <c r="X39" s="41"/>
      <c r="Y39" s="67"/>
      <c r="Z39" s="77"/>
      <c r="AA39" s="41"/>
      <c r="AB39" s="67"/>
      <c r="AC39" s="104"/>
      <c r="AD39" s="113"/>
      <c r="AE39" s="41"/>
      <c r="AF39" s="67"/>
      <c r="AG39" s="104"/>
      <c r="AH39" s="119"/>
      <c r="AI39" s="124"/>
      <c r="AJ39" s="161"/>
      <c r="AK39" s="241"/>
      <c r="AL39" s="41"/>
      <c r="AM39" s="67"/>
      <c r="AN39" s="104"/>
      <c r="AO39" s="45"/>
      <c r="AP39" s="41"/>
      <c r="AQ39" s="67"/>
      <c r="AR39" s="104"/>
      <c r="AS39" s="119"/>
      <c r="AT39" s="45"/>
      <c r="AU39" s="41"/>
      <c r="AV39" s="67">
        <v>-34.229999999999997</v>
      </c>
      <c r="AW39" s="104"/>
      <c r="AX39" s="119"/>
      <c r="AY39" s="124"/>
      <c r="AZ39" s="152"/>
      <c r="BA39" s="41"/>
      <c r="BB39" s="67">
        <v>-34.005000000000003</v>
      </c>
      <c r="BC39" s="104"/>
      <c r="BD39" s="119"/>
      <c r="BE39" s="124"/>
      <c r="BF39" s="152"/>
      <c r="BG39" s="41"/>
      <c r="BH39" s="67">
        <v>-33.68</v>
      </c>
      <c r="BI39" s="104"/>
      <c r="BJ39" s="119"/>
      <c r="BK39" s="124"/>
      <c r="BL39" s="152"/>
      <c r="BM39" s="87"/>
      <c r="BN39" s="67">
        <v>-33.31</v>
      </c>
      <c r="BO39" s="104"/>
      <c r="BP39" s="119"/>
      <c r="BQ39" s="124"/>
      <c r="BR39" s="152"/>
      <c r="BS39" s="41"/>
      <c r="BT39" s="67"/>
      <c r="BU39" s="104"/>
      <c r="BV39" s="119"/>
      <c r="BW39" s="124"/>
      <c r="BX39" s="152"/>
      <c r="BY39" s="41"/>
      <c r="BZ39" s="67"/>
      <c r="CA39" s="104"/>
      <c r="CB39" s="119"/>
      <c r="CC39" s="124"/>
      <c r="CD39" s="152"/>
      <c r="CE39" s="41"/>
      <c r="CF39" s="67"/>
      <c r="CG39" s="104"/>
      <c r="CH39" s="119"/>
      <c r="CI39" s="124"/>
      <c r="CJ39" s="152"/>
      <c r="CK39" s="41"/>
      <c r="CL39" s="67"/>
      <c r="CM39" s="104"/>
      <c r="CN39" s="119"/>
      <c r="CO39" s="124"/>
      <c r="CP39" s="152"/>
      <c r="CQ39" s="41"/>
      <c r="CR39" s="67"/>
      <c r="CS39" s="72"/>
      <c r="CT39" s="119"/>
      <c r="CU39" s="124"/>
      <c r="CV39" s="113"/>
      <c r="CW39" s="41"/>
      <c r="CX39" s="67"/>
      <c r="CY39" s="104"/>
      <c r="CZ39" s="119"/>
      <c r="DA39" s="124"/>
      <c r="DB39" s="113"/>
      <c r="DC39" s="41"/>
      <c r="DD39" s="67"/>
      <c r="DE39" s="72"/>
      <c r="DF39" s="119"/>
      <c r="DG39" s="124"/>
      <c r="DH39" s="113"/>
      <c r="DI39" s="41"/>
      <c r="DJ39" s="67"/>
      <c r="DK39" s="104"/>
      <c r="DL39" s="119"/>
      <c r="DM39" s="45"/>
      <c r="DN39" s="41"/>
      <c r="DO39" s="372"/>
      <c r="DP39" s="72"/>
      <c r="DQ39" s="119"/>
      <c r="DR39" s="45"/>
      <c r="DS39" s="41"/>
      <c r="DT39" s="67"/>
      <c r="DU39" s="104"/>
      <c r="DV39" s="119"/>
      <c r="DW39" s="124"/>
      <c r="DX39" s="113"/>
      <c r="DY39" s="41"/>
      <c r="DZ39" s="67"/>
      <c r="EA39" s="72"/>
      <c r="EB39" s="119"/>
      <c r="EC39" s="124"/>
      <c r="ED39" s="113"/>
      <c r="EE39" s="41"/>
      <c r="EF39" s="67"/>
      <c r="EG39" s="72"/>
      <c r="EH39" s="192"/>
      <c r="EI39" s="148"/>
      <c r="EJ39" s="41"/>
      <c r="EK39" s="67"/>
      <c r="EL39" s="104"/>
      <c r="EM39" s="148"/>
      <c r="EN39" s="41"/>
      <c r="EO39" s="67"/>
      <c r="EP39" s="72"/>
      <c r="EQ39" s="45"/>
      <c r="ER39" s="41"/>
      <c r="ES39" s="67"/>
      <c r="ET39" s="104"/>
      <c r="EU39" s="124"/>
      <c r="EV39" s="169"/>
      <c r="EW39" s="87"/>
      <c r="EX39" s="248"/>
      <c r="EY39" s="87"/>
      <c r="EZ39" s="91"/>
      <c r="FA39" s="41"/>
      <c r="FB39" s="67"/>
      <c r="FC39" s="104"/>
      <c r="FD39" s="124"/>
      <c r="FE39" s="169"/>
      <c r="FF39" s="87"/>
      <c r="FG39" s="72"/>
      <c r="FH39" s="45"/>
      <c r="FI39" s="41"/>
      <c r="FJ39" s="67"/>
      <c r="FK39" s="104"/>
      <c r="FL39" s="45"/>
      <c r="FM39" s="41"/>
      <c r="FN39" s="148"/>
      <c r="FO39" s="208"/>
      <c r="FP39" s="208"/>
      <c r="FQ39" s="41"/>
      <c r="FR39" s="67"/>
      <c r="FS39" s="104"/>
      <c r="FT39" s="113"/>
      <c r="FU39" s="87"/>
      <c r="FV39" s="104"/>
      <c r="FW39" s="148"/>
      <c r="FX39" s="33"/>
      <c r="FY39" s="124"/>
      <c r="FZ39" s="113"/>
      <c r="GA39" s="87"/>
      <c r="GB39" s="104"/>
      <c r="GC39" s="155"/>
      <c r="GD39" s="113"/>
      <c r="GE39" s="87"/>
      <c r="GF39" s="148"/>
      <c r="GG39" s="208"/>
      <c r="GH39" s="104"/>
      <c r="GI39" s="248"/>
      <c r="GJ39" s="200"/>
      <c r="GK39" s="77"/>
      <c r="GL39" s="41"/>
      <c r="GM39" s="91"/>
      <c r="GN39" s="108"/>
      <c r="GO39" s="108"/>
      <c r="GP39" s="41"/>
      <c r="GQ39" s="91"/>
      <c r="GR39" s="49"/>
      <c r="GS39" s="108"/>
      <c r="GT39" s="108"/>
      <c r="GU39" s="108"/>
      <c r="GV39" s="41"/>
      <c r="GW39" s="91"/>
      <c r="GX39" s="104"/>
      <c r="GY39" s="41"/>
      <c r="GZ39" s="104"/>
      <c r="HA39" s="113"/>
      <c r="HB39" s="274"/>
      <c r="HC39" s="41"/>
      <c r="HD39" s="91"/>
      <c r="HE39" s="41"/>
      <c r="HF39" s="91"/>
      <c r="HG39" s="41"/>
      <c r="HH39" s="104"/>
      <c r="HI39" s="152"/>
      <c r="HJ39" s="77"/>
      <c r="HK39" s="49"/>
      <c r="HL39" s="41"/>
      <c r="HM39" s="104"/>
      <c r="HN39" s="113"/>
      <c r="HO39" s="41"/>
      <c r="HP39" s="91"/>
      <c r="HQ39" s="41"/>
      <c r="HR39" s="91"/>
      <c r="HS39" s="37"/>
      <c r="HT39" s="82"/>
      <c r="HU39" s="41"/>
      <c r="HV39" s="91"/>
      <c r="HW39" s="41"/>
      <c r="HX39" s="91"/>
      <c r="HY39" s="37"/>
      <c r="HZ39" s="41"/>
      <c r="IA39" s="77"/>
      <c r="IB39" s="41"/>
      <c r="IC39" s="91"/>
      <c r="ID39" s="41"/>
      <c r="IE39" s="77"/>
      <c r="IF39" s="49"/>
      <c r="IG39" s="37"/>
      <c r="IH39" s="33"/>
      <c r="II39" s="281"/>
      <c r="IJ39" s="260"/>
      <c r="IK39" s="261"/>
    </row>
    <row r="40" spans="1:257" x14ac:dyDescent="0.25">
      <c r="A40" s="129">
        <v>44335</v>
      </c>
      <c r="B40" s="18" t="s">
        <v>19</v>
      </c>
      <c r="C40" s="21">
        <f t="shared" si="4"/>
        <v>-43.155000000000001</v>
      </c>
      <c r="D40" s="384"/>
      <c r="E40" s="384"/>
      <c r="F40" s="143"/>
      <c r="G40" s="143"/>
      <c r="H40" s="82"/>
      <c r="I40" s="82"/>
      <c r="J40" s="108"/>
      <c r="K40" s="41"/>
      <c r="L40" s="67"/>
      <c r="M40" s="91"/>
      <c r="N40" s="41"/>
      <c r="O40" s="372"/>
      <c r="P40" s="104"/>
      <c r="Q40" s="161"/>
      <c r="R40" s="113"/>
      <c r="S40" s="72"/>
      <c r="T40" s="41"/>
      <c r="U40" s="67"/>
      <c r="V40" s="72"/>
      <c r="W40" s="161"/>
      <c r="X40" s="41"/>
      <c r="Y40" s="67"/>
      <c r="Z40" s="77"/>
      <c r="AA40" s="41"/>
      <c r="AB40" s="67"/>
      <c r="AC40" s="104"/>
      <c r="AD40" s="113"/>
      <c r="AE40" s="41"/>
      <c r="AF40" s="67"/>
      <c r="AG40" s="104"/>
      <c r="AH40" s="119"/>
      <c r="AI40" s="124"/>
      <c r="AJ40" s="161"/>
      <c r="AK40" s="241"/>
      <c r="AL40" s="41"/>
      <c r="AM40" s="67"/>
      <c r="AN40" s="104"/>
      <c r="AO40" s="45"/>
      <c r="AP40" s="41"/>
      <c r="AQ40" s="67"/>
      <c r="AR40" s="104"/>
      <c r="AS40" s="119"/>
      <c r="AT40" s="45"/>
      <c r="AU40" s="41"/>
      <c r="AV40" s="67"/>
      <c r="AW40" s="104"/>
      <c r="AX40" s="119"/>
      <c r="AY40" s="124"/>
      <c r="AZ40" s="152"/>
      <c r="BA40" s="41"/>
      <c r="BB40" s="67"/>
      <c r="BC40" s="104"/>
      <c r="BD40" s="119"/>
      <c r="BE40" s="124"/>
      <c r="BF40" s="152"/>
      <c r="BG40" s="41"/>
      <c r="BH40" s="67"/>
      <c r="BI40" s="104"/>
      <c r="BJ40" s="119"/>
      <c r="BK40" s="124"/>
      <c r="BL40" s="152"/>
      <c r="BM40" s="87"/>
      <c r="BN40" s="67"/>
      <c r="BO40" s="104"/>
      <c r="BP40" s="119"/>
      <c r="BQ40" s="124"/>
      <c r="BR40" s="152"/>
      <c r="BS40" s="41"/>
      <c r="BT40" s="67"/>
      <c r="BU40" s="104"/>
      <c r="BV40" s="119"/>
      <c r="BW40" s="124"/>
      <c r="BX40" s="152"/>
      <c r="BY40" s="41"/>
      <c r="BZ40" s="67"/>
      <c r="CA40" s="104"/>
      <c r="CB40" s="119"/>
      <c r="CC40" s="124"/>
      <c r="CD40" s="152"/>
      <c r="CE40" s="41"/>
      <c r="CF40" s="67"/>
      <c r="CG40" s="104"/>
      <c r="CH40" s="119"/>
      <c r="CI40" s="124"/>
      <c r="CJ40" s="152"/>
      <c r="CK40" s="41"/>
      <c r="CL40" s="67"/>
      <c r="CM40" s="104"/>
      <c r="CN40" s="119"/>
      <c r="CO40" s="124"/>
      <c r="CP40" s="152"/>
      <c r="CQ40" s="41"/>
      <c r="CR40" s="67"/>
      <c r="CS40" s="72"/>
      <c r="CT40" s="119"/>
      <c r="CU40" s="124"/>
      <c r="CV40" s="113"/>
      <c r="CW40" s="41"/>
      <c r="CX40" s="67"/>
      <c r="CY40" s="104"/>
      <c r="CZ40" s="119"/>
      <c r="DA40" s="124"/>
      <c r="DB40" s="113"/>
      <c r="DC40" s="41"/>
      <c r="DD40" s="67"/>
      <c r="DE40" s="72"/>
      <c r="DF40" s="119"/>
      <c r="DG40" s="124"/>
      <c r="DH40" s="113"/>
      <c r="DI40" s="41"/>
      <c r="DJ40" s="67"/>
      <c r="DK40" s="104"/>
      <c r="DL40" s="119"/>
      <c r="DM40" s="45"/>
      <c r="DN40" s="41"/>
      <c r="DO40" s="372"/>
      <c r="DP40" s="72"/>
      <c r="DQ40" s="119"/>
      <c r="DR40" s="45"/>
      <c r="DS40" s="41"/>
      <c r="DT40" s="67"/>
      <c r="DU40" s="104"/>
      <c r="DV40" s="119"/>
      <c r="DW40" s="124"/>
      <c r="DX40" s="113"/>
      <c r="DY40" s="41"/>
      <c r="DZ40" s="67"/>
      <c r="EA40" s="72"/>
      <c r="EB40" s="119"/>
      <c r="EC40" s="124"/>
      <c r="ED40" s="113"/>
      <c r="EE40" s="41"/>
      <c r="EF40" s="67"/>
      <c r="EG40" s="72"/>
      <c r="EH40" s="192"/>
      <c r="EI40" s="148"/>
      <c r="EJ40" s="41"/>
      <c r="EK40" s="67"/>
      <c r="EL40" s="104"/>
      <c r="EM40" s="148"/>
      <c r="EN40" s="41"/>
      <c r="EO40" s="67"/>
      <c r="EP40" s="72"/>
      <c r="EQ40" s="45"/>
      <c r="ER40" s="41"/>
      <c r="ES40" s="67"/>
      <c r="ET40" s="104"/>
      <c r="EU40" s="124"/>
      <c r="EV40" s="169"/>
      <c r="EW40" s="87"/>
      <c r="EX40" s="248"/>
      <c r="EY40" s="87"/>
      <c r="EZ40" s="91"/>
      <c r="FA40" s="41"/>
      <c r="FB40" s="67">
        <v>-43.155000000000001</v>
      </c>
      <c r="FC40" s="104"/>
      <c r="FD40" s="124"/>
      <c r="FE40" s="169"/>
      <c r="FF40" s="87"/>
      <c r="FG40" s="72"/>
      <c r="FH40" s="45"/>
      <c r="FI40" s="41"/>
      <c r="FJ40" s="67"/>
      <c r="FK40" s="104"/>
      <c r="FL40" s="45"/>
      <c r="FM40" s="41"/>
      <c r="FN40" s="148"/>
      <c r="FO40" s="208"/>
      <c r="FP40" s="208"/>
      <c r="FQ40" s="41"/>
      <c r="FR40" s="67"/>
      <c r="FS40" s="104"/>
      <c r="FT40" s="113"/>
      <c r="FU40" s="87"/>
      <c r="FV40" s="104"/>
      <c r="FW40" s="148"/>
      <c r="FX40" s="33"/>
      <c r="FY40" s="124"/>
      <c r="FZ40" s="113"/>
      <c r="GA40" s="87"/>
      <c r="GB40" s="104"/>
      <c r="GC40" s="155"/>
      <c r="GD40" s="113"/>
      <c r="GE40" s="87"/>
      <c r="GF40" s="148"/>
      <c r="GG40" s="208"/>
      <c r="GH40" s="104"/>
      <c r="GI40" s="248"/>
      <c r="GJ40" s="200"/>
      <c r="GK40" s="77"/>
      <c r="GL40" s="41"/>
      <c r="GM40" s="91"/>
      <c r="GN40" s="108"/>
      <c r="GO40" s="108"/>
      <c r="GP40" s="41"/>
      <c r="GQ40" s="91"/>
      <c r="GR40" s="49"/>
      <c r="GS40" s="108"/>
      <c r="GT40" s="108"/>
      <c r="GU40" s="108"/>
      <c r="GV40" s="41"/>
      <c r="GW40" s="91"/>
      <c r="GX40" s="104"/>
      <c r="GY40" s="41"/>
      <c r="GZ40" s="104"/>
      <c r="HA40" s="113"/>
      <c r="HB40" s="274"/>
      <c r="HC40" s="41"/>
      <c r="HD40" s="91"/>
      <c r="HE40" s="41"/>
      <c r="HF40" s="91"/>
      <c r="HG40" s="41"/>
      <c r="HH40" s="104"/>
      <c r="HI40" s="152"/>
      <c r="HJ40" s="77"/>
      <c r="HK40" s="49"/>
      <c r="HL40" s="41"/>
      <c r="HM40" s="104"/>
      <c r="HN40" s="113"/>
      <c r="HO40" s="41"/>
      <c r="HP40" s="91"/>
      <c r="HQ40" s="41"/>
      <c r="HR40" s="91"/>
      <c r="HS40" s="37"/>
      <c r="HT40" s="82"/>
      <c r="HU40" s="41"/>
      <c r="HV40" s="91"/>
      <c r="HW40" s="41"/>
      <c r="HX40" s="91"/>
      <c r="HY40" s="37"/>
      <c r="HZ40" s="41"/>
      <c r="IA40" s="77"/>
      <c r="IB40" s="41"/>
      <c r="IC40" s="91"/>
      <c r="ID40" s="41"/>
      <c r="IE40" s="77"/>
      <c r="IF40" s="49"/>
      <c r="IG40" s="37"/>
      <c r="IH40" s="33"/>
      <c r="II40" s="281"/>
      <c r="IJ40" s="260"/>
      <c r="IK40" s="261"/>
    </row>
    <row r="41" spans="1:257" x14ac:dyDescent="0.25">
      <c r="A41" s="129">
        <v>44335</v>
      </c>
      <c r="B41" s="18" t="s">
        <v>35</v>
      </c>
      <c r="C41" s="21">
        <f t="shared" si="4"/>
        <v>-168.755</v>
      </c>
      <c r="D41" s="384"/>
      <c r="E41" s="384"/>
      <c r="F41" s="143"/>
      <c r="G41" s="143"/>
      <c r="H41" s="82"/>
      <c r="I41" s="82"/>
      <c r="J41" s="108"/>
      <c r="K41" s="41"/>
      <c r="L41" s="67"/>
      <c r="M41" s="91"/>
      <c r="N41" s="41"/>
      <c r="O41" s="372"/>
      <c r="P41" s="104"/>
      <c r="Q41" s="161"/>
      <c r="R41" s="113"/>
      <c r="S41" s="72"/>
      <c r="T41" s="41"/>
      <c r="U41" s="67"/>
      <c r="V41" s="72"/>
      <c r="W41" s="161"/>
      <c r="X41" s="41"/>
      <c r="Y41" s="67"/>
      <c r="Z41" s="77"/>
      <c r="AA41" s="41"/>
      <c r="AB41" s="67"/>
      <c r="AC41" s="104"/>
      <c r="AD41" s="113"/>
      <c r="AE41" s="41"/>
      <c r="AF41" s="67">
        <v>-33.484999999999999</v>
      </c>
      <c r="AG41" s="104"/>
      <c r="AH41" s="119"/>
      <c r="AI41" s="124"/>
      <c r="AJ41" s="161"/>
      <c r="AK41" s="241"/>
      <c r="AL41" s="41"/>
      <c r="AM41" s="67"/>
      <c r="AN41" s="104"/>
      <c r="AO41" s="45"/>
      <c r="AP41" s="41"/>
      <c r="AQ41" s="67"/>
      <c r="AR41" s="104"/>
      <c r="AS41" s="119"/>
      <c r="AT41" s="45"/>
      <c r="AU41" s="41"/>
      <c r="AV41" s="67">
        <v>-34.274999999999999</v>
      </c>
      <c r="AW41" s="104"/>
      <c r="AX41" s="119"/>
      <c r="AY41" s="124"/>
      <c r="AZ41" s="152"/>
      <c r="BA41" s="41"/>
      <c r="BB41" s="67">
        <v>-33.954999999999998</v>
      </c>
      <c r="BC41" s="104"/>
      <c r="BD41" s="119"/>
      <c r="BE41" s="124"/>
      <c r="BF41" s="152"/>
      <c r="BG41" s="41"/>
      <c r="BH41" s="67">
        <v>-33.585000000000001</v>
      </c>
      <c r="BI41" s="104"/>
      <c r="BJ41" s="119"/>
      <c r="BK41" s="124"/>
      <c r="BL41" s="152"/>
      <c r="BM41" s="87"/>
      <c r="BN41" s="67"/>
      <c r="BO41" s="104"/>
      <c r="BP41" s="119"/>
      <c r="BQ41" s="124"/>
      <c r="BR41" s="152"/>
      <c r="BS41" s="41"/>
      <c r="BT41" s="67">
        <v>-33.454999999999998</v>
      </c>
      <c r="BU41" s="104"/>
      <c r="BV41" s="119"/>
      <c r="BW41" s="124"/>
      <c r="BX41" s="152"/>
      <c r="BY41" s="41"/>
      <c r="BZ41" s="67"/>
      <c r="CA41" s="104"/>
      <c r="CB41" s="119"/>
      <c r="CC41" s="124"/>
      <c r="CD41" s="152"/>
      <c r="CE41" s="41"/>
      <c r="CF41" s="67"/>
      <c r="CG41" s="104"/>
      <c r="CH41" s="119"/>
      <c r="CI41" s="124"/>
      <c r="CJ41" s="152"/>
      <c r="CK41" s="41"/>
      <c r="CL41" s="67"/>
      <c r="CM41" s="104"/>
      <c r="CN41" s="119"/>
      <c r="CO41" s="124"/>
      <c r="CP41" s="152"/>
      <c r="CQ41" s="41"/>
      <c r="CR41" s="67"/>
      <c r="CS41" s="72"/>
      <c r="CT41" s="119"/>
      <c r="CU41" s="124"/>
      <c r="CV41" s="113"/>
      <c r="CW41" s="41"/>
      <c r="CX41" s="67"/>
      <c r="CY41" s="104"/>
      <c r="CZ41" s="119"/>
      <c r="DA41" s="124"/>
      <c r="DB41" s="113"/>
      <c r="DC41" s="41"/>
      <c r="DD41" s="67"/>
      <c r="DE41" s="72"/>
      <c r="DF41" s="119"/>
      <c r="DG41" s="124"/>
      <c r="DH41" s="113"/>
      <c r="DI41" s="41"/>
      <c r="DJ41" s="67"/>
      <c r="DK41" s="104"/>
      <c r="DL41" s="119"/>
      <c r="DM41" s="45"/>
      <c r="DN41" s="41"/>
      <c r="DO41" s="372"/>
      <c r="DP41" s="72"/>
      <c r="DQ41" s="119"/>
      <c r="DR41" s="45"/>
      <c r="DS41" s="41"/>
      <c r="DT41" s="67"/>
      <c r="DU41" s="104"/>
      <c r="DV41" s="119"/>
      <c r="DW41" s="124"/>
      <c r="DX41" s="113"/>
      <c r="DY41" s="41"/>
      <c r="DZ41" s="67"/>
      <c r="EA41" s="72"/>
      <c r="EB41" s="119"/>
      <c r="EC41" s="124"/>
      <c r="ED41" s="113"/>
      <c r="EE41" s="41"/>
      <c r="EF41" s="67"/>
      <c r="EG41" s="72"/>
      <c r="EH41" s="192"/>
      <c r="EI41" s="148"/>
      <c r="EJ41" s="41"/>
      <c r="EK41" s="67"/>
      <c r="EL41" s="104"/>
      <c r="EM41" s="148"/>
      <c r="EN41" s="41"/>
      <c r="EO41" s="67"/>
      <c r="EP41" s="72"/>
      <c r="EQ41" s="45"/>
      <c r="ER41" s="41"/>
      <c r="ES41" s="67"/>
      <c r="ET41" s="104"/>
      <c r="EU41" s="124"/>
      <c r="EV41" s="169"/>
      <c r="EW41" s="87"/>
      <c r="EX41" s="248"/>
      <c r="EY41" s="87"/>
      <c r="EZ41" s="91"/>
      <c r="FA41" s="41"/>
      <c r="FB41" s="67"/>
      <c r="FC41" s="104"/>
      <c r="FD41" s="124"/>
      <c r="FE41" s="169"/>
      <c r="FF41" s="87"/>
      <c r="FG41" s="72"/>
      <c r="FH41" s="45"/>
      <c r="FI41" s="41"/>
      <c r="FJ41" s="67"/>
      <c r="FK41" s="104"/>
      <c r="FL41" s="45"/>
      <c r="FM41" s="41"/>
      <c r="FN41" s="148"/>
      <c r="FO41" s="208"/>
      <c r="FP41" s="208"/>
      <c r="FQ41" s="41"/>
      <c r="FR41" s="67"/>
      <c r="FS41" s="104"/>
      <c r="FT41" s="113"/>
      <c r="FU41" s="87"/>
      <c r="FV41" s="104"/>
      <c r="FW41" s="148"/>
      <c r="FX41" s="33"/>
      <c r="FY41" s="124"/>
      <c r="FZ41" s="113"/>
      <c r="GA41" s="87"/>
      <c r="GB41" s="104"/>
      <c r="GC41" s="155"/>
      <c r="GD41" s="113"/>
      <c r="GE41" s="87"/>
      <c r="GF41" s="148"/>
      <c r="GG41" s="208"/>
      <c r="GH41" s="104"/>
      <c r="GI41" s="248"/>
      <c r="GJ41" s="200"/>
      <c r="GK41" s="77"/>
      <c r="GL41" s="41"/>
      <c r="GM41" s="91"/>
      <c r="GN41" s="108"/>
      <c r="GO41" s="108"/>
      <c r="GP41" s="41"/>
      <c r="GQ41" s="91"/>
      <c r="GR41" s="49"/>
      <c r="GS41" s="108"/>
      <c r="GT41" s="108"/>
      <c r="GU41" s="108"/>
      <c r="GV41" s="41"/>
      <c r="GW41" s="91"/>
      <c r="GX41" s="104"/>
      <c r="GY41" s="41"/>
      <c r="GZ41" s="104"/>
      <c r="HA41" s="113"/>
      <c r="HB41" s="274"/>
      <c r="HC41" s="41"/>
      <c r="HD41" s="91"/>
      <c r="HE41" s="41"/>
      <c r="HF41" s="91"/>
      <c r="HG41" s="41"/>
      <c r="HH41" s="104"/>
      <c r="HI41" s="152"/>
      <c r="HJ41" s="77"/>
      <c r="HK41" s="49"/>
      <c r="HL41" s="41"/>
      <c r="HM41" s="104"/>
      <c r="HN41" s="113"/>
      <c r="HO41" s="41"/>
      <c r="HP41" s="91"/>
      <c r="HQ41" s="41"/>
      <c r="HR41" s="91"/>
      <c r="HS41" s="37"/>
      <c r="HT41" s="82"/>
      <c r="HU41" s="41"/>
      <c r="HV41" s="91"/>
      <c r="HW41" s="41"/>
      <c r="HX41" s="91"/>
      <c r="HY41" s="37"/>
      <c r="HZ41" s="41"/>
      <c r="IA41" s="77"/>
      <c r="IB41" s="41"/>
      <c r="IC41" s="91"/>
      <c r="ID41" s="41"/>
      <c r="IE41" s="77"/>
      <c r="IF41" s="49"/>
      <c r="IG41" s="37"/>
      <c r="IH41" s="33"/>
      <c r="II41" s="281"/>
      <c r="IJ41" s="260"/>
      <c r="IK41" s="261"/>
    </row>
    <row r="42" spans="1:257" x14ac:dyDescent="0.25">
      <c r="A42" s="129">
        <v>44335</v>
      </c>
      <c r="B42" s="18" t="s">
        <v>15</v>
      </c>
      <c r="C42" s="21">
        <f t="shared" si="4"/>
        <v>-742.01</v>
      </c>
      <c r="D42" s="384"/>
      <c r="E42" s="384"/>
      <c r="F42" s="143"/>
      <c r="G42" s="143"/>
      <c r="H42" s="82"/>
      <c r="I42" s="82"/>
      <c r="J42" s="108"/>
      <c r="K42" s="41"/>
      <c r="L42" s="67"/>
      <c r="M42" s="91"/>
      <c r="N42" s="41"/>
      <c r="O42" s="372"/>
      <c r="P42" s="104"/>
      <c r="Q42" s="161"/>
      <c r="R42" s="113"/>
      <c r="S42" s="72"/>
      <c r="T42" s="41"/>
      <c r="U42" s="67">
        <v>-34.094999999999999</v>
      </c>
      <c r="V42" s="72"/>
      <c r="W42" s="161"/>
      <c r="X42" s="41"/>
      <c r="Y42" s="67">
        <v>-34.465000000000003</v>
      </c>
      <c r="Z42" s="77"/>
      <c r="AA42" s="41"/>
      <c r="AB42" s="67">
        <v>-33.795000000000002</v>
      </c>
      <c r="AC42" s="104"/>
      <c r="AD42" s="113"/>
      <c r="AE42" s="41"/>
      <c r="AF42" s="67">
        <v>-33.47</v>
      </c>
      <c r="AG42" s="104"/>
      <c r="AH42" s="119"/>
      <c r="AI42" s="124"/>
      <c r="AJ42" s="161"/>
      <c r="AK42" s="241"/>
      <c r="AL42" s="41"/>
      <c r="AM42" s="67">
        <v>-67.27</v>
      </c>
      <c r="AN42" s="104"/>
      <c r="AO42" s="45"/>
      <c r="AP42" s="41">
        <v>-64.650000000000006</v>
      </c>
      <c r="AQ42" s="67"/>
      <c r="AR42" s="104"/>
      <c r="AS42" s="119"/>
      <c r="AT42" s="45"/>
      <c r="AU42" s="41"/>
      <c r="AV42" s="67"/>
      <c r="AW42" s="104"/>
      <c r="AX42" s="119"/>
      <c r="AY42" s="124"/>
      <c r="AZ42" s="152"/>
      <c r="BA42" s="41"/>
      <c r="BB42" s="67">
        <v>-101.89</v>
      </c>
      <c r="BC42" s="104"/>
      <c r="BD42" s="119"/>
      <c r="BE42" s="124"/>
      <c r="BF42" s="152"/>
      <c r="BG42" s="41"/>
      <c r="BH42" s="67"/>
      <c r="BI42" s="104"/>
      <c r="BJ42" s="119"/>
      <c r="BK42" s="124"/>
      <c r="BL42" s="152"/>
      <c r="BM42" s="87"/>
      <c r="BN42" s="67">
        <v>-33.28</v>
      </c>
      <c r="BO42" s="104"/>
      <c r="BP42" s="119"/>
      <c r="BQ42" s="124"/>
      <c r="BR42" s="152"/>
      <c r="BS42" s="41">
        <v>-70.09</v>
      </c>
      <c r="BT42" s="67"/>
      <c r="BU42" s="104"/>
      <c r="BV42" s="119"/>
      <c r="BW42" s="124"/>
      <c r="BX42" s="152"/>
      <c r="BY42" s="41"/>
      <c r="BZ42" s="67">
        <v>-67.36</v>
      </c>
      <c r="CA42" s="104"/>
      <c r="CB42" s="119"/>
      <c r="CC42" s="124"/>
      <c r="CD42" s="152"/>
      <c r="CE42" s="41"/>
      <c r="CF42" s="67">
        <v>-101.49</v>
      </c>
      <c r="CG42" s="104"/>
      <c r="CH42" s="119"/>
      <c r="CI42" s="124"/>
      <c r="CJ42" s="152"/>
      <c r="CK42" s="41"/>
      <c r="CL42" s="67">
        <v>-33.56</v>
      </c>
      <c r="CM42" s="104"/>
      <c r="CN42" s="119"/>
      <c r="CO42" s="124"/>
      <c r="CP42" s="152"/>
      <c r="CQ42" s="41"/>
      <c r="CR42" s="67">
        <v>-66.594999999999999</v>
      </c>
      <c r="CS42" s="72"/>
      <c r="CT42" s="119"/>
      <c r="CU42" s="124"/>
      <c r="CV42" s="113"/>
      <c r="CW42" s="41"/>
      <c r="CX42" s="67"/>
      <c r="CY42" s="104"/>
      <c r="CZ42" s="119"/>
      <c r="DA42" s="124"/>
      <c r="DB42" s="113"/>
      <c r="DC42" s="41"/>
      <c r="DD42" s="67"/>
      <c r="DE42" s="72"/>
      <c r="DF42" s="119"/>
      <c r="DG42" s="124"/>
      <c r="DH42" s="113"/>
      <c r="DI42" s="41"/>
      <c r="DJ42" s="67"/>
      <c r="DK42" s="104"/>
      <c r="DL42" s="119"/>
      <c r="DM42" s="45"/>
      <c r="DN42" s="41"/>
      <c r="DO42" s="372"/>
      <c r="DP42" s="72"/>
      <c r="DQ42" s="119"/>
      <c r="DR42" s="45"/>
      <c r="DS42" s="41"/>
      <c r="DT42" s="67"/>
      <c r="DU42" s="104"/>
      <c r="DV42" s="119"/>
      <c r="DW42" s="124"/>
      <c r="DX42" s="113"/>
      <c r="DY42" s="41"/>
      <c r="DZ42" s="67"/>
      <c r="EA42" s="72"/>
      <c r="EB42" s="119"/>
      <c r="EC42" s="124"/>
      <c r="ED42" s="113"/>
      <c r="EE42" s="41"/>
      <c r="EF42" s="67"/>
      <c r="EG42" s="72"/>
      <c r="EH42" s="192"/>
      <c r="EI42" s="148"/>
      <c r="EJ42" s="41"/>
      <c r="EK42" s="67"/>
      <c r="EL42" s="104"/>
      <c r="EM42" s="148"/>
      <c r="EN42" s="41"/>
      <c r="EO42" s="67"/>
      <c r="EP42" s="72"/>
      <c r="EQ42" s="45"/>
      <c r="ER42" s="41"/>
      <c r="ES42" s="67"/>
      <c r="ET42" s="104"/>
      <c r="EU42" s="124"/>
      <c r="EV42" s="169"/>
      <c r="EW42" s="87"/>
      <c r="EX42" s="248"/>
      <c r="EY42" s="87"/>
      <c r="EZ42" s="91"/>
      <c r="FA42" s="41"/>
      <c r="FB42" s="67"/>
      <c r="FC42" s="104"/>
      <c r="FD42" s="124"/>
      <c r="FE42" s="169"/>
      <c r="FF42" s="87"/>
      <c r="FG42" s="72"/>
      <c r="FH42" s="45"/>
      <c r="FI42" s="41"/>
      <c r="FJ42" s="67"/>
      <c r="FK42" s="104"/>
      <c r="FL42" s="45"/>
      <c r="FM42" s="41"/>
      <c r="FN42" s="148"/>
      <c r="FO42" s="208"/>
      <c r="FP42" s="208"/>
      <c r="FQ42" s="41"/>
      <c r="FR42" s="67"/>
      <c r="FS42" s="104"/>
      <c r="FT42" s="113"/>
      <c r="FU42" s="87"/>
      <c r="FV42" s="104"/>
      <c r="FW42" s="148"/>
      <c r="FX42" s="33"/>
      <c r="FY42" s="124"/>
      <c r="FZ42" s="113"/>
      <c r="GA42" s="87"/>
      <c r="GB42" s="104"/>
      <c r="GC42" s="155"/>
      <c r="GD42" s="113"/>
      <c r="GE42" s="87"/>
      <c r="GF42" s="148"/>
      <c r="GG42" s="208"/>
      <c r="GH42" s="104"/>
      <c r="GI42" s="248"/>
      <c r="GJ42" s="200"/>
      <c r="GK42" s="77"/>
      <c r="GL42" s="41"/>
      <c r="GM42" s="91"/>
      <c r="GN42" s="108"/>
      <c r="GO42" s="108"/>
      <c r="GP42" s="41"/>
      <c r="GQ42" s="91"/>
      <c r="GR42" s="49"/>
      <c r="GS42" s="108"/>
      <c r="GT42" s="108"/>
      <c r="GU42" s="108"/>
      <c r="GV42" s="41"/>
      <c r="GW42" s="91"/>
      <c r="GX42" s="104"/>
      <c r="GY42" s="41"/>
      <c r="GZ42" s="104"/>
      <c r="HA42" s="113"/>
      <c r="HB42" s="274"/>
      <c r="HC42" s="41"/>
      <c r="HD42" s="91"/>
      <c r="HE42" s="41"/>
      <c r="HF42" s="91"/>
      <c r="HG42" s="41"/>
      <c r="HH42" s="104"/>
      <c r="HI42" s="152"/>
      <c r="HJ42" s="77"/>
      <c r="HK42" s="49"/>
      <c r="HL42" s="41"/>
      <c r="HM42" s="104"/>
      <c r="HN42" s="113"/>
      <c r="HO42" s="41"/>
      <c r="HP42" s="91"/>
      <c r="HQ42" s="41"/>
      <c r="HR42" s="91"/>
      <c r="HS42" s="37"/>
      <c r="HT42" s="82"/>
      <c r="HU42" s="41"/>
      <c r="HV42" s="91"/>
      <c r="HW42" s="41"/>
      <c r="HX42" s="91"/>
      <c r="HY42" s="37"/>
      <c r="HZ42" s="41"/>
      <c r="IA42" s="77"/>
      <c r="IB42" s="41"/>
      <c r="IC42" s="91"/>
      <c r="ID42" s="41"/>
      <c r="IE42" s="77"/>
      <c r="IF42" s="49"/>
      <c r="IG42" s="37"/>
      <c r="IH42" s="33"/>
      <c r="II42" s="281"/>
      <c r="IJ42" s="260"/>
      <c r="IK42" s="261"/>
    </row>
    <row r="43" spans="1:257" s="27" customFormat="1" ht="15" customHeight="1" x14ac:dyDescent="0.25">
      <c r="A43" s="130">
        <v>44336</v>
      </c>
      <c r="B43" s="20" t="s">
        <v>33</v>
      </c>
      <c r="C43" s="22">
        <f t="shared" si="4"/>
        <v>-8.5350000000000001</v>
      </c>
      <c r="D43" s="384"/>
      <c r="E43" s="384"/>
      <c r="F43" s="143"/>
      <c r="G43" s="143"/>
      <c r="H43" s="82"/>
      <c r="I43" s="82"/>
      <c r="J43" s="108"/>
      <c r="K43" s="41"/>
      <c r="L43" s="67"/>
      <c r="M43" s="91"/>
      <c r="N43" s="41"/>
      <c r="O43" s="372"/>
      <c r="P43" s="104"/>
      <c r="Q43" s="161"/>
      <c r="R43" s="113"/>
      <c r="S43" s="72"/>
      <c r="T43" s="41"/>
      <c r="U43" s="67"/>
      <c r="V43" s="72"/>
      <c r="W43" s="161"/>
      <c r="X43" s="41"/>
      <c r="Y43" s="67"/>
      <c r="Z43" s="77"/>
      <c r="AA43" s="41"/>
      <c r="AB43" s="67"/>
      <c r="AC43" s="104"/>
      <c r="AD43" s="113"/>
      <c r="AE43" s="41"/>
      <c r="AF43" s="67"/>
      <c r="AG43" s="104"/>
      <c r="AH43" s="119"/>
      <c r="AI43" s="124"/>
      <c r="AJ43" s="161"/>
      <c r="AK43" s="241"/>
      <c r="AL43" s="41"/>
      <c r="AM43" s="67"/>
      <c r="AN43" s="104"/>
      <c r="AO43" s="45"/>
      <c r="AP43" s="41"/>
      <c r="AQ43" s="67"/>
      <c r="AR43" s="104"/>
      <c r="AS43" s="119"/>
      <c r="AT43" s="45"/>
      <c r="AU43" s="41"/>
      <c r="AV43" s="67">
        <v>-8.5350000000000001</v>
      </c>
      <c r="AW43" s="104"/>
      <c r="AX43" s="119"/>
      <c r="AY43" s="124"/>
      <c r="AZ43" s="152"/>
      <c r="BA43" s="41"/>
      <c r="BB43" s="67"/>
      <c r="BC43" s="104"/>
      <c r="BD43" s="119"/>
      <c r="BE43" s="124"/>
      <c r="BF43" s="152"/>
      <c r="BG43" s="41"/>
      <c r="BH43" s="67"/>
      <c r="BI43" s="104"/>
      <c r="BJ43" s="119"/>
      <c r="BK43" s="124"/>
      <c r="BL43" s="152"/>
      <c r="BM43" s="87"/>
      <c r="BN43" s="67"/>
      <c r="BO43" s="104"/>
      <c r="BP43" s="119"/>
      <c r="BQ43" s="124"/>
      <c r="BR43" s="152"/>
      <c r="BS43" s="41"/>
      <c r="BT43" s="67"/>
      <c r="BU43" s="104"/>
      <c r="BV43" s="119"/>
      <c r="BW43" s="124"/>
      <c r="BX43" s="152"/>
      <c r="BY43" s="41"/>
      <c r="BZ43" s="67"/>
      <c r="CA43" s="104"/>
      <c r="CB43" s="119"/>
      <c r="CC43" s="124"/>
      <c r="CD43" s="152"/>
      <c r="CE43" s="41"/>
      <c r="CF43" s="67"/>
      <c r="CG43" s="104"/>
      <c r="CH43" s="119"/>
      <c r="CI43" s="124"/>
      <c r="CJ43" s="152"/>
      <c r="CK43" s="41"/>
      <c r="CL43" s="67"/>
      <c r="CM43" s="104"/>
      <c r="CN43" s="119"/>
      <c r="CO43" s="124"/>
      <c r="CP43" s="152"/>
      <c r="CQ43" s="41"/>
      <c r="CR43" s="67"/>
      <c r="CS43" s="72"/>
      <c r="CT43" s="119"/>
      <c r="CU43" s="124"/>
      <c r="CV43" s="113"/>
      <c r="CW43" s="41"/>
      <c r="CX43" s="67"/>
      <c r="CY43" s="104"/>
      <c r="CZ43" s="119"/>
      <c r="DA43" s="124"/>
      <c r="DB43" s="113"/>
      <c r="DC43" s="41"/>
      <c r="DD43" s="67"/>
      <c r="DE43" s="72"/>
      <c r="DF43" s="119"/>
      <c r="DG43" s="124"/>
      <c r="DH43" s="113"/>
      <c r="DI43" s="41"/>
      <c r="DJ43" s="67"/>
      <c r="DK43" s="104"/>
      <c r="DL43" s="119"/>
      <c r="DM43" s="45"/>
      <c r="DN43" s="41"/>
      <c r="DO43" s="372"/>
      <c r="DP43" s="72"/>
      <c r="DQ43" s="119"/>
      <c r="DR43" s="45"/>
      <c r="DS43" s="41"/>
      <c r="DT43" s="67"/>
      <c r="DU43" s="104"/>
      <c r="DV43" s="119"/>
      <c r="DW43" s="124"/>
      <c r="DX43" s="113"/>
      <c r="DY43" s="41"/>
      <c r="DZ43" s="67"/>
      <c r="EA43" s="72"/>
      <c r="EB43" s="119"/>
      <c r="EC43" s="124"/>
      <c r="ED43" s="113"/>
      <c r="EE43" s="41"/>
      <c r="EF43" s="67"/>
      <c r="EG43" s="72"/>
      <c r="EH43" s="192"/>
      <c r="EI43" s="148"/>
      <c r="EJ43" s="41"/>
      <c r="EK43" s="67"/>
      <c r="EL43" s="104"/>
      <c r="EM43" s="148"/>
      <c r="EN43" s="41"/>
      <c r="EO43" s="67"/>
      <c r="EP43" s="72"/>
      <c r="EQ43" s="45"/>
      <c r="ER43" s="41"/>
      <c r="ES43" s="67"/>
      <c r="ET43" s="104"/>
      <c r="EU43" s="124"/>
      <c r="EV43" s="169"/>
      <c r="EW43" s="87"/>
      <c r="EX43" s="248"/>
      <c r="EY43" s="87"/>
      <c r="EZ43" s="91"/>
      <c r="FA43" s="41"/>
      <c r="FB43" s="67"/>
      <c r="FC43" s="104"/>
      <c r="FD43" s="124"/>
      <c r="FE43" s="169"/>
      <c r="FF43" s="87"/>
      <c r="FG43" s="72"/>
      <c r="FH43" s="45"/>
      <c r="FI43" s="41"/>
      <c r="FJ43" s="67"/>
      <c r="FK43" s="104"/>
      <c r="FL43" s="45"/>
      <c r="FM43" s="41"/>
      <c r="FN43" s="148"/>
      <c r="FO43" s="208"/>
      <c r="FP43" s="208"/>
      <c r="FQ43" s="41"/>
      <c r="FR43" s="67"/>
      <c r="FS43" s="104"/>
      <c r="FT43" s="113"/>
      <c r="FU43" s="87"/>
      <c r="FV43" s="104"/>
      <c r="FW43" s="148"/>
      <c r="FX43" s="33"/>
      <c r="FY43" s="124"/>
      <c r="FZ43" s="113"/>
      <c r="GA43" s="87"/>
      <c r="GB43" s="104"/>
      <c r="GC43" s="155"/>
      <c r="GD43" s="113"/>
      <c r="GE43" s="87"/>
      <c r="GF43" s="148"/>
      <c r="GG43" s="208"/>
      <c r="GH43" s="104"/>
      <c r="GI43" s="248"/>
      <c r="GJ43" s="200"/>
      <c r="GK43" s="77"/>
      <c r="GL43" s="41"/>
      <c r="GM43" s="91"/>
      <c r="GN43" s="108"/>
      <c r="GO43" s="108"/>
      <c r="GP43" s="41"/>
      <c r="GQ43" s="91"/>
      <c r="GR43" s="49"/>
      <c r="GS43" s="108"/>
      <c r="GT43" s="108"/>
      <c r="GU43" s="108"/>
      <c r="GV43" s="41"/>
      <c r="GW43" s="91"/>
      <c r="GX43" s="104"/>
      <c r="GY43" s="41"/>
      <c r="GZ43" s="104"/>
      <c r="HA43" s="113"/>
      <c r="HB43" s="274"/>
      <c r="HC43" s="41"/>
      <c r="HD43" s="91"/>
      <c r="HE43" s="41"/>
      <c r="HF43" s="91"/>
      <c r="HG43" s="41"/>
      <c r="HH43" s="104"/>
      <c r="HI43" s="152"/>
      <c r="HJ43" s="77"/>
      <c r="HK43" s="49"/>
      <c r="HL43" s="41"/>
      <c r="HM43" s="104"/>
      <c r="HN43" s="113"/>
      <c r="HO43" s="41"/>
      <c r="HP43" s="91"/>
      <c r="HQ43" s="41"/>
      <c r="HR43" s="91"/>
      <c r="HS43" s="37"/>
      <c r="HT43" s="82"/>
      <c r="HU43" s="41"/>
      <c r="HV43" s="91"/>
      <c r="HW43" s="41"/>
      <c r="HX43" s="91"/>
      <c r="HY43" s="37"/>
      <c r="HZ43" s="41"/>
      <c r="IA43" s="77"/>
      <c r="IB43" s="41"/>
      <c r="IC43" s="91"/>
      <c r="ID43" s="41"/>
      <c r="IE43" s="77"/>
      <c r="IF43" s="49"/>
      <c r="IG43" s="37"/>
      <c r="IH43" s="33"/>
      <c r="II43" s="281"/>
      <c r="IJ43" s="260"/>
      <c r="IK43" s="261"/>
      <c r="IL43" s="267"/>
      <c r="IM43" s="363"/>
      <c r="IN43" s="364"/>
      <c r="IO43" s="288"/>
      <c r="IP43" s="267"/>
      <c r="IQ43" s="267"/>
      <c r="IR43" s="267"/>
      <c r="IS43" s="267"/>
      <c r="IT43" s="267"/>
      <c r="IU43" s="267"/>
      <c r="IV43" s="381"/>
      <c r="IW43" s="269"/>
    </row>
    <row r="44" spans="1:257" s="27" customFormat="1" ht="15" customHeight="1" x14ac:dyDescent="0.25">
      <c r="A44" s="130">
        <v>44336</v>
      </c>
      <c r="B44" s="20" t="s">
        <v>32</v>
      </c>
      <c r="C44" s="22">
        <f t="shared" si="4"/>
        <v>-134.60499999999999</v>
      </c>
      <c r="D44" s="384"/>
      <c r="E44" s="384"/>
      <c r="F44" s="143"/>
      <c r="G44" s="143"/>
      <c r="H44" s="82"/>
      <c r="I44" s="82"/>
      <c r="J44" s="108"/>
      <c r="K44" s="41"/>
      <c r="L44" s="67"/>
      <c r="M44" s="91"/>
      <c r="N44" s="41"/>
      <c r="O44" s="372"/>
      <c r="P44" s="104"/>
      <c r="Q44" s="161"/>
      <c r="R44" s="113"/>
      <c r="S44" s="72"/>
      <c r="T44" s="41"/>
      <c r="U44" s="67"/>
      <c r="V44" s="72"/>
      <c r="W44" s="161"/>
      <c r="X44" s="41"/>
      <c r="Y44" s="67"/>
      <c r="Z44" s="77"/>
      <c r="AA44" s="41"/>
      <c r="AB44" s="67"/>
      <c r="AC44" s="104"/>
      <c r="AD44" s="113"/>
      <c r="AE44" s="41"/>
      <c r="AF44" s="67"/>
      <c r="AG44" s="104"/>
      <c r="AH44" s="119"/>
      <c r="AI44" s="124"/>
      <c r="AJ44" s="161"/>
      <c r="AK44" s="241"/>
      <c r="AL44" s="41"/>
      <c r="AM44" s="67"/>
      <c r="AN44" s="104"/>
      <c r="AO44" s="45"/>
      <c r="AP44" s="41"/>
      <c r="AQ44" s="67"/>
      <c r="AR44" s="104"/>
      <c r="AS44" s="119"/>
      <c r="AT44" s="45"/>
      <c r="AU44" s="41"/>
      <c r="AV44" s="67"/>
      <c r="AW44" s="104"/>
      <c r="AX44" s="119"/>
      <c r="AY44" s="124"/>
      <c r="AZ44" s="152"/>
      <c r="BA44" s="41"/>
      <c r="BB44" s="67">
        <v>-33.975000000000001</v>
      </c>
      <c r="BC44" s="104"/>
      <c r="BD44" s="119"/>
      <c r="BE44" s="124"/>
      <c r="BF44" s="152"/>
      <c r="BG44" s="41"/>
      <c r="BH44" s="67"/>
      <c r="BI44" s="104"/>
      <c r="BJ44" s="119"/>
      <c r="BK44" s="124"/>
      <c r="BL44" s="152"/>
      <c r="BM44" s="87"/>
      <c r="BN44" s="67"/>
      <c r="BO44" s="104"/>
      <c r="BP44" s="119"/>
      <c r="BQ44" s="124"/>
      <c r="BR44" s="152"/>
      <c r="BS44" s="41"/>
      <c r="BT44" s="67">
        <v>-100.63</v>
      </c>
      <c r="BU44" s="104"/>
      <c r="BV44" s="119"/>
      <c r="BW44" s="124"/>
      <c r="BX44" s="152"/>
      <c r="BY44" s="41"/>
      <c r="BZ44" s="67"/>
      <c r="CA44" s="104"/>
      <c r="CB44" s="119"/>
      <c r="CC44" s="124"/>
      <c r="CD44" s="152"/>
      <c r="CE44" s="41"/>
      <c r="CF44" s="67"/>
      <c r="CG44" s="104"/>
      <c r="CH44" s="119"/>
      <c r="CI44" s="124"/>
      <c r="CJ44" s="152"/>
      <c r="CK44" s="41"/>
      <c r="CL44" s="67"/>
      <c r="CM44" s="104"/>
      <c r="CN44" s="119"/>
      <c r="CO44" s="124"/>
      <c r="CP44" s="152"/>
      <c r="CQ44" s="41"/>
      <c r="CR44" s="67"/>
      <c r="CS44" s="72"/>
      <c r="CT44" s="119"/>
      <c r="CU44" s="124"/>
      <c r="CV44" s="113"/>
      <c r="CW44" s="41"/>
      <c r="CX44" s="67"/>
      <c r="CY44" s="104"/>
      <c r="CZ44" s="119"/>
      <c r="DA44" s="124"/>
      <c r="DB44" s="113"/>
      <c r="DC44" s="41"/>
      <c r="DD44" s="67"/>
      <c r="DE44" s="72"/>
      <c r="DF44" s="119"/>
      <c r="DG44" s="124"/>
      <c r="DH44" s="113"/>
      <c r="DI44" s="41"/>
      <c r="DJ44" s="67"/>
      <c r="DK44" s="104"/>
      <c r="DL44" s="119"/>
      <c r="DM44" s="45"/>
      <c r="DN44" s="41"/>
      <c r="DO44" s="372"/>
      <c r="DP44" s="72"/>
      <c r="DQ44" s="119"/>
      <c r="DR44" s="45"/>
      <c r="DS44" s="41"/>
      <c r="DT44" s="67"/>
      <c r="DU44" s="104"/>
      <c r="DV44" s="119"/>
      <c r="DW44" s="124"/>
      <c r="DX44" s="113"/>
      <c r="DY44" s="41"/>
      <c r="DZ44" s="67"/>
      <c r="EA44" s="72"/>
      <c r="EB44" s="119"/>
      <c r="EC44" s="124"/>
      <c r="ED44" s="113"/>
      <c r="EE44" s="41"/>
      <c r="EF44" s="67"/>
      <c r="EG44" s="72"/>
      <c r="EH44" s="192"/>
      <c r="EI44" s="148"/>
      <c r="EJ44" s="41"/>
      <c r="EK44" s="67"/>
      <c r="EL44" s="104"/>
      <c r="EM44" s="148"/>
      <c r="EN44" s="41"/>
      <c r="EO44" s="67"/>
      <c r="EP44" s="72"/>
      <c r="EQ44" s="45"/>
      <c r="ER44" s="41"/>
      <c r="ES44" s="67"/>
      <c r="ET44" s="104"/>
      <c r="EU44" s="124"/>
      <c r="EV44" s="169"/>
      <c r="EW44" s="87"/>
      <c r="EX44" s="248"/>
      <c r="EY44" s="87"/>
      <c r="EZ44" s="91"/>
      <c r="FA44" s="41"/>
      <c r="FB44" s="67"/>
      <c r="FC44" s="104"/>
      <c r="FD44" s="124"/>
      <c r="FE44" s="169"/>
      <c r="FF44" s="87"/>
      <c r="FG44" s="72"/>
      <c r="FH44" s="45"/>
      <c r="FI44" s="41"/>
      <c r="FJ44" s="67"/>
      <c r="FK44" s="104"/>
      <c r="FL44" s="45"/>
      <c r="FM44" s="41"/>
      <c r="FN44" s="148"/>
      <c r="FO44" s="208"/>
      <c r="FP44" s="208"/>
      <c r="FQ44" s="41"/>
      <c r="FR44" s="67"/>
      <c r="FS44" s="104"/>
      <c r="FT44" s="113"/>
      <c r="FU44" s="87"/>
      <c r="FV44" s="104"/>
      <c r="FW44" s="148"/>
      <c r="FX44" s="33"/>
      <c r="FY44" s="124"/>
      <c r="FZ44" s="113"/>
      <c r="GA44" s="87"/>
      <c r="GB44" s="104"/>
      <c r="GC44" s="155"/>
      <c r="GD44" s="113"/>
      <c r="GE44" s="87"/>
      <c r="GF44" s="148"/>
      <c r="GG44" s="208"/>
      <c r="GH44" s="104"/>
      <c r="GI44" s="248"/>
      <c r="GJ44" s="200"/>
      <c r="GK44" s="77"/>
      <c r="GL44" s="41"/>
      <c r="GM44" s="91"/>
      <c r="GN44" s="108"/>
      <c r="GO44" s="108"/>
      <c r="GP44" s="41"/>
      <c r="GQ44" s="91"/>
      <c r="GR44" s="49"/>
      <c r="GS44" s="108"/>
      <c r="GT44" s="108"/>
      <c r="GU44" s="108"/>
      <c r="GV44" s="41"/>
      <c r="GW44" s="91"/>
      <c r="GX44" s="104"/>
      <c r="GY44" s="41"/>
      <c r="GZ44" s="104"/>
      <c r="HA44" s="113"/>
      <c r="HB44" s="274"/>
      <c r="HC44" s="41"/>
      <c r="HD44" s="91"/>
      <c r="HE44" s="41"/>
      <c r="HF44" s="91"/>
      <c r="HG44" s="41"/>
      <c r="HH44" s="104"/>
      <c r="HI44" s="152"/>
      <c r="HJ44" s="77"/>
      <c r="HK44" s="49"/>
      <c r="HL44" s="41"/>
      <c r="HM44" s="104"/>
      <c r="HN44" s="113"/>
      <c r="HO44" s="41"/>
      <c r="HP44" s="91"/>
      <c r="HQ44" s="41"/>
      <c r="HR44" s="91"/>
      <c r="HS44" s="37"/>
      <c r="HT44" s="82"/>
      <c r="HU44" s="41"/>
      <c r="HV44" s="91"/>
      <c r="HW44" s="41"/>
      <c r="HX44" s="91"/>
      <c r="HY44" s="37"/>
      <c r="HZ44" s="41"/>
      <c r="IA44" s="77"/>
      <c r="IB44" s="41"/>
      <c r="IC44" s="91"/>
      <c r="ID44" s="41"/>
      <c r="IE44" s="77"/>
      <c r="IF44" s="49"/>
      <c r="IG44" s="37"/>
      <c r="IH44" s="33"/>
      <c r="II44" s="281"/>
      <c r="IJ44" s="260"/>
      <c r="IK44" s="261"/>
      <c r="IL44" s="267"/>
      <c r="IM44" s="363"/>
      <c r="IN44" s="364"/>
      <c r="IO44" s="288"/>
      <c r="IP44" s="267"/>
      <c r="IQ44" s="267"/>
      <c r="IR44" s="267"/>
      <c r="IS44" s="267"/>
      <c r="IT44" s="267"/>
      <c r="IU44" s="267"/>
      <c r="IV44" s="381"/>
      <c r="IW44" s="269"/>
    </row>
    <row r="45" spans="1:257" x14ac:dyDescent="0.25">
      <c r="A45" s="130">
        <v>44336</v>
      </c>
      <c r="B45" s="23" t="s">
        <v>20</v>
      </c>
      <c r="C45" s="21">
        <f t="shared" si="4"/>
        <v>-76.760000000000005</v>
      </c>
      <c r="L45" s="69">
        <v>-8.48</v>
      </c>
      <c r="AP45" s="42">
        <v>-8.07</v>
      </c>
      <c r="AV45" s="69">
        <v>-8.5299999999999994</v>
      </c>
      <c r="BA45" s="42">
        <v>-8.7899999999999991</v>
      </c>
      <c r="BH45" s="69">
        <v>-8.5500000000000007</v>
      </c>
      <c r="BN45" s="69">
        <v>-8.31</v>
      </c>
      <c r="BS45" s="42">
        <v>-8.75</v>
      </c>
      <c r="BZ45" s="69">
        <v>-8.5299999999999994</v>
      </c>
      <c r="CE45" s="42">
        <v>-8.75</v>
      </c>
    </row>
    <row r="46" spans="1:257" x14ac:dyDescent="0.25">
      <c r="A46" s="130">
        <v>44337</v>
      </c>
      <c r="B46" s="23" t="s">
        <v>37</v>
      </c>
      <c r="C46" s="21">
        <f t="shared" si="4"/>
        <v>-59.11</v>
      </c>
      <c r="HE46" s="42">
        <v>-27.65</v>
      </c>
      <c r="HK46" s="50">
        <v>-31.46</v>
      </c>
    </row>
    <row r="47" spans="1:257" x14ac:dyDescent="0.25">
      <c r="A47" s="130">
        <v>44337</v>
      </c>
      <c r="B47" s="23" t="s">
        <v>38</v>
      </c>
      <c r="C47" s="21">
        <f t="shared" si="4"/>
        <v>-97.3</v>
      </c>
      <c r="GV47" s="42">
        <v>-27.75</v>
      </c>
      <c r="ID47" s="42">
        <v>-69.55</v>
      </c>
    </row>
    <row r="48" spans="1:257" x14ac:dyDescent="0.25">
      <c r="A48" s="130">
        <v>44337</v>
      </c>
      <c r="B48" s="23" t="s">
        <v>26</v>
      </c>
      <c r="C48" s="21">
        <f t="shared" si="4"/>
        <v>-42.225000000000001</v>
      </c>
      <c r="BH48" s="69">
        <v>-8.3699999999999992</v>
      </c>
      <c r="BN48" s="69">
        <v>-8.31</v>
      </c>
      <c r="BS48" s="42">
        <v>-8.64</v>
      </c>
      <c r="BZ48" s="69">
        <v>-8.4499999999999993</v>
      </c>
      <c r="CF48" s="69">
        <v>-8.4550000000000001</v>
      </c>
    </row>
    <row r="49" spans="1:229" x14ac:dyDescent="0.25">
      <c r="A49" s="130">
        <v>44337</v>
      </c>
      <c r="B49" s="23" t="s">
        <v>37</v>
      </c>
      <c r="C49" s="21">
        <f t="shared" si="4"/>
        <v>-29.89</v>
      </c>
      <c r="HC49" s="42">
        <v>-29.89</v>
      </c>
    </row>
    <row r="50" spans="1:229" x14ac:dyDescent="0.25">
      <c r="A50" s="130">
        <v>44337</v>
      </c>
      <c r="B50" s="23" t="s">
        <v>31</v>
      </c>
      <c r="C50" s="21">
        <f t="shared" si="4"/>
        <v>-86.564999999999998</v>
      </c>
      <c r="FB50" s="69">
        <v>-86.564999999999998</v>
      </c>
    </row>
    <row r="51" spans="1:229" x14ac:dyDescent="0.25">
      <c r="A51" s="130">
        <v>44337</v>
      </c>
      <c r="B51" s="23" t="s">
        <v>32</v>
      </c>
      <c r="C51" s="21">
        <f t="shared" si="4"/>
        <v>-67.599999999999994</v>
      </c>
      <c r="BB51" s="69">
        <v>-33.975000000000001</v>
      </c>
      <c r="BH51" s="69">
        <v>-33.625</v>
      </c>
    </row>
    <row r="52" spans="1:229" x14ac:dyDescent="0.25">
      <c r="A52" s="127">
        <v>44340</v>
      </c>
      <c r="B52" s="23" t="s">
        <v>39</v>
      </c>
      <c r="C52" s="21">
        <f t="shared" si="4"/>
        <v>-67.275000000000006</v>
      </c>
      <c r="AV52" s="69">
        <v>-8.5299999999999994</v>
      </c>
      <c r="BB52" s="69">
        <v>-8.4600000000000009</v>
      </c>
      <c r="BH52" s="69">
        <v>-8.2249999999999996</v>
      </c>
      <c r="BN52" s="69">
        <v>-8.3550000000000004</v>
      </c>
      <c r="BT52" s="69">
        <v>-8.2850000000000001</v>
      </c>
      <c r="BZ52" s="69">
        <v>-8.5050000000000008</v>
      </c>
      <c r="CF52" s="69">
        <v>-8.4649999999999999</v>
      </c>
      <c r="CL52" s="69">
        <v>-8.4499999999999993</v>
      </c>
    </row>
    <row r="53" spans="1:229" x14ac:dyDescent="0.25">
      <c r="A53" s="127">
        <v>44340</v>
      </c>
      <c r="B53" s="23" t="s">
        <v>40</v>
      </c>
      <c r="C53" s="21">
        <f t="shared" si="4"/>
        <v>-500.53</v>
      </c>
      <c r="HL53" s="42">
        <v>-343.73</v>
      </c>
      <c r="HU53" s="42">
        <v>-156.80000000000001</v>
      </c>
    </row>
    <row r="54" spans="1:229" x14ac:dyDescent="0.25">
      <c r="A54" s="127">
        <v>44340</v>
      </c>
      <c r="B54" s="23" t="s">
        <v>20</v>
      </c>
      <c r="C54" s="21">
        <f t="shared" si="4"/>
        <v>-15.95</v>
      </c>
      <c r="CQ54" s="42">
        <v>-8.31</v>
      </c>
      <c r="CW54" s="42">
        <v>-7.64</v>
      </c>
    </row>
    <row r="55" spans="1:229" x14ac:dyDescent="0.25">
      <c r="A55" s="127">
        <v>44340</v>
      </c>
      <c r="B55" s="23" t="s">
        <v>41</v>
      </c>
      <c r="C55" s="21">
        <f t="shared" si="4"/>
        <v>-8.6199999999999992</v>
      </c>
      <c r="Y55" s="69">
        <v>-8.6199999999999992</v>
      </c>
    </row>
    <row r="56" spans="1:229" x14ac:dyDescent="0.25">
      <c r="A56" s="127">
        <v>44340</v>
      </c>
      <c r="B56" s="23" t="s">
        <v>42</v>
      </c>
      <c r="C56" s="21">
        <f t="shared" si="4"/>
        <v>-148.15</v>
      </c>
      <c r="BH56" s="69">
        <v>-33.68</v>
      </c>
      <c r="BN56" s="69">
        <v>-33.33</v>
      </c>
      <c r="BT56" s="69">
        <v>-33.585000000000001</v>
      </c>
      <c r="CF56" s="69">
        <v>-16.93</v>
      </c>
      <c r="CR56" s="69">
        <v>-30.625</v>
      </c>
    </row>
    <row r="57" spans="1:229" x14ac:dyDescent="0.25">
      <c r="A57" s="127">
        <v>44340</v>
      </c>
      <c r="B57" s="23" t="s">
        <v>2</v>
      </c>
      <c r="C57" s="21">
        <f t="shared" si="4"/>
        <v>755.75</v>
      </c>
      <c r="GP57" s="42">
        <v>755.75</v>
      </c>
    </row>
    <row r="58" spans="1:229" x14ac:dyDescent="0.25">
      <c r="A58" s="127">
        <v>44341</v>
      </c>
      <c r="B58" s="23" t="s">
        <v>12</v>
      </c>
      <c r="C58" s="21">
        <f t="shared" si="4"/>
        <v>-290.33499999999998</v>
      </c>
      <c r="BB58" s="69">
        <v>-67.905000000000001</v>
      </c>
      <c r="CK58" s="42">
        <v>-153.32</v>
      </c>
      <c r="CQ58" s="42">
        <v>-34.840000000000003</v>
      </c>
      <c r="CW58" s="42">
        <v>-34.270000000000003</v>
      </c>
    </row>
    <row r="59" spans="1:229" x14ac:dyDescent="0.25">
      <c r="A59" s="127">
        <v>44341</v>
      </c>
      <c r="B59" s="23" t="s">
        <v>24</v>
      </c>
      <c r="C59" s="21">
        <f t="shared" si="4"/>
        <v>-34.005000000000003</v>
      </c>
      <c r="BT59" s="69">
        <v>-34.005000000000003</v>
      </c>
    </row>
    <row r="60" spans="1:229" x14ac:dyDescent="0.25">
      <c r="A60" s="127">
        <v>44341</v>
      </c>
      <c r="B60" s="23" t="s">
        <v>25</v>
      </c>
      <c r="C60" s="21">
        <f t="shared" si="4"/>
        <v>-33.56</v>
      </c>
      <c r="BN60" s="69">
        <v>-8.34</v>
      </c>
      <c r="BT60" s="69">
        <v>-8.3350000000000009</v>
      </c>
      <c r="BZ60" s="69">
        <v>-8.44</v>
      </c>
      <c r="CF60" s="69">
        <v>-8.4450000000000003</v>
      </c>
    </row>
    <row r="61" spans="1:229" x14ac:dyDescent="0.25">
      <c r="A61" s="127">
        <v>44341</v>
      </c>
      <c r="B61" s="23" t="s">
        <v>27</v>
      </c>
      <c r="C61" s="21">
        <f t="shared" si="4"/>
        <v>-58.22</v>
      </c>
      <c r="AZ61" s="182">
        <v>-8.06</v>
      </c>
      <c r="BF61" s="182">
        <v>-8.32</v>
      </c>
      <c r="BL61" s="182">
        <v>-8.19</v>
      </c>
      <c r="BR61" s="182">
        <v>-8.3000000000000007</v>
      </c>
      <c r="BT61" s="69">
        <v>-8.51</v>
      </c>
      <c r="CC61" s="126">
        <v>-8.41</v>
      </c>
      <c r="CF61" s="69">
        <v>-8.43</v>
      </c>
    </row>
    <row r="62" spans="1:229" x14ac:dyDescent="0.25">
      <c r="A62" s="127">
        <v>44341</v>
      </c>
      <c r="B62" s="23" t="s">
        <v>43</v>
      </c>
      <c r="C62" s="21">
        <f t="shared" si="4"/>
        <v>-809.28499999999997</v>
      </c>
      <c r="AB62" s="69">
        <v>-33.744999999999997</v>
      </c>
      <c r="AE62" s="42">
        <v>-97.6</v>
      </c>
      <c r="AM62" s="69">
        <v>-65.33</v>
      </c>
      <c r="AP62" s="42">
        <v>-32.33</v>
      </c>
      <c r="AV62" s="69">
        <v>-68.430000000000007</v>
      </c>
      <c r="BB62" s="69">
        <v>-67.805000000000007</v>
      </c>
      <c r="BH62" s="69">
        <v>-67.215000000000003</v>
      </c>
      <c r="BN62" s="69">
        <v>-66.344999999999999</v>
      </c>
      <c r="BS62" s="42">
        <v>-34.93</v>
      </c>
      <c r="BY62" s="42">
        <v>-34.619999999999997</v>
      </c>
      <c r="CE62" s="42">
        <v>-139.04</v>
      </c>
      <c r="CL62" s="69">
        <v>-33.564999999999998</v>
      </c>
      <c r="CQ62" s="42">
        <v>-34.090000000000003</v>
      </c>
      <c r="CW62" s="42">
        <v>-34.24</v>
      </c>
    </row>
    <row r="63" spans="1:229" x14ac:dyDescent="0.25">
      <c r="A63" s="127">
        <v>44341</v>
      </c>
      <c r="B63" s="23" t="s">
        <v>32</v>
      </c>
      <c r="C63" s="21">
        <f t="shared" si="4"/>
        <v>-135.72499999999999</v>
      </c>
      <c r="AM63" s="69">
        <v>-16.8</v>
      </c>
      <c r="AP63" s="42">
        <v>-16.059999999999999</v>
      </c>
      <c r="BN63" s="69">
        <v>-33.664999999999999</v>
      </c>
      <c r="BS63" s="42">
        <v>-34.64</v>
      </c>
      <c r="BY63" s="42">
        <v>-34.56</v>
      </c>
    </row>
    <row r="64" spans="1:229" x14ac:dyDescent="0.25">
      <c r="A64" s="127">
        <v>44341</v>
      </c>
      <c r="B64" s="23" t="s">
        <v>18</v>
      </c>
      <c r="C64" s="21">
        <f t="shared" si="4"/>
        <v>-1410.35</v>
      </c>
      <c r="AB64" s="69">
        <v>-66.400000000000006</v>
      </c>
      <c r="AM64" s="69">
        <v>-67.180000000000007</v>
      </c>
      <c r="AP64" s="42">
        <v>-64.39</v>
      </c>
      <c r="AV64" s="69">
        <v>-102.7</v>
      </c>
      <c r="BB64" s="69">
        <v>-67.95</v>
      </c>
      <c r="BH64" s="69">
        <v>-235.6</v>
      </c>
      <c r="BN64" s="69">
        <v>-33.28</v>
      </c>
      <c r="BT64" s="69">
        <v>-167.33</v>
      </c>
      <c r="BZ64" s="69">
        <v>-101.54</v>
      </c>
      <c r="CR64" s="69">
        <v>-168.25</v>
      </c>
      <c r="CX64" s="69">
        <v>-133.47499999999999</v>
      </c>
      <c r="DD64" s="69">
        <v>-133.79499999999999</v>
      </c>
      <c r="DO64" s="375">
        <v>-33.869999999999997</v>
      </c>
      <c r="DT64" s="69">
        <v>-34.590000000000003</v>
      </c>
    </row>
    <row r="65" spans="1:241" x14ac:dyDescent="0.25">
      <c r="A65" s="127">
        <v>44342</v>
      </c>
      <c r="B65" s="23" t="s">
        <v>13</v>
      </c>
      <c r="C65" s="21">
        <f t="shared" si="4"/>
        <v>-838.375</v>
      </c>
      <c r="L65" s="69">
        <v>-8.44</v>
      </c>
      <c r="O65" s="375">
        <v>-17.015000000000001</v>
      </c>
      <c r="U65" s="69">
        <v>-8.5549999999999997</v>
      </c>
      <c r="AV65" s="69">
        <v>-34.204999999999998</v>
      </c>
      <c r="BB65" s="69">
        <v>-33.89</v>
      </c>
      <c r="BH65" s="69">
        <v>-33.945</v>
      </c>
      <c r="BN65" s="69">
        <v>-33.284999999999997</v>
      </c>
      <c r="BT65" s="69">
        <v>-67.14</v>
      </c>
      <c r="BY65" s="42">
        <v>-34.479999999999997</v>
      </c>
      <c r="CL65" s="69">
        <v>-67.465000000000003</v>
      </c>
      <c r="DD65" s="69">
        <v>-133.715</v>
      </c>
      <c r="DO65" s="375">
        <v>-33.61</v>
      </c>
      <c r="DT65" s="69">
        <v>-33.704999999999998</v>
      </c>
      <c r="DZ65" s="69">
        <v>-167.66499999999999</v>
      </c>
      <c r="FU65" s="88">
        <v>-131.26</v>
      </c>
    </row>
    <row r="66" spans="1:241" x14ac:dyDescent="0.25">
      <c r="A66" s="127">
        <v>44342</v>
      </c>
      <c r="B66" s="23" t="s">
        <v>14</v>
      </c>
      <c r="C66" s="21">
        <f t="shared" si="4"/>
        <v>-84.765000000000001</v>
      </c>
      <c r="BB66" s="69">
        <v>-34.020000000000003</v>
      </c>
      <c r="BN66" s="69">
        <v>-33.325000000000003</v>
      </c>
      <c r="CW66" s="42">
        <v>-17.420000000000002</v>
      </c>
    </row>
    <row r="67" spans="1:241" x14ac:dyDescent="0.25">
      <c r="A67" s="127">
        <v>44342</v>
      </c>
      <c r="B67" s="23" t="s">
        <v>44</v>
      </c>
      <c r="C67" s="21">
        <f t="shared" si="4"/>
        <v>0</v>
      </c>
    </row>
    <row r="68" spans="1:241" x14ac:dyDescent="0.25">
      <c r="A68" s="127">
        <v>44342</v>
      </c>
      <c r="B68" s="23" t="s">
        <v>18</v>
      </c>
      <c r="C68" s="21">
        <f t="shared" si="4"/>
        <v>-196.81</v>
      </c>
      <c r="AM68" s="69">
        <v>-33.484999999999999</v>
      </c>
      <c r="AV68" s="69">
        <v>-8.5549999999999997</v>
      </c>
      <c r="BB68" s="69">
        <v>-8.49</v>
      </c>
      <c r="BH68" s="69">
        <v>-8.4250000000000007</v>
      </c>
      <c r="BT68" s="69">
        <v>-8.3450000000000006</v>
      </c>
      <c r="BY68" s="42">
        <v>-70.319999999999993</v>
      </c>
      <c r="CQ68" s="42">
        <v>-8.76</v>
      </c>
      <c r="CR68" s="69">
        <v>-33.28</v>
      </c>
      <c r="EW68" s="88">
        <v>-17.149999999999999</v>
      </c>
    </row>
    <row r="69" spans="1:241" x14ac:dyDescent="0.25">
      <c r="A69" s="127">
        <v>44343</v>
      </c>
      <c r="B69" s="23" t="s">
        <v>19</v>
      </c>
      <c r="C69" s="21">
        <f t="shared" si="4"/>
        <v>-576.01499999999999</v>
      </c>
      <c r="AF69" s="69">
        <v>-33.395000000000003</v>
      </c>
      <c r="AM69" s="69">
        <v>-67.42</v>
      </c>
      <c r="BB69" s="69">
        <v>-135.79</v>
      </c>
      <c r="HG69" s="42">
        <v>-31.12</v>
      </c>
      <c r="HZ69" s="42">
        <v>-61.98</v>
      </c>
      <c r="IG69" s="38">
        <v>-246.31</v>
      </c>
    </row>
    <row r="70" spans="1:241" x14ac:dyDescent="0.25">
      <c r="A70" s="127">
        <v>44343</v>
      </c>
      <c r="B70" s="23" t="s">
        <v>38</v>
      </c>
      <c r="C70" s="21">
        <f t="shared" si="4"/>
        <v>0</v>
      </c>
    </row>
    <row r="71" spans="1:241" x14ac:dyDescent="0.25">
      <c r="A71" s="127">
        <v>44343</v>
      </c>
      <c r="B71" s="29" t="s">
        <v>45</v>
      </c>
      <c r="C71" s="21">
        <f t="shared" si="4"/>
        <v>-49.67</v>
      </c>
      <c r="AP71" s="42">
        <v>-7.3</v>
      </c>
      <c r="BH71" s="69">
        <v>-8.42</v>
      </c>
      <c r="BZ71" s="69">
        <v>-8.4450000000000003</v>
      </c>
      <c r="CL71" s="69">
        <v>-16.795000000000002</v>
      </c>
      <c r="CQ71" s="42">
        <v>-8.7100000000000009</v>
      </c>
    </row>
    <row r="72" spans="1:241" x14ac:dyDescent="0.25">
      <c r="A72" s="127">
        <v>44343</v>
      </c>
      <c r="B72" s="23" t="s">
        <v>46</v>
      </c>
      <c r="C72" s="21">
        <f t="shared" ref="C72:C135" si="5">SUM(I72:JT72)</f>
        <v>-304.995</v>
      </c>
      <c r="AP72" s="42">
        <v>-15.93</v>
      </c>
      <c r="BH72" s="69">
        <v>-33.770000000000003</v>
      </c>
      <c r="BN72" s="69">
        <v>-33.215000000000003</v>
      </c>
      <c r="BT72" s="69">
        <v>-33.81</v>
      </c>
      <c r="CF72" s="69">
        <v>-33.770000000000003</v>
      </c>
      <c r="CK72" s="42">
        <v>-15.84</v>
      </c>
      <c r="CQ72" s="42">
        <v>-69.92</v>
      </c>
      <c r="CW72" s="42">
        <v>-68.739999999999995</v>
      </c>
    </row>
    <row r="73" spans="1:241" x14ac:dyDescent="0.25">
      <c r="A73" s="127">
        <v>44343</v>
      </c>
      <c r="B73" s="23" t="s">
        <v>13</v>
      </c>
      <c r="C73" s="21">
        <f t="shared" si="5"/>
        <v>-186.83500000000001</v>
      </c>
      <c r="DZ73" s="69">
        <v>-33.51</v>
      </c>
      <c r="FU73" s="88">
        <v>-153.32499999999999</v>
      </c>
    </row>
    <row r="74" spans="1:241" x14ac:dyDescent="0.25">
      <c r="A74" s="127">
        <v>44344</v>
      </c>
      <c r="B74" s="23" t="s">
        <v>27</v>
      </c>
      <c r="C74" s="21">
        <f t="shared" si="5"/>
        <v>-49.85</v>
      </c>
      <c r="DM74" s="46">
        <v>-17.27</v>
      </c>
      <c r="DR74" s="46">
        <v>-15.44</v>
      </c>
      <c r="DW74" s="126">
        <v>-17.14</v>
      </c>
    </row>
    <row r="75" spans="1:241" x14ac:dyDescent="0.25">
      <c r="A75" s="127">
        <v>44344</v>
      </c>
      <c r="B75" s="23" t="s">
        <v>26</v>
      </c>
      <c r="C75" s="21">
        <f t="shared" si="5"/>
        <v>-25.094999999999999</v>
      </c>
      <c r="BT75" s="69">
        <v>-8.2149999999999999</v>
      </c>
      <c r="BY75" s="42">
        <v>-8.43</v>
      </c>
      <c r="CF75" s="69">
        <v>-8.4499999999999993</v>
      </c>
    </row>
    <row r="76" spans="1:241" x14ac:dyDescent="0.25">
      <c r="A76" s="127">
        <v>44344</v>
      </c>
      <c r="B76" s="23" t="s">
        <v>45</v>
      </c>
      <c r="C76" s="21">
        <f t="shared" si="5"/>
        <v>-8.49</v>
      </c>
      <c r="BB76" s="69">
        <v>-8.49</v>
      </c>
    </row>
    <row r="77" spans="1:241" x14ac:dyDescent="0.25">
      <c r="A77" s="127">
        <v>44344</v>
      </c>
      <c r="B77" s="23" t="s">
        <v>29</v>
      </c>
      <c r="C77" s="21">
        <f t="shared" si="5"/>
        <v>-16.88</v>
      </c>
      <c r="BH77" s="69">
        <v>-8.42</v>
      </c>
      <c r="BT77" s="69">
        <v>-8.4600000000000009</v>
      </c>
    </row>
    <row r="78" spans="1:241" x14ac:dyDescent="0.25">
      <c r="A78" s="127">
        <v>44344</v>
      </c>
      <c r="B78" s="23" t="s">
        <v>47</v>
      </c>
      <c r="C78" s="21">
        <f t="shared" si="5"/>
        <v>-100.745</v>
      </c>
      <c r="AM78" s="69">
        <v>-8.34</v>
      </c>
      <c r="AP78" s="42">
        <v>-7.81</v>
      </c>
      <c r="BN78" s="69">
        <v>-8.3699999999999992</v>
      </c>
      <c r="BT78" s="69">
        <v>-25.46</v>
      </c>
      <c r="BY78" s="42">
        <v>-25.82</v>
      </c>
      <c r="DZ78" s="69">
        <v>-24.945</v>
      </c>
    </row>
    <row r="79" spans="1:241" x14ac:dyDescent="0.25">
      <c r="A79" s="127">
        <v>44344</v>
      </c>
      <c r="B79" s="23" t="s">
        <v>24</v>
      </c>
      <c r="C79" s="21">
        <f t="shared" si="5"/>
        <v>-340.28</v>
      </c>
      <c r="AV79" s="69">
        <v>-34.200000000000003</v>
      </c>
      <c r="BB79" s="69">
        <v>-33.984999999999999</v>
      </c>
      <c r="BH79" s="69">
        <v>-33.734999999999999</v>
      </c>
      <c r="BN79" s="69">
        <v>-33.505000000000003</v>
      </c>
      <c r="BT79" s="69">
        <v>-33.755000000000003</v>
      </c>
      <c r="BY79" s="42">
        <v>-34.090000000000003</v>
      </c>
      <c r="CF79" s="69">
        <v>-33.914999999999999</v>
      </c>
      <c r="CL79" s="69">
        <v>-33.765000000000001</v>
      </c>
      <c r="CQ79" s="42">
        <v>-34.94</v>
      </c>
      <c r="CW79" s="42">
        <v>-34.39</v>
      </c>
    </row>
    <row r="80" spans="1:241" x14ac:dyDescent="0.25">
      <c r="A80" s="127">
        <v>44344</v>
      </c>
      <c r="B80" s="23" t="s">
        <v>48</v>
      </c>
      <c r="C80" s="21">
        <f t="shared" si="5"/>
        <v>-33.479999999999997</v>
      </c>
      <c r="BT80" s="69">
        <v>-16.725000000000001</v>
      </c>
      <c r="BZ80" s="69">
        <v>-16.754999999999999</v>
      </c>
    </row>
    <row r="81" spans="1:241" x14ac:dyDescent="0.25">
      <c r="A81" s="127">
        <v>44344</v>
      </c>
      <c r="B81" s="23" t="s">
        <v>19</v>
      </c>
      <c r="C81" s="21">
        <f t="shared" si="5"/>
        <v>-583.54999999999995</v>
      </c>
      <c r="HQ81" s="42">
        <v>-95.58</v>
      </c>
      <c r="HZ81" s="42">
        <v>-244.79</v>
      </c>
      <c r="IG81" s="38">
        <v>-243.18</v>
      </c>
    </row>
    <row r="82" spans="1:241" x14ac:dyDescent="0.25">
      <c r="A82" s="127">
        <v>44344</v>
      </c>
      <c r="B82" s="23" t="s">
        <v>32</v>
      </c>
      <c r="C82" s="21">
        <f t="shared" si="5"/>
        <v>-188.25</v>
      </c>
      <c r="BB82" s="69">
        <v>-33.880000000000003</v>
      </c>
      <c r="BH82" s="69">
        <v>-33.865000000000002</v>
      </c>
      <c r="BN82" s="69">
        <v>-33.185000000000002</v>
      </c>
      <c r="BS82" s="42">
        <v>-35.51</v>
      </c>
      <c r="CE82" s="42">
        <f>-(8.65+8.69)</f>
        <v>-17.34</v>
      </c>
      <c r="CK82" s="42">
        <v>-34.47</v>
      </c>
    </row>
    <row r="83" spans="1:241" x14ac:dyDescent="0.25">
      <c r="A83" s="127">
        <v>44347</v>
      </c>
      <c r="B83" s="23" t="s">
        <v>3</v>
      </c>
      <c r="C83" s="21">
        <f t="shared" si="5"/>
        <v>5538.7349999999997</v>
      </c>
      <c r="AV83" s="69">
        <v>998.39499999999998</v>
      </c>
      <c r="BB83" s="69">
        <v>502.42500000000001</v>
      </c>
      <c r="BH83" s="69">
        <v>504.57</v>
      </c>
      <c r="BN83" s="69">
        <v>503.31</v>
      </c>
      <c r="BT83" s="69">
        <v>512.57500000000005</v>
      </c>
      <c r="BZ83" s="69">
        <v>506.11500000000001</v>
      </c>
      <c r="CL83" s="69">
        <v>509.63</v>
      </c>
      <c r="CR83" s="69">
        <v>505.495</v>
      </c>
      <c r="DT83" s="69">
        <v>501.21</v>
      </c>
      <c r="FB83" s="69">
        <v>495.01</v>
      </c>
    </row>
    <row r="84" spans="1:241" x14ac:dyDescent="0.25">
      <c r="A84" s="127">
        <v>44347</v>
      </c>
      <c r="B84" s="23" t="s">
        <v>38</v>
      </c>
      <c r="C84" s="21">
        <f t="shared" si="5"/>
        <v>-21.715</v>
      </c>
      <c r="FB84" s="69">
        <v>-21.715</v>
      </c>
    </row>
    <row r="85" spans="1:241" x14ac:dyDescent="0.25">
      <c r="A85" s="127">
        <v>44347</v>
      </c>
      <c r="B85" s="23" t="s">
        <v>49</v>
      </c>
      <c r="C85" s="21">
        <f t="shared" si="5"/>
        <v>-270.16500000000002</v>
      </c>
      <c r="BH85" s="69">
        <v>-67.215000000000003</v>
      </c>
      <c r="BN85" s="69">
        <v>-66.954999999999998</v>
      </c>
      <c r="BT85" s="69">
        <v>-68.424999999999997</v>
      </c>
      <c r="BZ85" s="69">
        <v>-67.569999999999993</v>
      </c>
    </row>
    <row r="86" spans="1:241" x14ac:dyDescent="0.25">
      <c r="A86" s="127">
        <v>44347</v>
      </c>
      <c r="B86" s="23" t="s">
        <v>22</v>
      </c>
      <c r="C86" s="21">
        <f t="shared" si="5"/>
        <v>-269.86500000000001</v>
      </c>
      <c r="U86" s="69">
        <v>-16.545000000000002</v>
      </c>
      <c r="AF86" s="69">
        <v>-16.864999999999998</v>
      </c>
      <c r="BH86" s="69">
        <v>-50.44</v>
      </c>
      <c r="BN86" s="69">
        <v>-33.72</v>
      </c>
      <c r="BT86" s="69">
        <v>-34.244999999999997</v>
      </c>
      <c r="CE86" s="42">
        <v>-17.43</v>
      </c>
      <c r="DJ86" s="69">
        <v>-33.58</v>
      </c>
      <c r="DO86" s="375">
        <v>-33.784999999999997</v>
      </c>
      <c r="DT86" s="69">
        <v>-33.255000000000003</v>
      </c>
    </row>
    <row r="87" spans="1:241" x14ac:dyDescent="0.25">
      <c r="A87" s="127">
        <v>44347</v>
      </c>
      <c r="B87" s="23" t="s">
        <v>15</v>
      </c>
      <c r="C87" s="21">
        <f t="shared" si="5"/>
        <v>-1225.76</v>
      </c>
      <c r="AV87" s="69">
        <v>-33.56</v>
      </c>
      <c r="BB87" s="69">
        <v>-67.094999999999999</v>
      </c>
      <c r="BH87" s="69">
        <v>-33.700000000000003</v>
      </c>
      <c r="BN87" s="69">
        <v>-167.59</v>
      </c>
      <c r="BT87" s="69">
        <v>-205.14500000000001</v>
      </c>
      <c r="BY87" s="42">
        <v>-171.1</v>
      </c>
      <c r="CF87" s="69">
        <v>-101.61499999999999</v>
      </c>
      <c r="CL87" s="69">
        <v>-67.935000000000002</v>
      </c>
      <c r="CQ87" s="42">
        <v>-34.97</v>
      </c>
      <c r="CW87" s="42">
        <v>-68.97</v>
      </c>
      <c r="DC87" s="42">
        <v>-69.38</v>
      </c>
      <c r="DJ87" s="69">
        <v>-67.040000000000006</v>
      </c>
      <c r="DN87" s="42">
        <v>-137.66</v>
      </c>
    </row>
    <row r="88" spans="1:241" x14ac:dyDescent="0.25">
      <c r="A88" s="127">
        <v>44347</v>
      </c>
      <c r="B88" s="23" t="s">
        <v>19</v>
      </c>
      <c r="C88" s="21">
        <f t="shared" si="5"/>
        <v>-234.535</v>
      </c>
      <c r="FB88" s="69">
        <v>-43.295000000000002</v>
      </c>
      <c r="GY88" s="42">
        <v>-67</v>
      </c>
      <c r="HL88" s="42">
        <v>-62.13</v>
      </c>
      <c r="HZ88" s="42">
        <v>-62.11</v>
      </c>
    </row>
    <row r="89" spans="1:241" x14ac:dyDescent="0.25">
      <c r="A89" s="127">
        <v>44347</v>
      </c>
      <c r="B89" s="23" t="s">
        <v>13</v>
      </c>
      <c r="C89" s="21">
        <f t="shared" si="5"/>
        <v>-286.86</v>
      </c>
      <c r="AB89" s="69">
        <v>-16.965</v>
      </c>
      <c r="AM89" s="69">
        <v>-34.225000000000001</v>
      </c>
      <c r="AP89" s="42">
        <v>-32.270000000000003</v>
      </c>
      <c r="BT89" s="69">
        <v>-34.104999999999997</v>
      </c>
      <c r="CF89" s="69">
        <v>-33.725000000000001</v>
      </c>
      <c r="CL89" s="69">
        <v>-33.909999999999997</v>
      </c>
      <c r="CR89" s="69">
        <v>-101.66</v>
      </c>
    </row>
    <row r="90" spans="1:241" x14ac:dyDescent="0.25">
      <c r="A90" s="127">
        <v>44347</v>
      </c>
      <c r="B90" s="23" t="s">
        <v>32</v>
      </c>
      <c r="C90" s="21">
        <f t="shared" si="5"/>
        <v>-17.125</v>
      </c>
      <c r="AV90" s="69">
        <v>-17.125</v>
      </c>
    </row>
    <row r="91" spans="1:241" x14ac:dyDescent="0.25">
      <c r="A91" s="127">
        <v>44347</v>
      </c>
      <c r="B91" s="23" t="s">
        <v>20</v>
      </c>
      <c r="C91" s="21">
        <f t="shared" si="5"/>
        <v>-67.930000000000007</v>
      </c>
      <c r="BB91" s="69">
        <v>-8.5</v>
      </c>
      <c r="BH91" s="69">
        <v>-8.4149999999999991</v>
      </c>
      <c r="BN91" s="69">
        <v>-8.3949999999999996</v>
      </c>
      <c r="BT91" s="69">
        <v>-8.4250000000000007</v>
      </c>
      <c r="BZ91" s="69">
        <v>-8.4550000000000001</v>
      </c>
      <c r="CL91" s="69">
        <v>-8.4600000000000009</v>
      </c>
      <c r="CQ91" s="42">
        <v>-8.7200000000000006</v>
      </c>
      <c r="CW91" s="42">
        <v>-8.56</v>
      </c>
    </row>
    <row r="92" spans="1:241" x14ac:dyDescent="0.25">
      <c r="A92" s="127">
        <v>44347</v>
      </c>
      <c r="B92" s="23" t="s">
        <v>38</v>
      </c>
      <c r="C92" s="21">
        <f t="shared" si="5"/>
        <v>0</v>
      </c>
    </row>
    <row r="93" spans="1:241" x14ac:dyDescent="0.25">
      <c r="A93" s="127">
        <v>44347</v>
      </c>
      <c r="B93" s="23" t="s">
        <v>14</v>
      </c>
      <c r="C93" s="21">
        <f t="shared" si="5"/>
        <v>-192.88</v>
      </c>
      <c r="AP93" s="42">
        <v>-23.51</v>
      </c>
      <c r="AV93" s="69">
        <v>-34.26</v>
      </c>
      <c r="BB93" s="69">
        <v>-33.659999999999997</v>
      </c>
      <c r="BN93" s="69">
        <v>-33.61</v>
      </c>
      <c r="BZ93" s="69">
        <v>-33.695</v>
      </c>
      <c r="CF93" s="69">
        <v>-34.145000000000003</v>
      </c>
    </row>
    <row r="94" spans="1:241" x14ac:dyDescent="0.25">
      <c r="A94" s="127">
        <v>44347</v>
      </c>
      <c r="B94" s="23" t="s">
        <v>13</v>
      </c>
      <c r="C94" s="21">
        <f t="shared" si="5"/>
        <v>-1079.7750000000001</v>
      </c>
      <c r="AV94" s="69">
        <v>-134.82499999999999</v>
      </c>
      <c r="BB94" s="69">
        <v>-134.60499999999999</v>
      </c>
      <c r="BH94" s="69">
        <v>-168.535</v>
      </c>
      <c r="BN94" s="69">
        <v>-167.4</v>
      </c>
      <c r="BT94" s="69">
        <v>-136.465</v>
      </c>
      <c r="BZ94" s="69">
        <v>-134.55000000000001</v>
      </c>
      <c r="CF94" s="69">
        <v>-135.465</v>
      </c>
      <c r="CL94" s="69">
        <v>-67.930000000000007</v>
      </c>
    </row>
    <row r="95" spans="1:241" x14ac:dyDescent="0.25">
      <c r="A95" s="127">
        <v>44349</v>
      </c>
      <c r="B95" s="23" t="s">
        <v>19</v>
      </c>
      <c r="C95" s="21">
        <f t="shared" si="5"/>
        <v>-250.76</v>
      </c>
      <c r="EJ95" s="42">
        <v>-244.96</v>
      </c>
      <c r="EK95" s="69">
        <v>-5.8</v>
      </c>
    </row>
    <row r="96" spans="1:241" x14ac:dyDescent="0.25">
      <c r="A96" s="127">
        <v>44349</v>
      </c>
      <c r="B96" s="23" t="s">
        <v>37</v>
      </c>
      <c r="C96" s="21">
        <f t="shared" si="5"/>
        <v>-208.36</v>
      </c>
      <c r="GV96" s="42">
        <v>-113.5</v>
      </c>
      <c r="HG96" s="42">
        <v>-94.86</v>
      </c>
    </row>
    <row r="97" spans="1:241" x14ac:dyDescent="0.25">
      <c r="A97" s="127">
        <v>44350</v>
      </c>
      <c r="B97" s="23" t="s">
        <v>15</v>
      </c>
      <c r="C97" s="21">
        <f t="shared" si="5"/>
        <v>-175.005</v>
      </c>
      <c r="BH97" s="69">
        <v>-33.725000000000001</v>
      </c>
      <c r="CE97" s="42">
        <v>-69.61</v>
      </c>
      <c r="DS97" s="42">
        <v>-71.67</v>
      </c>
    </row>
    <row r="98" spans="1:241" x14ac:dyDescent="0.25">
      <c r="A98" s="127">
        <v>44350</v>
      </c>
      <c r="B98" s="23" t="s">
        <v>17</v>
      </c>
      <c r="C98" s="21">
        <f t="shared" si="5"/>
        <v>-8.3949999999999996</v>
      </c>
      <c r="AM98" s="69">
        <v>-8.3949999999999996</v>
      </c>
    </row>
    <row r="99" spans="1:241" x14ac:dyDescent="0.25">
      <c r="A99" s="127">
        <v>44350</v>
      </c>
      <c r="B99" s="23" t="s">
        <v>32</v>
      </c>
      <c r="C99" s="21">
        <f t="shared" si="5"/>
        <v>-6.29</v>
      </c>
      <c r="AS99" s="121">
        <v>-6.29</v>
      </c>
    </row>
    <row r="100" spans="1:241" x14ac:dyDescent="0.25">
      <c r="A100" s="127">
        <v>44350</v>
      </c>
      <c r="B100" s="23" t="s">
        <v>50</v>
      </c>
      <c r="C100" s="21">
        <f t="shared" si="5"/>
        <v>-571.30999999999995</v>
      </c>
      <c r="CQ100" s="42">
        <v>-34.630000000000003</v>
      </c>
      <c r="DC100" s="42">
        <v>-33.630000000000003</v>
      </c>
      <c r="DN100" s="42">
        <v>-33.47</v>
      </c>
      <c r="FB100" s="69">
        <v>-21.78</v>
      </c>
      <c r="FJ100" s="69">
        <v>-20.65</v>
      </c>
      <c r="GP100" s="42">
        <v>-37.4</v>
      </c>
      <c r="GV100" s="42">
        <v>-29.8</v>
      </c>
      <c r="GY100" s="42">
        <v>-72.400000000000006</v>
      </c>
      <c r="HL100" s="42">
        <v>-30.91</v>
      </c>
      <c r="HQ100" s="42">
        <v>-31.6</v>
      </c>
      <c r="HU100" s="42">
        <v>-63.26</v>
      </c>
      <c r="HY100" s="38">
        <v>-57.2</v>
      </c>
      <c r="IF100" s="50">
        <v>-70.25</v>
      </c>
      <c r="IG100" s="38">
        <v>-34.33</v>
      </c>
    </row>
    <row r="101" spans="1:241" x14ac:dyDescent="0.25">
      <c r="A101" s="127">
        <v>44350</v>
      </c>
      <c r="B101" s="23" t="s">
        <v>2</v>
      </c>
      <c r="C101" s="21">
        <f t="shared" si="5"/>
        <v>1025.77</v>
      </c>
      <c r="HL101" s="42">
        <v>520.96</v>
      </c>
      <c r="HU101" s="42">
        <v>504.81</v>
      </c>
    </row>
    <row r="102" spans="1:241" x14ac:dyDescent="0.25">
      <c r="A102" s="127">
        <v>44350</v>
      </c>
      <c r="B102" s="23" t="s">
        <v>51</v>
      </c>
      <c r="C102" s="21">
        <f t="shared" si="5"/>
        <v>-267.57499999999999</v>
      </c>
      <c r="AB102" s="69">
        <v>-16.899999999999999</v>
      </c>
      <c r="AF102" s="69">
        <v>-33.255000000000003</v>
      </c>
      <c r="AM102" s="69">
        <v>-33.064999999999998</v>
      </c>
      <c r="AV102" s="69">
        <v>-33.515000000000001</v>
      </c>
      <c r="BB102" s="69">
        <v>-49.93</v>
      </c>
      <c r="BH102" s="69">
        <v>-50.555</v>
      </c>
      <c r="BN102" s="69">
        <v>-50.354999999999997</v>
      </c>
    </row>
    <row r="103" spans="1:241" x14ac:dyDescent="0.25">
      <c r="A103" s="127">
        <v>44351</v>
      </c>
      <c r="B103" s="23" t="s">
        <v>18</v>
      </c>
      <c r="C103" s="21">
        <f t="shared" si="5"/>
        <v>-707.80499999999995</v>
      </c>
      <c r="BB103" s="69">
        <v>-67.67</v>
      </c>
      <c r="BH103" s="69">
        <v>-100.83499999999999</v>
      </c>
      <c r="BN103" s="69">
        <v>-167.345</v>
      </c>
      <c r="BT103" s="69">
        <v>-34.19</v>
      </c>
      <c r="BZ103" s="69">
        <v>-33.664999999999999</v>
      </c>
      <c r="CF103" s="69">
        <v>-33.93</v>
      </c>
      <c r="CL103" s="69">
        <v>-101.94</v>
      </c>
      <c r="CR103" s="69">
        <v>-67.349999999999994</v>
      </c>
      <c r="DJ103" s="69">
        <v>-33.74</v>
      </c>
      <c r="DT103" s="69">
        <v>-67.14</v>
      </c>
    </row>
    <row r="104" spans="1:241" x14ac:dyDescent="0.25">
      <c r="A104" s="127">
        <v>44351</v>
      </c>
      <c r="B104" s="23" t="s">
        <v>52</v>
      </c>
      <c r="C104" s="21">
        <f t="shared" si="5"/>
        <v>-66.81</v>
      </c>
      <c r="BH104" s="69">
        <v>-33.6</v>
      </c>
      <c r="BN104" s="69">
        <v>-33.21</v>
      </c>
    </row>
    <row r="105" spans="1:241" x14ac:dyDescent="0.25">
      <c r="A105" s="127">
        <v>44352</v>
      </c>
      <c r="B105" s="23" t="s">
        <v>26</v>
      </c>
      <c r="C105" s="21">
        <f t="shared" si="5"/>
        <v>-67.444999999999993</v>
      </c>
      <c r="BB105" s="69">
        <v>-8.39</v>
      </c>
      <c r="BH105" s="69">
        <v>-16.864999999999998</v>
      </c>
      <c r="BN105" s="69">
        <v>-16.855</v>
      </c>
      <c r="BT105" s="69">
        <v>-16.88</v>
      </c>
      <c r="BZ105" s="69">
        <v>-8.4550000000000001</v>
      </c>
    </row>
    <row r="106" spans="1:241" x14ac:dyDescent="0.25">
      <c r="A106" s="127">
        <v>44354</v>
      </c>
      <c r="B106" s="23" t="s">
        <v>53</v>
      </c>
      <c r="C106" s="21">
        <f t="shared" si="5"/>
        <v>-948.41</v>
      </c>
      <c r="U106" s="69">
        <v>-34.085000000000001</v>
      </c>
      <c r="AB106" s="69">
        <v>-33.774999999999999</v>
      </c>
      <c r="AF106" s="69">
        <v>-33.24</v>
      </c>
      <c r="BB106" s="69">
        <v>-67.36</v>
      </c>
      <c r="BZ106" s="69">
        <v>-101.355</v>
      </c>
      <c r="CL106" s="69">
        <v>-169.60499999999999</v>
      </c>
      <c r="CQ106" s="42">
        <v>-104.31</v>
      </c>
      <c r="CX106" s="69">
        <v>-100.965</v>
      </c>
      <c r="DC106" s="42">
        <v>-69.5</v>
      </c>
      <c r="DD106" s="69">
        <v>-67.075000000000003</v>
      </c>
      <c r="DJ106" s="69">
        <v>-66.67</v>
      </c>
      <c r="DN106" s="42">
        <v>-33.56</v>
      </c>
      <c r="DT106" s="69">
        <v>-33.43</v>
      </c>
      <c r="DZ106" s="69">
        <v>-33.479999999999997</v>
      </c>
    </row>
    <row r="107" spans="1:241" x14ac:dyDescent="0.25">
      <c r="A107" s="127">
        <v>44354</v>
      </c>
      <c r="B107" s="23" t="s">
        <v>15</v>
      </c>
      <c r="C107" s="21">
        <f t="shared" si="5"/>
        <v>-572.28499999999997</v>
      </c>
      <c r="BB107" s="69">
        <v>-33.965000000000003</v>
      </c>
      <c r="BH107" s="69">
        <v>-67.319999999999993</v>
      </c>
      <c r="BN107" s="69">
        <v>-66.86</v>
      </c>
      <c r="CF107" s="69">
        <v>-67.75</v>
      </c>
      <c r="CL107" s="69">
        <v>-101.6</v>
      </c>
      <c r="DO107" s="375">
        <v>-67.265000000000001</v>
      </c>
      <c r="DT107" s="69">
        <v>-100.435</v>
      </c>
      <c r="DZ107" s="69">
        <v>-67.09</v>
      </c>
    </row>
    <row r="108" spans="1:241" x14ac:dyDescent="0.25">
      <c r="A108" s="127">
        <v>44355</v>
      </c>
      <c r="B108" s="23" t="s">
        <v>32</v>
      </c>
      <c r="C108" s="21">
        <f t="shared" si="5"/>
        <v>-34.225000000000001</v>
      </c>
      <c r="AZ108" s="182">
        <v>-9.02</v>
      </c>
      <c r="BB108" s="69">
        <v>-8.42</v>
      </c>
      <c r="BR108" s="182">
        <v>-8.39</v>
      </c>
      <c r="DO108" s="375">
        <v>-8.3949999999999996</v>
      </c>
    </row>
    <row r="109" spans="1:241" x14ac:dyDescent="0.25">
      <c r="A109" s="127">
        <v>44355</v>
      </c>
      <c r="B109" s="23" t="s">
        <v>44</v>
      </c>
      <c r="C109" s="21">
        <f t="shared" si="5"/>
        <v>-207.5</v>
      </c>
      <c r="GP109" s="42">
        <v>-173.15</v>
      </c>
      <c r="GY109" s="42">
        <v>-18.5</v>
      </c>
      <c r="HQ109" s="42">
        <v>-15.85</v>
      </c>
    </row>
    <row r="110" spans="1:241" x14ac:dyDescent="0.25">
      <c r="A110" s="127">
        <v>44355</v>
      </c>
      <c r="B110" s="23" t="s">
        <v>20</v>
      </c>
      <c r="C110" s="21">
        <f t="shared" si="5"/>
        <v>-25.274999999999999</v>
      </c>
      <c r="Y110" s="69">
        <v>-8.6150000000000002</v>
      </c>
      <c r="AF110" s="69">
        <v>-8.3800000000000008</v>
      </c>
      <c r="AM110" s="69">
        <v>-8.2799999999999994</v>
      </c>
    </row>
    <row r="111" spans="1:241" x14ac:dyDescent="0.25">
      <c r="A111" s="127">
        <v>44355</v>
      </c>
      <c r="B111" s="23" t="s">
        <v>13</v>
      </c>
      <c r="C111" s="21">
        <f t="shared" si="5"/>
        <v>-635.81500000000005</v>
      </c>
      <c r="AV111" s="69">
        <v>-134.715</v>
      </c>
      <c r="BH111" s="69">
        <v>-67.48</v>
      </c>
      <c r="BN111" s="69">
        <v>-33.305</v>
      </c>
      <c r="CL111" s="69">
        <v>-101.14</v>
      </c>
      <c r="DD111" s="69">
        <v>-101.04</v>
      </c>
      <c r="DZ111" s="69">
        <v>-67.33</v>
      </c>
      <c r="FU111" s="88">
        <v>-130.80500000000001</v>
      </c>
    </row>
    <row r="112" spans="1:241" x14ac:dyDescent="0.25">
      <c r="A112" s="127">
        <v>44355</v>
      </c>
      <c r="B112" s="23" t="s">
        <v>12</v>
      </c>
      <c r="C112" s="21">
        <f t="shared" si="5"/>
        <v>-102.4</v>
      </c>
      <c r="K112" s="42">
        <v>-102.4</v>
      </c>
    </row>
    <row r="113" spans="1:233" x14ac:dyDescent="0.25">
      <c r="A113" s="127">
        <v>44356</v>
      </c>
      <c r="B113" s="23" t="s">
        <v>22</v>
      </c>
      <c r="C113" s="21">
        <f t="shared" si="5"/>
        <v>-137.80000000000001</v>
      </c>
      <c r="CE113" s="42">
        <v>-34.86</v>
      </c>
      <c r="CK113" s="42">
        <v>-33.630000000000003</v>
      </c>
      <c r="CQ113" s="42">
        <v>-69.31</v>
      </c>
    </row>
    <row r="114" spans="1:233" x14ac:dyDescent="0.25">
      <c r="A114" s="127">
        <v>44356</v>
      </c>
      <c r="B114" s="23" t="s">
        <v>14</v>
      </c>
      <c r="C114" s="21">
        <f t="shared" si="5"/>
        <v>-169.58500000000001</v>
      </c>
      <c r="AB114" s="69">
        <v>-8.4450000000000003</v>
      </c>
      <c r="AF114" s="69">
        <v>-8.3550000000000004</v>
      </c>
      <c r="AV114" s="69">
        <v>-33.534999999999997</v>
      </c>
      <c r="BH114" s="69">
        <v>-33.585000000000001</v>
      </c>
      <c r="BS114" s="42">
        <v>-35.159999999999997</v>
      </c>
      <c r="BY114" s="42">
        <v>-33.270000000000003</v>
      </c>
      <c r="DN114" s="42">
        <v>-8.9499999999999993</v>
      </c>
      <c r="DO114" s="375">
        <v>-8.2850000000000001</v>
      </c>
    </row>
    <row r="115" spans="1:233" x14ac:dyDescent="0.25">
      <c r="A115" s="127">
        <v>44356</v>
      </c>
      <c r="B115" s="23" t="s">
        <v>19</v>
      </c>
      <c r="C115" s="21">
        <f t="shared" si="5"/>
        <v>-1223.2750000000001</v>
      </c>
      <c r="O115" s="375">
        <v>-136.5</v>
      </c>
      <c r="Y115" s="69">
        <v>-68.92</v>
      </c>
      <c r="AB115" s="69">
        <v>-67.555000000000007</v>
      </c>
      <c r="AF115" s="69">
        <v>-66.78</v>
      </c>
      <c r="AM115" s="69">
        <v>-67.834999999999994</v>
      </c>
      <c r="BH115" s="69">
        <v>-67.56</v>
      </c>
      <c r="BN115" s="69">
        <v>-66.875</v>
      </c>
      <c r="BT115" s="69">
        <v>-33.799999999999997</v>
      </c>
      <c r="BZ115" s="69">
        <v>-33.840000000000003</v>
      </c>
      <c r="CF115" s="69">
        <v>-67.805000000000007</v>
      </c>
      <c r="CL115" s="69">
        <v>-67.319999999999993</v>
      </c>
      <c r="CR115" s="69">
        <v>-67.215000000000003</v>
      </c>
      <c r="CX115" s="69">
        <v>-33.604999999999997</v>
      </c>
      <c r="DJ115" s="69">
        <v>-67.004999999999995</v>
      </c>
      <c r="DZ115" s="69">
        <v>-33.49</v>
      </c>
      <c r="HL115" s="42">
        <v>-93.91</v>
      </c>
      <c r="HS115" s="38">
        <v>-64.37</v>
      </c>
      <c r="HU115" s="42">
        <v>-61.94</v>
      </c>
      <c r="HW115" s="42">
        <v>-28.15</v>
      </c>
      <c r="HY115" s="38">
        <v>-28.8</v>
      </c>
    </row>
    <row r="116" spans="1:233" x14ac:dyDescent="0.25">
      <c r="A116" s="127">
        <v>44356</v>
      </c>
      <c r="B116" s="23" t="s">
        <v>41</v>
      </c>
      <c r="C116" s="21">
        <f t="shared" si="5"/>
        <v>-8.4550000000000001</v>
      </c>
      <c r="AB116" s="69">
        <v>-8.4550000000000001</v>
      </c>
    </row>
    <row r="117" spans="1:233" x14ac:dyDescent="0.25">
      <c r="A117" s="127">
        <v>44357</v>
      </c>
      <c r="B117" s="23" t="s">
        <v>2</v>
      </c>
      <c r="C117" s="21">
        <f t="shared" si="5"/>
        <v>5119.33</v>
      </c>
      <c r="AP117" s="42">
        <v>496.66</v>
      </c>
      <c r="AU117" s="42">
        <v>510.74</v>
      </c>
      <c r="BA117" s="42">
        <v>500.22</v>
      </c>
      <c r="BG117" s="42">
        <v>514.29</v>
      </c>
      <c r="BM117" s="88">
        <v>503.92</v>
      </c>
      <c r="BS117" s="42">
        <v>526.57000000000005</v>
      </c>
      <c r="BY117" s="42">
        <v>510.34</v>
      </c>
      <c r="CE117" s="42">
        <v>525.97</v>
      </c>
      <c r="DI117" s="42">
        <v>512.75</v>
      </c>
      <c r="DS117" s="42">
        <v>517.87</v>
      </c>
    </row>
    <row r="118" spans="1:233" x14ac:dyDescent="0.25">
      <c r="A118" s="127">
        <v>44357</v>
      </c>
      <c r="B118" s="23" t="s">
        <v>19</v>
      </c>
      <c r="C118" s="21">
        <f t="shared" si="5"/>
        <v>302.20999999999998</v>
      </c>
      <c r="AT118" s="46">
        <v>31.27</v>
      </c>
      <c r="AZ118" s="182">
        <v>33.54</v>
      </c>
      <c r="BF118" s="182">
        <v>34.25</v>
      </c>
      <c r="BL118" s="182">
        <v>33.520000000000003</v>
      </c>
      <c r="BX118" s="182">
        <v>33.69</v>
      </c>
      <c r="CC118" s="126">
        <v>33.96</v>
      </c>
      <c r="CJ118" s="182">
        <v>34.32</v>
      </c>
      <c r="CV118" s="115">
        <v>32.880000000000003</v>
      </c>
      <c r="EC118" s="126">
        <v>34.78</v>
      </c>
    </row>
    <row r="119" spans="1:233" x14ac:dyDescent="0.25">
      <c r="A119" s="127">
        <v>44357</v>
      </c>
      <c r="B119" s="23" t="s">
        <v>15</v>
      </c>
      <c r="C119" s="21">
        <f t="shared" si="5"/>
        <v>-172.66</v>
      </c>
      <c r="CE119" s="42">
        <v>-105.52</v>
      </c>
      <c r="CL119" s="69">
        <v>-67.14</v>
      </c>
    </row>
    <row r="120" spans="1:233" x14ac:dyDescent="0.25">
      <c r="A120" s="127">
        <v>44358</v>
      </c>
      <c r="B120" s="23" t="s">
        <v>19</v>
      </c>
      <c r="C120" s="21">
        <f t="shared" si="5"/>
        <v>-240.345</v>
      </c>
      <c r="EJ120" s="42">
        <v>-229.11</v>
      </c>
      <c r="EK120" s="69">
        <v>-11.234999999999999</v>
      </c>
    </row>
    <row r="121" spans="1:233" x14ac:dyDescent="0.25">
      <c r="A121" s="127">
        <v>44358</v>
      </c>
      <c r="B121" s="23" t="s">
        <v>17</v>
      </c>
      <c r="C121" s="21">
        <f t="shared" si="5"/>
        <v>-43.024999999999999</v>
      </c>
      <c r="FX121" s="34">
        <v>-43.024999999999999</v>
      </c>
    </row>
    <row r="122" spans="1:233" x14ac:dyDescent="0.25">
      <c r="A122" s="127">
        <v>44358</v>
      </c>
      <c r="B122" s="23" t="s">
        <v>27</v>
      </c>
      <c r="C122" s="21">
        <f t="shared" si="5"/>
        <v>-33.655000000000001</v>
      </c>
      <c r="BB122" s="69">
        <v>-8.4649999999999999</v>
      </c>
      <c r="BH122" s="69">
        <v>-8.42</v>
      </c>
      <c r="BT122" s="69">
        <v>-8.4049999999999994</v>
      </c>
      <c r="BZ122" s="69">
        <v>-8.3650000000000002</v>
      </c>
    </row>
    <row r="123" spans="1:233" x14ac:dyDescent="0.25">
      <c r="A123" s="127">
        <v>44358</v>
      </c>
      <c r="B123" s="23" t="s">
        <v>54</v>
      </c>
      <c r="C123" s="21">
        <f t="shared" si="5"/>
        <v>-1008.595</v>
      </c>
      <c r="AM123" s="69">
        <v>-34.375</v>
      </c>
      <c r="AP123" s="42">
        <v>-60.82</v>
      </c>
      <c r="AU123" s="42">
        <v>-64.52</v>
      </c>
      <c r="BB123" s="69">
        <v>-67.855000000000004</v>
      </c>
      <c r="BN123" s="69">
        <v>-67.010000000000005</v>
      </c>
      <c r="BS123" s="42">
        <v>-140.56</v>
      </c>
      <c r="BY123" s="42">
        <v>-133.41</v>
      </c>
      <c r="CE123" s="42">
        <v>-137.19</v>
      </c>
      <c r="CL123" s="69">
        <v>-134.77000000000001</v>
      </c>
      <c r="CR123" s="69">
        <v>-100.13500000000001</v>
      </c>
      <c r="CX123" s="69">
        <v>-33.54</v>
      </c>
      <c r="DC123" s="42">
        <v>-34.409999999999997</v>
      </c>
    </row>
    <row r="124" spans="1:233" x14ac:dyDescent="0.25">
      <c r="A124" s="127">
        <v>44358</v>
      </c>
      <c r="B124" s="23" t="s">
        <v>19</v>
      </c>
      <c r="C124" s="21">
        <f t="shared" si="5"/>
        <v>-17.170000000000002</v>
      </c>
      <c r="EJ124" s="42">
        <v>-17.170000000000002</v>
      </c>
    </row>
    <row r="125" spans="1:233" x14ac:dyDescent="0.25">
      <c r="A125" s="127">
        <v>44358</v>
      </c>
      <c r="B125" s="23" t="s">
        <v>19</v>
      </c>
      <c r="C125" s="21">
        <f t="shared" si="5"/>
        <v>-1863.65</v>
      </c>
      <c r="O125" s="375">
        <v>-68.185000000000002</v>
      </c>
      <c r="Y125" s="69">
        <v>-68.959999999999994</v>
      </c>
      <c r="AB125" s="69">
        <v>-33.79</v>
      </c>
      <c r="AF125" s="69">
        <v>-67.435000000000002</v>
      </c>
      <c r="AM125" s="69">
        <v>-33.765000000000001</v>
      </c>
      <c r="AP125" s="42">
        <v>-61.36</v>
      </c>
      <c r="AU125" s="42">
        <v>-62.94</v>
      </c>
      <c r="BA125" s="42">
        <v>-66.77</v>
      </c>
      <c r="BG125" s="42">
        <v>-133.35</v>
      </c>
      <c r="BM125" s="88">
        <v>-99.58</v>
      </c>
      <c r="BS125" s="42">
        <v>-139.43</v>
      </c>
      <c r="BY125" s="42">
        <v>-136.52000000000001</v>
      </c>
      <c r="CE125" s="42">
        <v>-105.12</v>
      </c>
      <c r="CL125" s="69">
        <v>-67.385000000000005</v>
      </c>
      <c r="CR125" s="69">
        <v>-67.36</v>
      </c>
      <c r="CX125" s="69">
        <v>-133.19499999999999</v>
      </c>
      <c r="DJ125" s="69">
        <v>-100.22</v>
      </c>
      <c r="DN125" s="42">
        <v>-69.069999999999993</v>
      </c>
      <c r="DS125" s="42">
        <v>-103.23</v>
      </c>
      <c r="DZ125" s="69">
        <v>-33.435000000000002</v>
      </c>
      <c r="EE125" s="42">
        <v>-108.35</v>
      </c>
      <c r="EN125" s="42">
        <v>-104.2</v>
      </c>
    </row>
    <row r="126" spans="1:233" x14ac:dyDescent="0.25">
      <c r="A126" s="127">
        <v>44361</v>
      </c>
      <c r="B126" s="23" t="s">
        <v>3</v>
      </c>
      <c r="C126" s="21">
        <f t="shared" si="5"/>
        <v>4520.2510000000002</v>
      </c>
      <c r="BH126" s="69">
        <v>511.76100000000002</v>
      </c>
      <c r="BT126" s="69">
        <v>510.5</v>
      </c>
      <c r="BZ126" s="69">
        <v>497.97</v>
      </c>
      <c r="CX126" s="69">
        <v>497.55500000000001</v>
      </c>
      <c r="DJ126" s="69">
        <v>504.08499999999998</v>
      </c>
      <c r="DO126" s="375">
        <v>505.97500000000002</v>
      </c>
      <c r="DZ126" s="69">
        <v>458.55</v>
      </c>
      <c r="EF126" s="69">
        <v>501.07</v>
      </c>
      <c r="FU126" s="88">
        <v>532.78499999999997</v>
      </c>
    </row>
    <row r="127" spans="1:233" x14ac:dyDescent="0.25">
      <c r="A127" s="127">
        <v>44361</v>
      </c>
      <c r="B127" s="23" t="s">
        <v>15</v>
      </c>
      <c r="C127" s="21">
        <f t="shared" si="5"/>
        <v>-1007.846</v>
      </c>
      <c r="AB127" s="69">
        <v>-33.75</v>
      </c>
      <c r="AM127" s="69">
        <v>-34.47</v>
      </c>
      <c r="AU127" s="42">
        <v>-63.58</v>
      </c>
      <c r="BA127" s="42">
        <v>-133.44</v>
      </c>
      <c r="BH127" s="69">
        <v>-136.42099999999999</v>
      </c>
      <c r="BM127" s="88">
        <f>-(33.37-8.27)</f>
        <v>-25.1</v>
      </c>
      <c r="BT127" s="69">
        <v>-68.39</v>
      </c>
      <c r="BZ127" s="69">
        <v>-66.905000000000001</v>
      </c>
      <c r="CE127" s="42">
        <v>-35.15</v>
      </c>
      <c r="CR127" s="69">
        <v>-33.68</v>
      </c>
      <c r="CX127" s="69">
        <v>-66.875</v>
      </c>
      <c r="DZ127" s="69">
        <v>-165.13499999999999</v>
      </c>
      <c r="EF127" s="69">
        <v>-106.85</v>
      </c>
      <c r="FQ127" s="42">
        <v>-38.1</v>
      </c>
    </row>
    <row r="128" spans="1:233" x14ac:dyDescent="0.25">
      <c r="A128" s="127">
        <v>44361</v>
      </c>
      <c r="B128" s="23" t="s">
        <v>2</v>
      </c>
      <c r="C128" s="21">
        <f t="shared" si="5"/>
        <v>1139.7</v>
      </c>
      <c r="GL128" s="42">
        <v>109.42</v>
      </c>
      <c r="HL128" s="42">
        <v>501.31</v>
      </c>
      <c r="HU128" s="42">
        <v>528.97</v>
      </c>
    </row>
    <row r="129" spans="1:234" x14ac:dyDescent="0.25">
      <c r="A129" s="127">
        <v>44361</v>
      </c>
      <c r="B129" s="23" t="s">
        <v>56</v>
      </c>
      <c r="C129" s="21">
        <f t="shared" si="5"/>
        <v>-361.42</v>
      </c>
      <c r="AF129" s="69">
        <v>-8.3849999999999998</v>
      </c>
      <c r="BB129" s="69">
        <v>-16.96</v>
      </c>
      <c r="BH129" s="69">
        <v>-34.14</v>
      </c>
      <c r="BN129" s="69">
        <v>-58.68</v>
      </c>
      <c r="BT129" s="69">
        <v>-42.534999999999997</v>
      </c>
      <c r="BZ129" s="69">
        <v>-49.97</v>
      </c>
      <c r="CF129" s="69">
        <v>-50.67</v>
      </c>
      <c r="CL129" s="69">
        <v>-50.35</v>
      </c>
      <c r="CR129" s="69">
        <v>-25.15</v>
      </c>
      <c r="CX129" s="69">
        <v>-24.58</v>
      </c>
    </row>
    <row r="130" spans="1:234" x14ac:dyDescent="0.25">
      <c r="A130" s="127">
        <v>44362</v>
      </c>
      <c r="B130" s="23" t="s">
        <v>57</v>
      </c>
      <c r="C130" s="21">
        <f t="shared" si="5"/>
        <v>-100.55</v>
      </c>
      <c r="AM130" s="69">
        <v>-8.43</v>
      </c>
      <c r="AP130" s="42">
        <v>-8.15</v>
      </c>
      <c r="AV130" s="69">
        <v>-16.684999999999999</v>
      </c>
      <c r="BB130" s="69">
        <v>-17.010000000000002</v>
      </c>
      <c r="BH130" s="69">
        <v>-16.84</v>
      </c>
      <c r="BN130" s="69">
        <v>-8.42</v>
      </c>
      <c r="CX130" s="69">
        <v>-25.015000000000001</v>
      </c>
    </row>
    <row r="131" spans="1:234" x14ac:dyDescent="0.25">
      <c r="A131" s="127">
        <v>44362</v>
      </c>
      <c r="B131" s="23" t="s">
        <v>27</v>
      </c>
      <c r="C131" s="21">
        <f t="shared" si="5"/>
        <v>-8.34</v>
      </c>
      <c r="BR131" s="182">
        <v>-8.34</v>
      </c>
    </row>
    <row r="132" spans="1:234" x14ac:dyDescent="0.25">
      <c r="A132" s="127">
        <v>44362</v>
      </c>
      <c r="B132" s="23" t="s">
        <v>25</v>
      </c>
      <c r="C132" s="21">
        <f t="shared" si="5"/>
        <v>-42.22</v>
      </c>
      <c r="AV132" s="69">
        <v>-8.48</v>
      </c>
      <c r="BB132" s="69">
        <v>-8.49</v>
      </c>
      <c r="BH132" s="69">
        <v>-8.5399999999999991</v>
      </c>
      <c r="BN132" s="69">
        <v>-8.44</v>
      </c>
      <c r="BT132" s="69">
        <v>-8.27</v>
      </c>
    </row>
    <row r="133" spans="1:234" x14ac:dyDescent="0.25">
      <c r="A133" s="127">
        <v>44362</v>
      </c>
      <c r="B133" s="23" t="s">
        <v>50</v>
      </c>
      <c r="C133" s="21">
        <f t="shared" si="5"/>
        <v>-209.69</v>
      </c>
      <c r="GV133" s="42">
        <v>-86</v>
      </c>
      <c r="HE133" s="42">
        <v>-64.17</v>
      </c>
      <c r="HU133" s="42">
        <v>-31.17</v>
      </c>
      <c r="HW133" s="42">
        <v>-28.35</v>
      </c>
    </row>
    <row r="134" spans="1:234" x14ac:dyDescent="0.25">
      <c r="A134" s="127">
        <v>44362</v>
      </c>
      <c r="B134" s="23" t="s">
        <v>32</v>
      </c>
      <c r="C134" s="21">
        <f t="shared" si="5"/>
        <v>-82.32</v>
      </c>
      <c r="AP134" s="42">
        <v>-32.69</v>
      </c>
      <c r="AU134" s="42">
        <v>-31.1</v>
      </c>
      <c r="BG134" s="42">
        <v>-34.81</v>
      </c>
      <c r="HZ134" s="42">
        <v>16.28</v>
      </c>
    </row>
    <row r="135" spans="1:234" x14ac:dyDescent="0.25">
      <c r="A135" s="127">
        <v>44362</v>
      </c>
      <c r="B135" s="23" t="s">
        <v>37</v>
      </c>
      <c r="C135" s="21">
        <f t="shared" si="5"/>
        <v>-508.79</v>
      </c>
      <c r="GL135" s="42">
        <v>-31.84</v>
      </c>
      <c r="GV135" s="42">
        <v>-28.3</v>
      </c>
      <c r="HG135" s="42">
        <v>-55.13</v>
      </c>
      <c r="HO135" s="42">
        <v>-284.23</v>
      </c>
      <c r="HP135" s="92">
        <v>-77.680000000000007</v>
      </c>
      <c r="HQ135" s="42">
        <v>-31.61</v>
      </c>
    </row>
    <row r="136" spans="1:234" x14ac:dyDescent="0.25">
      <c r="A136" s="127">
        <v>44362</v>
      </c>
      <c r="B136" s="23" t="s">
        <v>58</v>
      </c>
      <c r="C136" s="21">
        <f t="shared" ref="C136:C199" si="6">SUM(I136:JT136)</f>
        <v>-84.694999999999993</v>
      </c>
      <c r="FJ136" s="69">
        <v>-84.694999999999993</v>
      </c>
    </row>
    <row r="137" spans="1:234" x14ac:dyDescent="0.25">
      <c r="A137" s="127">
        <v>44362</v>
      </c>
      <c r="B137" s="23" t="s">
        <v>44</v>
      </c>
      <c r="C137" s="21">
        <f t="shared" si="6"/>
        <v>-27.35</v>
      </c>
      <c r="GY137" s="42">
        <v>-27.35</v>
      </c>
    </row>
    <row r="138" spans="1:234" x14ac:dyDescent="0.25">
      <c r="A138" s="127">
        <v>44362</v>
      </c>
      <c r="B138" s="23" t="s">
        <v>59</v>
      </c>
      <c r="C138" s="21">
        <f t="shared" si="6"/>
        <v>-17.02</v>
      </c>
      <c r="DT138" s="69">
        <v>-17.02</v>
      </c>
    </row>
    <row r="139" spans="1:234" x14ac:dyDescent="0.25">
      <c r="A139" s="127">
        <v>44363</v>
      </c>
      <c r="B139" s="23" t="s">
        <v>13</v>
      </c>
      <c r="C139" s="21">
        <f t="shared" si="6"/>
        <v>-278.44499999999999</v>
      </c>
      <c r="AB139" s="69">
        <v>-33.770000000000003</v>
      </c>
      <c r="CF139" s="69">
        <v>-67.48</v>
      </c>
      <c r="CL139" s="69">
        <v>-67.715000000000003</v>
      </c>
      <c r="DD139" s="69">
        <v>-33.575000000000003</v>
      </c>
      <c r="DZ139" s="69">
        <v>-31.89</v>
      </c>
      <c r="FU139" s="88">
        <v>-44.015000000000001</v>
      </c>
    </row>
    <row r="140" spans="1:234" x14ac:dyDescent="0.25">
      <c r="A140" s="127">
        <v>44363</v>
      </c>
      <c r="B140" s="23" t="s">
        <v>14</v>
      </c>
      <c r="C140" s="21">
        <f t="shared" si="6"/>
        <v>-329.58499999999998</v>
      </c>
      <c r="AP140" s="42">
        <v>-29.85</v>
      </c>
      <c r="AU140" s="42">
        <v>-32.14</v>
      </c>
      <c r="BB140" s="69">
        <v>-33.854999999999997</v>
      </c>
      <c r="BH140" s="69">
        <v>-33.729999999999997</v>
      </c>
      <c r="BN140" s="69">
        <v>-33.44</v>
      </c>
      <c r="BT140" s="69">
        <v>-34.18</v>
      </c>
      <c r="BZ140" s="69">
        <v>-33.255000000000003</v>
      </c>
      <c r="CF140" s="69">
        <v>-17</v>
      </c>
      <c r="CL140" s="69">
        <v>-17.100000000000001</v>
      </c>
      <c r="DC140" s="42">
        <v>-16.510000000000002</v>
      </c>
      <c r="DJ140" s="69">
        <v>-25.395</v>
      </c>
      <c r="DO140" s="375">
        <v>-23.13</v>
      </c>
    </row>
    <row r="141" spans="1:234" x14ac:dyDescent="0.25">
      <c r="A141" s="127">
        <v>44363</v>
      </c>
      <c r="B141" s="23" t="s">
        <v>12</v>
      </c>
      <c r="C141" s="21">
        <f t="shared" si="6"/>
        <v>0</v>
      </c>
    </row>
    <row r="142" spans="1:234" x14ac:dyDescent="0.25">
      <c r="A142" s="127">
        <v>44363</v>
      </c>
      <c r="B142" s="23" t="s">
        <v>57</v>
      </c>
      <c r="C142" s="21">
        <f t="shared" si="6"/>
        <v>-17.170000000000002</v>
      </c>
      <c r="DO142" s="375">
        <v>-17.170000000000002</v>
      </c>
    </row>
    <row r="143" spans="1:234" x14ac:dyDescent="0.25">
      <c r="A143" s="127">
        <v>44363</v>
      </c>
      <c r="B143" s="23" t="s">
        <v>40</v>
      </c>
      <c r="C143" s="21">
        <f t="shared" si="6"/>
        <v>-311.47000000000003</v>
      </c>
      <c r="HU143" s="42">
        <v>-311.47000000000003</v>
      </c>
    </row>
    <row r="144" spans="1:234" x14ac:dyDescent="0.25">
      <c r="A144" s="127">
        <v>44363</v>
      </c>
      <c r="B144" s="23" t="s">
        <v>60</v>
      </c>
      <c r="C144" s="21">
        <f t="shared" si="6"/>
        <v>-70.2</v>
      </c>
      <c r="BS144" s="42">
        <v>-70.2</v>
      </c>
    </row>
    <row r="145" spans="1:241" x14ac:dyDescent="0.25">
      <c r="A145" s="127">
        <v>44363</v>
      </c>
      <c r="B145" s="23" t="s">
        <v>61</v>
      </c>
      <c r="C145" s="21">
        <f t="shared" si="6"/>
        <v>-33.784999999999997</v>
      </c>
      <c r="CR145" s="69">
        <v>-33.784999999999997</v>
      </c>
    </row>
    <row r="146" spans="1:241" x14ac:dyDescent="0.25">
      <c r="A146" s="127">
        <v>44363</v>
      </c>
      <c r="B146" s="23" t="s">
        <v>59</v>
      </c>
      <c r="C146" s="21">
        <f t="shared" si="6"/>
        <v>-8.49</v>
      </c>
      <c r="CF146" s="69">
        <v>-8.49</v>
      </c>
    </row>
    <row r="147" spans="1:241" x14ac:dyDescent="0.25">
      <c r="A147" s="127">
        <v>44363</v>
      </c>
      <c r="B147" s="23" t="s">
        <v>20</v>
      </c>
      <c r="C147" s="21">
        <f t="shared" si="6"/>
        <v>-104.16500000000001</v>
      </c>
      <c r="BH147" s="69">
        <v>-8.5399999999999991</v>
      </c>
      <c r="BN147" s="69">
        <v>-8.4250000000000007</v>
      </c>
      <c r="BT147" s="69">
        <v>-8.5500000000000007</v>
      </c>
      <c r="BZ147" s="69">
        <v>-8.35</v>
      </c>
      <c r="GY147" s="42">
        <v>-70.3</v>
      </c>
    </row>
    <row r="148" spans="1:241" x14ac:dyDescent="0.25">
      <c r="A148" s="127">
        <v>44364</v>
      </c>
      <c r="B148" s="23" t="s">
        <v>15</v>
      </c>
      <c r="C148" s="21">
        <f t="shared" si="6"/>
        <v>-173.04</v>
      </c>
      <c r="DS148" s="42">
        <v>-173.04</v>
      </c>
    </row>
    <row r="149" spans="1:241" x14ac:dyDescent="0.25">
      <c r="A149" s="127">
        <v>44364</v>
      </c>
      <c r="B149" s="23" t="s">
        <v>62</v>
      </c>
      <c r="C149" s="21">
        <f t="shared" si="6"/>
        <v>-186.35</v>
      </c>
      <c r="AB149" s="69">
        <v>-8.4450000000000003</v>
      </c>
      <c r="AE149" s="42">
        <v>-8.41</v>
      </c>
      <c r="BA149" s="42">
        <v>-33.28</v>
      </c>
      <c r="BH149" s="69">
        <v>-33.85</v>
      </c>
      <c r="BM149" s="88">
        <v>-33.32</v>
      </c>
      <c r="BT149" s="69">
        <v>-34.164999999999999</v>
      </c>
      <c r="BY149" s="42">
        <v>-34.880000000000003</v>
      </c>
    </row>
    <row r="150" spans="1:241" x14ac:dyDescent="0.25">
      <c r="A150" s="127">
        <v>44364</v>
      </c>
      <c r="B150" s="23" t="s">
        <v>21</v>
      </c>
      <c r="C150" s="21">
        <f t="shared" si="6"/>
        <v>-167.97</v>
      </c>
      <c r="BB150" s="69">
        <v>-33.905000000000001</v>
      </c>
      <c r="CR150" s="69">
        <v>-33.375</v>
      </c>
      <c r="CX150" s="69">
        <v>-33.284999999999997</v>
      </c>
      <c r="DJ150" s="69">
        <v>-33.375</v>
      </c>
      <c r="DO150" s="375">
        <v>-34.03</v>
      </c>
    </row>
    <row r="151" spans="1:241" x14ac:dyDescent="0.25">
      <c r="A151" s="127">
        <v>44364</v>
      </c>
      <c r="B151" s="23" t="s">
        <v>63</v>
      </c>
      <c r="C151" s="21">
        <f t="shared" si="6"/>
        <v>-186.495</v>
      </c>
      <c r="BH151" s="69">
        <v>-17.07</v>
      </c>
      <c r="BM151" s="88">
        <v>-33.93</v>
      </c>
      <c r="BT151" s="69">
        <v>-17.09</v>
      </c>
      <c r="BZ151" s="69">
        <v>-16.66</v>
      </c>
      <c r="CE151" s="42">
        <v>-17.55</v>
      </c>
      <c r="CL151" s="69">
        <v>-16.850000000000001</v>
      </c>
      <c r="CR151" s="69">
        <v>-34.314999999999998</v>
      </c>
      <c r="CX151" s="69">
        <v>-33.03</v>
      </c>
    </row>
    <row r="152" spans="1:241" x14ac:dyDescent="0.25">
      <c r="A152" s="127">
        <v>44364</v>
      </c>
      <c r="B152" s="23" t="s">
        <v>12</v>
      </c>
      <c r="C152" s="21">
        <f t="shared" si="6"/>
        <v>-107.2</v>
      </c>
      <c r="FR152" s="69">
        <v>-107.2</v>
      </c>
    </row>
    <row r="153" spans="1:241" x14ac:dyDescent="0.25">
      <c r="A153" s="127">
        <v>44364</v>
      </c>
      <c r="B153" s="23" t="s">
        <v>64</v>
      </c>
      <c r="C153" s="21">
        <f t="shared" si="6"/>
        <v>0</v>
      </c>
    </row>
    <row r="154" spans="1:241" x14ac:dyDescent="0.25">
      <c r="A154" s="127">
        <v>44364</v>
      </c>
      <c r="B154" s="23" t="s">
        <v>2</v>
      </c>
      <c r="C154" s="21">
        <f t="shared" si="6"/>
        <v>1007.17</v>
      </c>
      <c r="IB154" s="42">
        <v>496.13</v>
      </c>
      <c r="IG154" s="38">
        <v>511.04</v>
      </c>
    </row>
    <row r="155" spans="1:241" x14ac:dyDescent="0.25">
      <c r="A155" s="127">
        <v>44365</v>
      </c>
      <c r="B155" s="23" t="s">
        <v>37</v>
      </c>
      <c r="C155" s="21">
        <f t="shared" si="6"/>
        <v>-28.05</v>
      </c>
      <c r="HE155" s="42">
        <v>-28.05</v>
      </c>
    </row>
    <row r="156" spans="1:241" x14ac:dyDescent="0.25">
      <c r="A156" s="127">
        <v>44368</v>
      </c>
      <c r="B156" s="23" t="s">
        <v>12</v>
      </c>
      <c r="C156" s="21">
        <f t="shared" si="6"/>
        <v>-109.785</v>
      </c>
      <c r="GA156" s="88">
        <v>-109.785</v>
      </c>
    </row>
    <row r="157" spans="1:241" x14ac:dyDescent="0.25">
      <c r="A157" s="127">
        <v>44368</v>
      </c>
      <c r="B157" s="23" t="s">
        <v>27</v>
      </c>
      <c r="C157" s="21">
        <f t="shared" si="6"/>
        <v>-41.33</v>
      </c>
      <c r="BF157" s="182">
        <v>-8.68</v>
      </c>
      <c r="BL157" s="182">
        <v>-7.96</v>
      </c>
      <c r="BR157" s="182">
        <v>-8.23</v>
      </c>
      <c r="CC157" s="126">
        <v>-7.86</v>
      </c>
      <c r="CP157" s="182">
        <v>-8.6</v>
      </c>
    </row>
    <row r="158" spans="1:241" x14ac:dyDescent="0.25">
      <c r="A158" s="127">
        <v>44368</v>
      </c>
      <c r="B158" s="23" t="s">
        <v>2</v>
      </c>
      <c r="C158" s="21">
        <f t="shared" si="6"/>
        <v>0</v>
      </c>
    </row>
    <row r="159" spans="1:241" x14ac:dyDescent="0.25">
      <c r="A159" s="127">
        <v>44368</v>
      </c>
      <c r="B159" s="23" t="s">
        <v>12</v>
      </c>
      <c r="C159" s="21">
        <f t="shared" si="6"/>
        <v>0</v>
      </c>
    </row>
    <row r="160" spans="1:241" x14ac:dyDescent="0.25">
      <c r="A160" s="127">
        <v>44369</v>
      </c>
      <c r="B160" s="23" t="s">
        <v>65</v>
      </c>
      <c r="C160" s="21">
        <f t="shared" si="6"/>
        <v>-16.774999999999999</v>
      </c>
      <c r="AM160" s="69">
        <v>-16.774999999999999</v>
      </c>
    </row>
    <row r="161" spans="1:236" x14ac:dyDescent="0.25">
      <c r="A161" s="127">
        <v>44369</v>
      </c>
      <c r="B161" s="23" t="s">
        <v>39</v>
      </c>
      <c r="C161" s="21">
        <f t="shared" si="6"/>
        <v>-67.265000000000001</v>
      </c>
      <c r="AB161" s="69">
        <v>-8.44</v>
      </c>
      <c r="AP161" s="42">
        <v>-7.2</v>
      </c>
      <c r="AV161" s="69">
        <v>-8.41</v>
      </c>
      <c r="BB161" s="69">
        <v>-8.4849999999999994</v>
      </c>
      <c r="BG161" s="42">
        <v>-34.729999999999997</v>
      </c>
    </row>
    <row r="162" spans="1:236" x14ac:dyDescent="0.25">
      <c r="A162" s="127">
        <v>44369</v>
      </c>
      <c r="B162" s="23" t="s">
        <v>25</v>
      </c>
      <c r="C162" s="21">
        <f t="shared" si="6"/>
        <v>-51.15</v>
      </c>
      <c r="BH162" s="69">
        <v>-8.32</v>
      </c>
      <c r="BM162" s="88">
        <v>-16.55</v>
      </c>
      <c r="BT162" s="69">
        <v>-8.56</v>
      </c>
      <c r="CE162" s="42">
        <v>-8.86</v>
      </c>
      <c r="CK162" s="42">
        <v>-8.86</v>
      </c>
    </row>
    <row r="163" spans="1:236" x14ac:dyDescent="0.25">
      <c r="A163" s="127">
        <v>44369</v>
      </c>
      <c r="B163" s="23" t="s">
        <v>33</v>
      </c>
      <c r="C163" s="21">
        <f t="shared" si="6"/>
        <v>-8.5850000000000009</v>
      </c>
      <c r="Y163" s="69">
        <v>-8.5850000000000009</v>
      </c>
    </row>
    <row r="164" spans="1:236" x14ac:dyDescent="0.25">
      <c r="A164" s="127">
        <v>44369</v>
      </c>
      <c r="B164" s="23" t="s">
        <v>45</v>
      </c>
      <c r="C164" s="21">
        <f t="shared" si="6"/>
        <v>-16.670000000000002</v>
      </c>
      <c r="CV164" s="115">
        <v>-16.670000000000002</v>
      </c>
    </row>
    <row r="165" spans="1:236" x14ac:dyDescent="0.25">
      <c r="A165" s="127">
        <v>44369</v>
      </c>
      <c r="B165" s="23" t="s">
        <v>12</v>
      </c>
      <c r="C165" s="21">
        <f t="shared" si="6"/>
        <v>-42.41</v>
      </c>
      <c r="BB165" s="69">
        <v>-42.41</v>
      </c>
    </row>
    <row r="166" spans="1:236" x14ac:dyDescent="0.25">
      <c r="A166" s="127">
        <v>44369</v>
      </c>
      <c r="B166" s="23" t="s">
        <v>12</v>
      </c>
      <c r="C166" s="21">
        <f t="shared" si="6"/>
        <v>-33.549999999999997</v>
      </c>
      <c r="BA166" s="42">
        <v>-33.549999999999997</v>
      </c>
    </row>
    <row r="167" spans="1:236" x14ac:dyDescent="0.25">
      <c r="A167" s="127">
        <v>44369</v>
      </c>
      <c r="B167" s="23" t="s">
        <v>59</v>
      </c>
      <c r="C167" s="21">
        <f t="shared" si="6"/>
        <v>-8.82</v>
      </c>
      <c r="CE167" s="42">
        <v>-8.82</v>
      </c>
    </row>
    <row r="168" spans="1:236" x14ac:dyDescent="0.25">
      <c r="A168" s="127">
        <v>44369</v>
      </c>
      <c r="B168" s="23" t="s">
        <v>18</v>
      </c>
      <c r="C168" s="21">
        <f t="shared" si="6"/>
        <v>-977.52</v>
      </c>
      <c r="AF168" s="69">
        <v>-33.450000000000003</v>
      </c>
      <c r="AM168" s="69">
        <v>-34.53</v>
      </c>
      <c r="AP168" s="42">
        <v>-32.56</v>
      </c>
      <c r="AV168" s="69">
        <v>-67.099999999999994</v>
      </c>
      <c r="BA168" s="42">
        <v>-66.680000000000007</v>
      </c>
      <c r="BH168" s="69">
        <v>-136.38999999999999</v>
      </c>
      <c r="BM168" s="88">
        <v>-102.26</v>
      </c>
      <c r="BT168" s="69">
        <v>-102.3</v>
      </c>
      <c r="BZ168" s="69">
        <v>-100.015</v>
      </c>
      <c r="CR168" s="69">
        <v>-33.774999999999999</v>
      </c>
      <c r="CX168" s="69">
        <v>-33.274999999999999</v>
      </c>
      <c r="DJ168" s="69">
        <v>-33.72</v>
      </c>
      <c r="DO168" s="375">
        <v>-34.24</v>
      </c>
      <c r="DT168" s="69">
        <v>-100.35</v>
      </c>
      <c r="DZ168" s="69">
        <v>-66.875</v>
      </c>
    </row>
    <row r="169" spans="1:236" x14ac:dyDescent="0.25">
      <c r="A169" s="127">
        <v>44369</v>
      </c>
      <c r="B169" s="23" t="s">
        <v>40</v>
      </c>
      <c r="C169" s="21">
        <f t="shared" si="6"/>
        <v>-326.51</v>
      </c>
      <c r="HL169" s="42">
        <v>-326.51</v>
      </c>
    </row>
    <row r="170" spans="1:236" x14ac:dyDescent="0.25">
      <c r="A170" s="127">
        <v>44369</v>
      </c>
      <c r="B170" s="23" t="s">
        <v>32</v>
      </c>
      <c r="C170" s="21">
        <f t="shared" si="6"/>
        <v>-68.599999999999994</v>
      </c>
      <c r="AB170" s="69">
        <v>-16.899999999999999</v>
      </c>
      <c r="AU170" s="42">
        <v>-15.99</v>
      </c>
      <c r="BS170" s="42">
        <v>-35.71</v>
      </c>
    </row>
    <row r="171" spans="1:236" x14ac:dyDescent="0.25">
      <c r="A171" s="127">
        <v>44370</v>
      </c>
      <c r="B171" s="23" t="s">
        <v>13</v>
      </c>
      <c r="C171" s="21">
        <f t="shared" si="6"/>
        <v>-649.46500000000003</v>
      </c>
      <c r="AV171" s="69">
        <v>-67.015000000000001</v>
      </c>
      <c r="BB171" s="69">
        <v>-31.375</v>
      </c>
      <c r="BH171" s="69">
        <v>-68.23</v>
      </c>
      <c r="BM171" s="88">
        <v>-33.21</v>
      </c>
      <c r="BN171" s="69">
        <v>-33.655000000000001</v>
      </c>
      <c r="BT171" s="69">
        <v>-68.305000000000007</v>
      </c>
      <c r="BZ171" s="69">
        <v>-65.444999999999993</v>
      </c>
      <c r="CE171" s="42">
        <v>-70.510000000000005</v>
      </c>
      <c r="CL171" s="69">
        <v>-33.67</v>
      </c>
      <c r="CR171" s="69">
        <v>-33.655000000000001</v>
      </c>
      <c r="CX171" s="69">
        <v>-33.130000000000003</v>
      </c>
      <c r="DJ171" s="69">
        <v>-33.625</v>
      </c>
      <c r="DO171" s="375">
        <v>-33.905000000000001</v>
      </c>
      <c r="FU171" s="88">
        <v>-43.734999999999999</v>
      </c>
    </row>
    <row r="172" spans="1:236" x14ac:dyDescent="0.25">
      <c r="A172" s="127">
        <v>44370</v>
      </c>
      <c r="B172" s="23" t="s">
        <v>19</v>
      </c>
      <c r="C172" s="21">
        <f t="shared" si="6"/>
        <v>-420.66</v>
      </c>
      <c r="HG172" s="42">
        <v>-62.51</v>
      </c>
      <c r="HL172" s="42">
        <v>-129.06</v>
      </c>
      <c r="HO172" s="42">
        <v>-31.84</v>
      </c>
      <c r="HQ172" s="42">
        <v>-104.92</v>
      </c>
      <c r="HS172" s="38">
        <v>-63.93</v>
      </c>
      <c r="IB172" s="42">
        <v>-28.4</v>
      </c>
    </row>
    <row r="173" spans="1:236" x14ac:dyDescent="0.25">
      <c r="A173" s="127">
        <v>44370</v>
      </c>
      <c r="B173" s="23" t="s">
        <v>15</v>
      </c>
      <c r="C173" s="21">
        <f t="shared" si="6"/>
        <v>-154.80000000000001</v>
      </c>
      <c r="AM173" s="69">
        <v>-8.4149999999999991</v>
      </c>
      <c r="AU173" s="42">
        <v>-16.100000000000001</v>
      </c>
      <c r="BA173" s="42">
        <v>-16.71</v>
      </c>
      <c r="BG173" s="42">
        <v>-17.329999999999998</v>
      </c>
      <c r="BM173" s="88">
        <v>-25.78</v>
      </c>
      <c r="BS173" s="42">
        <v>-26.38</v>
      </c>
      <c r="BY173" s="42">
        <v>-18</v>
      </c>
      <c r="CE173" s="42">
        <v>-17.649999999999999</v>
      </c>
      <c r="CR173" s="69">
        <v>-8.4350000000000005</v>
      </c>
    </row>
    <row r="174" spans="1:236" x14ac:dyDescent="0.25">
      <c r="A174" s="127">
        <v>44370</v>
      </c>
      <c r="B174" s="23" t="s">
        <v>15</v>
      </c>
      <c r="C174" s="21">
        <f t="shared" si="6"/>
        <v>-200.46</v>
      </c>
      <c r="AU174" s="42">
        <v>-32.1</v>
      </c>
      <c r="BY174" s="42">
        <v>-34.869999999999997</v>
      </c>
      <c r="CX174" s="69">
        <v>-66.234999999999999</v>
      </c>
      <c r="DJ174" s="69">
        <v>-67.254999999999995</v>
      </c>
    </row>
    <row r="175" spans="1:236" x14ac:dyDescent="0.25">
      <c r="A175" s="127">
        <v>44370</v>
      </c>
      <c r="B175" s="23" t="s">
        <v>32</v>
      </c>
      <c r="C175" s="21">
        <f t="shared" si="6"/>
        <v>-67.13</v>
      </c>
      <c r="BA175" s="42">
        <v>-33.39</v>
      </c>
      <c r="CQ175" s="42">
        <v>-33.74</v>
      </c>
    </row>
    <row r="176" spans="1:236" x14ac:dyDescent="0.25">
      <c r="A176" s="127">
        <v>44370</v>
      </c>
      <c r="B176" s="23" t="s">
        <v>37</v>
      </c>
      <c r="C176" s="21">
        <f t="shared" si="6"/>
        <v>-96.53</v>
      </c>
      <c r="HL176" s="42">
        <v>-96.53</v>
      </c>
    </row>
    <row r="177" spans="1:238" x14ac:dyDescent="0.25">
      <c r="A177" s="127">
        <v>44370</v>
      </c>
      <c r="B177" s="23" t="s">
        <v>14</v>
      </c>
      <c r="C177" s="21">
        <f t="shared" si="6"/>
        <v>-1070.9100000000001</v>
      </c>
      <c r="AP177" s="42">
        <v>-60.24</v>
      </c>
      <c r="AU177" s="42">
        <v>-160.32</v>
      </c>
      <c r="BA177" s="42">
        <v>-99.69</v>
      </c>
      <c r="BG177" s="42">
        <v>-207.3</v>
      </c>
      <c r="BM177" s="88">
        <v>-101.35</v>
      </c>
      <c r="BS177" s="42">
        <v>-70.400000000000006</v>
      </c>
      <c r="BT177" s="69">
        <v>-68.435000000000002</v>
      </c>
      <c r="BY177" s="42">
        <v>-67.86</v>
      </c>
      <c r="CL177" s="69">
        <v>-33.935000000000002</v>
      </c>
      <c r="CX177" s="69">
        <v>-33.134999999999998</v>
      </c>
      <c r="DD177" s="69">
        <v>-33.435000000000002</v>
      </c>
      <c r="DJ177" s="69">
        <v>-67.319999999999993</v>
      </c>
      <c r="DO177" s="375">
        <v>-67.489999999999995</v>
      </c>
    </row>
    <row r="178" spans="1:238" x14ac:dyDescent="0.25">
      <c r="A178" s="127">
        <v>44370</v>
      </c>
      <c r="B178" s="23" t="s">
        <v>19</v>
      </c>
      <c r="C178" s="21">
        <f t="shared" si="6"/>
        <v>-655.72500000000002</v>
      </c>
      <c r="AP178" s="42">
        <v>-122.1</v>
      </c>
      <c r="BT178" s="69">
        <v>-65.790000000000006</v>
      </c>
      <c r="BZ178" s="69">
        <v>-67.715000000000003</v>
      </c>
      <c r="DO178" s="375">
        <v>-67.135000000000005</v>
      </c>
      <c r="DT178" s="69">
        <v>-67.915000000000006</v>
      </c>
      <c r="DZ178" s="69">
        <v>-95.9</v>
      </c>
      <c r="EF178" s="69">
        <v>-169.17</v>
      </c>
    </row>
    <row r="179" spans="1:238" x14ac:dyDescent="0.25">
      <c r="A179" s="127">
        <v>44370</v>
      </c>
      <c r="B179" s="23" t="s">
        <v>47</v>
      </c>
      <c r="C179" s="21">
        <f t="shared" si="6"/>
        <v>-162.43</v>
      </c>
      <c r="AE179" s="42">
        <v>-8.6</v>
      </c>
      <c r="AU179" s="42">
        <v>-7.97</v>
      </c>
      <c r="BH179" s="69">
        <v>-25.274999999999999</v>
      </c>
      <c r="BM179" s="88">
        <v>-16.54</v>
      </c>
      <c r="BT179" s="69">
        <v>-34.155000000000001</v>
      </c>
      <c r="BZ179" s="69">
        <v>-33.57</v>
      </c>
      <c r="CE179" s="42">
        <v>-19.600000000000001</v>
      </c>
      <c r="CL179" s="69">
        <v>-16.72</v>
      </c>
    </row>
    <row r="180" spans="1:238" x14ac:dyDescent="0.25">
      <c r="A180" s="127">
        <v>44371</v>
      </c>
      <c r="B180" s="23" t="s">
        <v>13</v>
      </c>
      <c r="C180" s="21">
        <f t="shared" si="6"/>
        <v>-286.03500000000003</v>
      </c>
      <c r="DT180" s="69">
        <v>-286.03500000000003</v>
      </c>
    </row>
    <row r="181" spans="1:238" x14ac:dyDescent="0.25">
      <c r="A181" s="127">
        <v>44371</v>
      </c>
      <c r="B181" s="23" t="s">
        <v>2</v>
      </c>
      <c r="C181" s="21">
        <f t="shared" si="6"/>
        <v>6335.03</v>
      </c>
      <c r="AE181" s="42">
        <v>492.73</v>
      </c>
      <c r="AL181" s="42">
        <v>511</v>
      </c>
      <c r="BG181" s="42">
        <v>515.16</v>
      </c>
      <c r="BS181" s="42">
        <v>517.04</v>
      </c>
      <c r="BY181" s="42">
        <v>517.82000000000005</v>
      </c>
      <c r="CE181" s="42">
        <v>512.54</v>
      </c>
      <c r="CK181" s="42">
        <v>520.66</v>
      </c>
      <c r="CQ181" s="42">
        <v>517.46</v>
      </c>
      <c r="DC181" s="42">
        <v>518.41999999999996</v>
      </c>
      <c r="EJ181" s="42">
        <v>523.08000000000004</v>
      </c>
      <c r="GJ181" s="202">
        <v>173.51</v>
      </c>
      <c r="HQ181" s="42">
        <v>506.71</v>
      </c>
      <c r="ID181" s="42">
        <v>508.9</v>
      </c>
    </row>
    <row r="182" spans="1:238" x14ac:dyDescent="0.25">
      <c r="A182" s="127">
        <v>44371</v>
      </c>
      <c r="B182" s="23" t="s">
        <v>12</v>
      </c>
      <c r="C182" s="21">
        <f t="shared" si="6"/>
        <v>-33.35</v>
      </c>
      <c r="BZ182" s="69">
        <v>-33.35</v>
      </c>
    </row>
    <row r="183" spans="1:238" x14ac:dyDescent="0.25">
      <c r="A183" s="127">
        <v>44371</v>
      </c>
      <c r="B183" s="23" t="s">
        <v>19</v>
      </c>
      <c r="C183" s="21">
        <f t="shared" si="6"/>
        <v>-724.04</v>
      </c>
      <c r="BG183" s="42">
        <v>-171.93</v>
      </c>
      <c r="BS183" s="42">
        <v>-140.06</v>
      </c>
      <c r="BY183" s="42">
        <v>-138.27000000000001</v>
      </c>
      <c r="CE183" s="42">
        <v>-136.91999999999999</v>
      </c>
      <c r="CK183" s="42">
        <v>-136.86000000000001</v>
      </c>
    </row>
    <row r="184" spans="1:238" x14ac:dyDescent="0.25">
      <c r="A184" s="127">
        <v>44371</v>
      </c>
      <c r="B184" s="23" t="s">
        <v>19</v>
      </c>
      <c r="C184" s="21">
        <f t="shared" si="6"/>
        <v>-209.565</v>
      </c>
      <c r="BZ184" s="69">
        <v>-32.395000000000003</v>
      </c>
      <c r="DN184" s="42">
        <v>-35.81</v>
      </c>
      <c r="DZ184" s="69">
        <v>-32.954999999999998</v>
      </c>
      <c r="FQ184" s="42">
        <v>-21.95</v>
      </c>
      <c r="FU184" s="88">
        <v>-22.164999999999999</v>
      </c>
      <c r="HS184" s="38">
        <v>-64.290000000000006</v>
      </c>
    </row>
    <row r="185" spans="1:238" x14ac:dyDescent="0.25">
      <c r="A185" s="127">
        <v>44371</v>
      </c>
      <c r="B185" s="23" t="s">
        <v>12</v>
      </c>
      <c r="C185" s="21">
        <f t="shared" si="6"/>
        <v>0</v>
      </c>
    </row>
    <row r="186" spans="1:238" x14ac:dyDescent="0.25">
      <c r="A186" s="127">
        <v>44371</v>
      </c>
      <c r="B186" s="23" t="s">
        <v>23</v>
      </c>
      <c r="C186" s="21">
        <f t="shared" si="6"/>
        <v>0</v>
      </c>
    </row>
    <row r="187" spans="1:238" x14ac:dyDescent="0.25">
      <c r="A187" s="127">
        <v>44371</v>
      </c>
      <c r="B187" s="23" t="s">
        <v>38</v>
      </c>
      <c r="C187" s="21">
        <f t="shared" si="6"/>
        <v>-100.565</v>
      </c>
      <c r="DO187" s="375">
        <v>-67.114999999999995</v>
      </c>
      <c r="ES187" s="69">
        <v>-33.450000000000003</v>
      </c>
    </row>
    <row r="188" spans="1:238" x14ac:dyDescent="0.25">
      <c r="A188" s="127">
        <v>44371</v>
      </c>
      <c r="B188" s="23" t="s">
        <v>15</v>
      </c>
      <c r="C188" s="21">
        <f t="shared" si="6"/>
        <v>-103.145</v>
      </c>
      <c r="BT188" s="69">
        <v>-17.055</v>
      </c>
      <c r="CK188" s="42">
        <v>-16.91</v>
      </c>
      <c r="CQ188" s="42">
        <v>-51.66</v>
      </c>
      <c r="CW188" s="42">
        <v>-17.52</v>
      </c>
    </row>
    <row r="189" spans="1:238" x14ac:dyDescent="0.25">
      <c r="A189" s="127">
        <v>44371</v>
      </c>
      <c r="B189" s="23" t="s">
        <v>59</v>
      </c>
      <c r="C189" s="21">
        <f t="shared" si="6"/>
        <v>-8.7899999999999991</v>
      </c>
      <c r="BS189" s="42">
        <v>-8.7899999999999991</v>
      </c>
    </row>
    <row r="190" spans="1:238" x14ac:dyDescent="0.25">
      <c r="A190" s="127">
        <v>44372</v>
      </c>
      <c r="B190" s="23" t="s">
        <v>66</v>
      </c>
      <c r="C190" s="21">
        <f t="shared" si="6"/>
        <v>-824.64499999999998</v>
      </c>
      <c r="AV190" s="69">
        <v>-100.545</v>
      </c>
      <c r="BG190" s="42">
        <v>-206.7</v>
      </c>
      <c r="BS190" s="42">
        <v>-205.84</v>
      </c>
      <c r="CE190" s="42">
        <v>-103.3</v>
      </c>
      <c r="CQ190" s="42">
        <v>-104.75</v>
      </c>
      <c r="DS190" s="42">
        <v>-103.51</v>
      </c>
    </row>
    <row r="191" spans="1:238" x14ac:dyDescent="0.25">
      <c r="A191" s="127">
        <v>44372</v>
      </c>
      <c r="B191" s="23" t="s">
        <v>57</v>
      </c>
      <c r="C191" s="21">
        <f t="shared" si="6"/>
        <v>-21.29</v>
      </c>
      <c r="GA191" s="88">
        <v>-21.29</v>
      </c>
    </row>
    <row r="192" spans="1:238" x14ac:dyDescent="0.25">
      <c r="A192" s="127">
        <v>44372</v>
      </c>
      <c r="B192" s="23" t="s">
        <v>33</v>
      </c>
      <c r="C192" s="21">
        <f t="shared" si="6"/>
        <v>-8.6199999999999992</v>
      </c>
      <c r="CK192" s="42">
        <v>-8.6199999999999992</v>
      </c>
    </row>
    <row r="193" spans="1:223" x14ac:dyDescent="0.25">
      <c r="A193" s="127">
        <v>44372</v>
      </c>
      <c r="B193" s="23" t="s">
        <v>41</v>
      </c>
      <c r="C193" s="21">
        <f t="shared" si="6"/>
        <v>-66.775000000000006</v>
      </c>
      <c r="L193" s="69">
        <v>-8.5350000000000001</v>
      </c>
      <c r="AU193" s="42">
        <v>-15.94</v>
      </c>
      <c r="BA193" s="42">
        <v>-16.71</v>
      </c>
      <c r="BG193" s="42">
        <v>-17.260000000000002</v>
      </c>
      <c r="BM193" s="88">
        <v>-8.33</v>
      </c>
    </row>
    <row r="194" spans="1:223" x14ac:dyDescent="0.25">
      <c r="A194" s="127">
        <v>44372</v>
      </c>
      <c r="B194" s="23" t="s">
        <v>41</v>
      </c>
      <c r="C194" s="21">
        <f t="shared" si="6"/>
        <v>-65.564999999999998</v>
      </c>
      <c r="AP194" s="42">
        <v>-8.15</v>
      </c>
      <c r="BF194" s="182">
        <v>-5.81</v>
      </c>
      <c r="BH194" s="69">
        <v>-17.065000000000001</v>
      </c>
      <c r="BS194" s="42">
        <v>-17.54</v>
      </c>
      <c r="BY194" s="42">
        <v>-17</v>
      </c>
    </row>
    <row r="195" spans="1:223" x14ac:dyDescent="0.25">
      <c r="A195" s="127">
        <v>44373</v>
      </c>
      <c r="B195" s="23" t="s">
        <v>19</v>
      </c>
      <c r="C195" s="21">
        <f t="shared" si="6"/>
        <v>631.24</v>
      </c>
      <c r="AI195" s="126">
        <v>32.79</v>
      </c>
      <c r="AO195" s="46">
        <v>34.799999999999997</v>
      </c>
      <c r="AZ195" s="182">
        <v>68.11</v>
      </c>
      <c r="BL195" s="182">
        <v>50.25</v>
      </c>
      <c r="BR195" s="182">
        <v>66.290000000000006</v>
      </c>
      <c r="BX195" s="182">
        <v>68.959999999999994</v>
      </c>
      <c r="CC195" s="126">
        <v>84.74</v>
      </c>
      <c r="CJ195" s="182">
        <v>101.37</v>
      </c>
      <c r="CP195" s="182">
        <v>68.650000000000006</v>
      </c>
      <c r="DB195" s="115">
        <v>70.5</v>
      </c>
      <c r="HO195" s="42">
        <v>-15.22</v>
      </c>
    </row>
    <row r="196" spans="1:223" x14ac:dyDescent="0.25">
      <c r="A196" s="127">
        <v>44373</v>
      </c>
      <c r="B196" s="23" t="s">
        <v>44</v>
      </c>
      <c r="C196" s="21">
        <f t="shared" si="6"/>
        <v>-263.55</v>
      </c>
      <c r="GJ196" s="202">
        <v>-28.6</v>
      </c>
      <c r="GP196" s="42">
        <v>-234.95</v>
      </c>
    </row>
    <row r="197" spans="1:223" x14ac:dyDescent="0.25">
      <c r="A197" s="127">
        <v>44373</v>
      </c>
      <c r="B197" s="23" t="s">
        <v>45</v>
      </c>
      <c r="C197" s="21">
        <f t="shared" si="6"/>
        <v>-33.9</v>
      </c>
      <c r="BG197" s="42">
        <v>-8.44</v>
      </c>
      <c r="BY197" s="42">
        <v>-8.9600000000000009</v>
      </c>
      <c r="CJ197" s="182">
        <v>-8.27</v>
      </c>
      <c r="CP197" s="182">
        <v>-8.23</v>
      </c>
    </row>
    <row r="198" spans="1:223" x14ac:dyDescent="0.25">
      <c r="A198" s="127">
        <v>44373</v>
      </c>
      <c r="B198" s="23" t="s">
        <v>12</v>
      </c>
      <c r="C198" s="21">
        <f t="shared" si="6"/>
        <v>0</v>
      </c>
    </row>
    <row r="199" spans="1:223" x14ac:dyDescent="0.25">
      <c r="A199" s="127">
        <v>44375</v>
      </c>
      <c r="B199" s="23" t="s">
        <v>15</v>
      </c>
      <c r="C199" s="21">
        <f t="shared" si="6"/>
        <v>-447.55</v>
      </c>
      <c r="BG199" s="42">
        <v>-34.700000000000003</v>
      </c>
      <c r="BS199" s="42">
        <v>-35.1</v>
      </c>
      <c r="BY199" s="42">
        <v>-68.7</v>
      </c>
      <c r="CE199" s="42">
        <v>-33.76</v>
      </c>
      <c r="CK199" s="42">
        <v>-34.200000000000003</v>
      </c>
      <c r="CQ199" s="42">
        <v>-103.21</v>
      </c>
      <c r="CX199" s="69">
        <v>-33.25</v>
      </c>
      <c r="DC199" s="42">
        <v>-104.63</v>
      </c>
    </row>
    <row r="200" spans="1:223" x14ac:dyDescent="0.25">
      <c r="A200" s="127">
        <v>44375</v>
      </c>
      <c r="B200" s="23" t="s">
        <v>42</v>
      </c>
      <c r="C200" s="21">
        <f t="shared" ref="C200:C263" si="7">SUM(I200:JT200)</f>
        <v>-280.245</v>
      </c>
      <c r="AV200" s="69">
        <v>-16.795000000000002</v>
      </c>
      <c r="BG200" s="42">
        <v>-17.23</v>
      </c>
      <c r="BS200" s="42">
        <v>-17.579999999999998</v>
      </c>
      <c r="BY200" s="42">
        <v>-51.47</v>
      </c>
      <c r="CE200" s="42">
        <v>-34.19</v>
      </c>
      <c r="CW200" s="42">
        <v>-8.61</v>
      </c>
      <c r="CX200" s="69">
        <f>-(8.28+8.225)</f>
        <v>-16.504999999999999</v>
      </c>
      <c r="DC200" s="42">
        <v>-52.22</v>
      </c>
      <c r="DJ200" s="69">
        <v>-33.524999999999999</v>
      </c>
      <c r="DO200" s="375">
        <v>-32.119999999999997</v>
      </c>
    </row>
    <row r="201" spans="1:223" x14ac:dyDescent="0.25">
      <c r="A201" s="127">
        <v>44375</v>
      </c>
      <c r="B201" s="23" t="s">
        <v>67</v>
      </c>
      <c r="C201" s="21">
        <f t="shared" si="7"/>
        <v>-376.14</v>
      </c>
      <c r="BS201" s="42">
        <v>-35.130000000000003</v>
      </c>
      <c r="BY201" s="42">
        <v>-51.27</v>
      </c>
      <c r="CE201" s="42">
        <v>-50.86</v>
      </c>
      <c r="CK201" s="42">
        <v>-34.32</v>
      </c>
      <c r="CQ201" s="42">
        <v>-34.79</v>
      </c>
      <c r="CX201" s="69">
        <v>-33.159999999999997</v>
      </c>
      <c r="DC201" s="42">
        <v>-34.21</v>
      </c>
      <c r="DJ201" s="69">
        <v>-33.645000000000003</v>
      </c>
      <c r="DO201" s="375">
        <v>-34.295000000000002</v>
      </c>
      <c r="DS201" s="42">
        <v>-34.46</v>
      </c>
    </row>
    <row r="202" spans="1:223" x14ac:dyDescent="0.25">
      <c r="A202" s="127">
        <v>44375</v>
      </c>
      <c r="B202" s="23" t="s">
        <v>37</v>
      </c>
      <c r="C202" s="21">
        <f t="shared" si="7"/>
        <v>-130.18</v>
      </c>
      <c r="HK202" s="50">
        <v>-64.150000000000006</v>
      </c>
      <c r="HL202" s="42">
        <v>-66.03</v>
      </c>
    </row>
    <row r="203" spans="1:223" x14ac:dyDescent="0.25">
      <c r="A203" s="127">
        <v>44375</v>
      </c>
      <c r="B203" s="23" t="s">
        <v>42</v>
      </c>
      <c r="C203" s="21">
        <f t="shared" si="7"/>
        <v>-68.92</v>
      </c>
      <c r="DS203" s="42">
        <v>-68.92</v>
      </c>
    </row>
    <row r="204" spans="1:223" x14ac:dyDescent="0.25">
      <c r="A204" s="127">
        <v>44376</v>
      </c>
      <c r="B204" s="23" t="s">
        <v>57</v>
      </c>
      <c r="C204" s="21">
        <f t="shared" si="7"/>
        <v>-41.975000000000001</v>
      </c>
      <c r="EF204" s="69">
        <v>-33.765000000000001</v>
      </c>
      <c r="EJ204" s="42">
        <v>-8.2100000000000009</v>
      </c>
    </row>
    <row r="205" spans="1:223" x14ac:dyDescent="0.25">
      <c r="A205" s="127">
        <v>44376</v>
      </c>
      <c r="B205" s="23" t="s">
        <v>33</v>
      </c>
      <c r="C205" s="21">
        <f t="shared" si="7"/>
        <v>-8.5350000000000001</v>
      </c>
      <c r="BH205" s="69">
        <v>-8.5350000000000001</v>
      </c>
    </row>
    <row r="206" spans="1:223" x14ac:dyDescent="0.25">
      <c r="A206" s="127">
        <v>44376</v>
      </c>
      <c r="B206" s="23" t="s">
        <v>25</v>
      </c>
      <c r="C206" s="21">
        <f t="shared" si="7"/>
        <v>-33.770000000000003</v>
      </c>
      <c r="BG206" s="42">
        <v>-8.67</v>
      </c>
      <c r="BS206" s="42">
        <v>-16.36</v>
      </c>
      <c r="BY206" s="42">
        <v>-8.74</v>
      </c>
    </row>
    <row r="207" spans="1:223" x14ac:dyDescent="0.25">
      <c r="A207" s="127">
        <v>44376</v>
      </c>
      <c r="B207" s="23" t="s">
        <v>27</v>
      </c>
      <c r="C207" s="21">
        <f t="shared" si="7"/>
        <v>-17.32</v>
      </c>
      <c r="BX207" s="182">
        <v>-8.7100000000000009</v>
      </c>
      <c r="CJ207" s="182">
        <v>-8.61</v>
      </c>
    </row>
    <row r="208" spans="1:223" x14ac:dyDescent="0.25">
      <c r="A208" s="127">
        <v>44376</v>
      </c>
      <c r="B208" s="23" t="s">
        <v>26</v>
      </c>
      <c r="C208" s="21">
        <f t="shared" si="7"/>
        <v>-33.784999999999997</v>
      </c>
      <c r="AP208" s="42">
        <v>-8.15</v>
      </c>
      <c r="BT208" s="69">
        <v>-8.4250000000000007</v>
      </c>
      <c r="BY208" s="42">
        <v>-8.69</v>
      </c>
      <c r="CE208" s="42">
        <v>-8.52</v>
      </c>
    </row>
    <row r="209" spans="1:242" x14ac:dyDescent="0.25">
      <c r="A209" s="127">
        <v>44376</v>
      </c>
      <c r="B209" s="23" t="s">
        <v>29</v>
      </c>
      <c r="C209" s="21">
        <f t="shared" si="7"/>
        <v>-24.855</v>
      </c>
      <c r="AV209" s="69">
        <v>-8.3849999999999998</v>
      </c>
      <c r="BR209" s="182">
        <v>-8.1199999999999992</v>
      </c>
      <c r="BS209" s="42">
        <v>-8.35</v>
      </c>
    </row>
    <row r="210" spans="1:242" x14ac:dyDescent="0.25">
      <c r="A210" s="127">
        <v>44376</v>
      </c>
      <c r="B210" s="23" t="s">
        <v>32</v>
      </c>
      <c r="C210" s="21">
        <f t="shared" si="7"/>
        <v>-96.87</v>
      </c>
      <c r="Y210" s="69">
        <v>-8.6050000000000004</v>
      </c>
      <c r="AP210" s="42">
        <v>-32.659999999999997</v>
      </c>
      <c r="BY210" s="42">
        <v>-34.56</v>
      </c>
      <c r="GE210" s="88">
        <v>-21.045000000000002</v>
      </c>
    </row>
    <row r="211" spans="1:242" x14ac:dyDescent="0.25">
      <c r="A211" s="127">
        <v>44376</v>
      </c>
      <c r="B211" s="23" t="s">
        <v>38</v>
      </c>
      <c r="C211" s="21">
        <f t="shared" si="7"/>
        <v>-34.6</v>
      </c>
      <c r="GP211" s="42">
        <v>-34.6</v>
      </c>
    </row>
    <row r="212" spans="1:242" x14ac:dyDescent="0.25">
      <c r="A212" s="127">
        <v>44376</v>
      </c>
      <c r="B212" s="23" t="s">
        <v>18</v>
      </c>
      <c r="C212" s="21">
        <f t="shared" si="7"/>
        <v>-67.78</v>
      </c>
      <c r="DS212" s="42">
        <v>-34.81</v>
      </c>
      <c r="DZ212" s="69">
        <v>-32.97</v>
      </c>
    </row>
    <row r="213" spans="1:242" x14ac:dyDescent="0.25">
      <c r="A213" s="127">
        <v>44377</v>
      </c>
      <c r="B213" s="23" t="s">
        <v>18</v>
      </c>
      <c r="C213" s="21">
        <f t="shared" si="7"/>
        <v>-815.53499999999997</v>
      </c>
      <c r="AM213" s="69">
        <v>-34.375</v>
      </c>
      <c r="AP213" s="42">
        <v>-32.729999999999997</v>
      </c>
      <c r="AV213" s="69">
        <v>-67.055000000000007</v>
      </c>
      <c r="BH213" s="69">
        <v>-101.55500000000001</v>
      </c>
      <c r="BS213" s="42">
        <v>-35.130000000000003</v>
      </c>
      <c r="BZ213" s="69">
        <v>-66.504999999999995</v>
      </c>
      <c r="CE213" s="42">
        <v>-68.489999999999995</v>
      </c>
      <c r="CK213" s="42">
        <v>-72.040000000000006</v>
      </c>
      <c r="CQ213" s="42">
        <v>-69.400000000000006</v>
      </c>
      <c r="CX213" s="69">
        <v>-66.465000000000003</v>
      </c>
      <c r="DC213" s="42">
        <v>-68.73</v>
      </c>
      <c r="DJ213" s="69">
        <v>-66.885000000000005</v>
      </c>
      <c r="DO213" s="375">
        <v>-33.35</v>
      </c>
      <c r="DZ213" s="69">
        <v>-32.825000000000003</v>
      </c>
    </row>
    <row r="214" spans="1:242" x14ac:dyDescent="0.25">
      <c r="A214" s="127">
        <v>44377</v>
      </c>
      <c r="B214" s="23" t="s">
        <v>65</v>
      </c>
      <c r="C214" s="21">
        <f t="shared" si="7"/>
        <v>-17.100000000000001</v>
      </c>
      <c r="AM214" s="69">
        <v>-17.100000000000001</v>
      </c>
    </row>
    <row r="215" spans="1:242" x14ac:dyDescent="0.25">
      <c r="A215" s="127">
        <v>44377</v>
      </c>
      <c r="B215" s="23" t="s">
        <v>15</v>
      </c>
      <c r="C215" s="21">
        <f t="shared" si="7"/>
        <v>-170.38</v>
      </c>
      <c r="AV215" s="69">
        <v>-33.549999999999997</v>
      </c>
      <c r="BG215" s="42">
        <v>-34.26</v>
      </c>
      <c r="CE215" s="42">
        <f>-(34.17+34.06)</f>
        <v>-68.23</v>
      </c>
      <c r="DC215" s="42">
        <v>-34.340000000000003</v>
      </c>
    </row>
    <row r="216" spans="1:242" x14ac:dyDescent="0.25">
      <c r="A216" s="127">
        <v>44377</v>
      </c>
      <c r="B216" s="23" t="s">
        <v>54</v>
      </c>
      <c r="C216" s="21">
        <f t="shared" si="7"/>
        <v>-343.57</v>
      </c>
      <c r="AV216" s="69">
        <v>-34.094999999999999</v>
      </c>
      <c r="BG216" s="42">
        <v>-68.2</v>
      </c>
      <c r="BY216" s="42">
        <v>-68.62</v>
      </c>
      <c r="CK216" s="42">
        <v>-104.18</v>
      </c>
      <c r="DC216" s="42">
        <v>-34.56</v>
      </c>
      <c r="EF216" s="69">
        <v>-33.914999999999999</v>
      </c>
    </row>
    <row r="217" spans="1:242" x14ac:dyDescent="0.25">
      <c r="A217" s="127">
        <v>44377</v>
      </c>
      <c r="B217" s="23" t="s">
        <v>15</v>
      </c>
      <c r="C217" s="21">
        <f t="shared" si="7"/>
        <v>-168.51</v>
      </c>
      <c r="BF217" s="182">
        <v>-34.25</v>
      </c>
      <c r="BH217" s="69">
        <v>-34.119999999999997</v>
      </c>
      <c r="BR217" s="182">
        <v>-32.14</v>
      </c>
      <c r="BX217" s="182">
        <v>-68</v>
      </c>
    </row>
    <row r="218" spans="1:242" x14ac:dyDescent="0.25">
      <c r="A218" s="127">
        <v>44377</v>
      </c>
      <c r="B218" s="23" t="s">
        <v>20</v>
      </c>
      <c r="C218" s="21">
        <f t="shared" si="7"/>
        <v>-74.055000000000007</v>
      </c>
      <c r="U218" s="69">
        <v>-8.56</v>
      </c>
      <c r="AS218" s="121">
        <v>-6.36</v>
      </c>
      <c r="AU218" s="42">
        <v>-8.0399999999999991</v>
      </c>
      <c r="BH218" s="69">
        <v>-8.5399999999999991</v>
      </c>
      <c r="BR218" s="182">
        <v>-7.64</v>
      </c>
      <c r="BY218" s="42">
        <v>-8.74</v>
      </c>
      <c r="DO218" s="375">
        <v>-17.204999999999998</v>
      </c>
      <c r="DS218" s="42">
        <v>-8.9700000000000006</v>
      </c>
    </row>
    <row r="219" spans="1:242" x14ac:dyDescent="0.25">
      <c r="A219" s="127">
        <v>44377</v>
      </c>
      <c r="B219" s="23" t="s">
        <v>41</v>
      </c>
      <c r="C219" s="21">
        <f t="shared" si="7"/>
        <v>-17.21</v>
      </c>
      <c r="BR219" s="182">
        <v>-17.21</v>
      </c>
    </row>
    <row r="220" spans="1:242" x14ac:dyDescent="0.25">
      <c r="A220" s="127">
        <v>44377</v>
      </c>
      <c r="B220" s="23" t="s">
        <v>59</v>
      </c>
      <c r="C220" s="21">
        <f t="shared" si="7"/>
        <v>-8.74</v>
      </c>
      <c r="CK220" s="42">
        <v>-8.74</v>
      </c>
    </row>
    <row r="221" spans="1:242" x14ac:dyDescent="0.25">
      <c r="A221" s="127">
        <v>44377</v>
      </c>
      <c r="B221" s="23" t="s">
        <v>17</v>
      </c>
      <c r="C221" s="21">
        <f t="shared" si="7"/>
        <v>-103.62</v>
      </c>
      <c r="BY221" s="42">
        <v>-68.78</v>
      </c>
      <c r="CQ221" s="42">
        <v>-34.840000000000003</v>
      </c>
    </row>
    <row r="222" spans="1:242" x14ac:dyDescent="0.25">
      <c r="A222" s="127">
        <v>44377</v>
      </c>
      <c r="B222" s="23" t="s">
        <v>12</v>
      </c>
      <c r="C222" s="21">
        <f t="shared" si="7"/>
        <v>-99.8</v>
      </c>
      <c r="K222" s="42">
        <v>-99.8</v>
      </c>
    </row>
    <row r="223" spans="1:242" x14ac:dyDescent="0.25">
      <c r="A223" s="127">
        <v>44377</v>
      </c>
      <c r="B223" s="23" t="s">
        <v>14</v>
      </c>
      <c r="C223" s="21">
        <f t="shared" si="7"/>
        <v>-265.19499999999999</v>
      </c>
      <c r="AM223" s="69">
        <v>-17.11</v>
      </c>
      <c r="AS223" s="121">
        <v>-12.6</v>
      </c>
      <c r="AV223" s="69">
        <v>-134.01499999999999</v>
      </c>
      <c r="BG223" s="42">
        <v>-34.54</v>
      </c>
      <c r="BS223" s="42">
        <v>-32.56</v>
      </c>
      <c r="BY223" s="42">
        <v>-34.369999999999997</v>
      </c>
    </row>
    <row r="224" spans="1:242" x14ac:dyDescent="0.25">
      <c r="A224" s="127">
        <v>44377</v>
      </c>
      <c r="B224" s="23" t="s">
        <v>2</v>
      </c>
      <c r="C224" s="21">
        <f t="shared" si="7"/>
        <v>1030.8900000000001</v>
      </c>
      <c r="HZ224" s="42">
        <v>515.85</v>
      </c>
      <c r="IH224" s="34">
        <v>515.04</v>
      </c>
    </row>
    <row r="225" spans="1:236" x14ac:dyDescent="0.25">
      <c r="A225" s="127">
        <v>44377</v>
      </c>
      <c r="B225" s="23" t="s">
        <v>59</v>
      </c>
      <c r="C225" s="21">
        <f t="shared" si="7"/>
        <v>-16.84</v>
      </c>
      <c r="BY225" s="42">
        <v>-8.57</v>
      </c>
      <c r="CE225" s="42">
        <v>-8.27</v>
      </c>
    </row>
    <row r="226" spans="1:236" x14ac:dyDescent="0.25">
      <c r="A226" s="127">
        <v>44377</v>
      </c>
      <c r="B226" s="23" t="s">
        <v>45</v>
      </c>
      <c r="C226" s="21">
        <f t="shared" si="7"/>
        <v>-34.270000000000003</v>
      </c>
      <c r="AL226" s="42">
        <v>-8.64</v>
      </c>
      <c r="AT226" s="46">
        <v>-7.57</v>
      </c>
      <c r="BR226" s="182">
        <v>-9.1999999999999993</v>
      </c>
      <c r="BX226" s="182">
        <v>-8.86</v>
      </c>
    </row>
    <row r="227" spans="1:236" x14ac:dyDescent="0.25">
      <c r="A227" s="127">
        <v>44377</v>
      </c>
      <c r="B227" s="23" t="s">
        <v>24</v>
      </c>
      <c r="C227" s="21">
        <f t="shared" si="7"/>
        <v>-17.12</v>
      </c>
      <c r="BS227" s="42">
        <v>-8.49</v>
      </c>
      <c r="BY227" s="42">
        <v>-8.6300000000000008</v>
      </c>
    </row>
    <row r="228" spans="1:236" x14ac:dyDescent="0.25">
      <c r="A228" s="127">
        <v>44377</v>
      </c>
      <c r="B228" s="23" t="s">
        <v>15</v>
      </c>
      <c r="C228" s="21">
        <f t="shared" si="7"/>
        <v>-42.93</v>
      </c>
      <c r="FB228" s="69">
        <v>-21.515000000000001</v>
      </c>
      <c r="FF228" s="88">
        <v>-21.414999999999999</v>
      </c>
    </row>
    <row r="229" spans="1:236" x14ac:dyDescent="0.25">
      <c r="A229" s="127">
        <v>44377</v>
      </c>
      <c r="B229" s="23" t="s">
        <v>38</v>
      </c>
      <c r="C229" s="21">
        <f t="shared" si="7"/>
        <v>-35.090000000000003</v>
      </c>
      <c r="ES229" s="69">
        <v>-35.090000000000003</v>
      </c>
    </row>
    <row r="230" spans="1:236" x14ac:dyDescent="0.25">
      <c r="A230" s="127">
        <v>44377</v>
      </c>
      <c r="B230" s="23" t="s">
        <v>58</v>
      </c>
      <c r="C230" s="21">
        <f t="shared" si="7"/>
        <v>0</v>
      </c>
    </row>
    <row r="231" spans="1:236" x14ac:dyDescent="0.25">
      <c r="A231" s="127">
        <v>44377</v>
      </c>
      <c r="B231" s="23" t="s">
        <v>15</v>
      </c>
      <c r="C231" s="21">
        <f t="shared" si="7"/>
        <v>-33.56</v>
      </c>
      <c r="BX231" s="182">
        <v>-17.079999999999998</v>
      </c>
      <c r="CC231" s="126">
        <v>-16.48</v>
      </c>
    </row>
    <row r="232" spans="1:236" x14ac:dyDescent="0.25">
      <c r="A232" s="131">
        <v>44382</v>
      </c>
      <c r="B232" s="23" t="s">
        <v>2</v>
      </c>
      <c r="C232" s="21">
        <f t="shared" si="7"/>
        <v>287.72000000000003</v>
      </c>
      <c r="HE232" s="42">
        <v>287.72000000000003</v>
      </c>
    </row>
    <row r="233" spans="1:236" x14ac:dyDescent="0.25">
      <c r="A233" s="131">
        <v>44382</v>
      </c>
      <c r="B233" s="23" t="s">
        <v>45</v>
      </c>
      <c r="C233" s="21">
        <f t="shared" si="7"/>
        <v>-15.23</v>
      </c>
      <c r="DB233" s="115">
        <v>-15.23</v>
      </c>
    </row>
    <row r="234" spans="1:236" x14ac:dyDescent="0.25">
      <c r="A234" s="127">
        <v>44384</v>
      </c>
      <c r="B234" s="23" t="s">
        <v>44</v>
      </c>
      <c r="C234" s="21">
        <f t="shared" si="7"/>
        <v>-256.86</v>
      </c>
      <c r="GJ234" s="202">
        <v>-30.96</v>
      </c>
      <c r="GP234" s="42">
        <v>-72.400000000000006</v>
      </c>
      <c r="GV234" s="42">
        <v>-58.4</v>
      </c>
      <c r="HE234" s="42">
        <v>-31.26</v>
      </c>
      <c r="HQ234" s="42">
        <v>-6.84</v>
      </c>
      <c r="IB234" s="42">
        <v>-57</v>
      </c>
    </row>
    <row r="235" spans="1:236" x14ac:dyDescent="0.25">
      <c r="A235" s="127">
        <v>44384</v>
      </c>
      <c r="B235" s="23" t="s">
        <v>20</v>
      </c>
      <c r="C235" s="21">
        <f t="shared" si="7"/>
        <v>-80.22</v>
      </c>
      <c r="AB235" s="69">
        <v>-8.42</v>
      </c>
      <c r="GY235" s="42">
        <v>-71.8</v>
      </c>
    </row>
    <row r="236" spans="1:236" x14ac:dyDescent="0.25">
      <c r="A236" s="127">
        <v>44384</v>
      </c>
      <c r="B236" s="23" t="s">
        <v>41</v>
      </c>
      <c r="C236" s="21">
        <f t="shared" si="7"/>
        <v>-17.25</v>
      </c>
      <c r="BY236" s="42">
        <v>-17.25</v>
      </c>
    </row>
    <row r="237" spans="1:236" x14ac:dyDescent="0.25">
      <c r="A237" s="127">
        <v>44384</v>
      </c>
      <c r="B237" s="23" t="s">
        <v>32</v>
      </c>
      <c r="C237" s="21">
        <f t="shared" si="7"/>
        <v>-30.8</v>
      </c>
      <c r="HE237" s="42">
        <v>-30.8</v>
      </c>
    </row>
    <row r="238" spans="1:236" x14ac:dyDescent="0.25">
      <c r="A238" s="127">
        <v>44385</v>
      </c>
      <c r="B238" s="23" t="s">
        <v>19</v>
      </c>
      <c r="C238" s="21">
        <f t="shared" si="7"/>
        <v>396.38</v>
      </c>
      <c r="BF238" s="182">
        <v>96.4</v>
      </c>
      <c r="BL238" s="182">
        <v>104.71</v>
      </c>
      <c r="BR238" s="182">
        <v>95.59</v>
      </c>
      <c r="BX238" s="182">
        <v>99.68</v>
      </c>
    </row>
    <row r="239" spans="1:236" x14ac:dyDescent="0.25">
      <c r="A239" s="127">
        <v>44385</v>
      </c>
      <c r="B239" s="23" t="s">
        <v>12</v>
      </c>
      <c r="C239" s="21">
        <f t="shared" si="7"/>
        <v>0</v>
      </c>
    </row>
    <row r="240" spans="1:236" x14ac:dyDescent="0.25">
      <c r="A240" s="127">
        <v>44385</v>
      </c>
      <c r="B240" s="23" t="s">
        <v>2</v>
      </c>
      <c r="C240" s="21">
        <f t="shared" si="7"/>
        <v>1014.91</v>
      </c>
      <c r="GY240" s="42">
        <v>494.8</v>
      </c>
      <c r="HY240" s="38">
        <v>520.11</v>
      </c>
    </row>
    <row r="241" spans="1:241" x14ac:dyDescent="0.25">
      <c r="A241" s="127">
        <v>44385</v>
      </c>
      <c r="B241" s="23" t="s">
        <v>41</v>
      </c>
      <c r="C241" s="21">
        <f t="shared" si="7"/>
        <v>-16.3</v>
      </c>
      <c r="BX241" s="182">
        <v>-16.3</v>
      </c>
    </row>
    <row r="242" spans="1:241" x14ac:dyDescent="0.25">
      <c r="A242" s="127">
        <v>44385</v>
      </c>
      <c r="B242" s="23" t="s">
        <v>45</v>
      </c>
      <c r="C242" s="21">
        <f t="shared" si="7"/>
        <v>-16.12</v>
      </c>
      <c r="BF242" s="182">
        <v>-8</v>
      </c>
      <c r="BL242" s="182">
        <v>-8.1199999999999992</v>
      </c>
    </row>
    <row r="243" spans="1:241" x14ac:dyDescent="0.25">
      <c r="A243" s="127">
        <v>44386</v>
      </c>
      <c r="B243" s="23" t="s">
        <v>3</v>
      </c>
      <c r="C243" s="21">
        <f t="shared" si="7"/>
        <v>4059.82</v>
      </c>
      <c r="AB243" s="69">
        <v>505.80500000000001</v>
      </c>
      <c r="AQ243" s="69">
        <v>506.02499999999998</v>
      </c>
      <c r="CF243" s="69">
        <v>1019.525</v>
      </c>
      <c r="CL243" s="69">
        <v>1011.525</v>
      </c>
      <c r="CR243" s="69">
        <v>507.73</v>
      </c>
      <c r="DD243" s="69">
        <v>509.21</v>
      </c>
    </row>
    <row r="244" spans="1:241" x14ac:dyDescent="0.25">
      <c r="A244" s="127">
        <v>44386</v>
      </c>
      <c r="B244" s="23" t="s">
        <v>20</v>
      </c>
      <c r="C244" s="21">
        <f t="shared" si="7"/>
        <v>-59.75</v>
      </c>
      <c r="AL244" s="42">
        <v>-8.66</v>
      </c>
      <c r="BF244" s="182">
        <v>-7.98</v>
      </c>
      <c r="BG244" s="42">
        <v>-7.15</v>
      </c>
      <c r="BR244" s="182">
        <v>-9.7799999999999994</v>
      </c>
      <c r="BX244" s="182">
        <v>-8</v>
      </c>
      <c r="CC244" s="126">
        <v>-8.76</v>
      </c>
      <c r="CK244" s="42">
        <v>-9.42</v>
      </c>
    </row>
    <row r="245" spans="1:241" x14ac:dyDescent="0.25">
      <c r="A245" s="127">
        <v>44386</v>
      </c>
      <c r="B245" s="23" t="s">
        <v>27</v>
      </c>
      <c r="C245" s="21">
        <f t="shared" si="7"/>
        <v>-56.77</v>
      </c>
      <c r="BF245" s="182">
        <v>-8.06</v>
      </c>
      <c r="BL245" s="182">
        <v>-8.4700000000000006</v>
      </c>
      <c r="BX245" s="182">
        <v>-7.53</v>
      </c>
      <c r="CP245" s="182">
        <v>-16.2</v>
      </c>
      <c r="CV245" s="115">
        <v>-16.510000000000002</v>
      </c>
    </row>
    <row r="246" spans="1:241" x14ac:dyDescent="0.25">
      <c r="A246" s="127">
        <v>44386</v>
      </c>
      <c r="B246" s="23" t="s">
        <v>65</v>
      </c>
      <c r="C246" s="21">
        <f t="shared" si="7"/>
        <v>-17.07</v>
      </c>
      <c r="AM246" s="69">
        <v>-17.07</v>
      </c>
    </row>
    <row r="247" spans="1:241" x14ac:dyDescent="0.25">
      <c r="A247" s="127">
        <v>44389</v>
      </c>
      <c r="B247" s="23" t="s">
        <v>58</v>
      </c>
      <c r="C247" s="21">
        <f t="shared" si="7"/>
        <v>0</v>
      </c>
    </row>
    <row r="248" spans="1:241" x14ac:dyDescent="0.25">
      <c r="A248" s="127">
        <v>44389</v>
      </c>
      <c r="B248" s="23" t="s">
        <v>22</v>
      </c>
      <c r="C248" s="21">
        <f t="shared" si="7"/>
        <v>-135.9</v>
      </c>
      <c r="CF248" s="69">
        <v>-68.275000000000006</v>
      </c>
      <c r="CL248" s="69">
        <v>-67.625</v>
      </c>
    </row>
    <row r="249" spans="1:241" x14ac:dyDescent="0.25">
      <c r="A249" s="127">
        <v>44389</v>
      </c>
      <c r="B249" s="23" t="s">
        <v>54</v>
      </c>
      <c r="C249" s="21">
        <f t="shared" si="7"/>
        <v>-170.83</v>
      </c>
      <c r="CF249" s="69">
        <v>-137.29499999999999</v>
      </c>
      <c r="CL249" s="69">
        <v>-33.534999999999997</v>
      </c>
    </row>
    <row r="250" spans="1:241" x14ac:dyDescent="0.25">
      <c r="A250" s="127">
        <v>44389</v>
      </c>
      <c r="B250" s="23" t="s">
        <v>45</v>
      </c>
      <c r="C250" s="21">
        <f t="shared" si="7"/>
        <v>-34.090000000000003</v>
      </c>
      <c r="BL250" s="182">
        <v>-8.35</v>
      </c>
      <c r="BR250" s="182">
        <v>-8.85</v>
      </c>
      <c r="BX250" s="182">
        <v>-8.41</v>
      </c>
      <c r="CC250" s="126">
        <v>-8.48</v>
      </c>
    </row>
    <row r="251" spans="1:241" x14ac:dyDescent="0.25">
      <c r="A251" s="127">
        <v>44389</v>
      </c>
      <c r="B251" s="23" t="s">
        <v>2</v>
      </c>
      <c r="C251" s="21">
        <f t="shared" si="7"/>
        <v>766.23</v>
      </c>
      <c r="IB251" s="42">
        <v>255.02</v>
      </c>
      <c r="IG251" s="38">
        <v>511.21</v>
      </c>
    </row>
    <row r="252" spans="1:241" x14ac:dyDescent="0.25">
      <c r="A252" s="127">
        <v>44390</v>
      </c>
      <c r="B252" s="23" t="s">
        <v>41</v>
      </c>
      <c r="C252" s="21">
        <f t="shared" si="7"/>
        <v>-52.41</v>
      </c>
      <c r="BR252" s="182">
        <v>-9.5500000000000007</v>
      </c>
      <c r="DO252" s="375">
        <v>-17.03</v>
      </c>
      <c r="DS252" s="42">
        <v>-17.29</v>
      </c>
      <c r="DV252" s="121">
        <v>-8.5399999999999991</v>
      </c>
    </row>
    <row r="253" spans="1:241" x14ac:dyDescent="0.25">
      <c r="A253" s="127">
        <v>44390</v>
      </c>
      <c r="B253" s="23" t="s">
        <v>15</v>
      </c>
      <c r="C253" s="21">
        <f t="shared" si="7"/>
        <v>-16.739999999999998</v>
      </c>
      <c r="BF253" s="182">
        <v>-8.01</v>
      </c>
      <c r="BL253" s="182">
        <v>-8.73</v>
      </c>
    </row>
    <row r="254" spans="1:241" x14ac:dyDescent="0.25">
      <c r="A254" s="127">
        <v>44390</v>
      </c>
      <c r="B254" s="23" t="s">
        <v>15</v>
      </c>
      <c r="C254" s="21">
        <f t="shared" si="7"/>
        <v>-162.6</v>
      </c>
      <c r="CF254" s="69">
        <v>-68.44</v>
      </c>
      <c r="CL254" s="69">
        <v>-25.85</v>
      </c>
      <c r="CR254" s="69">
        <v>-68.31</v>
      </c>
    </row>
    <row r="255" spans="1:241" x14ac:dyDescent="0.25">
      <c r="A255" s="127">
        <v>44390</v>
      </c>
      <c r="B255" s="23" t="s">
        <v>26</v>
      </c>
      <c r="C255" s="21">
        <f t="shared" si="7"/>
        <v>-25.05</v>
      </c>
      <c r="AE255" s="42">
        <v>-8.65</v>
      </c>
      <c r="BF255" s="182">
        <v>-8.0299999999999994</v>
      </c>
      <c r="BX255" s="182">
        <v>-8.3699999999999992</v>
      </c>
    </row>
    <row r="256" spans="1:241" x14ac:dyDescent="0.25">
      <c r="A256" s="127">
        <v>44390</v>
      </c>
      <c r="B256" s="23" t="s">
        <v>28</v>
      </c>
      <c r="C256" s="21">
        <f t="shared" si="7"/>
        <v>-8.3450000000000006</v>
      </c>
      <c r="AB256" s="69">
        <v>-8.3450000000000006</v>
      </c>
    </row>
    <row r="257" spans="1:229" x14ac:dyDescent="0.25">
      <c r="A257" s="127">
        <v>44391</v>
      </c>
      <c r="B257" s="23" t="s">
        <v>18</v>
      </c>
      <c r="C257" s="21">
        <f t="shared" si="7"/>
        <v>-369.62</v>
      </c>
      <c r="CF257" s="69">
        <v>-102.33</v>
      </c>
      <c r="CL257" s="69">
        <v>-101.215</v>
      </c>
      <c r="CQ257" s="42">
        <v>-67.900000000000006</v>
      </c>
      <c r="DJ257" s="69">
        <v>-98.174999999999997</v>
      </c>
    </row>
    <row r="258" spans="1:229" x14ac:dyDescent="0.25">
      <c r="A258" s="127">
        <v>44392</v>
      </c>
      <c r="B258" s="23" t="s">
        <v>15</v>
      </c>
      <c r="C258" s="21">
        <f t="shared" si="7"/>
        <v>-34.68</v>
      </c>
      <c r="BF258" s="182">
        <v>-16.059999999999999</v>
      </c>
      <c r="BL258" s="182">
        <v>-9.83</v>
      </c>
      <c r="BR258" s="182">
        <v>-8.7899999999999991</v>
      </c>
    </row>
    <row r="259" spans="1:229" x14ac:dyDescent="0.25">
      <c r="A259" s="127">
        <v>44392</v>
      </c>
      <c r="B259" s="23" t="s">
        <v>40</v>
      </c>
      <c r="C259" s="21">
        <f t="shared" si="7"/>
        <v>-579.28</v>
      </c>
      <c r="HL259" s="42">
        <v>-287.04000000000002</v>
      </c>
      <c r="HU259" s="42">
        <v>-292.24</v>
      </c>
    </row>
    <row r="260" spans="1:229" x14ac:dyDescent="0.25">
      <c r="A260" s="127">
        <v>44393</v>
      </c>
      <c r="B260" s="23" t="s">
        <v>57</v>
      </c>
      <c r="C260" s="21">
        <f t="shared" si="7"/>
        <v>-66.540000000000006</v>
      </c>
      <c r="O260" s="375">
        <v>-8.61</v>
      </c>
      <c r="AQ260" s="69">
        <v>-8.52</v>
      </c>
      <c r="AV260" s="69">
        <v>-8.39</v>
      </c>
      <c r="BF260" s="182">
        <v>-8.07</v>
      </c>
      <c r="BL260" s="182">
        <v>-16.38</v>
      </c>
      <c r="BR260" s="182">
        <v>-7.94</v>
      </c>
      <c r="CK260" s="42">
        <v>-8.6300000000000008</v>
      </c>
    </row>
    <row r="261" spans="1:229" x14ac:dyDescent="0.25">
      <c r="A261" s="127">
        <v>44393</v>
      </c>
      <c r="B261" s="23" t="s">
        <v>38</v>
      </c>
      <c r="C261" s="21">
        <f t="shared" si="7"/>
        <v>-271.8</v>
      </c>
      <c r="AQ261" s="69">
        <v>-101.395</v>
      </c>
      <c r="CF261" s="69">
        <v>-102.625</v>
      </c>
      <c r="EO261" s="69">
        <v>-67.78</v>
      </c>
    </row>
    <row r="262" spans="1:229" x14ac:dyDescent="0.25">
      <c r="A262" s="127">
        <v>44403</v>
      </c>
      <c r="B262" s="23" t="s">
        <v>58</v>
      </c>
      <c r="C262" s="21">
        <f t="shared" si="7"/>
        <v>0</v>
      </c>
    </row>
    <row r="263" spans="1:229" x14ac:dyDescent="0.25">
      <c r="A263" s="127">
        <v>44403</v>
      </c>
      <c r="B263" s="23" t="s">
        <v>45</v>
      </c>
      <c r="C263" s="21">
        <f t="shared" si="7"/>
        <v>-16.079999999999998</v>
      </c>
      <c r="DB263" s="115">
        <v>-8.23</v>
      </c>
      <c r="DG263" s="126">
        <v>-7.85</v>
      </c>
    </row>
    <row r="264" spans="1:229" x14ac:dyDescent="0.25">
      <c r="A264" s="127">
        <v>44404</v>
      </c>
      <c r="B264" s="23" t="s">
        <v>68</v>
      </c>
      <c r="C264" s="21">
        <f t="shared" ref="C264:C327" si="8">SUM(I264:JT264)</f>
        <v>-134.77000000000001</v>
      </c>
      <c r="AF264" s="69">
        <v>-33.265000000000001</v>
      </c>
      <c r="AV264" s="69">
        <v>-33.284999999999997</v>
      </c>
      <c r="BF264" s="182">
        <v>-32.19</v>
      </c>
      <c r="BR264" s="182">
        <v>-36.03</v>
      </c>
    </row>
    <row r="265" spans="1:229" x14ac:dyDescent="0.25">
      <c r="A265" s="127">
        <v>44404</v>
      </c>
      <c r="B265" s="23" t="s">
        <v>23</v>
      </c>
      <c r="C265" s="21">
        <f t="shared" si="8"/>
        <v>-333.95499999999998</v>
      </c>
      <c r="FU265" s="88">
        <v>-333.95499999999998</v>
      </c>
    </row>
    <row r="266" spans="1:229" x14ac:dyDescent="0.25">
      <c r="A266" s="127">
        <v>44404</v>
      </c>
      <c r="B266" s="23" t="s">
        <v>15</v>
      </c>
      <c r="C266" s="21">
        <f t="shared" si="8"/>
        <v>-33.625</v>
      </c>
      <c r="CR266" s="69">
        <v>-16.96</v>
      </c>
      <c r="CX266" s="69">
        <v>-16.664999999999999</v>
      </c>
    </row>
    <row r="267" spans="1:229" x14ac:dyDescent="0.25">
      <c r="A267" s="127">
        <v>44404</v>
      </c>
      <c r="B267" s="23" t="s">
        <v>15</v>
      </c>
      <c r="C267" s="21">
        <f t="shared" si="8"/>
        <v>-33.51</v>
      </c>
      <c r="AV267" s="69">
        <v>-33.51</v>
      </c>
    </row>
    <row r="268" spans="1:229" x14ac:dyDescent="0.25">
      <c r="A268" s="127">
        <v>44404</v>
      </c>
      <c r="B268" s="23" t="s">
        <v>38</v>
      </c>
      <c r="C268" s="21">
        <f t="shared" si="8"/>
        <v>-74.614999999999995</v>
      </c>
      <c r="EW268" s="88">
        <v>-32.625</v>
      </c>
      <c r="FB268" s="69">
        <v>-41.99</v>
      </c>
    </row>
    <row r="269" spans="1:229" x14ac:dyDescent="0.25">
      <c r="A269" s="127">
        <v>44404</v>
      </c>
      <c r="B269" s="23" t="s">
        <v>29</v>
      </c>
      <c r="C269" s="21">
        <f t="shared" si="8"/>
        <v>-17.36</v>
      </c>
      <c r="BL269" s="182">
        <v>-8.81</v>
      </c>
      <c r="CC269" s="126">
        <v>-8.5500000000000007</v>
      </c>
    </row>
    <row r="270" spans="1:229" x14ac:dyDescent="0.25">
      <c r="A270" s="127">
        <v>44404</v>
      </c>
      <c r="B270" s="23" t="s">
        <v>32</v>
      </c>
      <c r="C270" s="21">
        <f t="shared" si="8"/>
        <v>29.86</v>
      </c>
      <c r="HE270" s="42">
        <v>29.86</v>
      </c>
    </row>
    <row r="271" spans="1:229" x14ac:dyDescent="0.25">
      <c r="A271" s="127">
        <v>44405</v>
      </c>
      <c r="B271" s="23" t="s">
        <v>13</v>
      </c>
      <c r="C271" s="21">
        <f t="shared" si="8"/>
        <v>-324.82</v>
      </c>
      <c r="AV271" s="69">
        <v>-33.615000000000002</v>
      </c>
      <c r="CF271" s="69">
        <v>-33.625</v>
      </c>
      <c r="CL271" s="69">
        <v>-67.099999999999994</v>
      </c>
      <c r="DD271" s="69">
        <v>-101.565</v>
      </c>
      <c r="FU271" s="88">
        <v>-88.915000000000006</v>
      </c>
    </row>
    <row r="272" spans="1:229" x14ac:dyDescent="0.25">
      <c r="A272" s="127">
        <v>44405</v>
      </c>
      <c r="B272" s="23" t="s">
        <v>15</v>
      </c>
      <c r="C272" s="21">
        <f t="shared" si="8"/>
        <v>-406.23500000000001</v>
      </c>
      <c r="U272" s="69">
        <v>-34.524999999999999</v>
      </c>
      <c r="AB272" s="69">
        <v>-33.814999999999998</v>
      </c>
      <c r="AE272" s="42">
        <v>-31.08</v>
      </c>
      <c r="AL272" s="42">
        <v>-34.340000000000003</v>
      </c>
      <c r="AQ272" s="69">
        <v>-32.4</v>
      </c>
      <c r="CF272" s="69">
        <v>-34.145000000000003</v>
      </c>
      <c r="CR272" s="69">
        <v>-68.040000000000006</v>
      </c>
      <c r="DJ272" s="69">
        <v>-68.599999999999994</v>
      </c>
      <c r="EJ272" s="42">
        <v>-69.290000000000006</v>
      </c>
    </row>
    <row r="273" spans="1:225" x14ac:dyDescent="0.25">
      <c r="A273" s="127">
        <v>44405</v>
      </c>
      <c r="B273" s="23" t="s">
        <v>12</v>
      </c>
      <c r="C273" s="21">
        <f t="shared" si="8"/>
        <v>-110.17</v>
      </c>
      <c r="EO273" s="69">
        <v>-67.295000000000002</v>
      </c>
      <c r="FR273" s="69">
        <v>-42.875</v>
      </c>
    </row>
    <row r="274" spans="1:225" x14ac:dyDescent="0.25">
      <c r="A274" s="127">
        <v>44405</v>
      </c>
      <c r="B274" s="23" t="s">
        <v>19</v>
      </c>
      <c r="C274" s="21">
        <f t="shared" si="8"/>
        <v>-598.59500000000003</v>
      </c>
      <c r="AQ274" s="69">
        <v>-67.09</v>
      </c>
      <c r="CF274" s="69">
        <v>-67.55</v>
      </c>
      <c r="CK274" s="42">
        <v>-43.82</v>
      </c>
      <c r="CL274" s="69">
        <v>-67.55</v>
      </c>
      <c r="CR274" s="69">
        <v>-102.07</v>
      </c>
      <c r="DD274" s="69">
        <v>-67.564999999999998</v>
      </c>
      <c r="EF274" s="69">
        <v>-33.914999999999999</v>
      </c>
      <c r="EO274" s="69">
        <v>-33.335000000000001</v>
      </c>
      <c r="HL274" s="42">
        <v>-63.68</v>
      </c>
      <c r="HQ274" s="42">
        <v>-52.02</v>
      </c>
    </row>
    <row r="275" spans="1:225" x14ac:dyDescent="0.25">
      <c r="A275" s="127">
        <v>44405</v>
      </c>
      <c r="B275" s="23" t="s">
        <v>69</v>
      </c>
      <c r="C275" s="21">
        <f t="shared" si="8"/>
        <v>-9.0500000000000007</v>
      </c>
      <c r="GY275" s="42">
        <v>-9.0500000000000007</v>
      </c>
    </row>
    <row r="276" spans="1:225" x14ac:dyDescent="0.25">
      <c r="A276" s="127">
        <v>44406</v>
      </c>
      <c r="B276" s="23" t="s">
        <v>65</v>
      </c>
      <c r="C276" s="21">
        <f t="shared" si="8"/>
        <v>-17.309999999999999</v>
      </c>
      <c r="AM276" s="69">
        <v>-17.309999999999999</v>
      </c>
    </row>
    <row r="277" spans="1:225" x14ac:dyDescent="0.25">
      <c r="A277" s="127">
        <v>44406</v>
      </c>
      <c r="B277" s="23" t="s">
        <v>13</v>
      </c>
      <c r="C277" s="21">
        <f t="shared" si="8"/>
        <v>-135.49</v>
      </c>
      <c r="CL277" s="69">
        <v>-68.03</v>
      </c>
      <c r="CR277" s="69">
        <v>-67.459999999999994</v>
      </c>
    </row>
    <row r="278" spans="1:225" x14ac:dyDescent="0.25">
      <c r="A278" s="127">
        <v>44406</v>
      </c>
      <c r="B278" s="23" t="s">
        <v>20</v>
      </c>
      <c r="C278" s="21">
        <f t="shared" si="8"/>
        <v>-8.2750000000000004</v>
      </c>
      <c r="CX278" s="69">
        <v>-8.2750000000000004</v>
      </c>
    </row>
    <row r="279" spans="1:225" x14ac:dyDescent="0.25">
      <c r="A279" s="127">
        <v>44406</v>
      </c>
      <c r="B279" s="23" t="s">
        <v>57</v>
      </c>
      <c r="C279" s="21">
        <f t="shared" si="8"/>
        <v>-16.739999999999998</v>
      </c>
      <c r="CC279" s="126">
        <v>-16.739999999999998</v>
      </c>
    </row>
    <row r="280" spans="1:225" x14ac:dyDescent="0.25">
      <c r="A280" s="127">
        <v>44406</v>
      </c>
      <c r="B280" s="23" t="s">
        <v>60</v>
      </c>
      <c r="C280" s="21">
        <f t="shared" si="8"/>
        <v>-236.88</v>
      </c>
      <c r="AB280" s="69">
        <v>-33.75</v>
      </c>
      <c r="AE280" s="42">
        <v>-32.909999999999997</v>
      </c>
      <c r="AL280" s="42">
        <v>-34.44</v>
      </c>
      <c r="CF280" s="69">
        <v>-68.474999999999994</v>
      </c>
      <c r="CL280" s="69">
        <v>-67.305000000000007</v>
      </c>
    </row>
    <row r="281" spans="1:225" x14ac:dyDescent="0.25">
      <c r="A281" s="127">
        <v>44406</v>
      </c>
      <c r="B281" s="23" t="s">
        <v>54</v>
      </c>
      <c r="C281" s="21">
        <f t="shared" si="8"/>
        <v>-68.67</v>
      </c>
      <c r="CF281" s="69">
        <v>-68.67</v>
      </c>
    </row>
    <row r="282" spans="1:225" x14ac:dyDescent="0.25">
      <c r="A282" s="127">
        <v>44406</v>
      </c>
      <c r="B282" s="23" t="s">
        <v>15</v>
      </c>
      <c r="C282" s="21">
        <f t="shared" si="8"/>
        <v>-172.76</v>
      </c>
      <c r="AZ282" s="182">
        <v>-16.95</v>
      </c>
      <c r="BL282" s="182">
        <v>-16.68</v>
      </c>
      <c r="BR282" s="182">
        <v>-14.65</v>
      </c>
      <c r="BX282" s="182">
        <v>-34.39</v>
      </c>
      <c r="CC282" s="126">
        <v>-17.22</v>
      </c>
      <c r="CX282" s="69">
        <v>-8.33</v>
      </c>
      <c r="DV282" s="121">
        <v>-23.84</v>
      </c>
      <c r="DW282" s="126">
        <v>-40.700000000000003</v>
      </c>
    </row>
    <row r="283" spans="1:225" x14ac:dyDescent="0.25">
      <c r="A283" s="127">
        <v>44407</v>
      </c>
      <c r="B283" s="23" t="s">
        <v>38</v>
      </c>
      <c r="C283" s="21">
        <f t="shared" si="8"/>
        <v>305.26499999999999</v>
      </c>
      <c r="AV283" s="69">
        <v>33.840000000000003</v>
      </c>
      <c r="BB283" s="69">
        <v>68.305000000000007</v>
      </c>
      <c r="BH283" s="69">
        <v>67.394999999999996</v>
      </c>
      <c r="BN283" s="69">
        <v>68.56</v>
      </c>
      <c r="BT283" s="69">
        <v>67.165000000000006</v>
      </c>
    </row>
    <row r="284" spans="1:225" x14ac:dyDescent="0.25">
      <c r="A284" s="127">
        <v>44407</v>
      </c>
      <c r="B284" s="30" t="s">
        <v>44</v>
      </c>
      <c r="C284" s="21">
        <f t="shared" si="8"/>
        <v>-305.66000000000003</v>
      </c>
      <c r="GJ284" s="202">
        <v>-30.15</v>
      </c>
      <c r="GP284" s="42">
        <v>-211.8</v>
      </c>
      <c r="HE284" s="42">
        <v>-63.71</v>
      </c>
    </row>
    <row r="285" spans="1:225" x14ac:dyDescent="0.25">
      <c r="A285" s="127">
        <v>44407</v>
      </c>
      <c r="B285" s="30" t="s">
        <v>13</v>
      </c>
      <c r="C285" s="21">
        <f t="shared" si="8"/>
        <v>-33.840000000000003</v>
      </c>
      <c r="AV285" s="69">
        <v>-33.840000000000003</v>
      </c>
    </row>
    <row r="286" spans="1:225" x14ac:dyDescent="0.25">
      <c r="A286" s="127">
        <v>44407</v>
      </c>
      <c r="B286" s="30" t="s">
        <v>15</v>
      </c>
      <c r="C286" s="21">
        <f t="shared" si="8"/>
        <v>-118.62</v>
      </c>
      <c r="BB286" s="69">
        <v>-34.145000000000003</v>
      </c>
      <c r="BH286" s="69">
        <v>-25.254999999999999</v>
      </c>
      <c r="BN286" s="69">
        <v>-25.695</v>
      </c>
      <c r="BT286" s="69">
        <v>-33.524999999999999</v>
      </c>
    </row>
    <row r="287" spans="1:225" x14ac:dyDescent="0.25">
      <c r="A287" s="127">
        <v>44407</v>
      </c>
      <c r="B287" s="30" t="s">
        <v>70</v>
      </c>
      <c r="C287" s="21">
        <f t="shared" si="8"/>
        <v>-33.950000000000003</v>
      </c>
      <c r="DO287" s="375">
        <v>-33.950000000000003</v>
      </c>
    </row>
    <row r="288" spans="1:225" x14ac:dyDescent="0.25">
      <c r="A288" s="127">
        <v>44407</v>
      </c>
      <c r="B288" s="30" t="s">
        <v>23</v>
      </c>
      <c r="C288" s="21">
        <f t="shared" si="8"/>
        <v>-90.9</v>
      </c>
      <c r="EN288" s="42">
        <v>-69.17</v>
      </c>
      <c r="FB288" s="69">
        <v>-21.73</v>
      </c>
    </row>
    <row r="289" spans="1:177" x14ac:dyDescent="0.25">
      <c r="A289" s="127">
        <v>44407</v>
      </c>
      <c r="B289" s="30" t="s">
        <v>27</v>
      </c>
      <c r="C289" s="21">
        <f t="shared" si="8"/>
        <v>-49.26</v>
      </c>
      <c r="AD289" s="115">
        <v>-8.24</v>
      </c>
      <c r="AT289" s="46">
        <v>-7.58</v>
      </c>
      <c r="AZ289" s="182">
        <v>-8.35</v>
      </c>
      <c r="BN289" s="69">
        <v>-8.52</v>
      </c>
      <c r="BX289" s="182">
        <v>-8.34</v>
      </c>
      <c r="CJ289" s="182">
        <v>-8.23</v>
      </c>
    </row>
    <row r="290" spans="1:177" x14ac:dyDescent="0.25">
      <c r="A290" s="127">
        <v>44407</v>
      </c>
      <c r="B290" s="30" t="s">
        <v>20</v>
      </c>
      <c r="C290" s="21">
        <f t="shared" si="8"/>
        <v>-42.25</v>
      </c>
      <c r="BN290" s="69">
        <v>-8.58</v>
      </c>
      <c r="BT290" s="69">
        <v>-8.39</v>
      </c>
      <c r="CC290" s="126">
        <v>-8.2899999999999991</v>
      </c>
      <c r="CF290" s="69">
        <v>-8.5</v>
      </c>
      <c r="CQ290" s="42">
        <v>-8.49</v>
      </c>
    </row>
    <row r="291" spans="1:177" x14ac:dyDescent="0.25">
      <c r="A291" s="127">
        <v>44407</v>
      </c>
      <c r="B291" s="23" t="s">
        <v>25</v>
      </c>
      <c r="C291" s="21">
        <f t="shared" si="8"/>
        <v>-59.244999999999997</v>
      </c>
      <c r="AZ291" s="182">
        <v>-8.42</v>
      </c>
      <c r="BB291" s="69">
        <v>-8.5350000000000001</v>
      </c>
      <c r="BH291" s="69">
        <v>-8.4149999999999991</v>
      </c>
      <c r="BN291" s="69">
        <v>-8.59</v>
      </c>
      <c r="BT291" s="69">
        <v>-8.4149999999999991</v>
      </c>
      <c r="CC291" s="126">
        <v>-8.33</v>
      </c>
      <c r="CF291" s="69">
        <v>-8.5399999999999991</v>
      </c>
    </row>
    <row r="292" spans="1:177" x14ac:dyDescent="0.25">
      <c r="A292" s="127">
        <v>44407</v>
      </c>
      <c r="B292" s="23" t="s">
        <v>18</v>
      </c>
      <c r="C292" s="21">
        <f t="shared" si="8"/>
        <v>-541.29</v>
      </c>
      <c r="AM292" s="69">
        <v>-34.5</v>
      </c>
      <c r="AQ292" s="69">
        <v>-33.72</v>
      </c>
      <c r="CF292" s="69">
        <v>-133.98500000000001</v>
      </c>
      <c r="CL292" s="69">
        <v>-135.46</v>
      </c>
      <c r="CR292" s="69">
        <v>-34.015000000000001</v>
      </c>
      <c r="DD292" s="69">
        <v>-67.959999999999994</v>
      </c>
      <c r="EF292" s="69">
        <v>-33.984999999999999</v>
      </c>
      <c r="EO292" s="69">
        <v>-67.665000000000006</v>
      </c>
    </row>
    <row r="293" spans="1:177" x14ac:dyDescent="0.25">
      <c r="A293" s="127">
        <v>44408</v>
      </c>
      <c r="B293" s="23" t="s">
        <v>3</v>
      </c>
      <c r="C293" s="21">
        <f t="shared" si="8"/>
        <v>5774.1850000000004</v>
      </c>
      <c r="AQ293" s="69">
        <v>507.09500000000003</v>
      </c>
      <c r="AV293" s="69">
        <v>508.15</v>
      </c>
      <c r="BB293" s="69">
        <v>510.70499999999998</v>
      </c>
      <c r="BH293" s="69">
        <v>502.09</v>
      </c>
      <c r="BN293" s="69">
        <v>513.72500000000002</v>
      </c>
      <c r="BT293" s="69">
        <v>509.7</v>
      </c>
      <c r="BZ293" s="69">
        <v>510.82499999999999</v>
      </c>
      <c r="CX293" s="69">
        <v>505.565</v>
      </c>
      <c r="DO293" s="375">
        <v>391.15499999999997</v>
      </c>
      <c r="DZ293" s="69">
        <v>790.30499999999995</v>
      </c>
      <c r="FU293" s="88">
        <v>524.87</v>
      </c>
    </row>
    <row r="294" spans="1:177" x14ac:dyDescent="0.25">
      <c r="A294" s="127">
        <v>44408</v>
      </c>
      <c r="B294" s="23" t="s">
        <v>60</v>
      </c>
      <c r="C294" s="21">
        <f t="shared" si="8"/>
        <v>-540.83500000000004</v>
      </c>
      <c r="AQ294" s="69">
        <v>-135.13</v>
      </c>
      <c r="AV294" s="69">
        <v>-67.875</v>
      </c>
      <c r="BB294" s="69">
        <v>-67.94</v>
      </c>
      <c r="BH294" s="69">
        <v>-65.73</v>
      </c>
      <c r="BN294" s="69">
        <v>-68.575000000000003</v>
      </c>
      <c r="BT294" s="69">
        <v>-67.394999999999996</v>
      </c>
      <c r="BZ294" s="69">
        <v>-68.19</v>
      </c>
    </row>
    <row r="295" spans="1:177" x14ac:dyDescent="0.25">
      <c r="A295" s="127">
        <v>44408</v>
      </c>
      <c r="B295" s="23" t="s">
        <v>54</v>
      </c>
      <c r="C295" s="21">
        <f t="shared" si="8"/>
        <v>-204.655</v>
      </c>
      <c r="BN295" s="69">
        <v>-68.42</v>
      </c>
      <c r="BT295" s="69">
        <v>-68</v>
      </c>
      <c r="BZ295" s="69">
        <v>-68.234999999999999</v>
      </c>
    </row>
    <row r="296" spans="1:177" x14ac:dyDescent="0.25">
      <c r="A296" s="127">
        <v>44408</v>
      </c>
      <c r="B296" s="23" t="s">
        <v>15</v>
      </c>
      <c r="C296" s="21">
        <f t="shared" si="8"/>
        <v>-408.65</v>
      </c>
      <c r="AQ296" s="69">
        <v>-33.805</v>
      </c>
      <c r="AV296" s="69">
        <v>-33.945</v>
      </c>
      <c r="BB296" s="69">
        <v>-34.104999999999997</v>
      </c>
      <c r="BH296" s="69">
        <v>-33.625</v>
      </c>
      <c r="BN296" s="69">
        <v>-34.305</v>
      </c>
      <c r="BT296" s="69">
        <v>-33.94</v>
      </c>
      <c r="BZ296" s="69">
        <v>-68.204999999999998</v>
      </c>
      <c r="CK296" s="42">
        <v>-34.4</v>
      </c>
      <c r="CR296" s="69">
        <v>-33.96</v>
      </c>
      <c r="CX296" s="69">
        <v>-34.405000000000001</v>
      </c>
      <c r="DD296" s="69">
        <v>-33.954999999999998</v>
      </c>
    </row>
    <row r="297" spans="1:177" x14ac:dyDescent="0.25">
      <c r="A297" s="127">
        <v>44408</v>
      </c>
      <c r="B297" s="23" t="s">
        <v>13</v>
      </c>
      <c r="C297" s="21">
        <f t="shared" si="8"/>
        <v>-678.34500000000003</v>
      </c>
      <c r="AV297" s="69">
        <v>-237.09</v>
      </c>
      <c r="BB297" s="69">
        <v>-34.049999999999997</v>
      </c>
      <c r="BH297" s="69">
        <v>-67.144999999999996</v>
      </c>
      <c r="BN297" s="69">
        <v>-34.28</v>
      </c>
      <c r="BT297" s="69">
        <v>-34.005000000000003</v>
      </c>
      <c r="BZ297" s="69">
        <v>-67.8</v>
      </c>
      <c r="CL297" s="69">
        <v>-67.650000000000006</v>
      </c>
      <c r="CR297" s="69">
        <v>-33.905000000000001</v>
      </c>
      <c r="CX297" s="69">
        <v>-33.96</v>
      </c>
      <c r="DZ297" s="69">
        <v>-68.459999999999994</v>
      </c>
    </row>
    <row r="298" spans="1:177" x14ac:dyDescent="0.25">
      <c r="A298" s="127">
        <v>44408</v>
      </c>
      <c r="B298" s="23" t="s">
        <v>71</v>
      </c>
      <c r="C298" s="21">
        <f t="shared" si="8"/>
        <v>-111.24</v>
      </c>
      <c r="BB298" s="69">
        <v>-8.52</v>
      </c>
      <c r="BH298" s="69">
        <v>-16.795000000000002</v>
      </c>
      <c r="BN298" s="69">
        <v>-17.184999999999999</v>
      </c>
      <c r="BZ298" s="69">
        <v>-17.065000000000001</v>
      </c>
      <c r="CQ298" s="42">
        <v>-25.74</v>
      </c>
      <c r="CX298" s="69">
        <v>-25.934999999999999</v>
      </c>
    </row>
    <row r="299" spans="1:177" x14ac:dyDescent="0.25">
      <c r="A299" s="127">
        <v>44408</v>
      </c>
      <c r="B299" s="23" t="s">
        <v>68</v>
      </c>
      <c r="C299" s="21">
        <f t="shared" si="8"/>
        <v>-135.72999999999999</v>
      </c>
      <c r="AL299" s="42">
        <v>-33.68</v>
      </c>
      <c r="AQ299" s="69">
        <v>-33.865000000000002</v>
      </c>
      <c r="BB299" s="69">
        <v>-34.024999999999999</v>
      </c>
      <c r="BZ299" s="69">
        <v>-34.159999999999997</v>
      </c>
    </row>
    <row r="300" spans="1:177" x14ac:dyDescent="0.25">
      <c r="A300" s="127">
        <v>44408</v>
      </c>
      <c r="B300" s="23" t="s">
        <v>12</v>
      </c>
      <c r="C300" s="21">
        <f t="shared" si="8"/>
        <v>0</v>
      </c>
    </row>
    <row r="301" spans="1:177" x14ac:dyDescent="0.25">
      <c r="A301" s="127">
        <v>44408</v>
      </c>
      <c r="B301" s="23" t="s">
        <v>44</v>
      </c>
      <c r="C301" s="21">
        <f t="shared" si="8"/>
        <v>0</v>
      </c>
    </row>
    <row r="302" spans="1:177" x14ac:dyDescent="0.25">
      <c r="A302" s="127">
        <v>44408</v>
      </c>
      <c r="B302" s="23" t="s">
        <v>32</v>
      </c>
      <c r="C302" s="21">
        <f t="shared" si="8"/>
        <v>-16.940000000000001</v>
      </c>
      <c r="AQ302" s="69">
        <v>-16.940000000000001</v>
      </c>
    </row>
    <row r="303" spans="1:177" x14ac:dyDescent="0.25">
      <c r="A303" s="127">
        <v>44408</v>
      </c>
      <c r="B303" s="23" t="s">
        <v>27</v>
      </c>
      <c r="C303" s="21">
        <f t="shared" si="8"/>
        <v>-61.85</v>
      </c>
      <c r="EC303" s="126">
        <v>-18.09</v>
      </c>
      <c r="EE303" s="42">
        <v>-9.0500000000000007</v>
      </c>
      <c r="EF303" s="69">
        <v>-8.4700000000000006</v>
      </c>
      <c r="EJ303" s="42">
        <v>-26.24</v>
      </c>
    </row>
    <row r="304" spans="1:177" x14ac:dyDescent="0.25">
      <c r="A304" s="127">
        <v>44408</v>
      </c>
      <c r="B304" s="23" t="s">
        <v>26</v>
      </c>
      <c r="C304" s="21">
        <f t="shared" si="8"/>
        <v>-8.3450000000000006</v>
      </c>
      <c r="AQ304" s="69">
        <v>-8.3450000000000006</v>
      </c>
    </row>
    <row r="305" spans="1:223" x14ac:dyDescent="0.25">
      <c r="A305" s="127">
        <v>44408</v>
      </c>
      <c r="B305" s="23" t="s">
        <v>12</v>
      </c>
      <c r="C305" s="21">
        <f t="shared" si="8"/>
        <v>-106.52</v>
      </c>
      <c r="FR305" s="69">
        <v>-106.52</v>
      </c>
    </row>
    <row r="306" spans="1:223" x14ac:dyDescent="0.25">
      <c r="A306" s="127">
        <v>44408</v>
      </c>
      <c r="B306" s="23" t="s">
        <v>24</v>
      </c>
      <c r="C306" s="21">
        <f t="shared" si="8"/>
        <v>-16.795000000000002</v>
      </c>
      <c r="DJ306" s="69">
        <v>-16.795000000000002</v>
      </c>
    </row>
    <row r="307" spans="1:223" x14ac:dyDescent="0.25">
      <c r="A307" s="127">
        <v>44408</v>
      </c>
      <c r="B307" s="23" t="s">
        <v>20</v>
      </c>
      <c r="C307" s="21">
        <f t="shared" si="8"/>
        <v>-46.204999999999998</v>
      </c>
      <c r="Q307" s="163">
        <v>-3.73</v>
      </c>
      <c r="AL307" s="42">
        <v>-8.58</v>
      </c>
      <c r="AQ307" s="69">
        <v>-8.4649999999999999</v>
      </c>
      <c r="AV307" s="69">
        <v>-8.4949999999999992</v>
      </c>
      <c r="BB307" s="69">
        <v>-8.5350000000000001</v>
      </c>
      <c r="BH307" s="69">
        <v>-8.4</v>
      </c>
    </row>
    <row r="308" spans="1:223" x14ac:dyDescent="0.25">
      <c r="A308" s="127">
        <v>44408</v>
      </c>
      <c r="B308" s="23" t="s">
        <v>18</v>
      </c>
      <c r="C308" s="21">
        <f t="shared" si="8"/>
        <v>-202.10499999999999</v>
      </c>
      <c r="Y308" s="69">
        <v>-34.484999999999999</v>
      </c>
      <c r="AB308" s="69">
        <v>-33.755000000000003</v>
      </c>
      <c r="AF308" s="69">
        <v>-33.195</v>
      </c>
      <c r="AL308" s="42">
        <v>-33.08</v>
      </c>
      <c r="AV308" s="69">
        <v>-67.59</v>
      </c>
    </row>
    <row r="309" spans="1:223" x14ac:dyDescent="0.25">
      <c r="A309" s="127">
        <v>44412</v>
      </c>
      <c r="B309" s="23" t="s">
        <v>32</v>
      </c>
      <c r="C309" s="21">
        <f t="shared" si="8"/>
        <v>-304.245</v>
      </c>
      <c r="AQ309" s="69">
        <v>-33.78</v>
      </c>
      <c r="AV309" s="69">
        <v>-33.805</v>
      </c>
      <c r="BB309" s="69">
        <v>-34.045000000000002</v>
      </c>
      <c r="BN309" s="69">
        <v>-34.25</v>
      </c>
      <c r="BZ309" s="69">
        <v>-34.130000000000003</v>
      </c>
      <c r="CF309" s="69">
        <v>-34.22</v>
      </c>
      <c r="CL309" s="69">
        <v>-33.65</v>
      </c>
      <c r="CR309" s="69">
        <v>-32.33</v>
      </c>
      <c r="CX309" s="69">
        <v>-34.034999999999997</v>
      </c>
    </row>
    <row r="310" spans="1:223" x14ac:dyDescent="0.25">
      <c r="A310" s="127">
        <v>44412</v>
      </c>
      <c r="B310" s="23" t="s">
        <v>12</v>
      </c>
      <c r="C310" s="21">
        <f t="shared" si="8"/>
        <v>-129.41</v>
      </c>
      <c r="FQ310" s="42">
        <v>-22.35</v>
      </c>
      <c r="FR310" s="69">
        <v>-107.06</v>
      </c>
    </row>
    <row r="311" spans="1:223" x14ac:dyDescent="0.25">
      <c r="A311" s="127">
        <v>44412</v>
      </c>
      <c r="B311" s="23" t="s">
        <v>18</v>
      </c>
      <c r="C311" s="21">
        <f t="shared" si="8"/>
        <v>-951.71500000000003</v>
      </c>
      <c r="BB311" s="69">
        <v>-67.95</v>
      </c>
      <c r="BH311" s="69">
        <v>-100.74</v>
      </c>
      <c r="BN311" s="69">
        <v>-136.89500000000001</v>
      </c>
      <c r="BT311" s="69">
        <v>-169.97</v>
      </c>
      <c r="BZ311" s="69">
        <v>-101.72499999999999</v>
      </c>
      <c r="CF311" s="69">
        <v>-34.555</v>
      </c>
      <c r="CL311" s="69">
        <v>-67.680000000000007</v>
      </c>
      <c r="CR311" s="69">
        <v>-34.115000000000002</v>
      </c>
      <c r="CX311" s="69">
        <v>-68.16</v>
      </c>
      <c r="DD311" s="69">
        <v>-34.28</v>
      </c>
      <c r="DO311" s="375">
        <v>-33.85</v>
      </c>
      <c r="DZ311" s="69">
        <v>-34.450000000000003</v>
      </c>
      <c r="EO311" s="69">
        <v>-67.344999999999999</v>
      </c>
    </row>
    <row r="312" spans="1:223" x14ac:dyDescent="0.25">
      <c r="A312" s="127">
        <v>44412</v>
      </c>
      <c r="B312" s="23" t="s">
        <v>37</v>
      </c>
      <c r="C312" s="21">
        <f t="shared" si="8"/>
        <v>-128.03</v>
      </c>
      <c r="HK312" s="50">
        <v>-60.89</v>
      </c>
      <c r="HO312" s="42">
        <v>-67.14</v>
      </c>
    </row>
    <row r="313" spans="1:223" x14ac:dyDescent="0.25">
      <c r="A313" s="127">
        <v>44412</v>
      </c>
      <c r="B313" s="23" t="s">
        <v>19</v>
      </c>
      <c r="C313" s="21">
        <f t="shared" si="8"/>
        <v>-128.63999999999999</v>
      </c>
      <c r="HG313" s="42">
        <v>-94.2</v>
      </c>
      <c r="HL313" s="42">
        <v>-34.44</v>
      </c>
    </row>
    <row r="314" spans="1:223" x14ac:dyDescent="0.25">
      <c r="A314" s="127">
        <v>44413</v>
      </c>
      <c r="B314" s="23" t="s">
        <v>65</v>
      </c>
      <c r="C314" s="21">
        <f t="shared" si="8"/>
        <v>-16.95</v>
      </c>
      <c r="AV314" s="69">
        <v>-16.95</v>
      </c>
    </row>
    <row r="315" spans="1:223" x14ac:dyDescent="0.25">
      <c r="A315" s="127">
        <v>44413</v>
      </c>
      <c r="B315" s="23" t="s">
        <v>15</v>
      </c>
      <c r="C315" s="21">
        <f t="shared" si="8"/>
        <v>-236.505</v>
      </c>
      <c r="BB315" s="69">
        <v>-34.08</v>
      </c>
      <c r="BH315" s="69">
        <v>-33.619999999999997</v>
      </c>
      <c r="BN315" s="69">
        <v>-34.274999999999999</v>
      </c>
      <c r="BT315" s="69">
        <v>-33.979999999999997</v>
      </c>
      <c r="CL315" s="69">
        <v>-33.85</v>
      </c>
      <c r="CX315" s="69">
        <v>-32.4</v>
      </c>
      <c r="DC315" s="42">
        <v>-34.299999999999997</v>
      </c>
    </row>
    <row r="316" spans="1:223" x14ac:dyDescent="0.25">
      <c r="A316" s="127">
        <v>44413</v>
      </c>
      <c r="B316" s="23" t="s">
        <v>37</v>
      </c>
      <c r="C316" s="21">
        <f t="shared" si="8"/>
        <v>1.42</v>
      </c>
      <c r="GL316" s="42">
        <f>8.04+7.77+8.96+7.07</f>
        <v>31.84</v>
      </c>
      <c r="HG316" s="42">
        <f>7.8+8.35+7.86+7.74+31.7+31.54</f>
        <v>94.99</v>
      </c>
      <c r="HK316" s="50">
        <v>-63.5</v>
      </c>
      <c r="HO316" s="42">
        <v>-61.91</v>
      </c>
    </row>
    <row r="317" spans="1:223" x14ac:dyDescent="0.25">
      <c r="A317" s="127">
        <v>44413</v>
      </c>
      <c r="B317" s="23" t="s">
        <v>32</v>
      </c>
      <c r="C317" s="21">
        <f t="shared" si="8"/>
        <v>-52.77</v>
      </c>
      <c r="BB317" s="69">
        <v>-34.085000000000001</v>
      </c>
      <c r="BT317" s="69">
        <v>-50.734999999999999</v>
      </c>
      <c r="DI317" s="42">
        <v>32.049999999999997</v>
      </c>
    </row>
    <row r="318" spans="1:223" x14ac:dyDescent="0.25">
      <c r="A318" s="127">
        <v>44414</v>
      </c>
      <c r="B318" s="23" t="s">
        <v>45</v>
      </c>
      <c r="C318" s="21">
        <f t="shared" si="8"/>
        <v>-42.594999999999999</v>
      </c>
      <c r="BH318" s="69">
        <v>-8.4</v>
      </c>
      <c r="BN318" s="69">
        <v>-8.5649999999999995</v>
      </c>
      <c r="BX318" s="182">
        <v>-8.34</v>
      </c>
      <c r="CC318" s="126">
        <v>-8.39</v>
      </c>
      <c r="DG318" s="126">
        <v>-8.9</v>
      </c>
    </row>
    <row r="319" spans="1:223" x14ac:dyDescent="0.25">
      <c r="A319" s="127">
        <v>44414</v>
      </c>
      <c r="B319" s="23" t="s">
        <v>59</v>
      </c>
      <c r="C319" s="21">
        <f t="shared" si="8"/>
        <v>-124.73</v>
      </c>
      <c r="CJ319" s="182">
        <v>-16.8</v>
      </c>
      <c r="CV319" s="115">
        <v>-16.239999999999998</v>
      </c>
      <c r="DB319" s="115">
        <v>-17.23</v>
      </c>
      <c r="DG319" s="126">
        <v>-25.6</v>
      </c>
      <c r="DM319" s="46">
        <v>-16.510000000000002</v>
      </c>
      <c r="DR319" s="46">
        <v>-15.66</v>
      </c>
      <c r="EC319" s="126">
        <v>-16.690000000000001</v>
      </c>
    </row>
    <row r="320" spans="1:223" x14ac:dyDescent="0.25">
      <c r="A320" s="127">
        <v>44415</v>
      </c>
      <c r="B320" s="23" t="s">
        <v>72</v>
      </c>
      <c r="C320" s="21">
        <f t="shared" si="8"/>
        <v>-51.104999999999997</v>
      </c>
      <c r="BB320" s="69">
        <v>-8.57</v>
      </c>
      <c r="BH320" s="69">
        <v>-8.3849999999999998</v>
      </c>
      <c r="BN320" s="69">
        <v>-17.09</v>
      </c>
      <c r="BT320" s="69">
        <v>-8.5050000000000008</v>
      </c>
      <c r="BZ320" s="69">
        <v>-8.5549999999999997</v>
      </c>
    </row>
    <row r="321" spans="1:223" x14ac:dyDescent="0.25">
      <c r="A321" s="127">
        <v>44415</v>
      </c>
      <c r="B321" s="23" t="s">
        <v>23</v>
      </c>
      <c r="C321" s="21">
        <f t="shared" si="8"/>
        <v>0</v>
      </c>
    </row>
    <row r="322" spans="1:223" x14ac:dyDescent="0.25">
      <c r="A322" s="127">
        <v>44415</v>
      </c>
      <c r="B322" s="23" t="s">
        <v>59</v>
      </c>
      <c r="C322" s="21">
        <f t="shared" si="8"/>
        <v>-8.49</v>
      </c>
      <c r="CF322" s="69">
        <v>-8.49</v>
      </c>
    </row>
    <row r="323" spans="1:223" x14ac:dyDescent="0.25">
      <c r="A323" s="127">
        <v>44415</v>
      </c>
      <c r="B323" s="23" t="s">
        <v>72</v>
      </c>
      <c r="C323" s="21">
        <f t="shared" si="8"/>
        <v>-58.115000000000002</v>
      </c>
      <c r="DO323" s="375">
        <v>-58.115000000000002</v>
      </c>
    </row>
    <row r="324" spans="1:223" x14ac:dyDescent="0.25">
      <c r="A324" s="127">
        <v>44417</v>
      </c>
      <c r="B324" s="23" t="s">
        <v>20</v>
      </c>
      <c r="C324" s="21">
        <f t="shared" si="8"/>
        <v>-107.86499999999999</v>
      </c>
      <c r="Y324" s="69">
        <v>-8.61</v>
      </c>
      <c r="AE324" s="42">
        <v>-8.41</v>
      </c>
      <c r="BN324" s="69">
        <v>-8.58</v>
      </c>
      <c r="BT324" s="69">
        <v>-8.5050000000000008</v>
      </c>
      <c r="BZ324" s="69">
        <v>-8.56</v>
      </c>
      <c r="GY324" s="42">
        <v>-65.2</v>
      </c>
    </row>
    <row r="325" spans="1:223" x14ac:dyDescent="0.25">
      <c r="A325" s="127">
        <v>44417</v>
      </c>
      <c r="B325" s="23" t="s">
        <v>37</v>
      </c>
      <c r="C325" s="21">
        <f t="shared" si="8"/>
        <v>-77.849999999999994</v>
      </c>
      <c r="HO325" s="42">
        <v>-77.849999999999994</v>
      </c>
    </row>
    <row r="326" spans="1:223" x14ac:dyDescent="0.25">
      <c r="A326" s="127">
        <v>44417</v>
      </c>
      <c r="B326" s="23" t="s">
        <v>2</v>
      </c>
      <c r="C326" s="21">
        <f t="shared" si="8"/>
        <v>5619.12</v>
      </c>
      <c r="AP326" s="42">
        <v>500.61</v>
      </c>
      <c r="AU326" s="42">
        <v>491.38</v>
      </c>
      <c r="BA326" s="42">
        <v>492.46</v>
      </c>
      <c r="BG326" s="42">
        <v>506.71</v>
      </c>
      <c r="BM326" s="88">
        <v>515.87</v>
      </c>
      <c r="BS326" s="42">
        <v>516.41</v>
      </c>
      <c r="BY326" s="42">
        <v>513.71</v>
      </c>
      <c r="CE326" s="42">
        <v>519.72</v>
      </c>
      <c r="CK326" s="42">
        <v>523.13</v>
      </c>
      <c r="CQ326" s="42">
        <v>522.52</v>
      </c>
      <c r="CW326" s="42">
        <v>516.6</v>
      </c>
    </row>
    <row r="327" spans="1:223" x14ac:dyDescent="0.25">
      <c r="A327" s="127">
        <v>44418</v>
      </c>
      <c r="B327" s="23" t="s">
        <v>19</v>
      </c>
      <c r="C327" s="21">
        <f t="shared" si="8"/>
        <v>-543.45000000000005</v>
      </c>
      <c r="AL327" s="42">
        <v>-34.5</v>
      </c>
      <c r="AQ327" s="69">
        <v>-33.78</v>
      </c>
      <c r="CX327" s="69">
        <v>-132.35499999999999</v>
      </c>
      <c r="DZ327" s="69">
        <v>-342.815</v>
      </c>
    </row>
    <row r="328" spans="1:223" x14ac:dyDescent="0.25">
      <c r="A328" s="127">
        <v>44418</v>
      </c>
      <c r="B328" s="23" t="s">
        <v>13</v>
      </c>
      <c r="C328" s="21">
        <f t="shared" ref="C328:C391" si="9">SUM(I328:JT328)</f>
        <v>-537.80999999999995</v>
      </c>
      <c r="L328" s="69">
        <v>-8.42</v>
      </c>
      <c r="U328" s="69">
        <v>-8.5250000000000004</v>
      </c>
      <c r="AB328" s="69">
        <v>-16.824999999999999</v>
      </c>
      <c r="AL328" s="42">
        <v>-16.18</v>
      </c>
      <c r="BB328" s="69">
        <v>-34.1</v>
      </c>
      <c r="BN328" s="69">
        <v>-68.48</v>
      </c>
      <c r="BT328" s="69">
        <v>-33.945</v>
      </c>
      <c r="BZ328" s="69">
        <v>-34.200000000000003</v>
      </c>
      <c r="CF328" s="69">
        <v>-34.634999999999998</v>
      </c>
      <c r="CL328" s="69">
        <v>-67.349999999999994</v>
      </c>
      <c r="DD328" s="69">
        <v>-33.854999999999997</v>
      </c>
      <c r="DJ328" s="69">
        <v>-33.82</v>
      </c>
      <c r="DZ328" s="69">
        <v>-103.08499999999999</v>
      </c>
      <c r="FU328" s="88">
        <v>-44.39</v>
      </c>
    </row>
    <row r="329" spans="1:223" x14ac:dyDescent="0.25">
      <c r="A329" s="127">
        <v>44418</v>
      </c>
      <c r="B329" s="23" t="s">
        <v>12</v>
      </c>
      <c r="C329" s="21">
        <f t="shared" si="9"/>
        <v>-99.74</v>
      </c>
      <c r="O329" s="375">
        <v>-66.185000000000002</v>
      </c>
      <c r="BH329" s="69">
        <v>-33.555</v>
      </c>
    </row>
    <row r="330" spans="1:223" x14ac:dyDescent="0.25">
      <c r="A330" s="127">
        <v>44418</v>
      </c>
      <c r="B330" s="23" t="s">
        <v>68</v>
      </c>
      <c r="C330" s="21">
        <f t="shared" si="9"/>
        <v>-136.22999999999999</v>
      </c>
      <c r="Y330" s="69">
        <v>-34.47</v>
      </c>
      <c r="AB330" s="69">
        <v>-32.6</v>
      </c>
      <c r="BY330" s="42">
        <v>-33.880000000000003</v>
      </c>
      <c r="CQ330" s="42">
        <v>-35.28</v>
      </c>
    </row>
    <row r="331" spans="1:223" x14ac:dyDescent="0.25">
      <c r="A331" s="127">
        <v>44418</v>
      </c>
      <c r="B331" s="23" t="s">
        <v>15</v>
      </c>
      <c r="C331" s="21">
        <f t="shared" si="9"/>
        <v>-885.33</v>
      </c>
      <c r="AE331" s="42">
        <v>-33.770000000000003</v>
      </c>
      <c r="AL331" s="42">
        <v>-34.630000000000003</v>
      </c>
      <c r="AU331" s="42">
        <v>-33.72</v>
      </c>
      <c r="BA331" s="42">
        <v>-65.63</v>
      </c>
      <c r="BG331" s="42">
        <v>-134.9</v>
      </c>
      <c r="BM331" s="88">
        <v>-136</v>
      </c>
      <c r="BS331" s="42">
        <v>-138.24</v>
      </c>
      <c r="BY331" s="42">
        <v>-170.58</v>
      </c>
      <c r="CE331" s="42">
        <v>-137.86000000000001</v>
      </c>
    </row>
    <row r="332" spans="1:223" x14ac:dyDescent="0.25">
      <c r="A332" s="127">
        <v>44419</v>
      </c>
      <c r="B332" s="23" t="s">
        <v>18</v>
      </c>
      <c r="C332" s="21">
        <f t="shared" si="9"/>
        <v>-1029.71</v>
      </c>
      <c r="AQ332" s="69">
        <v>-33.884999999999998</v>
      </c>
      <c r="AV332" s="69">
        <v>-33.935000000000002</v>
      </c>
      <c r="BB332" s="69">
        <v>-34.094999999999999</v>
      </c>
      <c r="BH332" s="69">
        <v>-134.19</v>
      </c>
      <c r="BM332" s="88">
        <v>-102.92</v>
      </c>
      <c r="BS332" s="42">
        <v>-101.72</v>
      </c>
      <c r="BY332" s="42">
        <v>-68.92</v>
      </c>
      <c r="CE332" s="42">
        <v>-105.04</v>
      </c>
      <c r="CK332" s="42">
        <v>-35.700000000000003</v>
      </c>
      <c r="CL332" s="69">
        <v>-107.675</v>
      </c>
      <c r="CQ332" s="42">
        <v>-103.51</v>
      </c>
      <c r="CX332" s="69">
        <v>-101.755</v>
      </c>
      <c r="DO332" s="375">
        <v>-66.364999999999995</v>
      </c>
    </row>
    <row r="333" spans="1:223" x14ac:dyDescent="0.25">
      <c r="A333" s="127">
        <v>44419</v>
      </c>
      <c r="B333" s="23" t="s">
        <v>32</v>
      </c>
      <c r="C333" s="21">
        <f t="shared" si="9"/>
        <v>-135.51</v>
      </c>
      <c r="BA333" s="42">
        <v>-34.54</v>
      </c>
      <c r="BM333" s="88">
        <v>-34.049999999999997</v>
      </c>
      <c r="BS333" s="42">
        <v>-33.14</v>
      </c>
      <c r="BY333" s="42">
        <v>-33.78</v>
      </c>
    </row>
    <row r="334" spans="1:223" x14ac:dyDescent="0.25">
      <c r="A334" s="127">
        <v>44419</v>
      </c>
      <c r="B334" s="23" t="s">
        <v>32</v>
      </c>
      <c r="C334" s="21">
        <f t="shared" si="9"/>
        <v>-25.5</v>
      </c>
      <c r="BS334" s="42">
        <v>-8.5500000000000007</v>
      </c>
      <c r="BY334" s="42">
        <v>-16.95</v>
      </c>
    </row>
    <row r="335" spans="1:223" x14ac:dyDescent="0.25">
      <c r="A335" s="127">
        <v>44419</v>
      </c>
      <c r="B335" s="23" t="s">
        <v>27</v>
      </c>
      <c r="C335" s="21">
        <f t="shared" si="9"/>
        <v>-58.89</v>
      </c>
      <c r="AZ335" s="182">
        <v>-8.02</v>
      </c>
      <c r="BA335" s="42">
        <v>-7.45</v>
      </c>
      <c r="BL335" s="182">
        <v>-9.81</v>
      </c>
      <c r="BM335" s="88">
        <v>-8.64</v>
      </c>
      <c r="CC335" s="126">
        <v>-8.73</v>
      </c>
      <c r="CQ335" s="42">
        <v>-7.26</v>
      </c>
      <c r="DB335" s="115">
        <v>-8.98</v>
      </c>
    </row>
    <row r="336" spans="1:223" x14ac:dyDescent="0.25">
      <c r="A336" s="127">
        <v>44419</v>
      </c>
      <c r="B336" s="23" t="s">
        <v>25</v>
      </c>
      <c r="C336" s="21">
        <f t="shared" si="9"/>
        <v>-59.69</v>
      </c>
      <c r="Y336" s="69">
        <v>-8.61</v>
      </c>
      <c r="BH336" s="69">
        <v>-16.739999999999998</v>
      </c>
      <c r="BS336" s="42">
        <v>-17.27</v>
      </c>
      <c r="BY336" s="42">
        <v>-8.51</v>
      </c>
      <c r="CE336" s="42">
        <v>-8.56</v>
      </c>
    </row>
    <row r="337" spans="1:229" x14ac:dyDescent="0.25">
      <c r="A337" s="127">
        <v>44419</v>
      </c>
      <c r="B337" s="23" t="s">
        <v>45</v>
      </c>
      <c r="C337" s="21">
        <f t="shared" si="9"/>
        <v>-17.170000000000002</v>
      </c>
      <c r="CT337" s="121">
        <v>-7.85</v>
      </c>
      <c r="DB337" s="115">
        <v>-9.32</v>
      </c>
    </row>
    <row r="338" spans="1:229" x14ac:dyDescent="0.25">
      <c r="A338" s="127">
        <v>44419</v>
      </c>
      <c r="B338" s="23" t="s">
        <v>32</v>
      </c>
      <c r="C338" s="21">
        <f t="shared" si="9"/>
        <v>-3.63</v>
      </c>
      <c r="Q338" s="163">
        <v>-3.63</v>
      </c>
    </row>
    <row r="339" spans="1:229" x14ac:dyDescent="0.25">
      <c r="A339" s="127">
        <v>44419</v>
      </c>
      <c r="B339" s="23" t="s">
        <v>58</v>
      </c>
      <c r="C339" s="21">
        <f t="shared" si="9"/>
        <v>0</v>
      </c>
    </row>
    <row r="340" spans="1:229" x14ac:dyDescent="0.25">
      <c r="A340" s="127">
        <v>44420</v>
      </c>
      <c r="B340" s="23" t="s">
        <v>2</v>
      </c>
      <c r="C340" s="21">
        <f t="shared" si="9"/>
        <v>1554.03</v>
      </c>
      <c r="DN340" s="42">
        <v>522.20000000000005</v>
      </c>
      <c r="DS340" s="42">
        <v>516.11</v>
      </c>
      <c r="HS340" s="38">
        <v>515.72</v>
      </c>
    </row>
    <row r="341" spans="1:229" x14ac:dyDescent="0.25">
      <c r="A341" s="127">
        <v>44420</v>
      </c>
      <c r="B341" s="23" t="s">
        <v>32</v>
      </c>
      <c r="C341" s="21">
        <f t="shared" si="9"/>
        <v>-123.52</v>
      </c>
      <c r="Q341" s="163">
        <v>-3.4</v>
      </c>
      <c r="BA341" s="42">
        <v>-17.46</v>
      </c>
      <c r="BG341" s="42">
        <v>-33.770000000000003</v>
      </c>
      <c r="BS341" s="42">
        <v>-16.920000000000002</v>
      </c>
      <c r="BY341" s="42">
        <v>-34.04</v>
      </c>
      <c r="CE341" s="42">
        <v>-17.93</v>
      </c>
    </row>
    <row r="342" spans="1:229" x14ac:dyDescent="0.25">
      <c r="A342" s="127">
        <v>44420</v>
      </c>
      <c r="B342" s="23" t="s">
        <v>37</v>
      </c>
      <c r="C342" s="21">
        <f t="shared" si="9"/>
        <v>-62.34</v>
      </c>
      <c r="HK342" s="50">
        <v>-62.34</v>
      </c>
    </row>
    <row r="343" spans="1:229" x14ac:dyDescent="0.25">
      <c r="A343" s="127">
        <v>44420</v>
      </c>
      <c r="B343" s="23" t="s">
        <v>32</v>
      </c>
      <c r="C343" s="21">
        <f t="shared" si="9"/>
        <v>-34.5</v>
      </c>
      <c r="DZ343" s="69">
        <v>-34.5</v>
      </c>
    </row>
    <row r="344" spans="1:229" x14ac:dyDescent="0.25">
      <c r="A344" s="127">
        <v>44420</v>
      </c>
      <c r="B344" s="23" t="s">
        <v>15</v>
      </c>
      <c r="C344" s="21">
        <f t="shared" si="9"/>
        <v>-270.625</v>
      </c>
      <c r="AB344" s="69">
        <v>-33.384999999999998</v>
      </c>
      <c r="AU344" s="42">
        <v>-32.15</v>
      </c>
      <c r="BA344" s="42">
        <v>-33.14</v>
      </c>
      <c r="BG344" s="42">
        <v>-33.68</v>
      </c>
      <c r="BM344" s="88">
        <v>-34.83</v>
      </c>
      <c r="BS344" s="42">
        <v>-69.25</v>
      </c>
      <c r="BY344" s="42">
        <v>-34.19</v>
      </c>
    </row>
    <row r="345" spans="1:229" x14ac:dyDescent="0.25">
      <c r="A345" s="127">
        <v>44420</v>
      </c>
      <c r="B345" s="23" t="s">
        <v>19</v>
      </c>
      <c r="C345" s="21">
        <f t="shared" si="9"/>
        <v>-1244.07</v>
      </c>
      <c r="U345" s="69">
        <v>-28.93</v>
      </c>
      <c r="Y345" s="69">
        <v>-34.465000000000003</v>
      </c>
      <c r="AB345" s="69">
        <v>-33.72</v>
      </c>
      <c r="AE345" s="42">
        <v>-33.85</v>
      </c>
      <c r="AL345" s="42">
        <v>-68.5</v>
      </c>
      <c r="AP345" s="42">
        <v>-66.63</v>
      </c>
      <c r="AU345" s="42">
        <v>-100.33</v>
      </c>
      <c r="BA345" s="42">
        <v>-64.86</v>
      </c>
      <c r="BG345" s="42">
        <v>-68.290000000000006</v>
      </c>
      <c r="BM345" s="88">
        <v>-34.72</v>
      </c>
      <c r="BS345" s="42">
        <v>-34.28</v>
      </c>
      <c r="BY345" s="42">
        <v>-34.049999999999997</v>
      </c>
      <c r="CW345" s="42">
        <v>-69.37</v>
      </c>
      <c r="DC345" s="42">
        <v>-138.19</v>
      </c>
      <c r="DD345" s="69">
        <v>-102.02500000000001</v>
      </c>
      <c r="DI345" s="42">
        <v>-68.75</v>
      </c>
      <c r="ES345" s="69">
        <v>-66.36</v>
      </c>
      <c r="EW345" s="88">
        <v>-66.209999999999994</v>
      </c>
      <c r="HL345" s="42">
        <v>-65.53</v>
      </c>
      <c r="HU345" s="42">
        <v>-65.010000000000005</v>
      </c>
    </row>
    <row r="346" spans="1:229" x14ac:dyDescent="0.25">
      <c r="A346" s="127">
        <v>44420</v>
      </c>
      <c r="B346" s="23" t="s">
        <v>18</v>
      </c>
      <c r="C346" s="21">
        <f t="shared" si="9"/>
        <v>-621.69500000000005</v>
      </c>
      <c r="AQ346" s="69">
        <v>-33.880000000000003</v>
      </c>
      <c r="AU346" s="42">
        <v>-69.25</v>
      </c>
      <c r="BA346" s="42">
        <v>-32.67</v>
      </c>
      <c r="BB346" s="69">
        <v>-68.125</v>
      </c>
      <c r="BM346" s="88">
        <v>-69.39</v>
      </c>
      <c r="BS346" s="42">
        <v>-70.12</v>
      </c>
      <c r="BY346" s="42">
        <v>-34.08</v>
      </c>
      <c r="CE346" s="42">
        <v>-68.92</v>
      </c>
      <c r="CK346" s="42">
        <v>-36.979999999999997</v>
      </c>
      <c r="CQ346" s="42">
        <v>-35.61</v>
      </c>
      <c r="CW346" s="42">
        <v>-34.65</v>
      </c>
      <c r="DJ346" s="69">
        <v>-33.659999999999997</v>
      </c>
      <c r="DS346" s="42">
        <v>-34.36</v>
      </c>
    </row>
    <row r="347" spans="1:229" x14ac:dyDescent="0.25">
      <c r="A347" s="127">
        <v>44420</v>
      </c>
      <c r="B347" s="23" t="s">
        <v>47</v>
      </c>
      <c r="C347" s="21">
        <f t="shared" si="9"/>
        <v>-207.01499999999999</v>
      </c>
      <c r="AQ347" s="69">
        <v>-8.4649999999999999</v>
      </c>
      <c r="AU347" s="42">
        <v>-16.940000000000001</v>
      </c>
      <c r="BB347" s="69">
        <v>-25.574999999999999</v>
      </c>
      <c r="BG347" s="42">
        <v>-25.61</v>
      </c>
      <c r="BM347" s="88">
        <v>-25.84</v>
      </c>
      <c r="BS347" s="42">
        <v>-17.23</v>
      </c>
      <c r="BY347" s="42">
        <v>-18.21</v>
      </c>
      <c r="CK347" s="42">
        <v>-25.91</v>
      </c>
      <c r="CQ347" s="42">
        <v>-26.01</v>
      </c>
      <c r="DZ347" s="69">
        <v>-17.225000000000001</v>
      </c>
    </row>
    <row r="348" spans="1:229" x14ac:dyDescent="0.25">
      <c r="A348" s="127">
        <v>44420</v>
      </c>
      <c r="B348" s="23" t="s">
        <v>15</v>
      </c>
      <c r="C348" s="21">
        <f t="shared" si="9"/>
        <v>-120.79</v>
      </c>
      <c r="AP348" s="42">
        <v>-36</v>
      </c>
      <c r="AU348" s="42">
        <v>-33.93</v>
      </c>
      <c r="BG348" s="42">
        <v>-33.61</v>
      </c>
      <c r="CE348" s="42">
        <v>-17.25</v>
      </c>
    </row>
    <row r="349" spans="1:229" x14ac:dyDescent="0.25">
      <c r="A349" s="127">
        <v>44420</v>
      </c>
      <c r="B349" s="23" t="s">
        <v>73</v>
      </c>
      <c r="C349" s="21">
        <f t="shared" si="9"/>
        <v>-8.7899999999999991</v>
      </c>
      <c r="CQ349" s="42">
        <v>-8.7899999999999991</v>
      </c>
    </row>
    <row r="350" spans="1:229" x14ac:dyDescent="0.25">
      <c r="A350" s="127">
        <v>44422</v>
      </c>
      <c r="B350" s="23" t="s">
        <v>74</v>
      </c>
      <c r="C350" s="21">
        <f t="shared" si="9"/>
        <v>-17.16</v>
      </c>
      <c r="BT350" s="69">
        <v>-8.51</v>
      </c>
      <c r="BY350" s="42">
        <v>-8.65</v>
      </c>
    </row>
    <row r="351" spans="1:229" x14ac:dyDescent="0.25">
      <c r="A351" s="127">
        <v>44422</v>
      </c>
      <c r="B351" s="23" t="s">
        <v>45</v>
      </c>
      <c r="C351" s="21">
        <f t="shared" si="9"/>
        <v>-8.48</v>
      </c>
      <c r="AQ351" s="69">
        <v>-8.48</v>
      </c>
    </row>
    <row r="352" spans="1:229" x14ac:dyDescent="0.25">
      <c r="A352" s="127">
        <v>44424</v>
      </c>
      <c r="B352" s="29" t="s">
        <v>44</v>
      </c>
      <c r="C352" s="21">
        <f t="shared" si="9"/>
        <v>-210.4</v>
      </c>
      <c r="GP352" s="42">
        <v>-210.4</v>
      </c>
    </row>
    <row r="353" spans="1:236" x14ac:dyDescent="0.25">
      <c r="A353" s="127">
        <v>44424</v>
      </c>
      <c r="B353" s="29" t="s">
        <v>15</v>
      </c>
      <c r="C353" s="21">
        <f t="shared" si="9"/>
        <v>-52.07</v>
      </c>
      <c r="CE353" s="42">
        <v>-17.12</v>
      </c>
      <c r="CK353" s="42">
        <v>-34.950000000000003</v>
      </c>
    </row>
    <row r="354" spans="1:236" x14ac:dyDescent="0.25">
      <c r="A354" s="127">
        <v>44424</v>
      </c>
      <c r="B354" s="29" t="s">
        <v>37</v>
      </c>
      <c r="C354" s="21">
        <f t="shared" si="9"/>
        <v>-193.53</v>
      </c>
      <c r="HK354" s="50">
        <v>-94.2</v>
      </c>
      <c r="HQ354" s="42">
        <v>-99.33</v>
      </c>
    </row>
    <row r="355" spans="1:236" x14ac:dyDescent="0.25">
      <c r="A355" s="127">
        <v>44424</v>
      </c>
      <c r="B355" s="23" t="s">
        <v>57</v>
      </c>
      <c r="C355" s="21">
        <f t="shared" si="9"/>
        <v>-129.92500000000001</v>
      </c>
      <c r="AU355" s="42">
        <v>-16.78</v>
      </c>
      <c r="BA355" s="42">
        <v>-7.63</v>
      </c>
      <c r="BB355" s="69">
        <v>-8.5299999999999994</v>
      </c>
      <c r="BG355" s="42">
        <v>-25.65</v>
      </c>
      <c r="BM355" s="88">
        <v>-26.07</v>
      </c>
      <c r="BS355" s="42">
        <v>-9.69</v>
      </c>
      <c r="BT355" s="69">
        <v>-9.0449999999999999</v>
      </c>
      <c r="BY355" s="42">
        <v>-17.87</v>
      </c>
      <c r="CQ355" s="42">
        <v>-8.66</v>
      </c>
    </row>
    <row r="356" spans="1:236" x14ac:dyDescent="0.25">
      <c r="A356" s="127">
        <v>44424</v>
      </c>
      <c r="B356" s="23" t="s">
        <v>2</v>
      </c>
      <c r="C356" s="21">
        <f t="shared" si="9"/>
        <v>518.99</v>
      </c>
      <c r="DY356" s="42">
        <v>518.99</v>
      </c>
    </row>
    <row r="357" spans="1:236" x14ac:dyDescent="0.25">
      <c r="A357" s="127">
        <v>44425</v>
      </c>
      <c r="B357" s="23" t="s">
        <v>15</v>
      </c>
      <c r="C357" s="21">
        <f t="shared" si="9"/>
        <v>-850.87</v>
      </c>
      <c r="U357" s="69">
        <v>-34.020000000000003</v>
      </c>
      <c r="Y357" s="69">
        <v>-34.435000000000002</v>
      </c>
      <c r="AB357" s="69">
        <v>-33.71</v>
      </c>
      <c r="AF357" s="69">
        <v>-33.225000000000001</v>
      </c>
      <c r="AL357" s="42">
        <v>-34.200000000000003</v>
      </c>
      <c r="AP357" s="42">
        <v>-33.46</v>
      </c>
      <c r="AU357" s="42">
        <v>-33.65</v>
      </c>
      <c r="BA357" s="42">
        <v>-31.59</v>
      </c>
      <c r="BG357" s="42">
        <v>-33.700000000000003</v>
      </c>
      <c r="CE357" s="42">
        <v>-34.33</v>
      </c>
      <c r="CK357" s="42">
        <v>-69.540000000000006</v>
      </c>
      <c r="CQ357" s="42">
        <v>-104.07</v>
      </c>
      <c r="CW357" s="42">
        <v>-69.56</v>
      </c>
      <c r="DI357" s="42">
        <v>-66.64</v>
      </c>
      <c r="DO357" s="375">
        <v>-66.819999999999993</v>
      </c>
      <c r="DS357" s="42">
        <v>-68.69</v>
      </c>
      <c r="DZ357" s="69">
        <v>-69.23</v>
      </c>
    </row>
    <row r="358" spans="1:236" x14ac:dyDescent="0.25">
      <c r="A358" s="127">
        <v>44425</v>
      </c>
      <c r="B358" s="23" t="s">
        <v>32</v>
      </c>
      <c r="C358" s="21">
        <f t="shared" si="9"/>
        <v>-203.28</v>
      </c>
      <c r="AL358" s="42">
        <v>-15.76</v>
      </c>
      <c r="BA358" s="42">
        <v>-16.78</v>
      </c>
      <c r="BG358" s="42">
        <v>-33.35</v>
      </c>
      <c r="CE358" s="42">
        <v>-34.61</v>
      </c>
      <c r="CK358" s="42">
        <v>-33.06</v>
      </c>
      <c r="CQ358" s="42">
        <v>-34.74</v>
      </c>
      <c r="CW358" s="42">
        <v>-17.350000000000001</v>
      </c>
      <c r="DI358" s="42">
        <v>-17.63</v>
      </c>
    </row>
    <row r="359" spans="1:236" x14ac:dyDescent="0.25">
      <c r="A359" s="127">
        <v>44425</v>
      </c>
      <c r="B359" s="23" t="s">
        <v>32</v>
      </c>
      <c r="C359" s="21">
        <f t="shared" si="9"/>
        <v>-16.32</v>
      </c>
      <c r="AP359" s="42">
        <v>-8.32</v>
      </c>
      <c r="ES359" s="69">
        <v>-8</v>
      </c>
    </row>
    <row r="360" spans="1:236" x14ac:dyDescent="0.25">
      <c r="A360" s="127">
        <v>44425</v>
      </c>
      <c r="B360" s="23" t="s">
        <v>75</v>
      </c>
      <c r="C360" s="21">
        <f t="shared" si="9"/>
        <v>-93.56</v>
      </c>
      <c r="Y360" s="69">
        <v>-8.5950000000000006</v>
      </c>
      <c r="AB360" s="69">
        <v>-8.4250000000000007</v>
      </c>
      <c r="AE360" s="42">
        <v>-8.48</v>
      </c>
      <c r="AL360" s="42">
        <v>-8.4600000000000009</v>
      </c>
      <c r="AQ360" s="69">
        <v>-8.4450000000000003</v>
      </c>
      <c r="AV360" s="69">
        <v>-8.4649999999999999</v>
      </c>
      <c r="BA360" s="42">
        <v>-8.44</v>
      </c>
      <c r="BG360" s="42">
        <v>-8.4499999999999993</v>
      </c>
      <c r="BM360" s="88">
        <v>-8.7200000000000006</v>
      </c>
      <c r="CE360" s="42">
        <v>-8.56</v>
      </c>
      <c r="CK360" s="42">
        <v>-8.52</v>
      </c>
    </row>
    <row r="361" spans="1:236" x14ac:dyDescent="0.25">
      <c r="A361" s="127">
        <v>44426</v>
      </c>
      <c r="B361" s="23" t="s">
        <v>13</v>
      </c>
      <c r="C361" s="21">
        <f t="shared" si="9"/>
        <v>-136.685</v>
      </c>
      <c r="BA361" s="42">
        <v>-34.130000000000003</v>
      </c>
      <c r="CQ361" s="42">
        <v>-34.950000000000003</v>
      </c>
      <c r="DJ361" s="69">
        <v>-33.875</v>
      </c>
      <c r="DO361" s="375">
        <v>-33.729999999999997</v>
      </c>
    </row>
    <row r="362" spans="1:236" x14ac:dyDescent="0.25">
      <c r="A362" s="127">
        <v>44426</v>
      </c>
      <c r="B362" s="23" t="s">
        <v>15</v>
      </c>
      <c r="C362" s="21">
        <f t="shared" si="9"/>
        <v>-99.38</v>
      </c>
      <c r="BA362" s="42">
        <v>-49.41</v>
      </c>
      <c r="BL362" s="182">
        <v>-49.97</v>
      </c>
    </row>
    <row r="363" spans="1:236" x14ac:dyDescent="0.25">
      <c r="A363" s="127">
        <v>44426</v>
      </c>
      <c r="B363" s="23" t="s">
        <v>17</v>
      </c>
      <c r="C363" s="21">
        <f t="shared" si="9"/>
        <v>-69.44</v>
      </c>
      <c r="CK363" s="42">
        <v>-34.68</v>
      </c>
      <c r="CQ363" s="42">
        <v>-34.76</v>
      </c>
    </row>
    <row r="364" spans="1:236" x14ac:dyDescent="0.25">
      <c r="A364" s="127">
        <v>44426</v>
      </c>
      <c r="B364" s="23" t="s">
        <v>12</v>
      </c>
      <c r="C364" s="21">
        <f t="shared" si="9"/>
        <v>-171.86500000000001</v>
      </c>
      <c r="O364" s="375">
        <v>-171.86500000000001</v>
      </c>
    </row>
    <row r="365" spans="1:236" x14ac:dyDescent="0.25">
      <c r="A365" s="127">
        <v>44426</v>
      </c>
      <c r="B365" s="23" t="s">
        <v>13</v>
      </c>
      <c r="C365" s="21">
        <f t="shared" si="9"/>
        <v>-8.5150000000000006</v>
      </c>
      <c r="O365" s="375">
        <v>-8.5150000000000006</v>
      </c>
    </row>
    <row r="366" spans="1:236" x14ac:dyDescent="0.25">
      <c r="A366" s="127">
        <v>44426</v>
      </c>
      <c r="B366" s="23" t="s">
        <v>19</v>
      </c>
      <c r="C366" s="21">
        <f t="shared" si="9"/>
        <v>-601.495</v>
      </c>
      <c r="U366" s="69">
        <v>-34.53</v>
      </c>
      <c r="Y366" s="69">
        <v>-34.479999999999997</v>
      </c>
      <c r="AF366" s="69">
        <v>-33.305</v>
      </c>
      <c r="AL366" s="42">
        <v>-33.56</v>
      </c>
      <c r="AP366" s="42">
        <v>-33.22</v>
      </c>
      <c r="CW366" s="42">
        <v>-34.5</v>
      </c>
      <c r="DI366" s="42">
        <v>-68.81</v>
      </c>
      <c r="ES366" s="69">
        <v>-67.819999999999993</v>
      </c>
      <c r="HU366" s="42">
        <v>-132.99</v>
      </c>
      <c r="IB366" s="42">
        <v>-128.28</v>
      </c>
    </row>
    <row r="367" spans="1:236" x14ac:dyDescent="0.25">
      <c r="A367" s="127">
        <v>44426</v>
      </c>
      <c r="B367" s="23" t="s">
        <v>39</v>
      </c>
      <c r="C367" s="21">
        <f t="shared" si="9"/>
        <v>-34.25</v>
      </c>
      <c r="AP367" s="42">
        <v>-8.3699999999999992</v>
      </c>
      <c r="BA367" s="42">
        <v>-7.8</v>
      </c>
      <c r="BG367" s="42">
        <v>-8.56</v>
      </c>
      <c r="CE367" s="42">
        <v>-9.52</v>
      </c>
    </row>
    <row r="368" spans="1:236" x14ac:dyDescent="0.25">
      <c r="A368" s="127">
        <v>44426</v>
      </c>
      <c r="B368" s="29" t="s">
        <v>18</v>
      </c>
      <c r="C368" s="21">
        <f t="shared" si="9"/>
        <v>-443.94499999999999</v>
      </c>
      <c r="AU368" s="42">
        <v>-35.79</v>
      </c>
      <c r="BA368" s="42">
        <v>-33.630000000000003</v>
      </c>
      <c r="BG368" s="42">
        <v>-33.229999999999997</v>
      </c>
      <c r="CE368" s="42">
        <v>-34.32</v>
      </c>
      <c r="CK368" s="42">
        <v>-70.760000000000005</v>
      </c>
      <c r="CQ368" s="42">
        <v>-35.04</v>
      </c>
      <c r="CX368" s="69">
        <v>-34.020000000000003</v>
      </c>
      <c r="DD368" s="69">
        <v>-68.004999999999995</v>
      </c>
      <c r="DI368" s="42">
        <v>-33.299999999999997</v>
      </c>
      <c r="DO368" s="375">
        <v>-32.35</v>
      </c>
      <c r="DS368" s="42">
        <v>-33.5</v>
      </c>
    </row>
    <row r="369" spans="1:220" ht="15" customHeight="1" x14ac:dyDescent="0.25">
      <c r="A369" s="127">
        <v>44427</v>
      </c>
      <c r="B369" s="29" t="s">
        <v>19</v>
      </c>
      <c r="C369" s="21">
        <f t="shared" si="9"/>
        <v>93.99</v>
      </c>
      <c r="BP369" s="121">
        <v>30.71</v>
      </c>
      <c r="BV369" s="121">
        <v>29.63</v>
      </c>
      <c r="CB369" s="121">
        <v>33.65</v>
      </c>
    </row>
    <row r="370" spans="1:220" ht="15" customHeight="1" x14ac:dyDescent="0.25">
      <c r="A370" s="127">
        <v>44427</v>
      </c>
      <c r="B370" s="23" t="s">
        <v>27</v>
      </c>
      <c r="C370" s="21">
        <f t="shared" si="9"/>
        <v>-49.06</v>
      </c>
      <c r="BA370" s="42">
        <v>-6.86</v>
      </c>
      <c r="BL370" s="182">
        <v>-9.39</v>
      </c>
      <c r="BV370" s="121">
        <v>-7.39</v>
      </c>
      <c r="CB370" s="121">
        <v>-8.26</v>
      </c>
      <c r="CJ370" s="182">
        <v>-8.81</v>
      </c>
      <c r="CP370" s="182">
        <v>-8.35</v>
      </c>
    </row>
    <row r="371" spans="1:220" ht="15" customHeight="1" x14ac:dyDescent="0.25">
      <c r="A371" s="127">
        <v>44427</v>
      </c>
      <c r="B371" s="23" t="s">
        <v>20</v>
      </c>
      <c r="C371" s="21">
        <f t="shared" si="9"/>
        <v>-73.17</v>
      </c>
      <c r="AU371" s="42">
        <v>-7.53</v>
      </c>
      <c r="BA371" s="42">
        <v>-7.06</v>
      </c>
      <c r="BH371" s="69">
        <v>-8.49</v>
      </c>
      <c r="BV371" s="121">
        <v>-7.44</v>
      </c>
      <c r="CB371" s="121">
        <v>-8.17</v>
      </c>
      <c r="CE371" s="42">
        <v>-8.57</v>
      </c>
      <c r="CK371" s="42">
        <v>-8.61</v>
      </c>
      <c r="CQ371" s="42">
        <v>-8.76</v>
      </c>
      <c r="CX371" s="69">
        <v>-8.5399999999999991</v>
      </c>
    </row>
    <row r="372" spans="1:220" ht="15" customHeight="1" x14ac:dyDescent="0.25">
      <c r="A372" s="127">
        <v>44427</v>
      </c>
      <c r="B372" s="23" t="s">
        <v>41</v>
      </c>
      <c r="C372" s="21">
        <f t="shared" si="9"/>
        <v>-16.86</v>
      </c>
      <c r="AE372" s="42">
        <v>-8.36</v>
      </c>
      <c r="AL372" s="42">
        <v>-8.5</v>
      </c>
    </row>
    <row r="373" spans="1:220" ht="15" customHeight="1" x14ac:dyDescent="0.25">
      <c r="A373" s="127">
        <v>44427</v>
      </c>
      <c r="B373" s="23" t="s">
        <v>15</v>
      </c>
      <c r="C373" s="21">
        <f t="shared" si="9"/>
        <v>-43.45</v>
      </c>
      <c r="CK373" s="42">
        <v>-34.75</v>
      </c>
      <c r="DI373" s="42">
        <v>-8.6999999999999993</v>
      </c>
    </row>
    <row r="374" spans="1:220" ht="15" customHeight="1" x14ac:dyDescent="0.25">
      <c r="A374" s="127">
        <v>44427</v>
      </c>
      <c r="B374" s="23" t="s">
        <v>45</v>
      </c>
      <c r="C374" s="21">
        <f t="shared" si="9"/>
        <v>-9.11</v>
      </c>
      <c r="AU374" s="42">
        <v>-9.11</v>
      </c>
    </row>
    <row r="375" spans="1:220" ht="15" customHeight="1" x14ac:dyDescent="0.25">
      <c r="A375" s="127">
        <v>44427</v>
      </c>
      <c r="B375" s="29" t="s">
        <v>2</v>
      </c>
      <c r="C375" s="21">
        <f t="shared" si="9"/>
        <v>105.71</v>
      </c>
      <c r="BS375" s="42">
        <v>105.71</v>
      </c>
    </row>
    <row r="376" spans="1:220" ht="15" customHeight="1" x14ac:dyDescent="0.25">
      <c r="A376" s="127">
        <v>44428</v>
      </c>
      <c r="B376" s="29" t="s">
        <v>37</v>
      </c>
      <c r="C376" s="21">
        <f t="shared" si="9"/>
        <v>-36.4</v>
      </c>
      <c r="HL376" s="42">
        <v>-36.4</v>
      </c>
    </row>
    <row r="377" spans="1:220" ht="15" customHeight="1" x14ac:dyDescent="0.25">
      <c r="A377" s="127">
        <v>44428</v>
      </c>
      <c r="B377" s="23" t="s">
        <v>75</v>
      </c>
      <c r="C377" s="21">
        <f t="shared" si="9"/>
        <v>-26.23</v>
      </c>
      <c r="U377" s="69">
        <v>-8.64</v>
      </c>
      <c r="BS377" s="42">
        <v>-8.73</v>
      </c>
      <c r="CB377" s="121">
        <v>-8.86</v>
      </c>
    </row>
    <row r="378" spans="1:220" ht="15" customHeight="1" x14ac:dyDescent="0.25">
      <c r="A378" s="127">
        <v>44428</v>
      </c>
      <c r="B378" s="23" t="s">
        <v>68</v>
      </c>
      <c r="C378" s="21">
        <f t="shared" si="9"/>
        <v>-138.75</v>
      </c>
      <c r="AU378" s="42">
        <v>-34.43</v>
      </c>
      <c r="BG378" s="42">
        <v>-33.909999999999997</v>
      </c>
      <c r="BM378" s="88">
        <v>-34.69</v>
      </c>
      <c r="BS378" s="42">
        <v>-35.72</v>
      </c>
    </row>
    <row r="379" spans="1:220" ht="15" customHeight="1" x14ac:dyDescent="0.25">
      <c r="A379" s="127">
        <v>44428</v>
      </c>
      <c r="B379" s="23" t="s">
        <v>48</v>
      </c>
      <c r="C379" s="21">
        <f t="shared" si="9"/>
        <v>-39.840000000000003</v>
      </c>
      <c r="BL379" s="182">
        <v>-8.73</v>
      </c>
      <c r="BP379" s="121">
        <v>-7.95</v>
      </c>
      <c r="BV379" s="121">
        <v>-14.8</v>
      </c>
      <c r="CB379" s="121">
        <v>-8.36</v>
      </c>
    </row>
    <row r="380" spans="1:220" x14ac:dyDescent="0.25">
      <c r="A380" s="127">
        <v>44429</v>
      </c>
      <c r="B380" s="23" t="s">
        <v>29</v>
      </c>
      <c r="C380" s="21">
        <f t="shared" si="9"/>
        <v>-8.74</v>
      </c>
      <c r="BS380" s="42">
        <v>-8.74</v>
      </c>
    </row>
    <row r="381" spans="1:220" x14ac:dyDescent="0.25">
      <c r="A381" s="127">
        <v>44431</v>
      </c>
      <c r="B381" s="23" t="s">
        <v>3</v>
      </c>
      <c r="C381" s="21">
        <f t="shared" si="9"/>
        <v>2118.5749999999998</v>
      </c>
      <c r="BN381" s="69">
        <v>504.685</v>
      </c>
      <c r="CR381" s="69">
        <v>496.01</v>
      </c>
      <c r="DJ381" s="69">
        <v>503.53</v>
      </c>
      <c r="DO381" s="375">
        <v>100.52</v>
      </c>
      <c r="DT381" s="69">
        <v>513.83000000000004</v>
      </c>
    </row>
    <row r="382" spans="1:220" x14ac:dyDescent="0.25">
      <c r="A382" s="127">
        <v>44431</v>
      </c>
      <c r="B382" s="23" t="s">
        <v>43</v>
      </c>
      <c r="C382" s="21">
        <f t="shared" si="9"/>
        <v>-1032.6300000000001</v>
      </c>
      <c r="Y382" s="69">
        <v>-241.48500000000001</v>
      </c>
      <c r="DS382" s="42">
        <v>-379.56</v>
      </c>
      <c r="DT382" s="69">
        <v>-411.58499999999998</v>
      </c>
    </row>
    <row r="383" spans="1:220" x14ac:dyDescent="0.25">
      <c r="A383" s="127">
        <v>44431</v>
      </c>
      <c r="B383" s="23" t="s">
        <v>32</v>
      </c>
      <c r="C383" s="21">
        <f t="shared" si="9"/>
        <v>-170.33</v>
      </c>
      <c r="AL383" s="42">
        <v>-17.12</v>
      </c>
      <c r="BN383" s="69">
        <v>-66.734999999999999</v>
      </c>
      <c r="CQ383" s="42">
        <v>-34.76</v>
      </c>
      <c r="DZ383" s="69">
        <v>-51.715000000000003</v>
      </c>
    </row>
    <row r="384" spans="1:220" x14ac:dyDescent="0.25">
      <c r="A384" s="127">
        <v>44431</v>
      </c>
      <c r="B384" s="23" t="s">
        <v>43</v>
      </c>
      <c r="C384" s="21">
        <f t="shared" si="9"/>
        <v>-102.46</v>
      </c>
      <c r="AL384" s="42">
        <v>-34.82</v>
      </c>
      <c r="AP384" s="42">
        <v>-33.39</v>
      </c>
      <c r="CK384" s="42">
        <v>-34.25</v>
      </c>
    </row>
    <row r="385" spans="1:238" x14ac:dyDescent="0.25">
      <c r="A385" s="127">
        <v>44431</v>
      </c>
      <c r="B385" s="23" t="s">
        <v>23</v>
      </c>
      <c r="C385" s="21">
        <f t="shared" si="9"/>
        <v>-84.234999999999999</v>
      </c>
      <c r="FJ385" s="69">
        <v>-84.234999999999999</v>
      </c>
    </row>
    <row r="386" spans="1:238" x14ac:dyDescent="0.25">
      <c r="A386" s="127">
        <v>44431</v>
      </c>
      <c r="B386" s="23" t="s">
        <v>33</v>
      </c>
      <c r="C386" s="21">
        <f t="shared" si="9"/>
        <v>-8.57</v>
      </c>
      <c r="CE386" s="42">
        <v>-8.57</v>
      </c>
    </row>
    <row r="387" spans="1:238" x14ac:dyDescent="0.25">
      <c r="A387" s="127">
        <v>44432</v>
      </c>
      <c r="B387" s="23" t="s">
        <v>37</v>
      </c>
      <c r="C387" s="21">
        <f t="shared" si="9"/>
        <v>-46.66</v>
      </c>
      <c r="HQ387" s="42">
        <v>-46.66</v>
      </c>
    </row>
    <row r="388" spans="1:238" x14ac:dyDescent="0.25">
      <c r="A388" s="127">
        <v>44432</v>
      </c>
      <c r="B388" s="23" t="s">
        <v>44</v>
      </c>
      <c r="C388" s="21">
        <f t="shared" si="9"/>
        <v>-149.85</v>
      </c>
      <c r="GP388" s="42">
        <v>-64.2</v>
      </c>
      <c r="HQ388" s="42">
        <v>-6.84</v>
      </c>
      <c r="HW388" s="42">
        <v>-7.05</v>
      </c>
      <c r="ID388" s="42">
        <v>-71.760000000000005</v>
      </c>
    </row>
    <row r="389" spans="1:238" x14ac:dyDescent="0.25">
      <c r="A389" s="127">
        <v>44432</v>
      </c>
      <c r="B389" s="23" t="s">
        <v>15</v>
      </c>
      <c r="C389" s="21">
        <f t="shared" si="9"/>
        <v>-148.13999999999999</v>
      </c>
      <c r="BN389" s="69">
        <v>-99.97</v>
      </c>
      <c r="CE389" s="42">
        <v>-16.88</v>
      </c>
      <c r="CF389" s="69">
        <v>-31.29</v>
      </c>
    </row>
    <row r="390" spans="1:238" x14ac:dyDescent="0.25">
      <c r="A390" s="127">
        <v>44432</v>
      </c>
      <c r="B390" s="23" t="s">
        <v>32</v>
      </c>
      <c r="C390" s="21">
        <f t="shared" si="9"/>
        <v>-42.26</v>
      </c>
      <c r="Y390" s="69">
        <v>-8.6300000000000008</v>
      </c>
      <c r="AE390" s="42">
        <v>-25.31</v>
      </c>
      <c r="AP390" s="42">
        <v>-8.32</v>
      </c>
    </row>
    <row r="391" spans="1:238" x14ac:dyDescent="0.25">
      <c r="A391" s="127">
        <v>44432</v>
      </c>
      <c r="B391" s="23" t="s">
        <v>59</v>
      </c>
      <c r="C391" s="21">
        <f t="shared" si="9"/>
        <v>-7.87</v>
      </c>
      <c r="CK391" s="42">
        <v>-7.87</v>
      </c>
    </row>
    <row r="392" spans="1:238" x14ac:dyDescent="0.25">
      <c r="A392" s="127">
        <v>44432</v>
      </c>
      <c r="B392" s="23" t="s">
        <v>76</v>
      </c>
      <c r="C392" s="21">
        <f t="shared" ref="C392:C455" si="10">SUM(I392:JT392)</f>
        <v>104.81</v>
      </c>
      <c r="BH392" s="69">
        <v>7.7</v>
      </c>
      <c r="BN392" s="69">
        <v>3.65</v>
      </c>
      <c r="CL392" s="69">
        <v>4.0999999999999996</v>
      </c>
      <c r="DD392" s="69">
        <v>89.36</v>
      </c>
    </row>
    <row r="393" spans="1:238" x14ac:dyDescent="0.25">
      <c r="A393" s="127">
        <v>44432</v>
      </c>
      <c r="B393" s="23" t="s">
        <v>26</v>
      </c>
      <c r="C393" s="21">
        <f t="shared" si="10"/>
        <v>-42.47</v>
      </c>
      <c r="L393" s="69">
        <v>-8.41</v>
      </c>
      <c r="AU393" s="42">
        <v>-8.5</v>
      </c>
      <c r="BA393" s="42">
        <v>-8.4600000000000009</v>
      </c>
      <c r="BN393" s="69">
        <v>-8.33</v>
      </c>
      <c r="BS393" s="42">
        <v>-8.77</v>
      </c>
    </row>
    <row r="394" spans="1:238" x14ac:dyDescent="0.25">
      <c r="A394" s="127">
        <v>44433</v>
      </c>
      <c r="B394" s="23" t="s">
        <v>13</v>
      </c>
      <c r="C394" s="21">
        <f t="shared" si="10"/>
        <v>-325.85500000000002</v>
      </c>
      <c r="BN394" s="69">
        <v>-33.585000000000001</v>
      </c>
      <c r="CK394" s="42">
        <v>-69.16</v>
      </c>
      <c r="DD394" s="69">
        <v>-33.32</v>
      </c>
      <c r="DO394" s="375">
        <v>-32.880000000000003</v>
      </c>
      <c r="DY394" s="42">
        <v>-35.31</v>
      </c>
      <c r="DZ394" s="69">
        <v>-77.295000000000002</v>
      </c>
      <c r="FU394" s="88">
        <v>-44.305</v>
      </c>
    </row>
    <row r="395" spans="1:238" x14ac:dyDescent="0.25">
      <c r="A395" s="127">
        <v>44433</v>
      </c>
      <c r="B395" s="23" t="s">
        <v>15</v>
      </c>
      <c r="C395" s="21">
        <f t="shared" si="10"/>
        <v>-151.94499999999999</v>
      </c>
      <c r="BH395" s="69">
        <v>-7.7</v>
      </c>
      <c r="BN395" s="69">
        <f>-(33.655+34.195)</f>
        <v>-67.849999999999994</v>
      </c>
      <c r="BS395" s="42">
        <v>-8.75</v>
      </c>
      <c r="CR395" s="69">
        <f>-(33.785+33.86)</f>
        <v>-67.644999999999996</v>
      </c>
    </row>
    <row r="396" spans="1:238" x14ac:dyDescent="0.25">
      <c r="A396" s="127">
        <v>44433</v>
      </c>
      <c r="B396" s="23" t="s">
        <v>12</v>
      </c>
      <c r="C396" s="21">
        <f t="shared" si="10"/>
        <v>-33.784999999999997</v>
      </c>
      <c r="AQ396" s="69">
        <v>-33.784999999999997</v>
      </c>
    </row>
    <row r="397" spans="1:238" x14ac:dyDescent="0.25">
      <c r="A397" s="127">
        <v>44433</v>
      </c>
      <c r="B397" s="23" t="s">
        <v>37</v>
      </c>
      <c r="C397" s="21">
        <f t="shared" si="10"/>
        <v>-63.39</v>
      </c>
      <c r="HE397" s="42">
        <v>-63.39</v>
      </c>
    </row>
    <row r="398" spans="1:238" x14ac:dyDescent="0.25">
      <c r="A398" s="127">
        <v>44433</v>
      </c>
      <c r="B398" s="23" t="s">
        <v>45</v>
      </c>
      <c r="C398" s="21">
        <f t="shared" si="10"/>
        <v>-25.515000000000001</v>
      </c>
      <c r="Y398" s="69">
        <v>-8.5850000000000009</v>
      </c>
      <c r="AE398" s="42">
        <v>-8.48</v>
      </c>
      <c r="BY398" s="42">
        <v>-8.4499999999999993</v>
      </c>
    </row>
    <row r="399" spans="1:238" x14ac:dyDescent="0.25">
      <c r="A399" s="127">
        <v>44433</v>
      </c>
      <c r="B399" s="23" t="s">
        <v>76</v>
      </c>
      <c r="C399" s="21">
        <f t="shared" si="10"/>
        <v>217.72</v>
      </c>
      <c r="AV399" s="69">
        <f>8.12+4.96+34.03+33.92</f>
        <v>81.03</v>
      </c>
      <c r="CE399" s="42">
        <v>12.72</v>
      </c>
      <c r="CF399" s="69">
        <v>123.97</v>
      </c>
    </row>
    <row r="400" spans="1:238" x14ac:dyDescent="0.25">
      <c r="A400" s="127">
        <v>44434</v>
      </c>
      <c r="B400" s="23" t="s">
        <v>18</v>
      </c>
      <c r="C400" s="21">
        <f t="shared" si="10"/>
        <v>-598.66999999999996</v>
      </c>
      <c r="AU400" s="42">
        <v>-34.42</v>
      </c>
      <c r="AV400" s="69">
        <v>-67.95</v>
      </c>
      <c r="BN400" s="69">
        <v>-101.96</v>
      </c>
      <c r="CF400" s="69">
        <v>-97.85</v>
      </c>
      <c r="CK400" s="42">
        <v>-26.91</v>
      </c>
      <c r="CL400" s="69">
        <v>-4.0999999999999996</v>
      </c>
      <c r="CR400" s="69">
        <v>-64.295000000000002</v>
      </c>
      <c r="CW400" s="42">
        <v>-34.54</v>
      </c>
      <c r="DD400" s="69">
        <v>-32.520000000000003</v>
      </c>
      <c r="DJ400" s="69">
        <v>-31.295000000000002</v>
      </c>
      <c r="DO400" s="375">
        <v>-33.814999999999998</v>
      </c>
      <c r="DT400" s="69">
        <v>-34.295000000000002</v>
      </c>
      <c r="DY400" s="42">
        <v>-34.72</v>
      </c>
    </row>
    <row r="401" spans="1:223" x14ac:dyDescent="0.25">
      <c r="A401" s="127">
        <v>44434</v>
      </c>
      <c r="B401" s="23" t="s">
        <v>20</v>
      </c>
      <c r="C401" s="21">
        <f t="shared" si="10"/>
        <v>-128.505</v>
      </c>
      <c r="AV401" s="69">
        <v>-1.62</v>
      </c>
      <c r="BA401" s="42">
        <v>-8.3699999999999992</v>
      </c>
      <c r="BL401" s="182">
        <v>-9.14</v>
      </c>
      <c r="BN401" s="69">
        <v>-8.2650000000000006</v>
      </c>
      <c r="BS401" s="42">
        <v>-8.73</v>
      </c>
      <c r="CP401" s="182">
        <v>-8.8699999999999992</v>
      </c>
      <c r="CQ401" s="42">
        <v>-8.75</v>
      </c>
      <c r="CW401" s="42">
        <v>-8.56</v>
      </c>
      <c r="GY401" s="42">
        <v>-66.2</v>
      </c>
    </row>
    <row r="402" spans="1:223" x14ac:dyDescent="0.25">
      <c r="A402" s="127">
        <v>44434</v>
      </c>
      <c r="B402" s="23" t="s">
        <v>25</v>
      </c>
      <c r="C402" s="21">
        <f t="shared" si="10"/>
        <v>-61.145000000000003</v>
      </c>
      <c r="AP402" s="42">
        <v>-8.32</v>
      </c>
      <c r="BL402" s="182">
        <v>-17.850000000000001</v>
      </c>
      <c r="BN402" s="69">
        <v>-16.664999999999999</v>
      </c>
      <c r="CQ402" s="42">
        <v>-18.309999999999999</v>
      </c>
    </row>
    <row r="403" spans="1:223" x14ac:dyDescent="0.25">
      <c r="A403" s="127">
        <v>44434</v>
      </c>
      <c r="B403" s="23" t="s">
        <v>27</v>
      </c>
      <c r="C403" s="21">
        <f t="shared" si="10"/>
        <v>-7.92</v>
      </c>
      <c r="BM403" s="88">
        <v>-7.92</v>
      </c>
    </row>
    <row r="404" spans="1:223" x14ac:dyDescent="0.25">
      <c r="A404" s="127">
        <v>44434</v>
      </c>
      <c r="B404" s="23" t="s">
        <v>41</v>
      </c>
      <c r="C404" s="21">
        <f t="shared" si="10"/>
        <v>-25.42</v>
      </c>
      <c r="AU404" s="42">
        <v>-8.5</v>
      </c>
      <c r="BA404" s="42">
        <v>-8.5</v>
      </c>
      <c r="BL404" s="182">
        <v>-8.42</v>
      </c>
    </row>
    <row r="405" spans="1:223" x14ac:dyDescent="0.25">
      <c r="A405" s="127">
        <v>44434</v>
      </c>
      <c r="B405" s="23" t="s">
        <v>38</v>
      </c>
      <c r="C405" s="21">
        <f t="shared" si="10"/>
        <v>-83.954999999999998</v>
      </c>
      <c r="BN405" s="69">
        <v>-101.325</v>
      </c>
      <c r="CF405" s="69">
        <v>182.965</v>
      </c>
      <c r="CR405" s="69">
        <v>-165.595</v>
      </c>
    </row>
    <row r="406" spans="1:223" x14ac:dyDescent="0.25">
      <c r="A406" s="127">
        <v>44434</v>
      </c>
      <c r="B406" s="23" t="s">
        <v>76</v>
      </c>
      <c r="C406" s="21">
        <f t="shared" si="10"/>
        <v>178.245</v>
      </c>
      <c r="AV406" s="69">
        <v>178.245</v>
      </c>
    </row>
    <row r="407" spans="1:223" x14ac:dyDescent="0.25">
      <c r="A407" s="127">
        <v>44434</v>
      </c>
      <c r="B407" s="23" t="s">
        <v>2</v>
      </c>
      <c r="C407" s="21">
        <f t="shared" si="10"/>
        <v>1527.24</v>
      </c>
      <c r="GP407" s="42">
        <v>501.8</v>
      </c>
      <c r="HG407" s="42">
        <v>500.38</v>
      </c>
      <c r="HO407" s="42">
        <v>525.05999999999995</v>
      </c>
    </row>
    <row r="408" spans="1:223" x14ac:dyDescent="0.25">
      <c r="A408" s="127">
        <v>44435</v>
      </c>
      <c r="B408" s="23" t="s">
        <v>23</v>
      </c>
      <c r="C408" s="21">
        <f t="shared" si="10"/>
        <v>0</v>
      </c>
    </row>
    <row r="409" spans="1:223" x14ac:dyDescent="0.25">
      <c r="A409" s="127">
        <v>44435</v>
      </c>
      <c r="B409" s="23" t="s">
        <v>41</v>
      </c>
      <c r="C409" s="21">
        <f t="shared" si="10"/>
        <v>-8.74</v>
      </c>
      <c r="BS409" s="42">
        <v>-8.74</v>
      </c>
    </row>
    <row r="410" spans="1:223" x14ac:dyDescent="0.25">
      <c r="A410" s="127">
        <v>44435</v>
      </c>
      <c r="B410" s="23" t="s">
        <v>45</v>
      </c>
      <c r="C410" s="21">
        <f t="shared" si="10"/>
        <v>-15.52</v>
      </c>
      <c r="BA410" s="42">
        <v>-8.0500000000000007</v>
      </c>
      <c r="BP410" s="121">
        <v>-7.47</v>
      </c>
    </row>
    <row r="411" spans="1:223" x14ac:dyDescent="0.25">
      <c r="A411" s="127">
        <v>44435</v>
      </c>
      <c r="B411" s="23" t="s">
        <v>42</v>
      </c>
      <c r="C411" s="21">
        <f t="shared" si="10"/>
        <v>-131.58500000000001</v>
      </c>
      <c r="AP411" s="42">
        <v>-33.32</v>
      </c>
      <c r="AV411" s="69">
        <v>-32.545000000000002</v>
      </c>
      <c r="BN411" s="69">
        <v>-32.5</v>
      </c>
      <c r="CF411" s="69">
        <v>-33.22</v>
      </c>
    </row>
    <row r="412" spans="1:223" x14ac:dyDescent="0.25">
      <c r="A412" s="127">
        <v>44435</v>
      </c>
      <c r="B412" s="23" t="s">
        <v>15</v>
      </c>
      <c r="C412" s="21">
        <f t="shared" si="10"/>
        <v>-24.405000000000001</v>
      </c>
      <c r="BL412" s="182">
        <v>-7.68</v>
      </c>
      <c r="BN412" s="69">
        <v>-16.725000000000001</v>
      </c>
    </row>
    <row r="413" spans="1:223" x14ac:dyDescent="0.25">
      <c r="A413" s="127">
        <v>44435</v>
      </c>
      <c r="B413" s="23" t="s">
        <v>38</v>
      </c>
      <c r="C413" s="21">
        <f t="shared" si="10"/>
        <v>235.72499999999999</v>
      </c>
      <c r="BZ413" s="69">
        <v>134.02500000000001</v>
      </c>
      <c r="DZ413" s="69">
        <v>101.7</v>
      </c>
    </row>
    <row r="414" spans="1:223" x14ac:dyDescent="0.25">
      <c r="A414" s="127">
        <v>44435</v>
      </c>
      <c r="B414" s="23" t="s">
        <v>19</v>
      </c>
      <c r="C414" s="21">
        <f t="shared" si="10"/>
        <v>-43.244999999999997</v>
      </c>
      <c r="FB414" s="69">
        <v>-43.244999999999997</v>
      </c>
    </row>
    <row r="415" spans="1:223" x14ac:dyDescent="0.25">
      <c r="A415" s="127">
        <v>44435</v>
      </c>
      <c r="B415" s="23" t="s">
        <v>19</v>
      </c>
      <c r="C415" s="21">
        <f t="shared" si="10"/>
        <v>376.05</v>
      </c>
      <c r="BD415" s="121">
        <v>65.760000000000005</v>
      </c>
      <c r="BJ415" s="121">
        <v>23.15</v>
      </c>
      <c r="BL415" s="182">
        <v>33.08</v>
      </c>
      <c r="BP415" s="121">
        <v>59.39</v>
      </c>
      <c r="BV415" s="121">
        <v>31.44</v>
      </c>
      <c r="BX415" s="182">
        <v>32.619999999999997</v>
      </c>
      <c r="CB415" s="121">
        <v>66.430000000000007</v>
      </c>
      <c r="CT415" s="121">
        <v>64.180000000000007</v>
      </c>
    </row>
    <row r="416" spans="1:223" x14ac:dyDescent="0.25">
      <c r="A416" s="127">
        <v>44435</v>
      </c>
      <c r="B416" s="23" t="s">
        <v>76</v>
      </c>
      <c r="C416" s="21">
        <f t="shared" si="10"/>
        <v>132.38499999999999</v>
      </c>
      <c r="BN416" s="69">
        <v>92.924999999999997</v>
      </c>
      <c r="BS416" s="42">
        <v>7.38</v>
      </c>
      <c r="BT416" s="69">
        <v>32.08</v>
      </c>
    </row>
    <row r="417" spans="1:158" x14ac:dyDescent="0.25">
      <c r="A417" s="127">
        <v>44436</v>
      </c>
      <c r="B417" s="23" t="s">
        <v>13</v>
      </c>
      <c r="C417" s="21">
        <f t="shared" si="10"/>
        <v>-67.814999999999998</v>
      </c>
      <c r="DZ417" s="69">
        <v>-67.814999999999998</v>
      </c>
    </row>
    <row r="418" spans="1:158" x14ac:dyDescent="0.25">
      <c r="A418" s="127">
        <v>44438</v>
      </c>
      <c r="B418" s="23" t="s">
        <v>76</v>
      </c>
      <c r="C418" s="21">
        <f t="shared" si="10"/>
        <v>372.62</v>
      </c>
      <c r="DC418" s="42">
        <v>216.35</v>
      </c>
      <c r="DD418" s="69">
        <v>156.27000000000001</v>
      </c>
    </row>
    <row r="419" spans="1:158" x14ac:dyDescent="0.25">
      <c r="A419" s="127">
        <v>44439</v>
      </c>
      <c r="B419" s="23" t="s">
        <v>12</v>
      </c>
      <c r="C419" s="21">
        <f t="shared" si="10"/>
        <v>-67.03</v>
      </c>
      <c r="AV419" s="69">
        <v>-33.744999999999997</v>
      </c>
      <c r="DD419" s="69">
        <v>-33.284999999999997</v>
      </c>
    </row>
    <row r="420" spans="1:158" x14ac:dyDescent="0.25">
      <c r="A420" s="127">
        <v>44439</v>
      </c>
      <c r="B420" s="23" t="s">
        <v>15</v>
      </c>
      <c r="C420" s="21">
        <f t="shared" si="10"/>
        <v>-44.9</v>
      </c>
      <c r="BN420" s="69">
        <v>-44.9</v>
      </c>
    </row>
    <row r="421" spans="1:158" x14ac:dyDescent="0.25">
      <c r="A421" s="127">
        <v>44439</v>
      </c>
      <c r="B421" s="23" t="s">
        <v>15</v>
      </c>
      <c r="C421" s="21">
        <f t="shared" si="10"/>
        <v>-134.57499999999999</v>
      </c>
      <c r="AB421" s="69">
        <v>-33.744999999999997</v>
      </c>
      <c r="AE421" s="42">
        <v>-33.89</v>
      </c>
      <c r="AP421" s="42">
        <v>-33.4</v>
      </c>
      <c r="CF421" s="69">
        <v>-33.54</v>
      </c>
    </row>
    <row r="422" spans="1:158" x14ac:dyDescent="0.25">
      <c r="A422" s="127">
        <v>44439</v>
      </c>
      <c r="B422" s="23" t="s">
        <v>12</v>
      </c>
      <c r="C422" s="21">
        <f t="shared" si="10"/>
        <v>0</v>
      </c>
    </row>
    <row r="423" spans="1:158" x14ac:dyDescent="0.25">
      <c r="A423" s="127">
        <v>44439</v>
      </c>
      <c r="B423" s="23" t="s">
        <v>68</v>
      </c>
      <c r="C423" s="21">
        <f t="shared" si="10"/>
        <v>-98.46</v>
      </c>
      <c r="AE423" s="42">
        <v>-32.549999999999997</v>
      </c>
      <c r="AL423" s="42">
        <v>-34.82</v>
      </c>
      <c r="AP423" s="42">
        <v>-31.09</v>
      </c>
    </row>
    <row r="424" spans="1:158" x14ac:dyDescent="0.25">
      <c r="A424" s="127">
        <v>44439</v>
      </c>
      <c r="B424" s="23" t="s">
        <v>12</v>
      </c>
      <c r="C424" s="21">
        <f t="shared" si="10"/>
        <v>0</v>
      </c>
    </row>
    <row r="425" spans="1:158" x14ac:dyDescent="0.25">
      <c r="A425" s="127">
        <v>44439</v>
      </c>
      <c r="B425" s="23" t="s">
        <v>32</v>
      </c>
      <c r="C425" s="21">
        <f t="shared" si="10"/>
        <v>-17.125</v>
      </c>
      <c r="CF425" s="69">
        <v>-8.5649999999999995</v>
      </c>
      <c r="EW425" s="88">
        <v>-8.56</v>
      </c>
    </row>
    <row r="426" spans="1:158" x14ac:dyDescent="0.25">
      <c r="A426" s="127">
        <v>44439</v>
      </c>
      <c r="B426" s="23" t="s">
        <v>38</v>
      </c>
      <c r="C426" s="21">
        <f t="shared" si="10"/>
        <v>-302.77499999999998</v>
      </c>
      <c r="AQ426" s="69">
        <v>-170.16</v>
      </c>
      <c r="CP426" s="182">
        <v>-35.229999999999997</v>
      </c>
      <c r="CR426" s="69">
        <v>-97.385000000000005</v>
      </c>
    </row>
    <row r="427" spans="1:158" x14ac:dyDescent="0.25">
      <c r="A427" s="127">
        <v>44439</v>
      </c>
      <c r="B427" s="23" t="s">
        <v>14</v>
      </c>
      <c r="C427" s="21">
        <f t="shared" si="10"/>
        <v>-140.36500000000001</v>
      </c>
      <c r="AM427" s="69">
        <v>-8.2799999999999994</v>
      </c>
      <c r="AP427" s="42">
        <v>-33.5</v>
      </c>
      <c r="AV427" s="69">
        <v>-33.505000000000003</v>
      </c>
      <c r="BN427" s="69">
        <v>-33</v>
      </c>
      <c r="BT427" s="69">
        <v>-32.08</v>
      </c>
    </row>
    <row r="428" spans="1:158" x14ac:dyDescent="0.25">
      <c r="A428" s="127">
        <v>44439</v>
      </c>
      <c r="B428" s="23" t="s">
        <v>12</v>
      </c>
      <c r="C428" s="21">
        <f t="shared" si="10"/>
        <v>-19.829999999999998</v>
      </c>
      <c r="FB428" s="69">
        <v>-19.829999999999998</v>
      </c>
    </row>
    <row r="429" spans="1:158" x14ac:dyDescent="0.25">
      <c r="A429" s="127">
        <v>44439</v>
      </c>
      <c r="B429" s="23" t="s">
        <v>76</v>
      </c>
      <c r="C429" s="21">
        <f t="shared" si="10"/>
        <v>171.41499999999999</v>
      </c>
      <c r="BM429" s="88">
        <v>54.48</v>
      </c>
      <c r="BN429" s="69">
        <v>116.935</v>
      </c>
    </row>
    <row r="430" spans="1:158" x14ac:dyDescent="0.25">
      <c r="A430" s="127">
        <v>44440</v>
      </c>
      <c r="B430" s="23" t="s">
        <v>76</v>
      </c>
      <c r="C430" s="21">
        <f t="shared" si="10"/>
        <v>223.51499999999999</v>
      </c>
      <c r="Y430" s="69">
        <v>66.305000000000007</v>
      </c>
      <c r="AL430" s="42">
        <v>24.45</v>
      </c>
      <c r="AM430" s="69">
        <v>41.78</v>
      </c>
      <c r="BN430" s="69">
        <v>90.98</v>
      </c>
    </row>
    <row r="431" spans="1:158" x14ac:dyDescent="0.25">
      <c r="A431" s="127">
        <v>44441</v>
      </c>
      <c r="B431" s="23" t="s">
        <v>32</v>
      </c>
      <c r="C431" s="21">
        <f t="shared" si="10"/>
        <v>-205.98</v>
      </c>
      <c r="BZ431" s="69">
        <v>-66.81</v>
      </c>
      <c r="DN431" s="42">
        <v>-139.16999999999999</v>
      </c>
    </row>
    <row r="432" spans="1:158" x14ac:dyDescent="0.25">
      <c r="A432" s="127">
        <v>44441</v>
      </c>
      <c r="B432" s="23" t="s">
        <v>20</v>
      </c>
      <c r="C432" s="21">
        <f t="shared" si="10"/>
        <v>-25.3</v>
      </c>
      <c r="Y432" s="69">
        <v>-8.6300000000000008</v>
      </c>
      <c r="AB432" s="69">
        <v>-8.4499999999999993</v>
      </c>
      <c r="CF432" s="69">
        <v>-8.2200000000000006</v>
      </c>
    </row>
    <row r="433" spans="1:242" x14ac:dyDescent="0.25">
      <c r="A433" s="127">
        <v>44441</v>
      </c>
      <c r="B433" s="23" t="s">
        <v>27</v>
      </c>
      <c r="C433" s="21">
        <f t="shared" si="10"/>
        <v>-32.97</v>
      </c>
      <c r="Y433" s="69">
        <v>-8.52</v>
      </c>
      <c r="AI433" s="126">
        <v>-7.88</v>
      </c>
      <c r="AO433" s="46">
        <v>-8.76</v>
      </c>
      <c r="AT433" s="46">
        <v>-7.81</v>
      </c>
    </row>
    <row r="434" spans="1:242" x14ac:dyDescent="0.25">
      <c r="A434" s="127">
        <v>44441</v>
      </c>
      <c r="B434" s="23" t="s">
        <v>37</v>
      </c>
      <c r="C434" s="21">
        <f t="shared" si="10"/>
        <v>-92.83</v>
      </c>
      <c r="HK434" s="50">
        <v>-59.94</v>
      </c>
      <c r="HQ434" s="42">
        <v>-32.89</v>
      </c>
    </row>
    <row r="435" spans="1:242" x14ac:dyDescent="0.25">
      <c r="A435" s="127">
        <v>44441</v>
      </c>
      <c r="B435" s="23" t="s">
        <v>2</v>
      </c>
      <c r="C435" s="21">
        <f t="shared" si="10"/>
        <v>765.29</v>
      </c>
      <c r="HZ435" s="42">
        <v>253.9</v>
      </c>
      <c r="IH435" s="34">
        <v>511.39</v>
      </c>
    </row>
    <row r="436" spans="1:242" x14ac:dyDescent="0.25">
      <c r="A436" s="127">
        <v>44442</v>
      </c>
      <c r="B436" s="23" t="s">
        <v>15</v>
      </c>
      <c r="C436" s="21">
        <f t="shared" si="10"/>
        <v>-439.95</v>
      </c>
      <c r="AB436" s="69">
        <v>-67.334999999999994</v>
      </c>
      <c r="AL436" s="42">
        <v>-33.32</v>
      </c>
      <c r="AV436" s="69">
        <v>-33.655000000000001</v>
      </c>
      <c r="BN436" s="69">
        <v>-66.319999999999993</v>
      </c>
      <c r="CE436" s="42">
        <v>-16.5</v>
      </c>
      <c r="CF436" s="69">
        <v>-51.46</v>
      </c>
      <c r="DC436" s="42">
        <v>-66.3</v>
      </c>
      <c r="DI436" s="42">
        <v>-34.799999999999997</v>
      </c>
      <c r="DN436" s="42">
        <v>-70.260000000000005</v>
      </c>
    </row>
    <row r="437" spans="1:242" x14ac:dyDescent="0.25">
      <c r="A437" s="127">
        <v>44442</v>
      </c>
      <c r="B437" s="23" t="s">
        <v>53</v>
      </c>
      <c r="C437" s="21">
        <f t="shared" si="10"/>
        <v>-344.79</v>
      </c>
      <c r="DY437" s="42">
        <v>-344.79</v>
      </c>
    </row>
    <row r="438" spans="1:242" x14ac:dyDescent="0.25">
      <c r="A438" s="127">
        <v>44442</v>
      </c>
      <c r="B438" s="23" t="s">
        <v>41</v>
      </c>
      <c r="C438" s="21">
        <f t="shared" si="10"/>
        <v>-24.63</v>
      </c>
      <c r="BD438" s="121">
        <v>-8.16</v>
      </c>
      <c r="BN438" s="69">
        <v>-8.32</v>
      </c>
      <c r="BS438" s="42">
        <v>-8.15</v>
      </c>
    </row>
    <row r="439" spans="1:242" x14ac:dyDescent="0.25">
      <c r="A439" s="127">
        <v>44442</v>
      </c>
      <c r="B439" s="23" t="s">
        <v>58</v>
      </c>
      <c r="C439" s="21">
        <f t="shared" si="10"/>
        <v>-108.44499999999999</v>
      </c>
      <c r="FJ439" s="69">
        <v>-108.44499999999999</v>
      </c>
    </row>
    <row r="440" spans="1:242" x14ac:dyDescent="0.25">
      <c r="A440" s="127">
        <v>44443</v>
      </c>
      <c r="B440" s="23" t="s">
        <v>57</v>
      </c>
      <c r="C440" s="21">
        <f t="shared" si="10"/>
        <v>-42.16</v>
      </c>
      <c r="BS440" s="42">
        <v>-8.76</v>
      </c>
      <c r="BZ440" s="69">
        <v>-16.739999999999998</v>
      </c>
      <c r="CE440" s="42">
        <v>-16.66</v>
      </c>
    </row>
    <row r="441" spans="1:242" x14ac:dyDescent="0.25">
      <c r="A441" s="127">
        <v>44445</v>
      </c>
      <c r="B441" s="23" t="s">
        <v>34</v>
      </c>
      <c r="C441" s="21">
        <f t="shared" si="10"/>
        <v>-16.940000000000001</v>
      </c>
      <c r="CJ441" s="182">
        <v>-16.940000000000001</v>
      </c>
    </row>
    <row r="442" spans="1:242" x14ac:dyDescent="0.25">
      <c r="A442" s="127">
        <v>44445</v>
      </c>
      <c r="B442" s="23" t="s">
        <v>38</v>
      </c>
      <c r="C442" s="21">
        <f t="shared" si="10"/>
        <v>-101.38500000000001</v>
      </c>
      <c r="DD442" s="69">
        <v>-16.835000000000001</v>
      </c>
      <c r="ES442" s="69">
        <v>-84.55</v>
      </c>
    </row>
    <row r="443" spans="1:242" x14ac:dyDescent="0.25">
      <c r="A443" s="127">
        <v>44445</v>
      </c>
      <c r="B443" s="23" t="s">
        <v>50</v>
      </c>
      <c r="C443" s="21">
        <f t="shared" si="10"/>
        <v>-221.64</v>
      </c>
      <c r="HW443" s="42">
        <v>-92.9</v>
      </c>
      <c r="IB443" s="42">
        <v>-128.74</v>
      </c>
    </row>
    <row r="444" spans="1:242" x14ac:dyDescent="0.25">
      <c r="A444" s="127">
        <v>44445</v>
      </c>
      <c r="B444" s="23" t="s">
        <v>64</v>
      </c>
      <c r="C444" s="21">
        <f t="shared" si="10"/>
        <v>290.92500000000001</v>
      </c>
      <c r="Y444" s="69">
        <v>290.92500000000001</v>
      </c>
    </row>
    <row r="445" spans="1:242" x14ac:dyDescent="0.25">
      <c r="A445" s="127">
        <v>44445</v>
      </c>
      <c r="B445" s="23" t="s">
        <v>2</v>
      </c>
      <c r="C445" s="21">
        <f t="shared" si="10"/>
        <v>4952.96</v>
      </c>
      <c r="AU445" s="42">
        <v>520.75</v>
      </c>
      <c r="BA445" s="42">
        <v>522.09</v>
      </c>
      <c r="BG445" s="42">
        <v>519.72</v>
      </c>
      <c r="BM445" s="88">
        <v>521.59</v>
      </c>
      <c r="BS445" s="42">
        <v>307.37</v>
      </c>
      <c r="BY445" s="42">
        <v>523.59</v>
      </c>
      <c r="CE445" s="42">
        <v>519.65</v>
      </c>
      <c r="CK445" s="42">
        <v>510.9</v>
      </c>
      <c r="DC445" s="42">
        <v>514.03</v>
      </c>
      <c r="HL445" s="42">
        <v>493.27</v>
      </c>
    </row>
    <row r="446" spans="1:242" x14ac:dyDescent="0.25">
      <c r="A446" s="127">
        <v>44445</v>
      </c>
      <c r="B446" s="23" t="s">
        <v>68</v>
      </c>
      <c r="C446" s="21">
        <f t="shared" si="10"/>
        <v>-169.4</v>
      </c>
      <c r="AU446" s="42">
        <v>-34.72</v>
      </c>
      <c r="BG446" s="42">
        <v>-34.53</v>
      </c>
      <c r="BS446" s="42">
        <v>-30.79</v>
      </c>
      <c r="BY446" s="42">
        <v>-34.71</v>
      </c>
      <c r="CE446" s="42">
        <v>-34.65</v>
      </c>
    </row>
    <row r="447" spans="1:242" x14ac:dyDescent="0.25">
      <c r="A447" s="127">
        <v>44446</v>
      </c>
      <c r="B447" s="23" t="s">
        <v>37</v>
      </c>
      <c r="C447" s="21">
        <f t="shared" si="10"/>
        <v>-65.72</v>
      </c>
      <c r="HQ447" s="42">
        <v>-65.72</v>
      </c>
    </row>
    <row r="448" spans="1:242" x14ac:dyDescent="0.25">
      <c r="A448" s="127">
        <v>44446</v>
      </c>
      <c r="B448" s="23" t="s">
        <v>20</v>
      </c>
      <c r="C448" s="21">
        <f t="shared" si="10"/>
        <v>-41.79</v>
      </c>
      <c r="AP448" s="42">
        <v>-8.36</v>
      </c>
      <c r="AU448" s="42">
        <v>-8.43</v>
      </c>
      <c r="BA448" s="42">
        <v>-8.74</v>
      </c>
      <c r="BJ448" s="121">
        <v>-7.88</v>
      </c>
      <c r="BM448" s="88">
        <v>-8.3800000000000008</v>
      </c>
    </row>
    <row r="449" spans="1:236" x14ac:dyDescent="0.25">
      <c r="A449" s="127">
        <v>44446</v>
      </c>
      <c r="B449" s="23" t="s">
        <v>37</v>
      </c>
      <c r="C449" s="21">
        <f t="shared" si="10"/>
        <v>-65.72</v>
      </c>
      <c r="HQ449" s="42">
        <v>-65.72</v>
      </c>
    </row>
    <row r="450" spans="1:236" x14ac:dyDescent="0.25">
      <c r="A450" s="127">
        <v>44446</v>
      </c>
      <c r="B450" s="23" t="s">
        <v>32</v>
      </c>
      <c r="C450" s="21">
        <f t="shared" si="10"/>
        <v>-8.1199999999999992</v>
      </c>
      <c r="EF450" s="69">
        <v>-8.4250000000000007</v>
      </c>
      <c r="ES450" s="69">
        <v>-8.26</v>
      </c>
      <c r="EW450" s="88">
        <v>8.5649999999999995</v>
      </c>
    </row>
    <row r="451" spans="1:236" x14ac:dyDescent="0.25">
      <c r="A451" s="127">
        <v>44446</v>
      </c>
      <c r="B451" s="23" t="s">
        <v>37</v>
      </c>
      <c r="C451" s="21">
        <f t="shared" si="10"/>
        <v>-129.97</v>
      </c>
      <c r="HK451" s="50">
        <v>-67.400000000000006</v>
      </c>
      <c r="HL451" s="42">
        <v>-62.57</v>
      </c>
    </row>
    <row r="452" spans="1:236" x14ac:dyDescent="0.25">
      <c r="A452" s="127">
        <v>44446</v>
      </c>
      <c r="B452" s="23" t="s">
        <v>59</v>
      </c>
      <c r="C452" s="21">
        <f t="shared" si="10"/>
        <v>-8.4</v>
      </c>
      <c r="CK452" s="42">
        <v>-8.4</v>
      </c>
    </row>
    <row r="453" spans="1:236" x14ac:dyDescent="0.25">
      <c r="A453" s="127">
        <v>44446</v>
      </c>
      <c r="B453" s="23" t="s">
        <v>41</v>
      </c>
      <c r="C453" s="21">
        <f t="shared" si="10"/>
        <v>-16.285</v>
      </c>
      <c r="BN453" s="69">
        <v>-8.7349999999999994</v>
      </c>
      <c r="BS453" s="42">
        <v>-7.55</v>
      </c>
    </row>
    <row r="454" spans="1:236" x14ac:dyDescent="0.25">
      <c r="A454" s="127">
        <v>44446</v>
      </c>
      <c r="B454" s="23" t="s">
        <v>18</v>
      </c>
      <c r="C454" s="21">
        <f t="shared" si="10"/>
        <v>-1055.9100000000001</v>
      </c>
      <c r="U454" s="69">
        <v>-34.25</v>
      </c>
      <c r="Y454" s="69">
        <v>-34.045000000000002</v>
      </c>
      <c r="AB454" s="69">
        <v>-34.174999999999997</v>
      </c>
      <c r="AF454" s="69">
        <v>-33.424999999999997</v>
      </c>
      <c r="AL454" s="42">
        <v>-8.16</v>
      </c>
      <c r="AM454" s="69">
        <v>-26</v>
      </c>
      <c r="AQ454" s="69">
        <v>-33.83</v>
      </c>
      <c r="AU454" s="42">
        <v>-70.23</v>
      </c>
      <c r="BA454" s="42">
        <v>-69.959999999999994</v>
      </c>
      <c r="BG454" s="42">
        <v>-69.42</v>
      </c>
      <c r="BM454" s="88">
        <v>-138.38999999999999</v>
      </c>
      <c r="BS454" s="42">
        <v>-92.1</v>
      </c>
      <c r="BY454" s="42">
        <v>-105.22</v>
      </c>
      <c r="BZ454" s="69">
        <v>-33.615000000000002</v>
      </c>
      <c r="CE454" s="42">
        <v>-138.63999999999999</v>
      </c>
      <c r="CK454" s="42">
        <v>-134.44999999999999</v>
      </c>
    </row>
    <row r="455" spans="1:236" x14ac:dyDescent="0.25">
      <c r="A455" s="127">
        <v>44446</v>
      </c>
      <c r="B455" s="23" t="s">
        <v>77</v>
      </c>
      <c r="C455" s="21">
        <f t="shared" si="10"/>
        <v>-100.38</v>
      </c>
      <c r="BS455" s="42">
        <v>-30.87</v>
      </c>
      <c r="DT455" s="69">
        <v>-34.479999999999997</v>
      </c>
      <c r="DY455" s="42">
        <v>-35.03</v>
      </c>
    </row>
    <row r="456" spans="1:236" x14ac:dyDescent="0.25">
      <c r="A456" s="127">
        <v>44447</v>
      </c>
      <c r="B456" s="23" t="s">
        <v>57</v>
      </c>
      <c r="C456" s="21">
        <f t="shared" ref="C456:C519" si="11">SUM(I456:JT456)</f>
        <v>-19.579999999999998</v>
      </c>
      <c r="CK456" s="42">
        <v>-19.579999999999998</v>
      </c>
    </row>
    <row r="457" spans="1:236" x14ac:dyDescent="0.25">
      <c r="A457" s="127">
        <v>44447</v>
      </c>
      <c r="B457" s="23" t="s">
        <v>14</v>
      </c>
      <c r="C457" s="21">
        <f t="shared" si="11"/>
        <v>-596.76</v>
      </c>
      <c r="AU457" s="42">
        <v>-69.13</v>
      </c>
      <c r="AV457" s="69">
        <v>-26.85</v>
      </c>
      <c r="BN457" s="69">
        <v>-93.99</v>
      </c>
      <c r="BY457" s="42">
        <v>-69.98</v>
      </c>
      <c r="CE457" s="42">
        <v>-16.88</v>
      </c>
      <c r="CF457" s="69">
        <v>-47.96</v>
      </c>
      <c r="CK457" s="42">
        <v>-67.98</v>
      </c>
      <c r="CR457" s="69">
        <v>-33.72</v>
      </c>
      <c r="CW457" s="42">
        <v>-34.67</v>
      </c>
      <c r="DC457" s="42">
        <v>-66.12</v>
      </c>
      <c r="DI457" s="42">
        <v>-34.89</v>
      </c>
      <c r="DY457" s="42">
        <v>-34.590000000000003</v>
      </c>
    </row>
    <row r="458" spans="1:236" x14ac:dyDescent="0.25">
      <c r="A458" s="127">
        <v>44447</v>
      </c>
      <c r="B458" s="23" t="s">
        <v>19</v>
      </c>
      <c r="C458" s="21">
        <f t="shared" si="11"/>
        <v>-562.77499999999998</v>
      </c>
      <c r="ES458" s="69">
        <v>-33.475000000000001</v>
      </c>
      <c r="EW458" s="88">
        <v>-33.22</v>
      </c>
      <c r="FB458" s="69">
        <v>-21.815000000000001</v>
      </c>
      <c r="FF458" s="88">
        <v>-21.484999999999999</v>
      </c>
      <c r="FJ458" s="69">
        <v>-21.754999999999999</v>
      </c>
      <c r="GE458" s="88">
        <v>-21.164999999999999</v>
      </c>
      <c r="HU458" s="42">
        <v>-164.37</v>
      </c>
      <c r="HZ458" s="42">
        <v>-127.52</v>
      </c>
      <c r="IB458" s="42">
        <v>-117.97</v>
      </c>
    </row>
    <row r="459" spans="1:236" x14ac:dyDescent="0.25">
      <c r="A459" s="127">
        <v>44447</v>
      </c>
      <c r="B459" s="23" t="s">
        <v>12</v>
      </c>
      <c r="C459" s="21">
        <f t="shared" si="11"/>
        <v>-42.884999999999998</v>
      </c>
      <c r="FF459" s="88">
        <v>-42.884999999999998</v>
      </c>
    </row>
    <row r="460" spans="1:236" x14ac:dyDescent="0.25">
      <c r="A460" s="127">
        <v>44447</v>
      </c>
      <c r="B460" s="23" t="s">
        <v>32</v>
      </c>
      <c r="C460" s="21">
        <f t="shared" si="11"/>
        <v>-73.98</v>
      </c>
      <c r="AP460" s="42">
        <v>-8.36</v>
      </c>
      <c r="BA460" s="42">
        <v>-26.29</v>
      </c>
      <c r="BG460" s="42">
        <v>-8.67</v>
      </c>
      <c r="BS460" s="42">
        <v>-30.66</v>
      </c>
    </row>
    <row r="461" spans="1:236" x14ac:dyDescent="0.25">
      <c r="A461" s="127">
        <v>44447</v>
      </c>
      <c r="B461" s="23" t="s">
        <v>44</v>
      </c>
      <c r="C461" s="21">
        <f t="shared" si="11"/>
        <v>-129.80000000000001</v>
      </c>
      <c r="GP461" s="42">
        <v>-129.80000000000001</v>
      </c>
    </row>
    <row r="462" spans="1:236" x14ac:dyDescent="0.25">
      <c r="A462" s="127">
        <v>44447</v>
      </c>
      <c r="B462" s="23" t="s">
        <v>13</v>
      </c>
      <c r="C462" s="21">
        <f t="shared" si="11"/>
        <v>-303.15499999999997</v>
      </c>
      <c r="U462" s="69">
        <v>-8.6150000000000002</v>
      </c>
      <c r="Y462" s="69">
        <v>-17.085000000000001</v>
      </c>
      <c r="AV462" s="69">
        <v>-29.405000000000001</v>
      </c>
      <c r="BA462" s="42">
        <v>-34.729999999999997</v>
      </c>
      <c r="BG462" s="42">
        <v>-34.619999999999997</v>
      </c>
      <c r="BM462" s="88">
        <v>-34.85</v>
      </c>
      <c r="BS462" s="42">
        <v>-31.23</v>
      </c>
      <c r="DC462" s="42">
        <v>-34.97</v>
      </c>
      <c r="DZ462" s="69">
        <v>-33.884999999999998</v>
      </c>
      <c r="FU462" s="88">
        <v>-43.765000000000001</v>
      </c>
    </row>
    <row r="463" spans="1:236" x14ac:dyDescent="0.25">
      <c r="A463" s="127">
        <v>44447</v>
      </c>
      <c r="B463" s="23" t="s">
        <v>15</v>
      </c>
      <c r="C463" s="21">
        <f t="shared" si="11"/>
        <v>-372.495</v>
      </c>
      <c r="U463" s="69">
        <v>-34.51</v>
      </c>
      <c r="AQ463" s="69">
        <v>-33.89</v>
      </c>
      <c r="BA463" s="42">
        <v>-69.319999999999993</v>
      </c>
      <c r="BG463" s="42">
        <v>-68.98</v>
      </c>
      <c r="BS463" s="42">
        <v>-31.39</v>
      </c>
      <c r="CE463" s="42">
        <v>-66.040000000000006</v>
      </c>
      <c r="CR463" s="69">
        <v>-33.695</v>
      </c>
      <c r="CW463" s="42">
        <v>-34.67</v>
      </c>
    </row>
    <row r="464" spans="1:236" x14ac:dyDescent="0.25">
      <c r="A464" s="127">
        <v>44447</v>
      </c>
      <c r="B464" s="23" t="s">
        <v>37</v>
      </c>
      <c r="C464" s="21">
        <f t="shared" si="11"/>
        <v>-94.09</v>
      </c>
      <c r="HK464" s="50">
        <v>-60.98</v>
      </c>
      <c r="HQ464" s="42">
        <v>-33.11</v>
      </c>
    </row>
    <row r="465" spans="1:225" x14ac:dyDescent="0.25">
      <c r="A465" s="127">
        <v>44448</v>
      </c>
      <c r="B465" s="23" t="s">
        <v>12</v>
      </c>
      <c r="C465" s="21">
        <f t="shared" si="11"/>
        <v>0</v>
      </c>
    </row>
    <row r="466" spans="1:225" x14ac:dyDescent="0.25">
      <c r="A466" s="127">
        <v>44448</v>
      </c>
      <c r="B466" s="23" t="s">
        <v>54</v>
      </c>
      <c r="C466" s="21">
        <f t="shared" si="11"/>
        <v>-348.89</v>
      </c>
      <c r="Y466" s="69">
        <v>-8.5050000000000008</v>
      </c>
      <c r="BA466" s="42">
        <v>-68.989999999999995</v>
      </c>
      <c r="BG466" s="42">
        <v>-35.07</v>
      </c>
      <c r="BM466" s="88">
        <v>-69.84</v>
      </c>
      <c r="BY466" s="42">
        <v>-34.9</v>
      </c>
      <c r="DC466" s="42">
        <v>-65.84</v>
      </c>
      <c r="DJ466" s="69">
        <v>-32.979999999999997</v>
      </c>
      <c r="EF466" s="69">
        <v>-32.765000000000001</v>
      </c>
    </row>
    <row r="467" spans="1:225" x14ac:dyDescent="0.25">
      <c r="A467" s="127">
        <v>44448</v>
      </c>
      <c r="B467" s="23" t="s">
        <v>27</v>
      </c>
      <c r="C467" s="21">
        <f t="shared" si="11"/>
        <v>-66.42</v>
      </c>
      <c r="AZ467" s="182">
        <v>-8.8000000000000007</v>
      </c>
      <c r="BJ467" s="121">
        <v>-7.3</v>
      </c>
      <c r="CB467" s="121">
        <v>-8.26</v>
      </c>
      <c r="CK467" s="42">
        <v>-8.44</v>
      </c>
      <c r="DY467" s="42">
        <v>-8.3699999999999992</v>
      </c>
      <c r="EB467" s="121">
        <v>-8.32</v>
      </c>
      <c r="EF467" s="69">
        <v>-16.93</v>
      </c>
    </row>
    <row r="468" spans="1:225" x14ac:dyDescent="0.25">
      <c r="A468" s="127">
        <v>44448</v>
      </c>
      <c r="B468" s="23" t="s">
        <v>45</v>
      </c>
      <c r="C468" s="21">
        <f t="shared" si="11"/>
        <v>-25.62</v>
      </c>
      <c r="BA468" s="42">
        <v>-8.73</v>
      </c>
      <c r="BG468" s="42">
        <v>-8.64</v>
      </c>
      <c r="BM468" s="88">
        <v>-8.25</v>
      </c>
    </row>
    <row r="469" spans="1:225" x14ac:dyDescent="0.25">
      <c r="A469" s="127">
        <v>44448</v>
      </c>
      <c r="B469" s="23" t="s">
        <v>78</v>
      </c>
      <c r="C469" s="21">
        <f t="shared" si="11"/>
        <v>-136.32</v>
      </c>
      <c r="BA469" s="42">
        <v>-8.6300000000000008</v>
      </c>
      <c r="BG469" s="42">
        <v>-17.34</v>
      </c>
      <c r="BM469" s="88">
        <v>-25.95</v>
      </c>
      <c r="BS469" s="42">
        <v>-7.5</v>
      </c>
      <c r="BZ469" s="69">
        <v>-16.86</v>
      </c>
      <c r="CE469" s="42">
        <v>-26.08</v>
      </c>
      <c r="CK469" s="42">
        <v>-16.809999999999999</v>
      </c>
      <c r="CW469" s="42">
        <v>-17.149999999999999</v>
      </c>
    </row>
    <row r="470" spans="1:225" x14ac:dyDescent="0.25">
      <c r="A470" s="127">
        <v>44448</v>
      </c>
      <c r="B470" s="23" t="s">
        <v>32</v>
      </c>
      <c r="C470" s="21">
        <f t="shared" si="11"/>
        <v>-348.08</v>
      </c>
      <c r="AU470" s="42">
        <v>-34.78</v>
      </c>
      <c r="BA470" s="42">
        <v>-34.96</v>
      </c>
      <c r="BG470" s="42">
        <v>-34.49</v>
      </c>
      <c r="BM470" s="88">
        <v>-35.67</v>
      </c>
      <c r="BY470" s="42">
        <v>-34.78</v>
      </c>
      <c r="CE470" s="42">
        <v>-34.700000000000003</v>
      </c>
      <c r="CK470" s="42">
        <v>-34.799999999999997</v>
      </c>
      <c r="CW470" s="42">
        <v>-34.5</v>
      </c>
      <c r="DI470" s="42">
        <v>-34.36</v>
      </c>
      <c r="DN470" s="42">
        <v>-35.04</v>
      </c>
    </row>
    <row r="471" spans="1:225" x14ac:dyDescent="0.25">
      <c r="A471" s="127">
        <v>44448</v>
      </c>
      <c r="B471" s="23" t="s">
        <v>63</v>
      </c>
      <c r="C471" s="21">
        <f t="shared" si="11"/>
        <v>-243.59</v>
      </c>
      <c r="AU471" s="42">
        <v>-35.81</v>
      </c>
      <c r="BA471" s="42">
        <v>-34.229999999999997</v>
      </c>
      <c r="BG471" s="42">
        <v>-34.06</v>
      </c>
      <c r="BM471" s="88">
        <v>-34.869999999999997</v>
      </c>
      <c r="CE471" s="42">
        <v>-34.67</v>
      </c>
      <c r="CK471" s="42">
        <v>-35.18</v>
      </c>
      <c r="DN471" s="42">
        <v>-34.770000000000003</v>
      </c>
    </row>
    <row r="472" spans="1:225" x14ac:dyDescent="0.25">
      <c r="A472" s="127">
        <v>44449</v>
      </c>
      <c r="B472" s="23" t="s">
        <v>57</v>
      </c>
      <c r="C472" s="21">
        <f t="shared" si="11"/>
        <v>-8.68</v>
      </c>
      <c r="CW472" s="42">
        <v>-8.68</v>
      </c>
    </row>
    <row r="473" spans="1:225" x14ac:dyDescent="0.25">
      <c r="A473" s="127">
        <v>44449</v>
      </c>
      <c r="B473" s="23" t="s">
        <v>78</v>
      </c>
      <c r="C473" s="21">
        <f t="shared" si="11"/>
        <v>-86.57</v>
      </c>
      <c r="BG473" s="42">
        <v>-17.260000000000002</v>
      </c>
      <c r="BM473" s="88">
        <v>-17.489999999999998</v>
      </c>
      <c r="BY473" s="42">
        <v>-25.99</v>
      </c>
      <c r="CE473" s="42">
        <v>-17.39</v>
      </c>
      <c r="CK473" s="42">
        <v>-8.44</v>
      </c>
    </row>
    <row r="474" spans="1:225" x14ac:dyDescent="0.25">
      <c r="A474" s="127">
        <v>44449</v>
      </c>
      <c r="B474" s="23" t="s">
        <v>15</v>
      </c>
      <c r="C474" s="21">
        <f t="shared" si="11"/>
        <v>-34.83</v>
      </c>
      <c r="CK474" s="42">
        <v>-34.83</v>
      </c>
    </row>
    <row r="475" spans="1:225" x14ac:dyDescent="0.25">
      <c r="A475" s="127">
        <v>44449</v>
      </c>
      <c r="B475" s="23" t="s">
        <v>18</v>
      </c>
      <c r="C475" s="21">
        <f t="shared" si="11"/>
        <v>-307.52499999999998</v>
      </c>
      <c r="AQ475" s="69">
        <v>-33.784999999999997</v>
      </c>
      <c r="BA475" s="42">
        <v>-35.020000000000003</v>
      </c>
      <c r="BG475" s="42">
        <v>-34.549999999999997</v>
      </c>
      <c r="BM475" s="88">
        <v>-34.76</v>
      </c>
      <c r="BY475" s="42">
        <v>-35.049999999999997</v>
      </c>
      <c r="DD475" s="69">
        <v>-67.680000000000007</v>
      </c>
      <c r="DO475" s="375">
        <v>-66.680000000000007</v>
      </c>
    </row>
    <row r="476" spans="1:225" x14ac:dyDescent="0.25">
      <c r="A476" s="131">
        <v>44450</v>
      </c>
      <c r="B476" s="23" t="s">
        <v>13</v>
      </c>
      <c r="C476" s="21">
        <f t="shared" si="11"/>
        <v>-183.065</v>
      </c>
      <c r="Y476" s="69">
        <v>-8.5350000000000001</v>
      </c>
      <c r="AU476" s="42">
        <v>-35.17</v>
      </c>
      <c r="BA476" s="42">
        <v>-34.979999999999997</v>
      </c>
      <c r="BG476" s="42">
        <v>-34.619999999999997</v>
      </c>
      <c r="BM476" s="88">
        <v>-34.68</v>
      </c>
      <c r="BY476" s="42">
        <v>-35.08</v>
      </c>
    </row>
    <row r="477" spans="1:225" x14ac:dyDescent="0.25">
      <c r="A477" s="131">
        <v>44450</v>
      </c>
      <c r="B477" s="23" t="s">
        <v>78</v>
      </c>
      <c r="C477" s="21">
        <f t="shared" si="11"/>
        <v>-68.31</v>
      </c>
      <c r="BM477" s="88">
        <v>-51.55</v>
      </c>
      <c r="CK477" s="42">
        <v>-16.760000000000002</v>
      </c>
    </row>
    <row r="478" spans="1:225" x14ac:dyDescent="0.25">
      <c r="A478" s="131">
        <v>44450</v>
      </c>
      <c r="B478" s="23" t="s">
        <v>37</v>
      </c>
      <c r="C478" s="21">
        <f t="shared" si="11"/>
        <v>-65.099999999999994</v>
      </c>
      <c r="HQ478" s="42">
        <v>-65.099999999999994</v>
      </c>
    </row>
    <row r="479" spans="1:225" x14ac:dyDescent="0.25">
      <c r="A479" s="131">
        <v>44450</v>
      </c>
      <c r="B479" s="23" t="s">
        <v>79</v>
      </c>
      <c r="C479" s="21">
        <f t="shared" si="11"/>
        <v>-58.05</v>
      </c>
      <c r="U479" s="69">
        <v>-8.6300000000000008</v>
      </c>
      <c r="AP479" s="42">
        <v>-8.35</v>
      </c>
      <c r="BS479" s="42">
        <v>-15.02</v>
      </c>
      <c r="BY479" s="42">
        <v>-17.37</v>
      </c>
      <c r="CE479" s="42">
        <v>-8.68</v>
      </c>
    </row>
    <row r="480" spans="1:225" x14ac:dyDescent="0.25">
      <c r="A480" s="131">
        <v>44452</v>
      </c>
      <c r="B480" s="23" t="s">
        <v>80</v>
      </c>
      <c r="C480" s="21">
        <f t="shared" si="11"/>
        <v>-33.35</v>
      </c>
      <c r="AU480" s="42">
        <v>-17.260000000000002</v>
      </c>
      <c r="BS480" s="42">
        <v>-16.09</v>
      </c>
    </row>
    <row r="481" spans="1:231" x14ac:dyDescent="0.25">
      <c r="A481" s="131">
        <v>44452</v>
      </c>
      <c r="B481" s="23" t="s">
        <v>2</v>
      </c>
      <c r="C481" s="21">
        <f t="shared" si="11"/>
        <v>197.57</v>
      </c>
      <c r="BS481" s="42">
        <v>197.57</v>
      </c>
    </row>
    <row r="482" spans="1:231" x14ac:dyDescent="0.25">
      <c r="A482" s="131">
        <v>44453</v>
      </c>
      <c r="B482" s="23" t="s">
        <v>20</v>
      </c>
      <c r="C482" s="21">
        <f t="shared" si="11"/>
        <v>-42.25</v>
      </c>
      <c r="BA482" s="42">
        <v>-8.74</v>
      </c>
      <c r="BG482" s="42">
        <v>-8.65</v>
      </c>
      <c r="BM482" s="88">
        <v>-8.36</v>
      </c>
      <c r="BS482" s="42">
        <v>-7.68</v>
      </c>
      <c r="BY482" s="42">
        <v>-8.82</v>
      </c>
    </row>
    <row r="483" spans="1:231" x14ac:dyDescent="0.25">
      <c r="A483" s="131">
        <v>44453</v>
      </c>
      <c r="B483" s="23" t="s">
        <v>29</v>
      </c>
      <c r="C483" s="21">
        <f t="shared" si="11"/>
        <v>-33.85</v>
      </c>
      <c r="BA483" s="42">
        <v>-8.82</v>
      </c>
      <c r="BG483" s="42">
        <v>-8.69</v>
      </c>
      <c r="BM483" s="88">
        <v>-8.7100000000000009</v>
      </c>
      <c r="BS483" s="42">
        <v>-7.63</v>
      </c>
    </row>
    <row r="484" spans="1:231" x14ac:dyDescent="0.25">
      <c r="A484" s="131">
        <v>44453</v>
      </c>
      <c r="B484" s="23" t="s">
        <v>41</v>
      </c>
      <c r="C484" s="21">
        <f t="shared" si="11"/>
        <v>-51.96</v>
      </c>
      <c r="BA484" s="42">
        <v>-8.7100000000000009</v>
      </c>
      <c r="BG484" s="42">
        <v>-8.67</v>
      </c>
      <c r="BM484" s="88">
        <v>-8.6300000000000008</v>
      </c>
      <c r="BY484" s="42">
        <v>-17.29</v>
      </c>
      <c r="CE484" s="42">
        <v>-8.66</v>
      </c>
    </row>
    <row r="485" spans="1:231" x14ac:dyDescent="0.25">
      <c r="A485" s="131">
        <v>44453</v>
      </c>
      <c r="B485" s="23" t="s">
        <v>15</v>
      </c>
      <c r="C485" s="21">
        <f t="shared" si="11"/>
        <v>-69.355000000000004</v>
      </c>
      <c r="BA485" s="42">
        <v>-34.89</v>
      </c>
      <c r="BG485" s="42">
        <v>-17.739999999999998</v>
      </c>
      <c r="CR485" s="69">
        <v>-16.725000000000001</v>
      </c>
    </row>
    <row r="486" spans="1:231" x14ac:dyDescent="0.25">
      <c r="A486" s="131">
        <v>44453</v>
      </c>
      <c r="B486" s="23" t="s">
        <v>18</v>
      </c>
      <c r="C486" s="21">
        <f t="shared" si="11"/>
        <v>-158.31</v>
      </c>
      <c r="DC486" s="42">
        <v>-7.62</v>
      </c>
      <c r="EF486" s="69">
        <v>-14.8</v>
      </c>
      <c r="EJ486" s="42">
        <v>-43.34</v>
      </c>
      <c r="EO486" s="69">
        <v>-92.55</v>
      </c>
    </row>
    <row r="487" spans="1:231" x14ac:dyDescent="0.25">
      <c r="A487" s="131">
        <v>44453</v>
      </c>
      <c r="B487" s="23" t="s">
        <v>58</v>
      </c>
      <c r="C487" s="21">
        <f t="shared" si="11"/>
        <v>-8.56</v>
      </c>
      <c r="AU487" s="42">
        <v>-8.56</v>
      </c>
    </row>
    <row r="488" spans="1:231" x14ac:dyDescent="0.25">
      <c r="A488" s="131">
        <v>44454</v>
      </c>
      <c r="B488" s="23" t="s">
        <v>27</v>
      </c>
      <c r="C488" s="21">
        <f t="shared" si="11"/>
        <v>-40.06</v>
      </c>
      <c r="AZ488" s="182">
        <v>-8.4600000000000009</v>
      </c>
      <c r="BD488" s="121">
        <v>-8.34</v>
      </c>
      <c r="BJ488" s="121">
        <v>-7.97</v>
      </c>
      <c r="BP488" s="121">
        <v>-15.29</v>
      </c>
    </row>
    <row r="489" spans="1:231" x14ac:dyDescent="0.25">
      <c r="A489" s="131">
        <v>44454</v>
      </c>
      <c r="B489" s="23" t="s">
        <v>28</v>
      </c>
      <c r="C489" s="21">
        <f t="shared" si="11"/>
        <v>-29.1</v>
      </c>
      <c r="BM489" s="88">
        <v>-21.72</v>
      </c>
      <c r="BS489" s="42">
        <v>-7.38</v>
      </c>
    </row>
    <row r="490" spans="1:231" x14ac:dyDescent="0.25">
      <c r="A490" s="131">
        <v>44454</v>
      </c>
      <c r="B490" s="23" t="s">
        <v>45</v>
      </c>
      <c r="C490" s="21">
        <f t="shared" si="11"/>
        <v>-8.3699999999999992</v>
      </c>
      <c r="AP490" s="42">
        <v>-8.3699999999999992</v>
      </c>
    </row>
    <row r="491" spans="1:231" x14ac:dyDescent="0.25">
      <c r="A491" s="131">
        <v>44454</v>
      </c>
      <c r="B491" s="23" t="s">
        <v>57</v>
      </c>
      <c r="C491" s="21">
        <f t="shared" si="11"/>
        <v>-119.78</v>
      </c>
      <c r="AU491" s="42">
        <v>-17.18</v>
      </c>
      <c r="BA491" s="42">
        <v>-17.53</v>
      </c>
      <c r="BG491" s="42">
        <v>-26.41</v>
      </c>
      <c r="BM491" s="88">
        <v>-26.05</v>
      </c>
      <c r="BS491" s="42">
        <v>-15.1</v>
      </c>
      <c r="BY491" s="42">
        <v>-17.510000000000002</v>
      </c>
    </row>
    <row r="492" spans="1:231" x14ac:dyDescent="0.25">
      <c r="A492" s="131">
        <v>44455</v>
      </c>
      <c r="B492" s="23" t="s">
        <v>37</v>
      </c>
      <c r="C492" s="21">
        <f t="shared" si="11"/>
        <v>-96.65</v>
      </c>
      <c r="HQ492" s="42">
        <v>-96.65</v>
      </c>
    </row>
    <row r="493" spans="1:231" x14ac:dyDescent="0.25">
      <c r="A493" s="131">
        <v>44455</v>
      </c>
      <c r="B493" s="23" t="s">
        <v>12</v>
      </c>
      <c r="C493" s="21">
        <f t="shared" si="11"/>
        <v>-68.650000000000006</v>
      </c>
      <c r="BS493" s="42">
        <v>-68.650000000000006</v>
      </c>
    </row>
    <row r="494" spans="1:231" x14ac:dyDescent="0.25">
      <c r="A494" s="131">
        <v>44455</v>
      </c>
      <c r="B494" s="23" t="s">
        <v>19</v>
      </c>
      <c r="C494" s="21">
        <f t="shared" si="11"/>
        <v>-157.6</v>
      </c>
      <c r="HG494" s="42">
        <v>-63.56</v>
      </c>
      <c r="HL494" s="42">
        <v>-65.84</v>
      </c>
      <c r="HW494" s="42">
        <v>-28.2</v>
      </c>
    </row>
    <row r="495" spans="1:231" x14ac:dyDescent="0.25">
      <c r="A495" s="131">
        <v>44455</v>
      </c>
      <c r="B495" s="23" t="s">
        <v>13</v>
      </c>
      <c r="C495" s="21">
        <f t="shared" si="11"/>
        <v>-42.494999999999997</v>
      </c>
      <c r="O495" s="375">
        <v>-8.6150000000000002</v>
      </c>
      <c r="AQ495" s="69">
        <v>-33.880000000000003</v>
      </c>
    </row>
    <row r="496" spans="1:231" x14ac:dyDescent="0.25">
      <c r="A496" s="131">
        <v>44456</v>
      </c>
      <c r="B496" s="23" t="s">
        <v>20</v>
      </c>
      <c r="C496" s="21">
        <f t="shared" si="11"/>
        <v>-98.4</v>
      </c>
      <c r="GY496" s="42">
        <v>-98.4</v>
      </c>
    </row>
    <row r="497" spans="1:223" x14ac:dyDescent="0.25">
      <c r="A497" s="131">
        <v>44456</v>
      </c>
      <c r="B497" s="23" t="s">
        <v>60</v>
      </c>
      <c r="C497" s="21">
        <f t="shared" si="11"/>
        <v>-34.465000000000003</v>
      </c>
      <c r="Y497" s="69">
        <v>-34.465000000000003</v>
      </c>
    </row>
    <row r="498" spans="1:223" x14ac:dyDescent="0.25">
      <c r="A498" s="131">
        <v>44456</v>
      </c>
      <c r="B498" s="23" t="s">
        <v>60</v>
      </c>
      <c r="C498" s="21">
        <f t="shared" si="11"/>
        <v>-68.790000000000006</v>
      </c>
      <c r="AP498" s="42">
        <v>-24.91</v>
      </c>
      <c r="BY498" s="42">
        <v>-8.75</v>
      </c>
      <c r="CE498" s="42">
        <v>-35.130000000000003</v>
      </c>
    </row>
    <row r="499" spans="1:223" x14ac:dyDescent="0.25">
      <c r="A499" s="131">
        <v>44456</v>
      </c>
      <c r="B499" s="23" t="s">
        <v>38</v>
      </c>
      <c r="C499" s="21">
        <f t="shared" si="11"/>
        <v>510.87</v>
      </c>
      <c r="BN499" s="69">
        <v>102.39</v>
      </c>
      <c r="BZ499" s="69">
        <v>102.55</v>
      </c>
      <c r="CL499" s="69">
        <v>101.51</v>
      </c>
      <c r="CR499" s="69">
        <v>101.85</v>
      </c>
      <c r="DZ499" s="69">
        <v>102.57</v>
      </c>
    </row>
    <row r="500" spans="1:223" x14ac:dyDescent="0.25">
      <c r="A500" s="131">
        <v>44456</v>
      </c>
      <c r="B500" s="23" t="s">
        <v>26</v>
      </c>
      <c r="C500" s="21">
        <f t="shared" si="11"/>
        <v>-59.85</v>
      </c>
      <c r="AP500" s="42">
        <v>-16.649999999999999</v>
      </c>
      <c r="AU500" s="42">
        <v>-8.6999999999999993</v>
      </c>
      <c r="BG500" s="42">
        <v>-8.65</v>
      </c>
      <c r="BL500" s="182">
        <v>-8.89</v>
      </c>
      <c r="BY500" s="42">
        <v>-8.6999999999999993</v>
      </c>
      <c r="DD500" s="69">
        <v>-8.26</v>
      </c>
    </row>
    <row r="501" spans="1:223" x14ac:dyDescent="0.25">
      <c r="A501" s="131">
        <v>44456</v>
      </c>
      <c r="B501" s="23" t="s">
        <v>75</v>
      </c>
      <c r="C501" s="21">
        <f t="shared" si="11"/>
        <v>-102.23</v>
      </c>
      <c r="BZ501" s="69">
        <v>-17.05</v>
      </c>
      <c r="CE501" s="42">
        <v>-17.309999999999999</v>
      </c>
      <c r="CK501" s="42">
        <v>-16.7</v>
      </c>
      <c r="CR501" s="69">
        <v>-16.95</v>
      </c>
      <c r="CW501" s="42">
        <v>-34.22</v>
      </c>
    </row>
    <row r="502" spans="1:223" x14ac:dyDescent="0.25">
      <c r="A502" s="131">
        <v>44456</v>
      </c>
      <c r="B502" s="23" t="s">
        <v>25</v>
      </c>
      <c r="C502" s="21">
        <f t="shared" si="11"/>
        <v>-66.58</v>
      </c>
      <c r="BG502" s="42">
        <v>-8.66</v>
      </c>
      <c r="BL502" s="182">
        <v>-7.53</v>
      </c>
      <c r="BN502" s="69">
        <v>-8.5449999999999999</v>
      </c>
      <c r="BS502" s="42">
        <v>-15.89</v>
      </c>
      <c r="BZ502" s="69">
        <v>-8.5749999999999993</v>
      </c>
      <c r="CE502" s="42">
        <v>-17.38</v>
      </c>
    </row>
    <row r="503" spans="1:223" x14ac:dyDescent="0.25">
      <c r="A503" s="127">
        <v>44456</v>
      </c>
      <c r="B503" s="23" t="s">
        <v>44</v>
      </c>
      <c r="C503" s="21">
        <f t="shared" si="11"/>
        <v>-231.2</v>
      </c>
      <c r="GJ503" s="202">
        <v>-29.98</v>
      </c>
      <c r="GP503" s="42">
        <v>-169.8</v>
      </c>
      <c r="HE503" s="42">
        <v>-31.42</v>
      </c>
    </row>
    <row r="504" spans="1:223" x14ac:dyDescent="0.25">
      <c r="A504" s="127">
        <v>44456</v>
      </c>
      <c r="B504" s="23" t="s">
        <v>81</v>
      </c>
      <c r="C504" s="21">
        <f t="shared" si="11"/>
        <v>-195.17500000000001</v>
      </c>
      <c r="Q504" s="163">
        <v>-3.51</v>
      </c>
      <c r="U504" s="69">
        <v>-8.6300000000000008</v>
      </c>
      <c r="Y504" s="69">
        <v>-7.56</v>
      </c>
      <c r="AM504" s="69">
        <v>-7.84</v>
      </c>
      <c r="AP504" s="42">
        <v>-8.35</v>
      </c>
      <c r="BA504" s="42">
        <v>-8.82</v>
      </c>
      <c r="BD504" s="121">
        <v>-8.89</v>
      </c>
      <c r="BL504" s="182">
        <v>-16.66</v>
      </c>
      <c r="BN504" s="69">
        <v>-17.07</v>
      </c>
      <c r="BS504" s="42">
        <v>-15.67</v>
      </c>
      <c r="BZ504" s="69">
        <v>-8.5649999999999995</v>
      </c>
      <c r="CE504" s="42">
        <v>-17.37</v>
      </c>
      <c r="CK504" s="42">
        <v>-16.43</v>
      </c>
      <c r="CR504" s="69">
        <v>-16.95</v>
      </c>
      <c r="CW504" s="42">
        <v>-17.28</v>
      </c>
      <c r="DD504" s="69">
        <v>-15.58</v>
      </c>
    </row>
    <row r="505" spans="1:223" x14ac:dyDescent="0.25">
      <c r="A505" s="127">
        <v>44456</v>
      </c>
      <c r="B505" s="23" t="s">
        <v>64</v>
      </c>
      <c r="C505" s="21">
        <f t="shared" si="11"/>
        <v>312.01</v>
      </c>
      <c r="AM505" s="69">
        <v>328.33</v>
      </c>
      <c r="CK505" s="42">
        <v>-8.32</v>
      </c>
      <c r="CR505" s="69">
        <v>-8</v>
      </c>
    </row>
    <row r="506" spans="1:223" x14ac:dyDescent="0.25">
      <c r="A506" s="127">
        <v>44457</v>
      </c>
      <c r="B506" s="23" t="s">
        <v>15</v>
      </c>
      <c r="C506" s="21">
        <f t="shared" si="11"/>
        <v>-133.11000000000001</v>
      </c>
      <c r="BS506" s="42">
        <v>-16.16</v>
      </c>
      <c r="BV506" s="121">
        <v>-31.44</v>
      </c>
      <c r="CK506" s="42">
        <v>-16.760000000000002</v>
      </c>
      <c r="CL506" s="69">
        <v>-34.01</v>
      </c>
      <c r="CW506" s="42">
        <v>-25.74</v>
      </c>
      <c r="CZ506" s="121">
        <v>-9</v>
      </c>
    </row>
    <row r="507" spans="1:223" x14ac:dyDescent="0.25">
      <c r="A507" s="127">
        <v>44459</v>
      </c>
      <c r="B507" s="23" t="s">
        <v>32</v>
      </c>
      <c r="C507" s="21">
        <f t="shared" si="11"/>
        <v>-195.55500000000001</v>
      </c>
      <c r="U507" s="69">
        <v>-8.625</v>
      </c>
      <c r="AE507" s="42">
        <v>-50.46</v>
      </c>
      <c r="AU507" s="42">
        <v>-34.67</v>
      </c>
      <c r="BN507" s="69">
        <v>-34.14</v>
      </c>
      <c r="BS507" s="42">
        <v>-32.99</v>
      </c>
      <c r="DC507" s="42">
        <v>-34.67</v>
      </c>
    </row>
    <row r="508" spans="1:223" x14ac:dyDescent="0.25">
      <c r="A508" s="127">
        <v>44459</v>
      </c>
      <c r="B508" s="23" t="s">
        <v>17</v>
      </c>
      <c r="C508" s="21">
        <f t="shared" si="11"/>
        <v>-76.525000000000006</v>
      </c>
      <c r="BN508" s="69">
        <v>-8.5350000000000001</v>
      </c>
      <c r="CR508" s="69">
        <v>-67.989999999999995</v>
      </c>
    </row>
    <row r="509" spans="1:223" x14ac:dyDescent="0.25">
      <c r="A509" s="127">
        <v>44459</v>
      </c>
      <c r="B509" s="23" t="s">
        <v>37</v>
      </c>
      <c r="C509" s="21">
        <f t="shared" si="11"/>
        <v>-126.69</v>
      </c>
      <c r="HE509" s="42">
        <v>-29.88</v>
      </c>
      <c r="HK509" s="50">
        <v>-62.76</v>
      </c>
      <c r="HO509" s="42">
        <v>-34.049999999999997</v>
      </c>
    </row>
    <row r="510" spans="1:223" x14ac:dyDescent="0.25">
      <c r="A510" s="127">
        <v>44460</v>
      </c>
      <c r="B510" s="23" t="s">
        <v>51</v>
      </c>
      <c r="C510" s="21">
        <f t="shared" si="11"/>
        <v>-244.185</v>
      </c>
      <c r="L510" s="69">
        <v>-8.4700000000000006</v>
      </c>
      <c r="AB510" s="69">
        <v>-25.594999999999999</v>
      </c>
      <c r="AE510" s="42">
        <v>-67.790000000000006</v>
      </c>
      <c r="AM510" s="69">
        <v>-25.08</v>
      </c>
      <c r="AP510" s="42">
        <v>-24.91</v>
      </c>
      <c r="AU510" s="42">
        <v>-32.99</v>
      </c>
      <c r="BY510" s="42">
        <v>-17.07</v>
      </c>
      <c r="BZ510" s="69">
        <v>-25.5</v>
      </c>
      <c r="CK510" s="42">
        <v>-16.78</v>
      </c>
    </row>
    <row r="511" spans="1:223" x14ac:dyDescent="0.25">
      <c r="A511" s="127">
        <v>44460</v>
      </c>
      <c r="B511" s="23" t="s">
        <v>32</v>
      </c>
      <c r="C511" s="21">
        <f t="shared" si="11"/>
        <v>-43.984999999999999</v>
      </c>
      <c r="AU511" s="42">
        <v>-35.450000000000003</v>
      </c>
      <c r="BY511" s="42">
        <v>-8.5350000000000001</v>
      </c>
    </row>
    <row r="512" spans="1:223" x14ac:dyDescent="0.25">
      <c r="A512" s="127">
        <v>44460</v>
      </c>
      <c r="B512" s="23" t="s">
        <v>38</v>
      </c>
      <c r="C512" s="21">
        <f t="shared" si="11"/>
        <v>-33.18</v>
      </c>
      <c r="EW512" s="88">
        <v>-33.18</v>
      </c>
    </row>
    <row r="513" spans="1:238" x14ac:dyDescent="0.25">
      <c r="A513" s="127">
        <v>44460</v>
      </c>
      <c r="B513" s="23" t="s">
        <v>13</v>
      </c>
      <c r="C513" s="21">
        <f t="shared" si="11"/>
        <v>-266.58</v>
      </c>
      <c r="L513" s="69">
        <v>-8.4250000000000007</v>
      </c>
      <c r="O513" s="375">
        <v>-8.5549999999999997</v>
      </c>
      <c r="Y513" s="69">
        <v>-34.479999999999997</v>
      </c>
      <c r="AB513" s="69">
        <v>-34.164999999999999</v>
      </c>
      <c r="AE513" s="42">
        <v>-31.28</v>
      </c>
      <c r="AM513" s="69">
        <v>-15.84</v>
      </c>
      <c r="AQ513" s="69">
        <v>-33.4</v>
      </c>
      <c r="BZ513" s="69">
        <v>-34.225000000000001</v>
      </c>
      <c r="CL513" s="69">
        <v>-33.72</v>
      </c>
      <c r="CW513" s="42">
        <v>-32.49</v>
      </c>
    </row>
    <row r="514" spans="1:238" x14ac:dyDescent="0.25">
      <c r="A514" s="127">
        <v>44461</v>
      </c>
      <c r="B514" s="23" t="s">
        <v>37</v>
      </c>
      <c r="C514" s="21">
        <f t="shared" si="11"/>
        <v>-61.72</v>
      </c>
      <c r="HU514" s="42">
        <v>-61.72</v>
      </c>
    </row>
    <row r="515" spans="1:238" x14ac:dyDescent="0.25">
      <c r="A515" s="127">
        <v>44461</v>
      </c>
      <c r="B515" s="23" t="s">
        <v>27</v>
      </c>
      <c r="C515" s="21">
        <f t="shared" si="11"/>
        <v>-23.91</v>
      </c>
      <c r="BD515" s="121">
        <v>-8.74</v>
      </c>
      <c r="BX515" s="182">
        <v>-7.97</v>
      </c>
      <c r="CT515" s="121">
        <v>-7.2</v>
      </c>
    </row>
    <row r="516" spans="1:238" x14ac:dyDescent="0.25">
      <c r="A516" s="127">
        <v>44461</v>
      </c>
      <c r="B516" s="23" t="s">
        <v>20</v>
      </c>
      <c r="C516" s="21">
        <f t="shared" si="11"/>
        <v>-51.78</v>
      </c>
      <c r="BN516" s="69">
        <v>-8.5299999999999994</v>
      </c>
      <c r="BS516" s="42">
        <v>-8.58</v>
      </c>
      <c r="CE516" s="42">
        <v>-8.65</v>
      </c>
      <c r="CK516" s="42">
        <v>-8.4</v>
      </c>
      <c r="CR516" s="69">
        <v>-8.4600000000000009</v>
      </c>
      <c r="DB516" s="115">
        <v>-9.16</v>
      </c>
    </row>
    <row r="517" spans="1:238" x14ac:dyDescent="0.25">
      <c r="A517" s="127">
        <v>44461</v>
      </c>
      <c r="B517" s="23" t="s">
        <v>45</v>
      </c>
      <c r="C517" s="21">
        <f t="shared" si="11"/>
        <v>-16.84</v>
      </c>
      <c r="AB517" s="69">
        <v>-8.5399999999999991</v>
      </c>
      <c r="AM517" s="69">
        <v>-8.3000000000000007</v>
      </c>
    </row>
    <row r="518" spans="1:238" x14ac:dyDescent="0.25">
      <c r="A518" s="127">
        <v>44461</v>
      </c>
      <c r="B518" s="23" t="s">
        <v>19</v>
      </c>
      <c r="C518" s="21">
        <f t="shared" si="11"/>
        <v>-367.40499999999997</v>
      </c>
      <c r="FB518" s="69">
        <v>-65.094999999999999</v>
      </c>
      <c r="FF518" s="88">
        <v>-302.31</v>
      </c>
    </row>
    <row r="519" spans="1:238" x14ac:dyDescent="0.25">
      <c r="A519" s="127">
        <v>44461</v>
      </c>
      <c r="B519" s="23" t="s">
        <v>12</v>
      </c>
      <c r="C519" s="21">
        <f t="shared" si="11"/>
        <v>-41.564999999999998</v>
      </c>
      <c r="GE519" s="88">
        <v>-41.564999999999998</v>
      </c>
    </row>
    <row r="520" spans="1:238" x14ac:dyDescent="0.25">
      <c r="A520" s="127">
        <v>44461</v>
      </c>
      <c r="B520" s="23" t="s">
        <v>13</v>
      </c>
      <c r="C520" s="21">
        <f t="shared" ref="C520:C583" si="12">SUM(I520:JT520)</f>
        <v>-141.095</v>
      </c>
      <c r="Y520" s="69">
        <v>-7.28</v>
      </c>
      <c r="AE520" s="42">
        <v>-34.14</v>
      </c>
      <c r="DC520" s="42">
        <v>-32.35</v>
      </c>
      <c r="DJ520" s="69">
        <v>-33.5</v>
      </c>
      <c r="DO520" s="375">
        <v>-33.825000000000003</v>
      </c>
    </row>
    <row r="521" spans="1:238" x14ac:dyDescent="0.25">
      <c r="A521" s="127">
        <v>44461</v>
      </c>
      <c r="B521" s="23" t="s">
        <v>32</v>
      </c>
      <c r="C521" s="21">
        <f t="shared" si="12"/>
        <v>-17.135000000000002</v>
      </c>
      <c r="EF521" s="69">
        <v>-8.4350000000000005</v>
      </c>
      <c r="EJ521" s="42">
        <v>-8.6999999999999993</v>
      </c>
    </row>
    <row r="522" spans="1:238" x14ac:dyDescent="0.25">
      <c r="A522" s="127">
        <v>44461</v>
      </c>
      <c r="B522" s="23" t="s">
        <v>47</v>
      </c>
      <c r="C522" s="21">
        <f t="shared" si="12"/>
        <v>-133.94999999999999</v>
      </c>
      <c r="AM522" s="69">
        <v>-8.4600000000000009</v>
      </c>
      <c r="AU522" s="42">
        <v>-8.6300000000000008</v>
      </c>
      <c r="BD522" s="121">
        <v>-16.37</v>
      </c>
      <c r="BL522" s="182">
        <v>-17.579999999999998</v>
      </c>
      <c r="BS522" s="42">
        <v>-24.01</v>
      </c>
      <c r="BY522" s="42">
        <v>-26.31</v>
      </c>
      <c r="CJ522" s="182">
        <v>-24.2</v>
      </c>
      <c r="CL522" s="69">
        <v>-8.39</v>
      </c>
    </row>
    <row r="523" spans="1:238" x14ac:dyDescent="0.25">
      <c r="A523" s="127">
        <v>44461</v>
      </c>
      <c r="B523" s="23" t="s">
        <v>50</v>
      </c>
      <c r="C523" s="21">
        <f t="shared" si="12"/>
        <v>-86.105000000000004</v>
      </c>
      <c r="EY523" s="88">
        <v>-86.105000000000004</v>
      </c>
    </row>
    <row r="524" spans="1:238" x14ac:dyDescent="0.25">
      <c r="A524" s="127">
        <v>44461</v>
      </c>
      <c r="B524" s="23" t="s">
        <v>19</v>
      </c>
      <c r="C524" s="21">
        <f t="shared" si="12"/>
        <v>928.79</v>
      </c>
      <c r="AT524" s="46">
        <v>36.119999999999997</v>
      </c>
      <c r="AZ524" s="182">
        <v>67.650000000000006</v>
      </c>
      <c r="BD524" s="121">
        <v>23.13</v>
      </c>
      <c r="BF524" s="182">
        <v>70.53</v>
      </c>
      <c r="BL524" s="182">
        <v>70.19</v>
      </c>
      <c r="BP524" s="121">
        <v>32.1</v>
      </c>
      <c r="BR524" s="182">
        <v>62.03</v>
      </c>
      <c r="BX524" s="182">
        <v>35.39</v>
      </c>
      <c r="CB524" s="121">
        <v>33.54</v>
      </c>
      <c r="CC524" s="126">
        <v>66.150000000000006</v>
      </c>
      <c r="CJ524" s="182">
        <v>66.42</v>
      </c>
      <c r="CP524" s="182">
        <v>66.23</v>
      </c>
      <c r="CV524" s="115">
        <v>63.86</v>
      </c>
      <c r="DB524" s="115">
        <v>32.72</v>
      </c>
      <c r="DG524" s="126">
        <v>32.49</v>
      </c>
      <c r="DM524" s="46">
        <v>33.1</v>
      </c>
      <c r="DR524" s="46">
        <v>33.24</v>
      </c>
      <c r="DW524" s="126">
        <v>36.729999999999997</v>
      </c>
      <c r="EC524" s="126">
        <v>67.17</v>
      </c>
    </row>
    <row r="525" spans="1:238" x14ac:dyDescent="0.25">
      <c r="A525" s="127">
        <v>44461</v>
      </c>
      <c r="B525" s="23" t="s">
        <v>38</v>
      </c>
      <c r="C525" s="21">
        <f t="shared" si="12"/>
        <v>-70.08</v>
      </c>
      <c r="ID525" s="42">
        <v>-70.08</v>
      </c>
    </row>
    <row r="526" spans="1:238" x14ac:dyDescent="0.25">
      <c r="A526" s="127">
        <v>44462</v>
      </c>
      <c r="B526" s="23" t="s">
        <v>44</v>
      </c>
      <c r="C526" s="21">
        <f t="shared" si="12"/>
        <v>-22.57</v>
      </c>
      <c r="IB526" s="42">
        <v>-22.57</v>
      </c>
    </row>
    <row r="527" spans="1:238" x14ac:dyDescent="0.25">
      <c r="A527" s="127">
        <v>44463</v>
      </c>
      <c r="B527" s="23" t="s">
        <v>23</v>
      </c>
      <c r="C527" s="21">
        <f t="shared" si="12"/>
        <v>-259.04500000000002</v>
      </c>
      <c r="FJ527" s="69">
        <v>-259.04500000000002</v>
      </c>
    </row>
    <row r="528" spans="1:238" x14ac:dyDescent="0.25">
      <c r="A528" s="127">
        <v>44463</v>
      </c>
      <c r="B528" s="23" t="s">
        <v>15</v>
      </c>
      <c r="C528" s="21">
        <f t="shared" si="12"/>
        <v>-106.395</v>
      </c>
      <c r="BD528" s="121">
        <v>-7.85</v>
      </c>
      <c r="BL528" s="182">
        <v>-26.29</v>
      </c>
      <c r="CJ528" s="182">
        <v>-16.86</v>
      </c>
      <c r="CT528" s="121">
        <v>-17.579999999999998</v>
      </c>
      <c r="FJ528" s="69">
        <v>-16.350000000000001</v>
      </c>
      <c r="GA528" s="88">
        <v>-21.465</v>
      </c>
    </row>
    <row r="529" spans="1:223" x14ac:dyDescent="0.25">
      <c r="A529" s="127">
        <v>44463</v>
      </c>
      <c r="B529" s="23" t="s">
        <v>32</v>
      </c>
      <c r="C529" s="21">
        <f t="shared" si="12"/>
        <v>-34.744999999999997</v>
      </c>
      <c r="BN529" s="69">
        <v>-17.035</v>
      </c>
      <c r="BY529" s="42">
        <v>-9.0749999999999993</v>
      </c>
      <c r="BZ529" s="69">
        <v>-8.6349999999999998</v>
      </c>
    </row>
    <row r="530" spans="1:223" x14ac:dyDescent="0.25">
      <c r="A530" s="127">
        <v>44464</v>
      </c>
      <c r="B530" s="23" t="s">
        <v>12</v>
      </c>
      <c r="C530" s="21">
        <f t="shared" si="12"/>
        <v>-43.895000000000003</v>
      </c>
      <c r="FU530" s="88">
        <v>-43.895000000000003</v>
      </c>
    </row>
    <row r="531" spans="1:223" x14ac:dyDescent="0.25">
      <c r="A531" s="127">
        <v>44466</v>
      </c>
      <c r="B531" s="23" t="s">
        <v>75</v>
      </c>
      <c r="C531" s="21">
        <f t="shared" si="12"/>
        <v>-50.725000000000001</v>
      </c>
      <c r="BL531" s="182">
        <v>-8.77</v>
      </c>
      <c r="CL531" s="69">
        <v>-8.5399999999999991</v>
      </c>
      <c r="CR531" s="69">
        <v>-8.9149999999999991</v>
      </c>
      <c r="DB531" s="115">
        <v>-16.84</v>
      </c>
      <c r="DD531" s="69">
        <v>-7.66</v>
      </c>
    </row>
    <row r="532" spans="1:223" x14ac:dyDescent="0.25">
      <c r="A532" s="127">
        <v>44466</v>
      </c>
      <c r="B532" s="23" t="s">
        <v>27</v>
      </c>
      <c r="C532" s="21">
        <f t="shared" si="12"/>
        <v>-33.25</v>
      </c>
      <c r="BL532" s="182">
        <v>-8.6999999999999993</v>
      </c>
      <c r="CB532" s="121">
        <v>-8.17</v>
      </c>
      <c r="CP532" s="182">
        <v>-7.86</v>
      </c>
      <c r="CT532" s="121">
        <v>-8.52</v>
      </c>
    </row>
    <row r="533" spans="1:223" x14ac:dyDescent="0.25">
      <c r="A533" s="127">
        <v>44466</v>
      </c>
      <c r="B533" s="23" t="s">
        <v>15</v>
      </c>
      <c r="C533" s="21">
        <f t="shared" si="12"/>
        <v>-119.22</v>
      </c>
      <c r="DI533" s="42">
        <v>-51.94</v>
      </c>
      <c r="DO533" s="375">
        <v>-33.244999999999997</v>
      </c>
      <c r="DZ533" s="69">
        <v>-34.034999999999997</v>
      </c>
    </row>
    <row r="534" spans="1:223" x14ac:dyDescent="0.25">
      <c r="A534" s="127">
        <v>44466</v>
      </c>
      <c r="B534" s="23" t="s">
        <v>59</v>
      </c>
      <c r="C534" s="21">
        <f t="shared" si="12"/>
        <v>-7.59</v>
      </c>
      <c r="CJ534" s="182">
        <v>-7.59</v>
      </c>
    </row>
    <row r="535" spans="1:223" x14ac:dyDescent="0.25">
      <c r="A535" s="127">
        <v>44467</v>
      </c>
      <c r="B535" s="29" t="s">
        <v>44</v>
      </c>
      <c r="C535" s="21">
        <f t="shared" si="12"/>
        <v>-202</v>
      </c>
      <c r="GP535" s="42">
        <v>-202</v>
      </c>
    </row>
    <row r="536" spans="1:223" x14ac:dyDescent="0.25">
      <c r="A536" s="127">
        <v>44467</v>
      </c>
      <c r="B536" s="29" t="s">
        <v>20</v>
      </c>
      <c r="C536" s="21">
        <f t="shared" si="12"/>
        <v>-66.290000000000006</v>
      </c>
      <c r="BD536" s="121">
        <v>-7.41</v>
      </c>
      <c r="BL536" s="182">
        <v>-8.7799999999999994</v>
      </c>
      <c r="BN536" s="69">
        <v>-8.5350000000000001</v>
      </c>
      <c r="BX536" s="182">
        <v>-7.97</v>
      </c>
      <c r="CE536" s="42">
        <v>-8.66</v>
      </c>
      <c r="DC536" s="42">
        <v>-8.35</v>
      </c>
      <c r="DJ536" s="69">
        <v>-16.585000000000001</v>
      </c>
    </row>
    <row r="537" spans="1:223" x14ac:dyDescent="0.25">
      <c r="A537" s="127">
        <v>44467</v>
      </c>
      <c r="B537" s="29" t="s">
        <v>57</v>
      </c>
      <c r="C537" s="21">
        <f t="shared" si="12"/>
        <v>-17.010000000000002</v>
      </c>
      <c r="AB537" s="69">
        <v>-8.5399999999999991</v>
      </c>
      <c r="AE537" s="42">
        <v>-8.4700000000000006</v>
      </c>
    </row>
    <row r="538" spans="1:223" x14ac:dyDescent="0.25">
      <c r="A538" s="127">
        <v>44467</v>
      </c>
      <c r="B538" s="29" t="s">
        <v>32</v>
      </c>
      <c r="C538" s="21">
        <f t="shared" si="12"/>
        <v>-7.58</v>
      </c>
      <c r="BD538" s="121">
        <v>-7.58</v>
      </c>
    </row>
    <row r="539" spans="1:223" x14ac:dyDescent="0.25">
      <c r="A539" s="127">
        <v>44467</v>
      </c>
      <c r="B539" s="29" t="s">
        <v>43</v>
      </c>
      <c r="C539" s="21">
        <f t="shared" si="12"/>
        <v>-94.715000000000003</v>
      </c>
      <c r="DY539" s="42">
        <v>-26.18</v>
      </c>
      <c r="DZ539" s="69">
        <v>-68.534999999999997</v>
      </c>
    </row>
    <row r="540" spans="1:223" x14ac:dyDescent="0.25">
      <c r="A540" s="127">
        <v>44467</v>
      </c>
      <c r="B540" s="29" t="s">
        <v>37</v>
      </c>
      <c r="C540" s="21">
        <f t="shared" si="12"/>
        <v>-131.84</v>
      </c>
      <c r="HL540" s="42">
        <v>-97.79</v>
      </c>
      <c r="HO540" s="42">
        <v>-34.049999999999997</v>
      </c>
    </row>
    <row r="541" spans="1:223" x14ac:dyDescent="0.25">
      <c r="A541" s="127">
        <v>44467</v>
      </c>
      <c r="B541" s="29" t="s">
        <v>15</v>
      </c>
      <c r="C541" s="21">
        <f t="shared" si="12"/>
        <v>-43.63</v>
      </c>
      <c r="DC541" s="42">
        <v>-43.63</v>
      </c>
    </row>
    <row r="542" spans="1:223" x14ac:dyDescent="0.25">
      <c r="A542" s="127">
        <v>44468</v>
      </c>
      <c r="B542" s="23" t="s">
        <v>25</v>
      </c>
      <c r="C542" s="21">
        <f t="shared" si="12"/>
        <v>-40.03</v>
      </c>
      <c r="BL542" s="182">
        <v>-7.0000000000000007E-2</v>
      </c>
      <c r="BP542" s="121">
        <v>-7.16</v>
      </c>
      <c r="BX542" s="182">
        <v>-16.68</v>
      </c>
      <c r="CJ542" s="182">
        <v>-7.74</v>
      </c>
      <c r="CL542" s="69">
        <v>-8.3800000000000008</v>
      </c>
    </row>
    <row r="543" spans="1:223" x14ac:dyDescent="0.25">
      <c r="A543" s="127">
        <v>44468</v>
      </c>
      <c r="B543" s="23" t="s">
        <v>79</v>
      </c>
      <c r="C543" s="21">
        <f t="shared" si="12"/>
        <v>-8.43</v>
      </c>
      <c r="CJ543" s="182">
        <v>-8.43</v>
      </c>
    </row>
    <row r="544" spans="1:223" x14ac:dyDescent="0.25">
      <c r="A544" s="127">
        <v>44468</v>
      </c>
      <c r="B544" s="23" t="s">
        <v>15</v>
      </c>
      <c r="C544" s="21">
        <f t="shared" si="12"/>
        <v>-80.989999999999995</v>
      </c>
      <c r="CV544" s="115">
        <v>-48.27</v>
      </c>
      <c r="DB544" s="115">
        <v>-32.72</v>
      </c>
    </row>
    <row r="545" spans="1:242" x14ac:dyDescent="0.25">
      <c r="A545" s="127">
        <v>44468</v>
      </c>
      <c r="B545" s="23" t="s">
        <v>80</v>
      </c>
      <c r="C545" s="21">
        <f t="shared" si="12"/>
        <v>-24.33</v>
      </c>
      <c r="AM545" s="69">
        <v>-15.72</v>
      </c>
      <c r="AU545" s="42">
        <v>-8.61</v>
      </c>
    </row>
    <row r="546" spans="1:242" x14ac:dyDescent="0.25">
      <c r="A546" s="127">
        <v>44468</v>
      </c>
      <c r="B546" s="23" t="s">
        <v>50</v>
      </c>
      <c r="C546" s="21">
        <f t="shared" si="12"/>
        <v>-252.01</v>
      </c>
      <c r="GV546" s="42">
        <v>-92.4</v>
      </c>
      <c r="HZ546" s="42">
        <v>-95.08</v>
      </c>
      <c r="IH546" s="34">
        <v>-64.53</v>
      </c>
    </row>
    <row r="547" spans="1:242" x14ac:dyDescent="0.25">
      <c r="A547" s="127">
        <v>44468</v>
      </c>
      <c r="B547" s="23" t="s">
        <v>12</v>
      </c>
      <c r="C547" s="21">
        <f t="shared" si="12"/>
        <v>-43.534999999999997</v>
      </c>
      <c r="FF547" s="88">
        <v>-43.534999999999997</v>
      </c>
    </row>
    <row r="548" spans="1:242" x14ac:dyDescent="0.25">
      <c r="A548" s="127">
        <v>44469</v>
      </c>
      <c r="B548" s="23" t="s">
        <v>2</v>
      </c>
      <c r="C548" s="21">
        <f t="shared" si="12"/>
        <v>7752.18</v>
      </c>
      <c r="AL548" s="42">
        <v>318.58999999999997</v>
      </c>
      <c r="AP548" s="42">
        <v>312.44</v>
      </c>
      <c r="AU548" s="42">
        <v>528.02</v>
      </c>
      <c r="BA548" s="42">
        <v>511.39</v>
      </c>
      <c r="BG548" s="42">
        <v>763.79</v>
      </c>
      <c r="BM548" s="88">
        <v>752.58</v>
      </c>
      <c r="BS548" s="42">
        <v>751.6</v>
      </c>
      <c r="BY548" s="42">
        <v>523.46</v>
      </c>
      <c r="CE548" s="42">
        <v>525.23</v>
      </c>
      <c r="CK548" s="42">
        <v>511.2</v>
      </c>
      <c r="CQ548" s="42">
        <v>524.85</v>
      </c>
      <c r="CW548" s="42">
        <v>523.71</v>
      </c>
      <c r="DS548" s="42">
        <v>514.35</v>
      </c>
      <c r="DY548" s="42">
        <v>519.73</v>
      </c>
      <c r="HQ548" s="42">
        <v>171.24</v>
      </c>
    </row>
    <row r="549" spans="1:242" x14ac:dyDescent="0.25">
      <c r="A549" s="127">
        <v>44469</v>
      </c>
      <c r="B549" s="23" t="s">
        <v>58</v>
      </c>
      <c r="C549" s="21">
        <f t="shared" si="12"/>
        <v>-21.805</v>
      </c>
      <c r="EY549" s="88">
        <v>-21.805</v>
      </c>
    </row>
    <row r="550" spans="1:242" x14ac:dyDescent="0.25">
      <c r="A550" s="127">
        <v>44469</v>
      </c>
      <c r="B550" s="23" t="s">
        <v>82</v>
      </c>
      <c r="C550" s="21">
        <f t="shared" si="12"/>
        <v>-125.29</v>
      </c>
      <c r="HG550" s="42">
        <v>-61.85</v>
      </c>
      <c r="HQ550" s="42">
        <v>-63.44</v>
      </c>
    </row>
    <row r="551" spans="1:242" x14ac:dyDescent="0.25">
      <c r="A551" s="127">
        <v>44469</v>
      </c>
      <c r="B551" s="23" t="s">
        <v>20</v>
      </c>
      <c r="C551" s="21">
        <f t="shared" si="12"/>
        <v>-68.38</v>
      </c>
      <c r="BG551" s="42">
        <v>-8.69</v>
      </c>
      <c r="BM551" s="88">
        <v>-8.5500000000000007</v>
      </c>
      <c r="BS551" s="42">
        <v>-8.51</v>
      </c>
      <c r="BY551" s="42">
        <v>-8.8699999999999992</v>
      </c>
      <c r="CE551" s="42">
        <v>-8.7799999999999994</v>
      </c>
      <c r="CK551" s="42">
        <v>-8.48</v>
      </c>
      <c r="CQ551" s="42">
        <v>-8.7799999999999994</v>
      </c>
      <c r="CW551" s="42">
        <v>-7.72</v>
      </c>
    </row>
    <row r="552" spans="1:242" x14ac:dyDescent="0.25">
      <c r="A552" s="127">
        <v>44469</v>
      </c>
      <c r="B552" s="23" t="s">
        <v>32</v>
      </c>
      <c r="C552" s="21">
        <f t="shared" si="12"/>
        <v>-41.25</v>
      </c>
      <c r="AE552" s="42">
        <v>-16.239999999999998</v>
      </c>
      <c r="AP552" s="42">
        <v>-25.01</v>
      </c>
    </row>
    <row r="553" spans="1:242" x14ac:dyDescent="0.25">
      <c r="A553" s="127">
        <v>44469</v>
      </c>
      <c r="B553" s="23" t="s">
        <v>20</v>
      </c>
      <c r="C553" s="21">
        <f t="shared" si="12"/>
        <v>-8.74</v>
      </c>
      <c r="AM553" s="69">
        <v>-8.74</v>
      </c>
    </row>
    <row r="554" spans="1:242" x14ac:dyDescent="0.25">
      <c r="A554" s="127">
        <v>44469</v>
      </c>
      <c r="B554" s="23" t="s">
        <v>45</v>
      </c>
      <c r="C554" s="21">
        <f t="shared" si="12"/>
        <v>-33.1</v>
      </c>
      <c r="DM554" s="46">
        <v>-33.1</v>
      </c>
    </row>
    <row r="555" spans="1:242" x14ac:dyDescent="0.25">
      <c r="A555" s="127">
        <v>44470</v>
      </c>
      <c r="B555" s="23" t="s">
        <v>75</v>
      </c>
      <c r="C555" s="21">
        <f t="shared" si="12"/>
        <v>-12.15</v>
      </c>
      <c r="L555" s="69">
        <v>-8.49</v>
      </c>
      <c r="Q555" s="163">
        <v>-3.66</v>
      </c>
    </row>
    <row r="556" spans="1:242" x14ac:dyDescent="0.25">
      <c r="A556" s="127">
        <v>44470</v>
      </c>
      <c r="B556" s="23" t="s">
        <v>37</v>
      </c>
      <c r="C556" s="21">
        <f t="shared" si="12"/>
        <v>-162.61000000000001</v>
      </c>
      <c r="HK556" s="50">
        <v>-33.24</v>
      </c>
      <c r="HL556" s="42">
        <v>-66.319999999999993</v>
      </c>
      <c r="HQ556" s="42">
        <v>-63.05</v>
      </c>
    </row>
    <row r="557" spans="1:242" x14ac:dyDescent="0.25">
      <c r="A557" s="127">
        <v>44470</v>
      </c>
      <c r="B557" s="23" t="s">
        <v>23</v>
      </c>
      <c r="C557" s="21">
        <f t="shared" si="12"/>
        <v>0</v>
      </c>
    </row>
    <row r="558" spans="1:242" x14ac:dyDescent="0.25">
      <c r="A558" s="127">
        <v>44470</v>
      </c>
      <c r="B558" s="23" t="s">
        <v>78</v>
      </c>
      <c r="C558" s="21">
        <f t="shared" si="12"/>
        <v>-138.84</v>
      </c>
      <c r="BG558" s="42">
        <v>-16.66</v>
      </c>
      <c r="DY558" s="42">
        <v>-122.18</v>
      </c>
    </row>
    <row r="559" spans="1:242" x14ac:dyDescent="0.25">
      <c r="A559" s="127">
        <v>44470</v>
      </c>
      <c r="B559" s="23" t="s">
        <v>19</v>
      </c>
      <c r="C559" s="21">
        <f t="shared" si="12"/>
        <v>-612.63</v>
      </c>
      <c r="EJ559" s="42">
        <v>-314.83</v>
      </c>
      <c r="HG559" s="42">
        <v>-56.64</v>
      </c>
      <c r="HL559" s="42">
        <v>-64.849999999999994</v>
      </c>
      <c r="HU559" s="42">
        <v>-63.51</v>
      </c>
      <c r="HW559" s="42">
        <v>-56</v>
      </c>
      <c r="HY559" s="38">
        <v>-56.8</v>
      </c>
    </row>
    <row r="560" spans="1:242" x14ac:dyDescent="0.25">
      <c r="A560" s="127">
        <v>44470</v>
      </c>
      <c r="B560" s="23" t="s">
        <v>15</v>
      </c>
      <c r="C560" s="21">
        <f t="shared" si="12"/>
        <v>-33.04</v>
      </c>
      <c r="DC560" s="42">
        <v>-33.04</v>
      </c>
    </row>
    <row r="561" spans="1:220" x14ac:dyDescent="0.25">
      <c r="A561" s="127">
        <v>44470</v>
      </c>
      <c r="B561" s="23" t="s">
        <v>32</v>
      </c>
      <c r="C561" s="21">
        <f t="shared" si="12"/>
        <v>-105.78</v>
      </c>
      <c r="AU561" s="42">
        <v>-17.88</v>
      </c>
      <c r="BA561" s="42">
        <v>-25.92</v>
      </c>
      <c r="BG561" s="42">
        <v>-17.41</v>
      </c>
      <c r="BM561" s="88">
        <v>-25.63</v>
      </c>
      <c r="BR561" s="182">
        <v>-9.83</v>
      </c>
      <c r="BX561" s="182">
        <v>-9.11</v>
      </c>
    </row>
    <row r="562" spans="1:220" x14ac:dyDescent="0.25">
      <c r="A562" s="127">
        <v>44470</v>
      </c>
      <c r="B562" s="23" t="s">
        <v>59</v>
      </c>
      <c r="C562" s="21">
        <f t="shared" si="12"/>
        <v>-18.64</v>
      </c>
      <c r="DC562" s="42">
        <v>-8.93</v>
      </c>
      <c r="DW562" s="126">
        <v>-9.7100000000000009</v>
      </c>
    </row>
    <row r="563" spans="1:220" x14ac:dyDescent="0.25">
      <c r="A563" s="127">
        <v>44471</v>
      </c>
      <c r="B563" s="23" t="s">
        <v>15</v>
      </c>
      <c r="C563" s="21">
        <f t="shared" si="12"/>
        <v>-496.62</v>
      </c>
      <c r="AU563" s="42">
        <v>-43.32</v>
      </c>
      <c r="BA563" s="42">
        <v>-43.62</v>
      </c>
      <c r="BG563" s="42">
        <v>-52.14</v>
      </c>
      <c r="BM563" s="88">
        <v>-43.19</v>
      </c>
      <c r="BS563" s="42">
        <v>-51.27</v>
      </c>
      <c r="BY563" s="42">
        <v>-35.090000000000003</v>
      </c>
      <c r="CE563" s="42">
        <v>-34.01</v>
      </c>
      <c r="CK563" s="42">
        <v>-33.49</v>
      </c>
      <c r="CQ563" s="42">
        <v>-43.92</v>
      </c>
      <c r="CW563" s="42">
        <v>-42.87</v>
      </c>
      <c r="DC563" s="42">
        <v>-17.28</v>
      </c>
      <c r="DD563" s="69">
        <v>-22.15</v>
      </c>
      <c r="DI563" s="42">
        <v>-34.270000000000003</v>
      </c>
    </row>
    <row r="564" spans="1:220" x14ac:dyDescent="0.25">
      <c r="A564" s="127">
        <v>44471</v>
      </c>
      <c r="B564" s="23" t="s">
        <v>32</v>
      </c>
      <c r="C564" s="21">
        <f t="shared" si="12"/>
        <v>-382.66</v>
      </c>
      <c r="AL564" s="42">
        <v>-35.76</v>
      </c>
      <c r="AP564" s="42">
        <v>-34.19</v>
      </c>
      <c r="AU564" s="42">
        <v>-35.369999999999997</v>
      </c>
      <c r="BA564" s="42">
        <v>-34.380000000000003</v>
      </c>
      <c r="BG564" s="42">
        <v>-34.86</v>
      </c>
      <c r="BM564" s="88">
        <v>-34.11</v>
      </c>
      <c r="BS564" s="42">
        <v>-69.16</v>
      </c>
      <c r="BY564" s="42">
        <v>-35.14</v>
      </c>
      <c r="CE564" s="42">
        <v>-35.299999999999997</v>
      </c>
      <c r="DY564" s="42">
        <v>-34.39</v>
      </c>
    </row>
    <row r="565" spans="1:220" x14ac:dyDescent="0.25">
      <c r="A565" s="127">
        <v>44473</v>
      </c>
      <c r="B565" s="23" t="s">
        <v>38</v>
      </c>
      <c r="C565" s="21">
        <f t="shared" si="12"/>
        <v>-274.60000000000002</v>
      </c>
      <c r="BS565" s="42">
        <v>-33.74</v>
      </c>
      <c r="DY565" s="42">
        <v>-240.86</v>
      </c>
    </row>
    <row r="566" spans="1:220" x14ac:dyDescent="0.25">
      <c r="A566" s="127">
        <v>44473</v>
      </c>
      <c r="B566" s="23" t="s">
        <v>21</v>
      </c>
      <c r="C566" s="21">
        <f t="shared" si="12"/>
        <v>-308.64999999999998</v>
      </c>
      <c r="BG566" s="42">
        <v>-34.89</v>
      </c>
      <c r="BM566" s="88">
        <v>-34.03</v>
      </c>
      <c r="BS566" s="42">
        <v>-33.630000000000003</v>
      </c>
      <c r="BY566" s="42">
        <v>-35.119999999999997</v>
      </c>
      <c r="CK566" s="42">
        <v>-67.45</v>
      </c>
      <c r="CQ566" s="42">
        <v>-34.89</v>
      </c>
      <c r="CW566" s="42">
        <v>-34.78</v>
      </c>
      <c r="DC566" s="42">
        <v>-33.86</v>
      </c>
    </row>
    <row r="567" spans="1:220" x14ac:dyDescent="0.25">
      <c r="A567" s="127">
        <v>44473</v>
      </c>
      <c r="B567" s="23" t="s">
        <v>32</v>
      </c>
      <c r="C567" s="21">
        <f t="shared" si="12"/>
        <v>-162.19</v>
      </c>
      <c r="BA567" s="42">
        <v>-34.200000000000003</v>
      </c>
      <c r="BS567" s="42">
        <v>-85.39</v>
      </c>
      <c r="DY567" s="42">
        <v>-8.83</v>
      </c>
      <c r="EF567" s="69">
        <v>-33.770000000000003</v>
      </c>
    </row>
    <row r="568" spans="1:220" x14ac:dyDescent="0.25">
      <c r="A568" s="127">
        <v>44473</v>
      </c>
      <c r="B568" s="23" t="s">
        <v>80</v>
      </c>
      <c r="C568" s="21">
        <f t="shared" si="12"/>
        <v>-17.32</v>
      </c>
      <c r="AM568" s="69">
        <v>-17.32</v>
      </c>
    </row>
    <row r="569" spans="1:220" x14ac:dyDescent="0.25">
      <c r="A569" s="127">
        <v>44473</v>
      </c>
      <c r="B569" s="23" t="s">
        <v>68</v>
      </c>
      <c r="C569" s="21">
        <f t="shared" si="12"/>
        <v>-68.84</v>
      </c>
      <c r="BG569" s="42">
        <v>-34.909999999999997</v>
      </c>
      <c r="BM569" s="88">
        <v>-33.93</v>
      </c>
    </row>
    <row r="570" spans="1:220" x14ac:dyDescent="0.25">
      <c r="A570" s="127">
        <v>44473</v>
      </c>
      <c r="B570" s="23" t="s">
        <v>45</v>
      </c>
      <c r="C570" s="21">
        <f t="shared" si="12"/>
        <v>-33.61</v>
      </c>
      <c r="DW570" s="126">
        <v>-17.57</v>
      </c>
      <c r="EC570" s="126">
        <v>-16.04</v>
      </c>
    </row>
    <row r="571" spans="1:220" x14ac:dyDescent="0.25">
      <c r="A571" s="127">
        <v>44474</v>
      </c>
      <c r="B571" s="23" t="s">
        <v>18</v>
      </c>
      <c r="C571" s="21">
        <f t="shared" si="12"/>
        <v>0</v>
      </c>
    </row>
    <row r="572" spans="1:220" x14ac:dyDescent="0.25">
      <c r="A572" s="127">
        <v>44474</v>
      </c>
      <c r="B572" s="23" t="s">
        <v>78</v>
      </c>
      <c r="C572" s="21">
        <f t="shared" si="12"/>
        <v>-102.62</v>
      </c>
      <c r="BA572" s="42">
        <v>-16.45</v>
      </c>
      <c r="BG572" s="42">
        <v>-17.329999999999998</v>
      </c>
      <c r="BM572" s="88">
        <v>-16.71</v>
      </c>
      <c r="BS572" s="42">
        <v>-17.04</v>
      </c>
      <c r="BY572" s="42">
        <v>-17.39</v>
      </c>
      <c r="CE572" s="42">
        <v>-17.7</v>
      </c>
    </row>
    <row r="573" spans="1:220" x14ac:dyDescent="0.25">
      <c r="A573" s="127">
        <v>44474</v>
      </c>
      <c r="B573" s="23" t="s">
        <v>17</v>
      </c>
      <c r="C573" s="21">
        <f t="shared" si="12"/>
        <v>-206.12</v>
      </c>
      <c r="BG573" s="42">
        <v>-33.770000000000003</v>
      </c>
      <c r="BM573" s="88">
        <v>-33.94</v>
      </c>
      <c r="BS573" s="42">
        <v>-34.81</v>
      </c>
      <c r="BY573" s="42">
        <v>-34.65</v>
      </c>
      <c r="CE573" s="42">
        <v>-35.15</v>
      </c>
      <c r="CK573" s="42">
        <v>-33.799999999999997</v>
      </c>
    </row>
    <row r="574" spans="1:220" x14ac:dyDescent="0.25">
      <c r="A574" s="127">
        <v>44474</v>
      </c>
      <c r="B574" s="23" t="s">
        <v>37</v>
      </c>
      <c r="C574" s="21">
        <f t="shared" si="12"/>
        <v>-132.77000000000001</v>
      </c>
      <c r="HK574" s="50">
        <v>-66.38</v>
      </c>
      <c r="HL574" s="42">
        <v>-66.39</v>
      </c>
    </row>
    <row r="575" spans="1:220" x14ac:dyDescent="0.25">
      <c r="A575" s="127">
        <v>44474</v>
      </c>
      <c r="B575" s="23" t="s">
        <v>13</v>
      </c>
      <c r="C575" s="21">
        <f t="shared" si="12"/>
        <v>-210.245</v>
      </c>
      <c r="O575" s="375">
        <v>-8.5</v>
      </c>
      <c r="U575" s="69">
        <v>-17.25</v>
      </c>
      <c r="Y575" s="69">
        <v>-17.085000000000001</v>
      </c>
      <c r="AE575" s="42">
        <v>-29</v>
      </c>
      <c r="AL575" s="42">
        <v>-35.44</v>
      </c>
      <c r="CQ575" s="42">
        <v>-35.159999999999997</v>
      </c>
      <c r="DJ575" s="69">
        <v>-33.590000000000003</v>
      </c>
      <c r="DN575" s="42">
        <v>-34.22</v>
      </c>
    </row>
    <row r="576" spans="1:220" x14ac:dyDescent="0.25">
      <c r="A576" s="127">
        <v>44474</v>
      </c>
      <c r="B576" s="23" t="s">
        <v>14</v>
      </c>
      <c r="C576" s="21">
        <f t="shared" si="12"/>
        <v>-344.255</v>
      </c>
      <c r="AB576" s="69">
        <v>-17.035</v>
      </c>
      <c r="AE576" s="42">
        <v>-16.940000000000001</v>
      </c>
      <c r="AM576" s="69">
        <v>-17.52</v>
      </c>
      <c r="AU576" s="42">
        <v>-69.31</v>
      </c>
      <c r="BA576" s="42">
        <v>-68.94</v>
      </c>
      <c r="BG576" s="42">
        <v>-68.52</v>
      </c>
      <c r="BM576" s="88">
        <v>-68.36</v>
      </c>
      <c r="BY576" s="42">
        <v>-17.63</v>
      </c>
    </row>
    <row r="577" spans="1:145" x14ac:dyDescent="0.25">
      <c r="A577" s="127">
        <v>44474</v>
      </c>
      <c r="B577" s="23" t="s">
        <v>78</v>
      </c>
      <c r="C577" s="21">
        <f t="shared" si="12"/>
        <v>-65.355000000000004</v>
      </c>
      <c r="BA577" s="42">
        <v>-7.74</v>
      </c>
      <c r="EF577" s="69">
        <v>-57.615000000000002</v>
      </c>
    </row>
    <row r="578" spans="1:145" x14ac:dyDescent="0.25">
      <c r="A578" s="127">
        <v>44474</v>
      </c>
      <c r="B578" s="23" t="s">
        <v>72</v>
      </c>
      <c r="C578" s="21">
        <f t="shared" si="12"/>
        <v>-25.71</v>
      </c>
      <c r="BS578" s="42">
        <v>-16.93</v>
      </c>
      <c r="BY578" s="42">
        <v>-8.7799999999999994</v>
      </c>
    </row>
    <row r="579" spans="1:145" x14ac:dyDescent="0.25">
      <c r="A579" s="127">
        <v>44475</v>
      </c>
      <c r="B579" s="23" t="s">
        <v>80</v>
      </c>
      <c r="C579" s="21">
        <f t="shared" si="12"/>
        <v>-15.88</v>
      </c>
      <c r="AM579" s="69">
        <v>-15.88</v>
      </c>
    </row>
    <row r="580" spans="1:145" x14ac:dyDescent="0.25">
      <c r="A580" s="127">
        <v>44475</v>
      </c>
      <c r="B580" s="23" t="s">
        <v>83</v>
      </c>
      <c r="C580" s="21">
        <f t="shared" si="12"/>
        <v>0</v>
      </c>
    </row>
    <row r="581" spans="1:145" x14ac:dyDescent="0.25">
      <c r="A581" s="127">
        <v>44475</v>
      </c>
      <c r="B581" s="23" t="s">
        <v>20</v>
      </c>
      <c r="C581" s="21">
        <f t="shared" si="12"/>
        <v>-34.64</v>
      </c>
      <c r="O581" s="375">
        <v>-8.5649999999999995</v>
      </c>
      <c r="U581" s="69">
        <v>-8.6150000000000002</v>
      </c>
      <c r="AU581" s="42">
        <v>-8.85</v>
      </c>
      <c r="BA581" s="42">
        <v>-8.61</v>
      </c>
    </row>
    <row r="582" spans="1:145" x14ac:dyDescent="0.25">
      <c r="A582" s="127">
        <v>44475</v>
      </c>
      <c r="B582" s="23" t="s">
        <v>27</v>
      </c>
      <c r="C582" s="21">
        <f t="shared" si="12"/>
        <v>-78.3</v>
      </c>
      <c r="L582" s="69">
        <v>-8.5</v>
      </c>
      <c r="AU582" s="42">
        <v>-8.23</v>
      </c>
      <c r="BR582" s="182">
        <v>-8.82</v>
      </c>
      <c r="BX582" s="182">
        <v>-9.11</v>
      </c>
      <c r="CB582" s="121">
        <v>-8.58</v>
      </c>
      <c r="CJ582" s="182">
        <v>-7.91</v>
      </c>
      <c r="CW582" s="42">
        <v>-8.73</v>
      </c>
      <c r="DB582" s="115">
        <v>-8.9700000000000006</v>
      </c>
      <c r="DW582" s="126">
        <v>-9.4499999999999993</v>
      </c>
    </row>
    <row r="583" spans="1:145" x14ac:dyDescent="0.25">
      <c r="A583" s="127">
        <v>44475</v>
      </c>
      <c r="B583" s="23" t="s">
        <v>79</v>
      </c>
      <c r="C583" s="21">
        <f t="shared" si="12"/>
        <v>-25.75</v>
      </c>
      <c r="AU583" s="42">
        <v>-8.7200000000000006</v>
      </c>
      <c r="BA583" s="42">
        <v>-8.5500000000000007</v>
      </c>
      <c r="CL583" s="69">
        <v>-8.48</v>
      </c>
    </row>
    <row r="584" spans="1:145" x14ac:dyDescent="0.25">
      <c r="A584" s="127">
        <v>44475</v>
      </c>
      <c r="B584" s="23" t="s">
        <v>3</v>
      </c>
      <c r="C584" s="21">
        <f t="shared" ref="C584:C647" si="13">SUM(I584:JT584)</f>
        <v>6359.39</v>
      </c>
      <c r="AM584" s="69">
        <v>503.69</v>
      </c>
      <c r="AQ584" s="69">
        <v>307.44499999999999</v>
      </c>
      <c r="AV584" s="69">
        <v>517.28</v>
      </c>
      <c r="BB584" s="69">
        <v>506.53500000000003</v>
      </c>
      <c r="BH584" s="69">
        <v>511.38</v>
      </c>
      <c r="BN584" s="69">
        <v>510.685</v>
      </c>
      <c r="BT584" s="69">
        <v>507.17</v>
      </c>
      <c r="BZ584" s="69">
        <v>512.52499999999998</v>
      </c>
      <c r="CF584" s="69">
        <v>510.96499999999997</v>
      </c>
      <c r="CL584" s="69">
        <v>516.23</v>
      </c>
      <c r="CR584" s="69">
        <v>513.91</v>
      </c>
      <c r="CX584" s="69">
        <v>434.99</v>
      </c>
      <c r="DT584" s="69">
        <v>506.58499999999998</v>
      </c>
    </row>
    <row r="585" spans="1:145" x14ac:dyDescent="0.25">
      <c r="A585" s="127">
        <v>44475</v>
      </c>
      <c r="B585" s="23" t="s">
        <v>59</v>
      </c>
      <c r="C585" s="21">
        <f t="shared" si="13"/>
        <v>-50.48</v>
      </c>
      <c r="EF585" s="69">
        <v>-42.195</v>
      </c>
      <c r="EO585" s="69">
        <v>-8.2850000000000001</v>
      </c>
    </row>
    <row r="586" spans="1:145" x14ac:dyDescent="0.25">
      <c r="A586" s="131">
        <v>44475</v>
      </c>
      <c r="B586" s="23" t="s">
        <v>75</v>
      </c>
      <c r="C586" s="21">
        <f t="shared" si="13"/>
        <v>-15.9</v>
      </c>
      <c r="BA586" s="42">
        <v>-7.48</v>
      </c>
      <c r="BS586" s="42">
        <v>-8.42</v>
      </c>
    </row>
    <row r="587" spans="1:145" x14ac:dyDescent="0.25">
      <c r="A587" s="127">
        <v>44476</v>
      </c>
      <c r="B587" s="23" t="s">
        <v>15</v>
      </c>
      <c r="C587" s="21">
        <f t="shared" si="13"/>
        <v>-1321.33</v>
      </c>
      <c r="Y587" s="69">
        <v>-57.9</v>
      </c>
      <c r="AE587" s="42">
        <v>-30.74</v>
      </c>
      <c r="AM587" s="69">
        <v>-50.935000000000002</v>
      </c>
      <c r="AQ587" s="69">
        <v>-86.075000000000003</v>
      </c>
      <c r="AV587" s="69">
        <v>-103.3</v>
      </c>
      <c r="BA587" s="42">
        <v>-17.07</v>
      </c>
      <c r="BB587" s="69">
        <v>-101.31</v>
      </c>
      <c r="BG587" s="42">
        <v>-78.180000000000007</v>
      </c>
      <c r="BH587" s="69">
        <v>-68.2</v>
      </c>
      <c r="BN587" s="69">
        <v>-136.09</v>
      </c>
      <c r="BT587" s="69">
        <v>-67.739999999999995</v>
      </c>
      <c r="BZ587" s="69">
        <v>-102.28</v>
      </c>
      <c r="CF587" s="69">
        <v>-66.27</v>
      </c>
      <c r="CR587" s="69">
        <v>-34.314999999999998</v>
      </c>
      <c r="CX587" s="69">
        <v>-34.090000000000003</v>
      </c>
      <c r="DC587" s="42">
        <v>-34.33</v>
      </c>
      <c r="DI587" s="42">
        <v>-29.11</v>
      </c>
      <c r="DN587" s="42">
        <v>-34.76</v>
      </c>
      <c r="DO587" s="375">
        <v>-16.940000000000001</v>
      </c>
      <c r="DT587" s="69">
        <v>-101.285</v>
      </c>
      <c r="DY587" s="42">
        <v>-70.41</v>
      </c>
    </row>
    <row r="588" spans="1:145" x14ac:dyDescent="0.25">
      <c r="A588" s="127">
        <v>44476</v>
      </c>
      <c r="B588" s="23" t="s">
        <v>78</v>
      </c>
      <c r="C588" s="21">
        <f t="shared" si="13"/>
        <v>-238.61500000000001</v>
      </c>
      <c r="AM588" s="69">
        <v>-16.795000000000002</v>
      </c>
      <c r="AU588" s="42">
        <v>-8.9</v>
      </c>
      <c r="BG588" s="42">
        <v>-17.34</v>
      </c>
      <c r="BT588" s="69">
        <v>-135.88999999999999</v>
      </c>
      <c r="CL588" s="69">
        <v>-8.57</v>
      </c>
      <c r="CQ588" s="42">
        <v>-8.81</v>
      </c>
      <c r="CW588" s="42">
        <v>-8.77</v>
      </c>
      <c r="DC588" s="42">
        <v>-8.27</v>
      </c>
      <c r="DJ588" s="69">
        <v>-25.27</v>
      </c>
    </row>
    <row r="589" spans="1:145" x14ac:dyDescent="0.25">
      <c r="A589" s="127">
        <v>44476</v>
      </c>
      <c r="B589" s="23" t="s">
        <v>32</v>
      </c>
      <c r="C589" s="21">
        <f t="shared" si="13"/>
        <v>-68.03</v>
      </c>
      <c r="DC589" s="42">
        <v>-68.03</v>
      </c>
    </row>
    <row r="590" spans="1:145" x14ac:dyDescent="0.25">
      <c r="A590" s="127">
        <v>44476</v>
      </c>
      <c r="B590" s="23" t="s">
        <v>38</v>
      </c>
      <c r="C590" s="21">
        <f t="shared" si="13"/>
        <v>-408.35500000000002</v>
      </c>
      <c r="AV590" s="69">
        <v>-34.484999999999999</v>
      </c>
      <c r="BT590" s="69">
        <v>-134.41999999999999</v>
      </c>
      <c r="DN590" s="42">
        <v>-104.06</v>
      </c>
      <c r="EN590" s="42">
        <v>-101.63</v>
      </c>
      <c r="EO590" s="69">
        <v>-33.76</v>
      </c>
    </row>
    <row r="591" spans="1:145" x14ac:dyDescent="0.25">
      <c r="A591" s="127">
        <v>44476</v>
      </c>
      <c r="B591" s="29" t="s">
        <v>80</v>
      </c>
      <c r="C591" s="21">
        <f t="shared" si="13"/>
        <v>-25.52</v>
      </c>
      <c r="AM591" s="69">
        <v>-16.62</v>
      </c>
      <c r="AU591" s="42">
        <v>-8.9</v>
      </c>
    </row>
    <row r="592" spans="1:145" x14ac:dyDescent="0.25">
      <c r="A592" s="127">
        <v>44476</v>
      </c>
      <c r="B592" s="23" t="s">
        <v>84</v>
      </c>
      <c r="C592" s="21">
        <f t="shared" si="13"/>
        <v>-42.835000000000001</v>
      </c>
      <c r="AB592" s="69">
        <v>-8.5299999999999994</v>
      </c>
      <c r="AV592" s="69">
        <v>-8.77</v>
      </c>
      <c r="BB592" s="69">
        <v>-8.4550000000000001</v>
      </c>
      <c r="BH592" s="69">
        <v>-8.5299999999999994</v>
      </c>
      <c r="BM592" s="88">
        <v>-8.5500000000000007</v>
      </c>
    </row>
    <row r="593" spans="1:225" x14ac:dyDescent="0.25">
      <c r="A593" s="127">
        <v>44476</v>
      </c>
      <c r="B593" s="23" t="s">
        <v>45</v>
      </c>
      <c r="C593" s="21">
        <f t="shared" si="13"/>
        <v>-17.184999999999999</v>
      </c>
      <c r="BT593" s="69">
        <v>-8.4550000000000001</v>
      </c>
      <c r="BX593" s="182">
        <v>-8.73</v>
      </c>
    </row>
    <row r="594" spans="1:225" x14ac:dyDescent="0.25">
      <c r="A594" s="127">
        <v>44477</v>
      </c>
      <c r="B594" s="23" t="s">
        <v>57</v>
      </c>
      <c r="C594" s="21">
        <f t="shared" si="13"/>
        <v>-8.36</v>
      </c>
      <c r="Y594" s="69">
        <v>-8.36</v>
      </c>
    </row>
    <row r="595" spans="1:225" x14ac:dyDescent="0.25">
      <c r="A595" s="127">
        <v>44477</v>
      </c>
      <c r="B595" s="23" t="s">
        <v>39</v>
      </c>
      <c r="C595" s="21">
        <f t="shared" si="13"/>
        <v>-68.944999999999993</v>
      </c>
      <c r="U595" s="69">
        <v>-8.6150000000000002</v>
      </c>
      <c r="AV595" s="69">
        <v>-8.625</v>
      </c>
      <c r="BB595" s="69">
        <v>-8.4450000000000003</v>
      </c>
      <c r="BH595" s="69">
        <v>-8.5500000000000007</v>
      </c>
      <c r="BM595" s="88">
        <v>-8.4600000000000009</v>
      </c>
      <c r="BY595" s="42">
        <v>-8.7899999999999991</v>
      </c>
      <c r="CE595" s="42">
        <v>-8.86</v>
      </c>
      <c r="CL595" s="69">
        <v>-8.6</v>
      </c>
    </row>
    <row r="596" spans="1:225" x14ac:dyDescent="0.25">
      <c r="A596" s="127">
        <v>44477</v>
      </c>
      <c r="B596" s="23" t="s">
        <v>13</v>
      </c>
      <c r="C596" s="21">
        <f t="shared" si="13"/>
        <v>-340.13499999999999</v>
      </c>
      <c r="AV596" s="69">
        <v>-34.435000000000002</v>
      </c>
      <c r="BB596" s="69">
        <v>-33.685000000000002</v>
      </c>
      <c r="BH596" s="69">
        <v>-34.15</v>
      </c>
      <c r="BN596" s="69">
        <v>-34.055</v>
      </c>
      <c r="BT596" s="69">
        <v>-67.67</v>
      </c>
      <c r="BZ596" s="69">
        <v>-68.265000000000001</v>
      </c>
      <c r="CR596" s="69">
        <v>-34.200000000000003</v>
      </c>
      <c r="DJ596" s="69">
        <v>-33.674999999999997</v>
      </c>
    </row>
    <row r="597" spans="1:225" x14ac:dyDescent="0.25">
      <c r="A597" s="127">
        <v>44477</v>
      </c>
      <c r="B597" s="23" t="s">
        <v>18</v>
      </c>
      <c r="C597" s="21">
        <f t="shared" si="13"/>
        <v>-917.75</v>
      </c>
      <c r="AM597" s="69">
        <v>-33.590000000000003</v>
      </c>
      <c r="AQ597" s="69">
        <v>-34.15</v>
      </c>
      <c r="AV597" s="69">
        <v>-103.675</v>
      </c>
      <c r="BB597" s="69">
        <v>-67.56</v>
      </c>
      <c r="BH597" s="69">
        <v>-68.290000000000006</v>
      </c>
      <c r="BN597" s="69">
        <v>-33.965000000000003</v>
      </c>
      <c r="BT597" s="69">
        <v>-67.650000000000006</v>
      </c>
      <c r="BZ597" s="69">
        <v>-34.28</v>
      </c>
      <c r="CF597" s="69">
        <v>-33.869999999999997</v>
      </c>
      <c r="CL597" s="69">
        <v>-103.34</v>
      </c>
      <c r="CR597" s="69">
        <v>-102.61</v>
      </c>
      <c r="CX597" s="69">
        <v>-34.104999999999997</v>
      </c>
      <c r="DC597" s="42">
        <v>-69.489999999999995</v>
      </c>
      <c r="DJ597" s="69">
        <v>-67.034999999999997</v>
      </c>
      <c r="DT597" s="69">
        <v>-64.14</v>
      </c>
    </row>
    <row r="598" spans="1:225" x14ac:dyDescent="0.25">
      <c r="A598" s="127">
        <v>44480</v>
      </c>
      <c r="B598" s="23" t="s">
        <v>37</v>
      </c>
      <c r="C598" s="21">
        <f t="shared" si="13"/>
        <v>-143.16</v>
      </c>
      <c r="HL598" s="42">
        <v>-98.41</v>
      </c>
      <c r="HQ598" s="42">
        <v>-44.75</v>
      </c>
    </row>
    <row r="599" spans="1:225" x14ac:dyDescent="0.25">
      <c r="A599" s="127">
        <v>44480</v>
      </c>
      <c r="B599" s="29" t="s">
        <v>85</v>
      </c>
      <c r="C599" s="21">
        <f t="shared" si="13"/>
        <v>-9.11</v>
      </c>
      <c r="AB599" s="69">
        <v>0.92</v>
      </c>
      <c r="AE599" s="42">
        <v>-0.34</v>
      </c>
      <c r="AP599" s="42">
        <v>-26.8</v>
      </c>
      <c r="AQ599" s="69">
        <v>17.84</v>
      </c>
      <c r="AU599" s="42">
        <v>-8.39</v>
      </c>
      <c r="BG599" s="42">
        <v>-9.6999999999999993</v>
      </c>
      <c r="BP599" s="121">
        <v>-14.37</v>
      </c>
      <c r="CJ599" s="182">
        <v>-18.88</v>
      </c>
      <c r="CP599" s="182">
        <v>-15.98</v>
      </c>
      <c r="CT599" s="121">
        <v>0.72</v>
      </c>
      <c r="DC599" s="42">
        <v>-3</v>
      </c>
      <c r="DF599" s="121">
        <v>0.27</v>
      </c>
      <c r="DI599" s="42">
        <v>-2.42</v>
      </c>
      <c r="HG599" s="42">
        <v>-3</v>
      </c>
      <c r="HK599" s="50">
        <v>6.88</v>
      </c>
      <c r="HO599" s="42">
        <v>67.14</v>
      </c>
    </row>
    <row r="600" spans="1:225" x14ac:dyDescent="0.25">
      <c r="A600" s="127">
        <v>44480</v>
      </c>
      <c r="B600" s="23" t="s">
        <v>12</v>
      </c>
      <c r="C600" s="21">
        <f t="shared" si="13"/>
        <v>-339.95499999999998</v>
      </c>
      <c r="BB600" s="69">
        <v>-33.79</v>
      </c>
      <c r="BH600" s="69">
        <v>-102.19499999999999</v>
      </c>
      <c r="BN600" s="69">
        <v>-68.099999999999994</v>
      </c>
      <c r="BS600" s="42">
        <v>-67.78</v>
      </c>
      <c r="CF600" s="69">
        <v>-8.6</v>
      </c>
      <c r="CL600" s="69">
        <v>-17.184999999999999</v>
      </c>
      <c r="CR600" s="69">
        <v>-34.159999999999997</v>
      </c>
      <c r="EF600" s="69">
        <v>-8.1449999999999996</v>
      </c>
    </row>
    <row r="601" spans="1:225" x14ac:dyDescent="0.25">
      <c r="A601" s="127">
        <v>44481</v>
      </c>
      <c r="B601" s="23" t="s">
        <v>32</v>
      </c>
      <c r="C601" s="21">
        <f t="shared" si="13"/>
        <v>-177.97499999999999</v>
      </c>
      <c r="AE601" s="42">
        <v>-22.64</v>
      </c>
      <c r="BH601" s="69">
        <v>-8.52</v>
      </c>
      <c r="BN601" s="69">
        <v>-8.5250000000000004</v>
      </c>
      <c r="BS601" s="42">
        <v>-8.5</v>
      </c>
      <c r="BY601" s="42">
        <v>-35.22</v>
      </c>
      <c r="CF601" s="69">
        <v>-34.03</v>
      </c>
      <c r="CK601" s="42">
        <v>-34.28</v>
      </c>
      <c r="CQ601" s="42">
        <v>-26.26</v>
      </c>
    </row>
    <row r="602" spans="1:225" x14ac:dyDescent="0.25">
      <c r="A602" s="127">
        <v>44481</v>
      </c>
      <c r="B602" s="23" t="s">
        <v>37</v>
      </c>
      <c r="C602" s="21">
        <f t="shared" si="13"/>
        <v>-32.61</v>
      </c>
      <c r="HL602" s="42">
        <v>-32.61</v>
      </c>
    </row>
    <row r="603" spans="1:225" x14ac:dyDescent="0.25">
      <c r="A603" s="127">
        <v>44481</v>
      </c>
      <c r="B603" s="23" t="s">
        <v>20</v>
      </c>
      <c r="C603" s="21">
        <f t="shared" si="13"/>
        <v>-33.945</v>
      </c>
      <c r="BT603" s="69">
        <v>-8.4499999999999993</v>
      </c>
      <c r="CF603" s="69">
        <v>-8.5500000000000007</v>
      </c>
      <c r="CL603" s="69">
        <v>-8.5950000000000006</v>
      </c>
      <c r="CX603" s="69">
        <v>-8.35</v>
      </c>
    </row>
    <row r="604" spans="1:225" x14ac:dyDescent="0.25">
      <c r="A604" s="127">
        <v>44481</v>
      </c>
      <c r="B604" s="23" t="s">
        <v>54</v>
      </c>
      <c r="C604" s="21">
        <f t="shared" si="13"/>
        <v>-295.02</v>
      </c>
      <c r="O604" s="375">
        <v>-17.03</v>
      </c>
      <c r="AU604" s="42">
        <v>-35.799999999999997</v>
      </c>
      <c r="BS604" s="42">
        <v>-68.290000000000006</v>
      </c>
      <c r="BY604" s="42">
        <v>-69.959999999999994</v>
      </c>
      <c r="CE604" s="42">
        <v>-69.540000000000006</v>
      </c>
      <c r="CL604" s="69">
        <v>-34.4</v>
      </c>
    </row>
    <row r="605" spans="1:225" x14ac:dyDescent="0.25">
      <c r="A605" s="127">
        <v>44481</v>
      </c>
      <c r="B605" s="23" t="s">
        <v>57</v>
      </c>
      <c r="C605" s="21">
        <f t="shared" si="13"/>
        <v>-17.065000000000001</v>
      </c>
      <c r="BH605" s="69">
        <v>-17.065000000000001</v>
      </c>
    </row>
    <row r="606" spans="1:225" x14ac:dyDescent="0.25">
      <c r="A606" s="127">
        <v>44482</v>
      </c>
      <c r="B606" s="23" t="s">
        <v>75</v>
      </c>
      <c r="C606" s="21">
        <f t="shared" si="13"/>
        <v>-25.53</v>
      </c>
      <c r="BB606" s="69">
        <v>-8.4049999999999994</v>
      </c>
      <c r="BN606" s="69">
        <v>-8.52</v>
      </c>
      <c r="CL606" s="69">
        <v>-8.6050000000000004</v>
      </c>
    </row>
    <row r="607" spans="1:225" x14ac:dyDescent="0.25">
      <c r="A607" s="127">
        <v>44482</v>
      </c>
      <c r="B607" s="23" t="s">
        <v>15</v>
      </c>
      <c r="C607" s="21">
        <f t="shared" si="13"/>
        <v>-68.88</v>
      </c>
      <c r="BY607" s="42">
        <v>-68.88</v>
      </c>
    </row>
    <row r="608" spans="1:225" x14ac:dyDescent="0.25">
      <c r="A608" s="127">
        <v>44482</v>
      </c>
      <c r="B608" s="23" t="s">
        <v>27</v>
      </c>
      <c r="C608" s="21">
        <f t="shared" si="13"/>
        <v>-7.28</v>
      </c>
      <c r="AH608" s="121">
        <v>-7.28</v>
      </c>
    </row>
    <row r="609" spans="1:240" x14ac:dyDescent="0.25">
      <c r="A609" s="127">
        <v>44482</v>
      </c>
      <c r="B609" s="23" t="s">
        <v>87</v>
      </c>
      <c r="C609" s="21">
        <f t="shared" si="13"/>
        <v>-59.325000000000003</v>
      </c>
      <c r="BT609" s="69">
        <v>-8.4450000000000003</v>
      </c>
      <c r="BY609" s="42">
        <v>-8.77</v>
      </c>
      <c r="CF609" s="69">
        <v>-8.5399999999999991</v>
      </c>
      <c r="CQ609" s="42">
        <v>-17.489999999999998</v>
      </c>
      <c r="DC609" s="42">
        <v>-7.74</v>
      </c>
      <c r="DD609" s="69">
        <v>-8.34</v>
      </c>
    </row>
    <row r="610" spans="1:240" x14ac:dyDescent="0.25">
      <c r="A610" s="127">
        <v>44482</v>
      </c>
      <c r="B610" s="23" t="s">
        <v>78</v>
      </c>
      <c r="C610" s="21">
        <f t="shared" si="13"/>
        <v>-8.39</v>
      </c>
      <c r="AM610" s="69">
        <v>-8.39</v>
      </c>
    </row>
    <row r="611" spans="1:240" x14ac:dyDescent="0.25">
      <c r="A611" s="127">
        <v>44483</v>
      </c>
      <c r="B611" s="23" t="s">
        <v>32</v>
      </c>
      <c r="C611" s="21">
        <f t="shared" si="13"/>
        <v>-241.98</v>
      </c>
      <c r="BM611" s="88">
        <v>-33.909999999999997</v>
      </c>
      <c r="BS611" s="42">
        <v>-69.22</v>
      </c>
      <c r="BY611" s="42">
        <v>-34.92</v>
      </c>
      <c r="CE611" s="42">
        <v>-35.53</v>
      </c>
      <c r="CK611" s="42">
        <v>-33.43</v>
      </c>
      <c r="CQ611" s="42">
        <v>-34.97</v>
      </c>
    </row>
    <row r="612" spans="1:240" x14ac:dyDescent="0.25">
      <c r="A612" s="127">
        <v>44483</v>
      </c>
      <c r="B612" s="23" t="s">
        <v>78</v>
      </c>
      <c r="C612" s="21">
        <f t="shared" si="13"/>
        <v>-309.08499999999998</v>
      </c>
      <c r="U612" s="69">
        <v>-8.64</v>
      </c>
      <c r="BB612" s="69">
        <v>-33.765000000000001</v>
      </c>
      <c r="BG612" s="42">
        <v>-69.739999999999995</v>
      </c>
      <c r="BN612" s="69">
        <v>-42.64</v>
      </c>
      <c r="BS612" s="42">
        <v>-68.81</v>
      </c>
      <c r="BZ612" s="69">
        <v>-25.635000000000002</v>
      </c>
      <c r="CF612" s="69">
        <v>-17.035</v>
      </c>
      <c r="CL612" s="69">
        <v>-17.2</v>
      </c>
      <c r="CR612" s="69">
        <v>-8.58</v>
      </c>
      <c r="CX612" s="69">
        <v>-8.35</v>
      </c>
      <c r="DC612" s="42">
        <v>-8.69</v>
      </c>
    </row>
    <row r="613" spans="1:240" x14ac:dyDescent="0.25">
      <c r="A613" s="127">
        <v>44483</v>
      </c>
      <c r="B613" s="23" t="s">
        <v>37</v>
      </c>
      <c r="C613" s="21">
        <f t="shared" si="13"/>
        <v>-34.06</v>
      </c>
      <c r="HO613" s="42">
        <v>-34.06</v>
      </c>
    </row>
    <row r="614" spans="1:240" x14ac:dyDescent="0.25">
      <c r="A614" s="127">
        <v>44483</v>
      </c>
      <c r="B614" s="23" t="s">
        <v>37</v>
      </c>
      <c r="C614" s="21">
        <f t="shared" si="13"/>
        <v>-34.14</v>
      </c>
      <c r="AB614" s="69">
        <v>-34.14</v>
      </c>
    </row>
    <row r="615" spans="1:240" x14ac:dyDescent="0.25">
      <c r="A615" s="127">
        <v>44483</v>
      </c>
      <c r="B615" s="23" t="s">
        <v>15</v>
      </c>
      <c r="C615" s="21">
        <f t="shared" si="13"/>
        <v>-411.96</v>
      </c>
      <c r="AM615" s="69">
        <v>-33.54</v>
      </c>
      <c r="AV615" s="69">
        <v>-69.004999999999995</v>
      </c>
      <c r="BA615" s="42">
        <v>-34.11</v>
      </c>
      <c r="BM615" s="88">
        <v>-34.03</v>
      </c>
      <c r="CF615" s="69">
        <v>-34.25</v>
      </c>
      <c r="CL615" s="69">
        <v>-34.65</v>
      </c>
      <c r="CQ615" s="42">
        <v>-35.020000000000003</v>
      </c>
      <c r="CW615" s="42">
        <v>-34.93</v>
      </c>
      <c r="DC615" s="42">
        <v>-34.380000000000003</v>
      </c>
      <c r="DT615" s="69">
        <v>-68.045000000000002</v>
      </c>
    </row>
    <row r="616" spans="1:240" x14ac:dyDescent="0.25">
      <c r="A616" s="127">
        <v>44483</v>
      </c>
      <c r="B616" s="23" t="s">
        <v>78</v>
      </c>
      <c r="C616" s="21">
        <f t="shared" si="13"/>
        <v>-17.12</v>
      </c>
      <c r="O616" s="375">
        <v>-8.48</v>
      </c>
      <c r="U616" s="69">
        <v>-8.64</v>
      </c>
    </row>
    <row r="617" spans="1:240" x14ac:dyDescent="0.25">
      <c r="A617" s="127">
        <v>44483</v>
      </c>
      <c r="B617" s="23" t="s">
        <v>88</v>
      </c>
      <c r="C617" s="21">
        <f t="shared" si="13"/>
        <v>-193.7</v>
      </c>
      <c r="DN617" s="42">
        <v>-34.74</v>
      </c>
      <c r="HC617" s="42">
        <v>-30.4</v>
      </c>
      <c r="HS617" s="38">
        <v>-32.229999999999997</v>
      </c>
      <c r="HW617" s="42">
        <v>-30.32</v>
      </c>
      <c r="IB617" s="42">
        <v>-30.94</v>
      </c>
      <c r="IF617" s="50">
        <v>-35.07</v>
      </c>
    </row>
    <row r="618" spans="1:240" x14ac:dyDescent="0.25">
      <c r="A618" s="127">
        <v>44483</v>
      </c>
      <c r="B618" s="23" t="s">
        <v>37</v>
      </c>
      <c r="C618" s="21">
        <f t="shared" si="13"/>
        <v>-34.44</v>
      </c>
      <c r="Y618" s="69">
        <v>-34.44</v>
      </c>
    </row>
    <row r="619" spans="1:240" x14ac:dyDescent="0.25">
      <c r="A619" s="127">
        <v>44485</v>
      </c>
      <c r="B619" s="23" t="s">
        <v>45</v>
      </c>
      <c r="C619" s="21">
        <f t="shared" si="13"/>
        <v>-25.524999999999999</v>
      </c>
      <c r="BB619" s="69">
        <v>-8.4550000000000001</v>
      </c>
      <c r="BH619" s="69">
        <v>-8.5250000000000004</v>
      </c>
      <c r="BN619" s="69">
        <v>-8.5449999999999999</v>
      </c>
    </row>
    <row r="620" spans="1:240" x14ac:dyDescent="0.25">
      <c r="A620" s="127">
        <v>44487</v>
      </c>
      <c r="B620" s="23" t="s">
        <v>13</v>
      </c>
      <c r="C620" s="21">
        <f t="shared" si="13"/>
        <v>-378.93</v>
      </c>
      <c r="AU620" s="42">
        <v>-70.48</v>
      </c>
      <c r="AV620" s="69">
        <v>-103.465</v>
      </c>
      <c r="BN620" s="69">
        <v>-34.045000000000002</v>
      </c>
      <c r="BZ620" s="69">
        <v>-34.164999999999999</v>
      </c>
      <c r="CF620" s="69">
        <v>-34.22</v>
      </c>
      <c r="CL620" s="69">
        <v>-68.81</v>
      </c>
      <c r="DT620" s="69">
        <v>-33.744999999999997</v>
      </c>
    </row>
    <row r="621" spans="1:240" x14ac:dyDescent="0.25">
      <c r="A621" s="127">
        <v>44487</v>
      </c>
      <c r="B621" s="23" t="s">
        <v>20</v>
      </c>
      <c r="C621" s="21">
        <f t="shared" si="13"/>
        <v>-100.49</v>
      </c>
      <c r="BH621" s="69">
        <v>-8.4700000000000006</v>
      </c>
      <c r="BN621" s="69">
        <v>-8.52</v>
      </c>
      <c r="BZ621" s="69">
        <v>-8.5350000000000001</v>
      </c>
      <c r="CF621" s="69">
        <v>-8.5649999999999995</v>
      </c>
      <c r="GY621" s="42">
        <v>-66.400000000000006</v>
      </c>
    </row>
    <row r="622" spans="1:240" x14ac:dyDescent="0.25">
      <c r="A622" s="127">
        <v>44487</v>
      </c>
      <c r="B622" s="29" t="s">
        <v>48</v>
      </c>
      <c r="C622" s="21">
        <f t="shared" si="13"/>
        <v>34.76</v>
      </c>
      <c r="DN622" s="42">
        <v>34.76</v>
      </c>
    </row>
    <row r="623" spans="1:240" x14ac:dyDescent="0.25">
      <c r="A623" s="127">
        <v>44487</v>
      </c>
      <c r="B623" s="29" t="s">
        <v>32</v>
      </c>
      <c r="C623" s="21">
        <f t="shared" si="13"/>
        <v>26.33</v>
      </c>
      <c r="DN623" s="42">
        <v>26.33</v>
      </c>
    </row>
    <row r="624" spans="1:240" x14ac:dyDescent="0.25">
      <c r="A624" s="127">
        <v>44488</v>
      </c>
      <c r="B624" s="23" t="s">
        <v>2</v>
      </c>
      <c r="C624" s="21">
        <f t="shared" si="13"/>
        <v>119.95</v>
      </c>
      <c r="GP624" s="42">
        <v>119.95</v>
      </c>
    </row>
    <row r="625" spans="1:242" x14ac:dyDescent="0.25">
      <c r="A625" s="127">
        <v>44488</v>
      </c>
      <c r="B625" s="23" t="s">
        <v>44</v>
      </c>
      <c r="C625" s="21">
        <f t="shared" si="13"/>
        <v>-143.80000000000001</v>
      </c>
      <c r="GJ625" s="202">
        <v>-23.85</v>
      </c>
      <c r="GP625" s="42">
        <v>-119.95</v>
      </c>
    </row>
    <row r="626" spans="1:242" x14ac:dyDescent="0.25">
      <c r="A626" s="127">
        <v>44488</v>
      </c>
      <c r="B626" s="29" t="s">
        <v>23</v>
      </c>
      <c r="C626" s="21">
        <f t="shared" si="13"/>
        <v>-98.825000000000003</v>
      </c>
      <c r="BY626" s="42">
        <v>-34.76</v>
      </c>
      <c r="FJ626" s="69">
        <v>-64.064999999999998</v>
      </c>
    </row>
    <row r="627" spans="1:242" x14ac:dyDescent="0.25">
      <c r="A627" s="127">
        <v>44488</v>
      </c>
      <c r="B627" s="29" t="s">
        <v>50</v>
      </c>
      <c r="C627" s="21">
        <f t="shared" si="13"/>
        <v>-983.81500000000005</v>
      </c>
      <c r="DN627" s="42">
        <v>-96.27</v>
      </c>
      <c r="DQ627" s="121">
        <v>-8.32</v>
      </c>
      <c r="EW627" s="88">
        <v>-100.17</v>
      </c>
      <c r="EY627" s="88">
        <v>-65.125</v>
      </c>
      <c r="FB627" s="69">
        <v>-87.07</v>
      </c>
      <c r="GV627" s="42">
        <v>-58.6</v>
      </c>
      <c r="GY627" s="42">
        <v>-67.099999999999994</v>
      </c>
      <c r="HG627" s="42">
        <v>-60.54</v>
      </c>
      <c r="HY627" s="38">
        <v>-122.23</v>
      </c>
      <c r="HZ627" s="42">
        <v>-127.54</v>
      </c>
      <c r="IB627" s="42">
        <v>-93.24</v>
      </c>
      <c r="IH627" s="34">
        <v>-97.61</v>
      </c>
    </row>
    <row r="628" spans="1:242" x14ac:dyDescent="0.25">
      <c r="A628" s="127">
        <v>44488</v>
      </c>
      <c r="B628" s="23" t="s">
        <v>43</v>
      </c>
      <c r="C628" s="21">
        <f t="shared" si="13"/>
        <v>-683.92499999999995</v>
      </c>
      <c r="AQ628" s="69">
        <v>-34.155000000000001</v>
      </c>
      <c r="BB628" s="69">
        <v>-67.599999999999994</v>
      </c>
      <c r="BH628" s="69">
        <v>-68.14</v>
      </c>
      <c r="BN628" s="69">
        <v>-67.954999999999998</v>
      </c>
      <c r="BZ628" s="69">
        <v>-68.385000000000005</v>
      </c>
      <c r="CF628" s="69">
        <v>-103.065</v>
      </c>
      <c r="CL628" s="69">
        <v>-103.23</v>
      </c>
      <c r="CR628" s="69">
        <v>-68.53</v>
      </c>
      <c r="CX628" s="69">
        <v>-34.090000000000003</v>
      </c>
      <c r="DJ628" s="69">
        <v>-34.51</v>
      </c>
      <c r="DT628" s="69">
        <v>-34.265000000000001</v>
      </c>
    </row>
    <row r="629" spans="1:242" x14ac:dyDescent="0.25">
      <c r="A629" s="127">
        <v>44488</v>
      </c>
      <c r="B629" s="29" t="s">
        <v>13</v>
      </c>
      <c r="C629" s="21">
        <f t="shared" si="13"/>
        <v>-51.19</v>
      </c>
      <c r="AB629" s="69">
        <v>-17.074999999999999</v>
      </c>
      <c r="DT629" s="69">
        <v>-34.115000000000002</v>
      </c>
    </row>
    <row r="630" spans="1:242" x14ac:dyDescent="0.25">
      <c r="A630" s="127">
        <v>44488</v>
      </c>
      <c r="B630" s="29" t="s">
        <v>32</v>
      </c>
      <c r="C630" s="21">
        <f t="shared" si="13"/>
        <v>-104.73</v>
      </c>
      <c r="AL630" s="42">
        <v>35.46</v>
      </c>
      <c r="AP630" s="42">
        <v>-35.92</v>
      </c>
      <c r="BY630" s="42">
        <v>-34.19</v>
      </c>
      <c r="CW630" s="42">
        <v>-34.65</v>
      </c>
      <c r="DC630" s="42">
        <v>-35.43</v>
      </c>
    </row>
    <row r="631" spans="1:242" x14ac:dyDescent="0.25">
      <c r="A631" s="127">
        <v>44489</v>
      </c>
      <c r="B631" s="23" t="s">
        <v>19</v>
      </c>
      <c r="C631" s="21">
        <f t="shared" si="13"/>
        <v>-90.49</v>
      </c>
      <c r="HG631" s="42">
        <v>-90.49</v>
      </c>
    </row>
    <row r="632" spans="1:242" x14ac:dyDescent="0.25">
      <c r="A632" s="127">
        <v>44489</v>
      </c>
      <c r="B632" s="23" t="s">
        <v>78</v>
      </c>
      <c r="C632" s="21">
        <f t="shared" si="13"/>
        <v>-42.555</v>
      </c>
      <c r="AM632" s="69">
        <v>-8.41</v>
      </c>
      <c r="AV632" s="69">
        <v>-8.64</v>
      </c>
      <c r="BB632" s="69">
        <v>-8.4499999999999993</v>
      </c>
      <c r="BN632" s="69">
        <v>-17.055</v>
      </c>
    </row>
    <row r="633" spans="1:242" x14ac:dyDescent="0.25">
      <c r="A633" s="127">
        <v>44489</v>
      </c>
      <c r="B633" s="23" t="s">
        <v>12</v>
      </c>
      <c r="C633" s="21">
        <f t="shared" si="13"/>
        <v>-67.959999999999994</v>
      </c>
      <c r="AQ633" s="69">
        <v>-34.164999999999999</v>
      </c>
      <c r="BB633" s="69">
        <v>-33.795000000000002</v>
      </c>
    </row>
    <row r="634" spans="1:242" x14ac:dyDescent="0.25">
      <c r="A634" s="127">
        <v>44489</v>
      </c>
      <c r="B634" s="23" t="s">
        <v>78</v>
      </c>
      <c r="C634" s="21">
        <f t="shared" si="13"/>
        <v>-204.005</v>
      </c>
      <c r="AM634" s="69">
        <v>-8.375</v>
      </c>
      <c r="BB634" s="69">
        <v>-8.4499999999999993</v>
      </c>
      <c r="BH634" s="69">
        <v>-8.5449999999999999</v>
      </c>
      <c r="BN634" s="69">
        <v>-17.074999999999999</v>
      </c>
      <c r="BS634" s="42">
        <v>-25.62</v>
      </c>
      <c r="BZ634" s="69">
        <v>-25.675000000000001</v>
      </c>
      <c r="CF634" s="69">
        <v>-25.62</v>
      </c>
      <c r="CL634" s="69">
        <v>-25.6</v>
      </c>
      <c r="CR634" s="69">
        <v>-17.164999999999999</v>
      </c>
      <c r="CX634" s="69">
        <v>-41.88</v>
      </c>
    </row>
    <row r="635" spans="1:242" x14ac:dyDescent="0.25">
      <c r="A635" s="127">
        <v>44489</v>
      </c>
      <c r="B635" s="29" t="s">
        <v>27</v>
      </c>
      <c r="C635" s="21">
        <f t="shared" si="13"/>
        <v>-84.62</v>
      </c>
      <c r="AI635" s="126">
        <v>-8.16</v>
      </c>
      <c r="BG635" s="42">
        <v>-8.6999999999999993</v>
      </c>
      <c r="BS635" s="42">
        <v>-16.989999999999998</v>
      </c>
      <c r="CE635" s="42">
        <v>-16.55</v>
      </c>
      <c r="CK635" s="42">
        <v>-17.7</v>
      </c>
      <c r="DC635" s="42">
        <v>-16.52</v>
      </c>
    </row>
    <row r="636" spans="1:242" x14ac:dyDescent="0.25">
      <c r="A636" s="127">
        <v>44489</v>
      </c>
      <c r="B636" s="29" t="s">
        <v>75</v>
      </c>
      <c r="C636" s="21">
        <f t="shared" si="13"/>
        <v>-17.175000000000001</v>
      </c>
      <c r="CL636" s="69">
        <v>-8.61</v>
      </c>
      <c r="CR636" s="69">
        <v>-8.5649999999999995</v>
      </c>
    </row>
    <row r="637" spans="1:242" x14ac:dyDescent="0.25">
      <c r="A637" s="127">
        <v>44489</v>
      </c>
      <c r="B637" s="23" t="s">
        <v>48</v>
      </c>
      <c r="C637" s="21">
        <f t="shared" si="13"/>
        <v>-34.78</v>
      </c>
      <c r="DY637" s="42">
        <v>-34.78</v>
      </c>
    </row>
    <row r="638" spans="1:242" x14ac:dyDescent="0.25">
      <c r="A638" s="127">
        <v>44489</v>
      </c>
      <c r="B638" s="23" t="s">
        <v>78</v>
      </c>
      <c r="C638" s="21">
        <f t="shared" si="13"/>
        <v>-17.12</v>
      </c>
      <c r="EW638" s="88">
        <v>-17.12</v>
      </c>
    </row>
    <row r="639" spans="1:242" x14ac:dyDescent="0.25">
      <c r="A639" s="127">
        <v>44489</v>
      </c>
      <c r="B639" s="23" t="s">
        <v>19</v>
      </c>
      <c r="C639" s="21">
        <f t="shared" si="13"/>
        <v>164.97</v>
      </c>
      <c r="BL639" s="182">
        <v>31.73</v>
      </c>
      <c r="CT639" s="121">
        <v>33.17</v>
      </c>
      <c r="DR639" s="46">
        <v>33.61</v>
      </c>
      <c r="DV639" s="121">
        <v>33.42</v>
      </c>
      <c r="EC639" s="126">
        <v>33.04</v>
      </c>
    </row>
    <row r="640" spans="1:242" x14ac:dyDescent="0.25">
      <c r="A640" s="127">
        <v>44490</v>
      </c>
      <c r="B640" s="23" t="s">
        <v>80</v>
      </c>
      <c r="C640" s="21">
        <f t="shared" si="13"/>
        <v>-25.73</v>
      </c>
      <c r="AM640" s="69">
        <v>-16.77</v>
      </c>
      <c r="AP640" s="42">
        <v>-8.9600000000000009</v>
      </c>
    </row>
    <row r="641" spans="1:215" x14ac:dyDescent="0.25">
      <c r="A641" s="127">
        <v>44490</v>
      </c>
      <c r="B641" s="23" t="s">
        <v>57</v>
      </c>
      <c r="C641" s="21">
        <f t="shared" si="13"/>
        <v>-154.25</v>
      </c>
      <c r="AM641" s="69">
        <v>-8.375</v>
      </c>
      <c r="AQ641" s="69">
        <v>-17.094999999999999</v>
      </c>
      <c r="AV641" s="69">
        <v>-17.22</v>
      </c>
      <c r="BB641" s="69">
        <v>-25.31</v>
      </c>
      <c r="BG641" s="42">
        <v>-17.350000000000001</v>
      </c>
      <c r="BN641" s="69">
        <v>-25.594999999999999</v>
      </c>
      <c r="BS641" s="42">
        <v>-17.04</v>
      </c>
      <c r="BZ641" s="69">
        <v>-8.5749999999999993</v>
      </c>
      <c r="CE641" s="42">
        <v>-17.690000000000001</v>
      </c>
    </row>
    <row r="642" spans="1:215" x14ac:dyDescent="0.25">
      <c r="A642" s="127">
        <v>44490</v>
      </c>
      <c r="B642" s="23" t="s">
        <v>15</v>
      </c>
      <c r="C642" s="21">
        <f t="shared" si="13"/>
        <v>-70.569999999999993</v>
      </c>
      <c r="CQ642" s="42">
        <v>-70.569999999999993</v>
      </c>
    </row>
    <row r="643" spans="1:215" x14ac:dyDescent="0.25">
      <c r="A643" s="127">
        <v>44490</v>
      </c>
      <c r="B643" s="23" t="s">
        <v>18</v>
      </c>
      <c r="C643" s="21">
        <f t="shared" si="13"/>
        <v>-823.24</v>
      </c>
      <c r="AM643" s="69">
        <v>-33.594999999999999</v>
      </c>
      <c r="AQ643" s="69">
        <v>-34.18</v>
      </c>
      <c r="AU643" s="42">
        <v>-70.25</v>
      </c>
      <c r="BA643" s="42">
        <v>-101.74</v>
      </c>
      <c r="BG643" s="42">
        <v>-69.66</v>
      </c>
      <c r="BH643" s="69">
        <v>-34.055</v>
      </c>
      <c r="BM643" s="88">
        <v>-103.9</v>
      </c>
      <c r="BS643" s="42">
        <v>-34.58</v>
      </c>
      <c r="BZ643" s="69">
        <v>-68.319999999999993</v>
      </c>
      <c r="CE643" s="42">
        <v>-35.11</v>
      </c>
      <c r="CF643" s="69">
        <v>-68.53</v>
      </c>
      <c r="CR643" s="69">
        <v>-68.569999999999993</v>
      </c>
      <c r="CX643" s="69">
        <v>-67.094999999999999</v>
      </c>
      <c r="DJ643" s="69">
        <v>-33.655000000000001</v>
      </c>
    </row>
    <row r="644" spans="1:215" x14ac:dyDescent="0.25">
      <c r="A644" s="127">
        <v>44490</v>
      </c>
      <c r="B644" s="23" t="s">
        <v>2</v>
      </c>
      <c r="C644" s="21">
        <f t="shared" si="13"/>
        <v>647.6</v>
      </c>
      <c r="FQ644" s="42">
        <v>254</v>
      </c>
      <c r="GP644" s="42">
        <v>393.6</v>
      </c>
    </row>
    <row r="645" spans="1:215" x14ac:dyDescent="0.25">
      <c r="A645" s="127">
        <v>44491</v>
      </c>
      <c r="B645" s="23" t="s">
        <v>80</v>
      </c>
      <c r="C645" s="21">
        <f t="shared" si="13"/>
        <v>0</v>
      </c>
    </row>
    <row r="646" spans="1:215" x14ac:dyDescent="0.25">
      <c r="A646" s="127">
        <v>44491</v>
      </c>
      <c r="B646" s="23" t="s">
        <v>17</v>
      </c>
      <c r="C646" s="21">
        <f t="shared" si="13"/>
        <v>-171.91499999999999</v>
      </c>
      <c r="AQ646" s="69">
        <v>-17.11</v>
      </c>
      <c r="AU646" s="42">
        <v>-8.6199999999999992</v>
      </c>
      <c r="BA646" s="42">
        <v>-34.11</v>
      </c>
      <c r="BG646" s="42">
        <v>-17.41</v>
      </c>
      <c r="BM646" s="88">
        <v>-8.56</v>
      </c>
      <c r="BZ646" s="69">
        <v>-34.229999999999997</v>
      </c>
      <c r="CK646" s="42">
        <v>-17.559999999999999</v>
      </c>
      <c r="CR646" s="69">
        <v>-34.314999999999998</v>
      </c>
    </row>
    <row r="647" spans="1:215" x14ac:dyDescent="0.25">
      <c r="A647" s="127">
        <v>44491</v>
      </c>
      <c r="B647" s="23" t="s">
        <v>44</v>
      </c>
      <c r="C647" s="21">
        <f t="shared" si="13"/>
        <v>-33.04</v>
      </c>
      <c r="HG647" s="42">
        <v>-33.04</v>
      </c>
    </row>
    <row r="648" spans="1:215" x14ac:dyDescent="0.25">
      <c r="A648" s="127">
        <v>44491</v>
      </c>
      <c r="B648" s="23" t="s">
        <v>38</v>
      </c>
      <c r="C648" s="21">
        <f t="shared" ref="C648:C711" si="14">SUM(I648:JT648)</f>
        <v>-103.45</v>
      </c>
      <c r="U648" s="69">
        <v>-103.45</v>
      </c>
    </row>
    <row r="649" spans="1:215" x14ac:dyDescent="0.25">
      <c r="A649" s="127">
        <v>44491</v>
      </c>
      <c r="B649" s="23" t="s">
        <v>68</v>
      </c>
      <c r="C649" s="21">
        <f t="shared" si="14"/>
        <v>-69.27</v>
      </c>
      <c r="BA649" s="42">
        <v>-34.11</v>
      </c>
      <c r="CE649" s="42">
        <v>-35.159999999999997</v>
      </c>
    </row>
    <row r="650" spans="1:215" x14ac:dyDescent="0.25">
      <c r="A650" s="127">
        <v>44491</v>
      </c>
      <c r="B650" s="23" t="s">
        <v>78</v>
      </c>
      <c r="C650" s="21">
        <f t="shared" si="14"/>
        <v>-42.85</v>
      </c>
      <c r="BM650" s="88">
        <v>-8.4600000000000009</v>
      </c>
      <c r="CK650" s="42">
        <v>-8.5299999999999994</v>
      </c>
      <c r="CQ650" s="42">
        <v>-17.559999999999999</v>
      </c>
      <c r="CX650" s="69">
        <v>-8.3000000000000007</v>
      </c>
    </row>
    <row r="651" spans="1:215" x14ac:dyDescent="0.25">
      <c r="A651" s="127">
        <v>44491</v>
      </c>
      <c r="B651" s="23" t="s">
        <v>15</v>
      </c>
      <c r="C651" s="21">
        <f t="shared" si="14"/>
        <v>-67.19</v>
      </c>
      <c r="DJ651" s="69">
        <v>-67.19</v>
      </c>
    </row>
    <row r="652" spans="1:215" x14ac:dyDescent="0.25">
      <c r="A652" s="127">
        <v>44491</v>
      </c>
      <c r="B652" s="23" t="s">
        <v>60</v>
      </c>
      <c r="C652" s="21">
        <f t="shared" si="14"/>
        <v>-35.380000000000003</v>
      </c>
      <c r="AU652" s="42">
        <v>-35.380000000000003</v>
      </c>
    </row>
    <row r="653" spans="1:215" x14ac:dyDescent="0.25">
      <c r="A653" s="127">
        <v>44492</v>
      </c>
      <c r="B653" s="23" t="s">
        <v>2</v>
      </c>
      <c r="C653" s="21">
        <f t="shared" si="14"/>
        <v>285.10000000000002</v>
      </c>
      <c r="GP653" s="42">
        <v>285.10000000000002</v>
      </c>
    </row>
    <row r="654" spans="1:215" x14ac:dyDescent="0.25">
      <c r="A654" s="127">
        <v>44492</v>
      </c>
      <c r="B654" s="23" t="s">
        <v>89</v>
      </c>
      <c r="C654" s="21">
        <f t="shared" si="14"/>
        <v>-924.78</v>
      </c>
      <c r="U654" s="69">
        <v>-34.465000000000003</v>
      </c>
      <c r="Y654" s="69">
        <v>-34.155000000000001</v>
      </c>
      <c r="AM654" s="69">
        <v>-33.979999999999997</v>
      </c>
      <c r="AQ654" s="69">
        <v>-68.355000000000004</v>
      </c>
      <c r="AU654" s="42">
        <v>-70.67</v>
      </c>
      <c r="BA654" s="42">
        <v>-34.36</v>
      </c>
      <c r="BB654" s="69">
        <v>-33.725000000000001</v>
      </c>
      <c r="BG654" s="42">
        <v>-69.41</v>
      </c>
      <c r="BM654" s="88">
        <v>-66.67</v>
      </c>
      <c r="BY654" s="42">
        <v>-35.299999999999997</v>
      </c>
      <c r="CE654" s="42">
        <v>-105.07</v>
      </c>
      <c r="CK654" s="42">
        <v>-102.49</v>
      </c>
      <c r="CQ654" s="42">
        <v>-104.61</v>
      </c>
      <c r="CX654" s="69">
        <v>-64.39</v>
      </c>
      <c r="DI654" s="42">
        <v>-67.13</v>
      </c>
    </row>
    <row r="655" spans="1:215" x14ac:dyDescent="0.25">
      <c r="A655" s="127">
        <v>44492</v>
      </c>
      <c r="B655" s="23" t="s">
        <v>15</v>
      </c>
      <c r="C655" s="21">
        <f t="shared" si="14"/>
        <v>-35.35</v>
      </c>
      <c r="AU655" s="42">
        <v>-35.35</v>
      </c>
    </row>
    <row r="656" spans="1:215" x14ac:dyDescent="0.25">
      <c r="A656" s="127">
        <v>44492</v>
      </c>
      <c r="B656" s="23" t="s">
        <v>12</v>
      </c>
      <c r="C656" s="21">
        <f t="shared" si="14"/>
        <v>0</v>
      </c>
    </row>
    <row r="657" spans="1:225" x14ac:dyDescent="0.25">
      <c r="A657" s="131">
        <v>44492</v>
      </c>
      <c r="B657" s="23" t="s">
        <v>45</v>
      </c>
      <c r="C657" s="21">
        <f t="shared" si="14"/>
        <v>-16.16</v>
      </c>
      <c r="BX657" s="182">
        <v>-8.44</v>
      </c>
      <c r="CC657" s="126">
        <v>-7.72</v>
      </c>
    </row>
    <row r="658" spans="1:225" x14ac:dyDescent="0.25">
      <c r="A658" s="127">
        <v>44494</v>
      </c>
      <c r="B658" s="23" t="s">
        <v>44</v>
      </c>
      <c r="C658" s="21">
        <f t="shared" si="14"/>
        <v>-109.6</v>
      </c>
      <c r="GP658" s="42">
        <v>-109.6</v>
      </c>
    </row>
    <row r="659" spans="1:225" x14ac:dyDescent="0.25">
      <c r="A659" s="127">
        <v>44494</v>
      </c>
      <c r="B659" s="23" t="s">
        <v>20</v>
      </c>
      <c r="C659" s="21">
        <f t="shared" si="14"/>
        <v>-8.35</v>
      </c>
      <c r="BS659" s="42">
        <v>-8.35</v>
      </c>
    </row>
    <row r="660" spans="1:225" x14ac:dyDescent="0.25">
      <c r="A660" s="127">
        <v>44495</v>
      </c>
      <c r="B660" s="23" t="s">
        <v>80</v>
      </c>
      <c r="C660" s="21">
        <f t="shared" si="14"/>
        <v>-51.25</v>
      </c>
      <c r="AP660" s="42">
        <v>-51.25</v>
      </c>
    </row>
    <row r="661" spans="1:225" x14ac:dyDescent="0.25">
      <c r="A661" s="127">
        <v>44495</v>
      </c>
      <c r="B661" s="23" t="s">
        <v>59</v>
      </c>
      <c r="C661" s="21">
        <f t="shared" si="14"/>
        <v>-8.32</v>
      </c>
      <c r="CP661" s="182">
        <v>-8.32</v>
      </c>
    </row>
    <row r="662" spans="1:225" x14ac:dyDescent="0.25">
      <c r="A662" s="127">
        <v>44496</v>
      </c>
      <c r="B662" s="23" t="s">
        <v>2</v>
      </c>
      <c r="C662" s="21">
        <f t="shared" si="14"/>
        <v>9482.26</v>
      </c>
      <c r="AA662" s="42">
        <v>319.92</v>
      </c>
      <c r="AE662" s="42">
        <v>304.75</v>
      </c>
      <c r="AP662" s="42">
        <v>513.25</v>
      </c>
      <c r="AU662" s="42">
        <v>517.41</v>
      </c>
      <c r="BA662" s="42">
        <v>520.87</v>
      </c>
      <c r="BG662" s="42">
        <v>509.02</v>
      </c>
      <c r="BM662" s="88">
        <v>523.22</v>
      </c>
      <c r="BS662" s="42">
        <v>524.73</v>
      </c>
      <c r="BY662" s="42">
        <v>515.02</v>
      </c>
      <c r="CE662" s="42">
        <v>516.1</v>
      </c>
      <c r="CK662" s="42">
        <v>511.35</v>
      </c>
      <c r="CQ662" s="42">
        <v>495.96</v>
      </c>
      <c r="CW662" s="42">
        <v>524.03</v>
      </c>
      <c r="DC662" s="42">
        <v>515.57000000000005</v>
      </c>
      <c r="DI662" s="42">
        <v>506.71</v>
      </c>
      <c r="DN662" s="42">
        <v>503.88</v>
      </c>
      <c r="DY662" s="42">
        <v>525.53</v>
      </c>
      <c r="GP662" s="42">
        <v>287</v>
      </c>
      <c r="HE662" s="42">
        <v>320.14</v>
      </c>
      <c r="HQ662" s="42">
        <v>527.79999999999995</v>
      </c>
    </row>
    <row r="663" spans="1:225" x14ac:dyDescent="0.25">
      <c r="A663" s="127">
        <v>44496</v>
      </c>
      <c r="B663" s="23" t="s">
        <v>84</v>
      </c>
      <c r="C663" s="21">
        <f t="shared" si="14"/>
        <v>-110.73</v>
      </c>
      <c r="L663" s="69">
        <v>-8.5</v>
      </c>
      <c r="Y663" s="69">
        <v>-8.5050000000000008</v>
      </c>
      <c r="AP663" s="42">
        <v>-8.8699999999999992</v>
      </c>
      <c r="AV663" s="69">
        <v>-17.07</v>
      </c>
      <c r="BB663" s="69">
        <v>-16.89</v>
      </c>
      <c r="BG663" s="42">
        <v>-17.47</v>
      </c>
      <c r="BM663" s="88">
        <v>-16.71</v>
      </c>
      <c r="BS663" s="42">
        <v>-8.17</v>
      </c>
      <c r="BZ663" s="69">
        <v>-8.5449999999999999</v>
      </c>
    </row>
    <row r="664" spans="1:225" x14ac:dyDescent="0.25">
      <c r="A664" s="127">
        <v>44496</v>
      </c>
      <c r="B664" s="23" t="s">
        <v>25</v>
      </c>
      <c r="C664" s="21">
        <f t="shared" si="14"/>
        <v>-51.164999999999999</v>
      </c>
      <c r="BG664" s="42">
        <v>-8.75</v>
      </c>
      <c r="BM664" s="88">
        <v>-8.5500000000000007</v>
      </c>
      <c r="BS664" s="42">
        <v>-8.52</v>
      </c>
      <c r="BT664" s="69">
        <v>-8.4499999999999993</v>
      </c>
      <c r="BZ664" s="69">
        <v>-8.5549999999999997</v>
      </c>
      <c r="CF664" s="69">
        <v>-8.34</v>
      </c>
    </row>
    <row r="665" spans="1:225" x14ac:dyDescent="0.25">
      <c r="A665" s="127">
        <v>44496</v>
      </c>
      <c r="B665" s="23" t="s">
        <v>27</v>
      </c>
      <c r="C665" s="21">
        <f t="shared" si="14"/>
        <v>-33.909999999999997</v>
      </c>
      <c r="AU665" s="42">
        <v>-7.92</v>
      </c>
      <c r="BA665" s="42">
        <v>-8.64</v>
      </c>
      <c r="BG665" s="42">
        <v>-8.73</v>
      </c>
      <c r="DI665" s="42">
        <v>-8.6199999999999992</v>
      </c>
    </row>
    <row r="666" spans="1:225" x14ac:dyDescent="0.25">
      <c r="A666" s="127">
        <v>44496</v>
      </c>
      <c r="B666" s="23" t="s">
        <v>15</v>
      </c>
      <c r="C666" s="21">
        <f t="shared" si="14"/>
        <v>-67.44</v>
      </c>
      <c r="DN666" s="42">
        <v>-67.44</v>
      </c>
    </row>
    <row r="667" spans="1:225" x14ac:dyDescent="0.25">
      <c r="A667" s="127">
        <v>44496</v>
      </c>
      <c r="B667" s="23" t="s">
        <v>17</v>
      </c>
      <c r="C667" s="21">
        <f t="shared" si="14"/>
        <v>-42.81</v>
      </c>
      <c r="BH667" s="69">
        <v>-17.03</v>
      </c>
      <c r="CL667" s="69">
        <v>-8.61</v>
      </c>
      <c r="CR667" s="69">
        <v>-17.170000000000002</v>
      </c>
    </row>
    <row r="668" spans="1:225" x14ac:dyDescent="0.25">
      <c r="A668" s="127">
        <v>44496</v>
      </c>
      <c r="B668" s="23" t="s">
        <v>78</v>
      </c>
      <c r="C668" s="21">
        <f t="shared" si="14"/>
        <v>-148.97499999999999</v>
      </c>
      <c r="O668" s="375">
        <v>-8.4700000000000006</v>
      </c>
      <c r="BH668" s="69">
        <v>-8.49</v>
      </c>
      <c r="BM668" s="88">
        <v>-16.84</v>
      </c>
      <c r="CL668" s="69">
        <v>-8.6150000000000002</v>
      </c>
      <c r="DY668" s="42">
        <v>-106.56</v>
      </c>
    </row>
    <row r="669" spans="1:225" x14ac:dyDescent="0.25">
      <c r="A669" s="127">
        <v>44496</v>
      </c>
      <c r="B669" s="23" t="s">
        <v>78</v>
      </c>
      <c r="C669" s="21">
        <f t="shared" si="14"/>
        <v>-17.16</v>
      </c>
      <c r="Y669" s="69">
        <v>-8.6</v>
      </c>
      <c r="AE669" s="42">
        <v>-8.56</v>
      </c>
    </row>
    <row r="670" spans="1:225" x14ac:dyDescent="0.25">
      <c r="A670" s="127">
        <v>44497</v>
      </c>
      <c r="B670" s="23" t="s">
        <v>20</v>
      </c>
      <c r="C670" s="21">
        <f t="shared" si="14"/>
        <v>-59.055</v>
      </c>
      <c r="L670" s="69">
        <v>-8.49</v>
      </c>
      <c r="AB670" s="69">
        <v>-8.5399999999999991</v>
      </c>
      <c r="AE670" s="42">
        <v>-8.5500000000000007</v>
      </c>
      <c r="AM670" s="69">
        <v>-8.3000000000000007</v>
      </c>
      <c r="BB670" s="69">
        <v>-8.4450000000000003</v>
      </c>
      <c r="BH670" s="69">
        <v>-8.5299999999999994</v>
      </c>
      <c r="BM670" s="88">
        <v>-8.1999999999999993</v>
      </c>
    </row>
    <row r="671" spans="1:225" x14ac:dyDescent="0.25">
      <c r="A671" s="127">
        <v>44497</v>
      </c>
      <c r="B671" s="23" t="s">
        <v>89</v>
      </c>
      <c r="C671" s="21">
        <f t="shared" si="14"/>
        <v>-34.82</v>
      </c>
      <c r="AP671" s="42">
        <v>-34.82</v>
      </c>
    </row>
    <row r="672" spans="1:225" x14ac:dyDescent="0.25">
      <c r="A672" s="127">
        <v>44497</v>
      </c>
      <c r="B672" s="23" t="s">
        <v>78</v>
      </c>
      <c r="C672" s="21">
        <f t="shared" si="14"/>
        <v>-33.700000000000003</v>
      </c>
      <c r="AB672" s="69">
        <v>-8.5250000000000004</v>
      </c>
      <c r="AE672" s="42">
        <v>-8.48</v>
      </c>
      <c r="AM672" s="69">
        <v>-8.4149999999999991</v>
      </c>
      <c r="DY672" s="42">
        <v>-8.2799999999999994</v>
      </c>
    </row>
    <row r="673" spans="1:238" x14ac:dyDescent="0.25">
      <c r="A673" s="127">
        <v>44497</v>
      </c>
      <c r="B673" s="23" t="s">
        <v>84</v>
      </c>
      <c r="C673" s="21">
        <f t="shared" si="14"/>
        <v>-26.9</v>
      </c>
      <c r="FU673" s="88">
        <v>-26.9</v>
      </c>
    </row>
    <row r="674" spans="1:238" x14ac:dyDescent="0.25">
      <c r="A674" s="127">
        <v>44497</v>
      </c>
      <c r="B674" s="23" t="s">
        <v>44</v>
      </c>
      <c r="C674" s="21">
        <f t="shared" si="14"/>
        <v>-342.51</v>
      </c>
      <c r="GP674" s="42">
        <v>-180</v>
      </c>
      <c r="GY674" s="42">
        <v>-33.200000000000003</v>
      </c>
      <c r="HE674" s="42">
        <v>-31.9</v>
      </c>
      <c r="ID674" s="42">
        <v>-97.41</v>
      </c>
    </row>
    <row r="675" spans="1:238" x14ac:dyDescent="0.25">
      <c r="A675" s="127">
        <v>44497</v>
      </c>
      <c r="B675" s="23" t="s">
        <v>89</v>
      </c>
      <c r="C675" s="21">
        <f t="shared" si="14"/>
        <v>-32.75</v>
      </c>
      <c r="AP675" s="42">
        <v>-32.75</v>
      </c>
    </row>
    <row r="676" spans="1:238" x14ac:dyDescent="0.25">
      <c r="A676" s="127">
        <v>44497</v>
      </c>
      <c r="B676" s="23" t="s">
        <v>18</v>
      </c>
      <c r="C676" s="21">
        <f t="shared" si="14"/>
        <v>-865.86500000000001</v>
      </c>
      <c r="Q676" s="163">
        <v>-3.69</v>
      </c>
      <c r="AA676" s="42">
        <v>-33.6</v>
      </c>
      <c r="BA676" s="42">
        <v>-34.49</v>
      </c>
      <c r="BG676" s="42">
        <v>-68.75</v>
      </c>
      <c r="BH676" s="69">
        <v>-34.094999999999999</v>
      </c>
      <c r="BM676" s="88">
        <v>-101.29</v>
      </c>
      <c r="BS676" s="42">
        <v>-210.48</v>
      </c>
      <c r="BY676" s="42">
        <v>-137.82</v>
      </c>
      <c r="CE676" s="42">
        <v>-70.78</v>
      </c>
      <c r="CK676" s="42">
        <v>-34.479999999999997</v>
      </c>
      <c r="CL676" s="69">
        <v>-34.42</v>
      </c>
      <c r="DC676" s="42">
        <v>-101.97</v>
      </c>
    </row>
    <row r="677" spans="1:238" x14ac:dyDescent="0.25">
      <c r="A677" s="127">
        <v>44499</v>
      </c>
      <c r="B677" s="23" t="s">
        <v>57</v>
      </c>
      <c r="C677" s="21">
        <f t="shared" si="14"/>
        <v>-8.67</v>
      </c>
      <c r="AA677" s="42">
        <v>-8.67</v>
      </c>
    </row>
    <row r="678" spans="1:238" x14ac:dyDescent="0.25">
      <c r="A678" s="127">
        <v>44499</v>
      </c>
      <c r="B678" s="23" t="s">
        <v>53</v>
      </c>
      <c r="C678" s="21">
        <f t="shared" si="14"/>
        <v>-1342.61</v>
      </c>
      <c r="BG678" s="42">
        <v>-240.26</v>
      </c>
      <c r="BM678" s="88">
        <v>-274.19</v>
      </c>
      <c r="CE678" s="42">
        <v>-241.18</v>
      </c>
      <c r="CW678" s="42">
        <v>-349.43</v>
      </c>
      <c r="ES678" s="69">
        <v>-237.55</v>
      </c>
    </row>
    <row r="679" spans="1:238" x14ac:dyDescent="0.25">
      <c r="A679" s="127">
        <v>44501</v>
      </c>
      <c r="B679" s="23" t="s">
        <v>89</v>
      </c>
      <c r="C679" s="21">
        <f t="shared" si="14"/>
        <v>-173.87</v>
      </c>
      <c r="AV679" s="69">
        <v>-8.59</v>
      </c>
      <c r="BZ679" s="69">
        <v>-17.079999999999998</v>
      </c>
      <c r="CF679" s="69">
        <v>-51.48</v>
      </c>
      <c r="CR679" s="69">
        <v>-51.445</v>
      </c>
      <c r="CX679" s="69">
        <v>-33.354999999999997</v>
      </c>
      <c r="DJ679" s="69">
        <v>-8.41</v>
      </c>
      <c r="EF679" s="69">
        <v>-3.51</v>
      </c>
    </row>
    <row r="680" spans="1:238" x14ac:dyDescent="0.25">
      <c r="A680" s="127">
        <v>44501</v>
      </c>
      <c r="B680" s="23" t="s">
        <v>15</v>
      </c>
      <c r="C680" s="21">
        <f t="shared" si="14"/>
        <v>-69.86</v>
      </c>
      <c r="BS680" s="42">
        <v>-69.86</v>
      </c>
    </row>
    <row r="681" spans="1:238" x14ac:dyDescent="0.25">
      <c r="A681" s="127">
        <v>44501</v>
      </c>
      <c r="B681" s="23" t="s">
        <v>15</v>
      </c>
      <c r="C681" s="21">
        <f t="shared" si="14"/>
        <v>-340.68</v>
      </c>
      <c r="AP681" s="42">
        <v>-35.17</v>
      </c>
      <c r="BG681" s="42">
        <v>-34.340000000000003</v>
      </c>
      <c r="BS681" s="42">
        <v>-35.04</v>
      </c>
      <c r="CK681" s="42">
        <v>-68.52</v>
      </c>
      <c r="CQ681" s="42">
        <v>-69.59</v>
      </c>
      <c r="CW681" s="42">
        <v>-35.97</v>
      </c>
      <c r="DC681" s="42">
        <v>-33.979999999999997</v>
      </c>
      <c r="DN681" s="42">
        <v>-28.07</v>
      </c>
    </row>
    <row r="682" spans="1:238" x14ac:dyDescent="0.25">
      <c r="A682" s="127">
        <v>44501</v>
      </c>
      <c r="B682" s="23" t="s">
        <v>32</v>
      </c>
      <c r="C682" s="21">
        <f t="shared" si="14"/>
        <v>-206.13</v>
      </c>
      <c r="BA682" s="42">
        <v>-34.72</v>
      </c>
      <c r="BG682" s="42">
        <v>-33.520000000000003</v>
      </c>
      <c r="BM682" s="88">
        <v>-34.78</v>
      </c>
      <c r="BS682" s="42">
        <v>-34.880000000000003</v>
      </c>
      <c r="BY682" s="42">
        <v>-33.909999999999997</v>
      </c>
      <c r="CE682" s="42">
        <v>-34.32</v>
      </c>
    </row>
    <row r="683" spans="1:238" x14ac:dyDescent="0.25">
      <c r="A683" s="127">
        <v>44502</v>
      </c>
      <c r="B683" s="23" t="s">
        <v>90</v>
      </c>
      <c r="C683" s="21">
        <f t="shared" si="14"/>
        <v>-17.23</v>
      </c>
      <c r="CE683" s="42">
        <v>-17.23</v>
      </c>
    </row>
    <row r="684" spans="1:238" x14ac:dyDescent="0.25">
      <c r="A684" s="127">
        <v>44502</v>
      </c>
      <c r="B684" s="23" t="s">
        <v>78</v>
      </c>
      <c r="C684" s="21">
        <f t="shared" si="14"/>
        <v>-78.25</v>
      </c>
      <c r="O684" s="375">
        <v>-8.4749999999999996</v>
      </c>
      <c r="AM684" s="69">
        <v>-8.3949999999999996</v>
      </c>
      <c r="AU684" s="42">
        <v>-8.9</v>
      </c>
      <c r="BA684" s="42">
        <v>-34.520000000000003</v>
      </c>
      <c r="BY684" s="42">
        <v>-9.18</v>
      </c>
      <c r="DC684" s="42">
        <v>-8.7799999999999994</v>
      </c>
    </row>
    <row r="685" spans="1:238" x14ac:dyDescent="0.25">
      <c r="A685" s="127">
        <v>44502</v>
      </c>
      <c r="B685" s="23" t="s">
        <v>13</v>
      </c>
      <c r="C685" s="21">
        <f t="shared" si="14"/>
        <v>-183.63499999999999</v>
      </c>
      <c r="Y685" s="69">
        <v>-16.305</v>
      </c>
      <c r="AU685" s="42">
        <v>-33.72</v>
      </c>
      <c r="CE685" s="42">
        <v>-34.56</v>
      </c>
      <c r="DN685" s="42">
        <v>-30.51</v>
      </c>
      <c r="DS685" s="42">
        <v>-33.75</v>
      </c>
      <c r="DY685" s="42">
        <v>-34.79</v>
      </c>
    </row>
    <row r="686" spans="1:238" x14ac:dyDescent="0.25">
      <c r="A686" s="127">
        <v>44502</v>
      </c>
      <c r="B686" s="23" t="s">
        <v>19</v>
      </c>
      <c r="C686" s="21">
        <f t="shared" si="14"/>
        <v>-424.12</v>
      </c>
      <c r="BA686" s="42">
        <v>-69.56</v>
      </c>
      <c r="BM686" s="88">
        <v>-69.78</v>
      </c>
      <c r="BS686" s="42">
        <v>-35.03</v>
      </c>
      <c r="CK686" s="42">
        <v>-67.400000000000006</v>
      </c>
      <c r="CQ686" s="42">
        <v>-70.23</v>
      </c>
      <c r="CW686" s="42">
        <v>-70.02</v>
      </c>
      <c r="FQ686" s="42">
        <v>-42.1</v>
      </c>
    </row>
    <row r="687" spans="1:238" x14ac:dyDescent="0.25">
      <c r="A687" s="127">
        <v>44503</v>
      </c>
      <c r="B687" s="23" t="s">
        <v>27</v>
      </c>
      <c r="C687" s="21">
        <f t="shared" si="14"/>
        <v>-27.15</v>
      </c>
      <c r="BL687" s="182">
        <v>-7.51</v>
      </c>
      <c r="BR687" s="182">
        <v>-10.11</v>
      </c>
      <c r="CC687" s="126">
        <v>-9.5299999999999994</v>
      </c>
    </row>
    <row r="688" spans="1:238" x14ac:dyDescent="0.25">
      <c r="A688" s="127">
        <v>44503</v>
      </c>
      <c r="B688" s="23" t="s">
        <v>78</v>
      </c>
      <c r="C688" s="21">
        <f t="shared" si="14"/>
        <v>-72.47</v>
      </c>
      <c r="BY688" s="42">
        <v>-42.49</v>
      </c>
      <c r="CE688" s="42">
        <v>-8.6300000000000008</v>
      </c>
      <c r="FQ688" s="42">
        <v>-21.35</v>
      </c>
    </row>
    <row r="689" spans="1:220" x14ac:dyDescent="0.25">
      <c r="A689" s="127">
        <v>44503</v>
      </c>
      <c r="B689" s="23" t="s">
        <v>33</v>
      </c>
      <c r="C689" s="21">
        <f t="shared" si="14"/>
        <v>-26</v>
      </c>
      <c r="BA689" s="42">
        <v>-8.69</v>
      </c>
      <c r="BM689" s="88">
        <v>-8.74</v>
      </c>
      <c r="BY689" s="42">
        <v>-8.57</v>
      </c>
    </row>
    <row r="690" spans="1:220" x14ac:dyDescent="0.25">
      <c r="A690" s="127">
        <v>44503</v>
      </c>
      <c r="B690" s="23" t="s">
        <v>75</v>
      </c>
      <c r="C690" s="21">
        <f t="shared" si="14"/>
        <v>-17.46</v>
      </c>
      <c r="BG690" s="42">
        <v>-8.7200000000000006</v>
      </c>
      <c r="BM690" s="88">
        <v>-8.74</v>
      </c>
    </row>
    <row r="691" spans="1:220" x14ac:dyDescent="0.25">
      <c r="A691" s="127">
        <v>44503</v>
      </c>
      <c r="B691" s="23" t="s">
        <v>26</v>
      </c>
      <c r="C691" s="21">
        <f t="shared" si="14"/>
        <v>-86.31</v>
      </c>
      <c r="BM691" s="88">
        <v>-17.46</v>
      </c>
      <c r="BS691" s="42">
        <v>-17.53</v>
      </c>
      <c r="CE691" s="42">
        <v>-17.22</v>
      </c>
      <c r="CQ691" s="42">
        <v>-17.41</v>
      </c>
      <c r="CX691" s="69">
        <v>-16.690000000000001</v>
      </c>
    </row>
    <row r="692" spans="1:220" x14ac:dyDescent="0.25">
      <c r="A692" s="127">
        <v>44503</v>
      </c>
      <c r="B692" s="23" t="s">
        <v>15</v>
      </c>
      <c r="C692" s="21">
        <f t="shared" si="14"/>
        <v>-172.23</v>
      </c>
      <c r="AU692" s="42">
        <v>-35.24</v>
      </c>
      <c r="BG692" s="42">
        <v>-31.74</v>
      </c>
      <c r="CQ692" s="42">
        <v>-69.59</v>
      </c>
      <c r="CW692" s="42">
        <v>-35.659999999999997</v>
      </c>
    </row>
    <row r="693" spans="1:220" x14ac:dyDescent="0.25">
      <c r="A693" s="127">
        <v>44503</v>
      </c>
      <c r="B693" s="23" t="s">
        <v>68</v>
      </c>
      <c r="C693" s="21">
        <f t="shared" si="14"/>
        <v>-33.590000000000003</v>
      </c>
      <c r="AM693" s="69">
        <v>-33.590000000000003</v>
      </c>
    </row>
    <row r="694" spans="1:220" x14ac:dyDescent="0.25">
      <c r="A694" s="127">
        <v>44504</v>
      </c>
      <c r="B694" s="23" t="s">
        <v>15</v>
      </c>
      <c r="C694" s="21">
        <f t="shared" si="14"/>
        <v>-95.094999999999999</v>
      </c>
      <c r="L694" s="69">
        <v>-33.914999999999999</v>
      </c>
      <c r="BM694" s="88">
        <v>-34.880000000000003</v>
      </c>
      <c r="BS694" s="42">
        <v>-26.3</v>
      </c>
    </row>
    <row r="695" spans="1:220" x14ac:dyDescent="0.25">
      <c r="A695" s="127">
        <v>44504</v>
      </c>
      <c r="B695" s="23" t="s">
        <v>20</v>
      </c>
      <c r="C695" s="21">
        <f t="shared" si="14"/>
        <v>-54.35</v>
      </c>
      <c r="BS695" s="42">
        <v>-8.76</v>
      </c>
      <c r="BY695" s="42">
        <v>-8.5399999999999991</v>
      </c>
      <c r="CQ695" s="42">
        <v>-8.15</v>
      </c>
      <c r="CX695" s="69">
        <v>-8.3550000000000004</v>
      </c>
      <c r="FX695" s="34">
        <v>-20.545000000000002</v>
      </c>
    </row>
    <row r="696" spans="1:220" x14ac:dyDescent="0.25">
      <c r="A696" s="127">
        <v>44504</v>
      </c>
      <c r="B696" s="23" t="s">
        <v>2</v>
      </c>
      <c r="C696" s="21">
        <f t="shared" si="14"/>
        <v>505.52</v>
      </c>
      <c r="HL696" s="42">
        <v>505.52</v>
      </c>
    </row>
    <row r="697" spans="1:220" x14ac:dyDescent="0.25">
      <c r="A697" s="127">
        <v>44504</v>
      </c>
      <c r="B697" s="23" t="s">
        <v>15</v>
      </c>
      <c r="C697" s="21">
        <f t="shared" si="14"/>
        <v>-252.57499999999999</v>
      </c>
      <c r="AL697" s="42">
        <v>-33.465000000000003</v>
      </c>
      <c r="AU697" s="42">
        <v>-34.43</v>
      </c>
      <c r="BG697" s="42">
        <v>-17.39</v>
      </c>
      <c r="BP697" s="121">
        <v>-29.53</v>
      </c>
      <c r="CE697" s="42">
        <v>-34.54</v>
      </c>
      <c r="CK697" s="42">
        <v>-33.909999999999997</v>
      </c>
      <c r="CQ697" s="42">
        <v>-34.43</v>
      </c>
      <c r="CW697" s="42">
        <v>-34.880000000000003</v>
      </c>
    </row>
    <row r="698" spans="1:220" x14ac:dyDescent="0.25">
      <c r="A698" s="127">
        <v>44505</v>
      </c>
      <c r="B698" s="23" t="s">
        <v>13</v>
      </c>
      <c r="C698" s="21">
        <f t="shared" si="14"/>
        <v>-371.29500000000002</v>
      </c>
      <c r="BA698" s="42">
        <v>-34.909999999999997</v>
      </c>
      <c r="BG698" s="42">
        <v>-33.43</v>
      </c>
      <c r="BY698" s="42">
        <v>-33.950000000000003</v>
      </c>
      <c r="CK698" s="42">
        <v>-67.8</v>
      </c>
      <c r="CR698" s="69">
        <v>-34.284999999999997</v>
      </c>
      <c r="CX698" s="69">
        <v>-34.08</v>
      </c>
      <c r="DJ698" s="69">
        <v>-33.65</v>
      </c>
      <c r="DN698" s="42">
        <v>-31.21</v>
      </c>
      <c r="DT698" s="69">
        <v>-67.98</v>
      </c>
    </row>
    <row r="699" spans="1:220" x14ac:dyDescent="0.25">
      <c r="A699" s="127">
        <v>44505</v>
      </c>
      <c r="B699" s="23" t="s">
        <v>12</v>
      </c>
      <c r="C699" s="21">
        <f t="shared" si="14"/>
        <v>-21.945</v>
      </c>
      <c r="EY699" s="88">
        <v>-21.945</v>
      </c>
    </row>
    <row r="700" spans="1:220" x14ac:dyDescent="0.25">
      <c r="A700" s="127">
        <v>44505</v>
      </c>
      <c r="B700" s="23" t="s">
        <v>68</v>
      </c>
      <c r="C700" s="21">
        <f t="shared" si="14"/>
        <v>-67.900000000000006</v>
      </c>
      <c r="BA700" s="42">
        <v>-34.94</v>
      </c>
      <c r="BG700" s="42">
        <v>-32.96</v>
      </c>
    </row>
    <row r="701" spans="1:220" x14ac:dyDescent="0.25">
      <c r="A701" s="127">
        <v>44505</v>
      </c>
      <c r="B701" s="23" t="s">
        <v>18</v>
      </c>
      <c r="C701" s="21">
        <f t="shared" si="14"/>
        <v>-857.57</v>
      </c>
      <c r="Y701" s="69">
        <v>-34.159999999999997</v>
      </c>
      <c r="AA701" s="42">
        <v>-29.05</v>
      </c>
      <c r="AE701" s="42">
        <v>-33.979999999999997</v>
      </c>
      <c r="AM701" s="69">
        <v>-33.61</v>
      </c>
      <c r="AP701" s="42">
        <v>-34.28</v>
      </c>
      <c r="AU701" s="42">
        <v>-69.349999999999994</v>
      </c>
      <c r="BA701" s="42">
        <v>-69.81</v>
      </c>
      <c r="BM701" s="88">
        <v>-35.06</v>
      </c>
      <c r="CK701" s="42">
        <v>-102.6</v>
      </c>
      <c r="CQ701" s="42">
        <v>-104.05</v>
      </c>
      <c r="CW701" s="42">
        <v>-104.45</v>
      </c>
      <c r="DC701" s="42">
        <v>-69.52</v>
      </c>
      <c r="DN701" s="42">
        <v>-33.909999999999997</v>
      </c>
      <c r="DT701" s="69">
        <v>-68.06</v>
      </c>
      <c r="DY701" s="42">
        <v>-35.68</v>
      </c>
    </row>
    <row r="702" spans="1:220" x14ac:dyDescent="0.25">
      <c r="A702" s="127">
        <v>44505</v>
      </c>
      <c r="B702" s="23" t="s">
        <v>2</v>
      </c>
      <c r="C702" s="21">
        <f t="shared" si="14"/>
        <v>211.23</v>
      </c>
      <c r="GR702" s="50">
        <v>211.23</v>
      </c>
    </row>
    <row r="703" spans="1:220" x14ac:dyDescent="0.25">
      <c r="A703" s="127">
        <v>44506</v>
      </c>
      <c r="B703" s="23" t="s">
        <v>12</v>
      </c>
      <c r="C703" s="21">
        <f t="shared" si="14"/>
        <v>-174.875</v>
      </c>
      <c r="CQ703" s="42">
        <v>-34.53</v>
      </c>
      <c r="DT703" s="69">
        <v>-33.784999999999997</v>
      </c>
      <c r="GA703" s="88">
        <v>-106.56</v>
      </c>
    </row>
    <row r="704" spans="1:220" x14ac:dyDescent="0.25">
      <c r="A704" s="127">
        <v>44506</v>
      </c>
      <c r="B704" s="23" t="s">
        <v>78</v>
      </c>
      <c r="C704" s="21">
        <f t="shared" si="14"/>
        <v>-25.89</v>
      </c>
      <c r="BA704" s="42">
        <v>-8.7100000000000009</v>
      </c>
      <c r="BG704" s="42">
        <v>-8.64</v>
      </c>
      <c r="BY704" s="42">
        <v>-8.5399999999999991</v>
      </c>
    </row>
    <row r="705" spans="1:240" x14ac:dyDescent="0.25">
      <c r="A705" s="127">
        <v>44506</v>
      </c>
      <c r="B705" s="23" t="s">
        <v>15</v>
      </c>
      <c r="C705" s="21">
        <f t="shared" si="14"/>
        <v>-326.99</v>
      </c>
      <c r="AP705" s="42">
        <v>-34.14</v>
      </c>
      <c r="AU705" s="42">
        <v>-34.630000000000003</v>
      </c>
      <c r="BA705" s="42">
        <v>-34.590000000000003</v>
      </c>
      <c r="BY705" s="42">
        <v>-33.99</v>
      </c>
      <c r="CE705" s="42">
        <v>-17.11</v>
      </c>
      <c r="CW705" s="42">
        <v>-35.01</v>
      </c>
      <c r="DC705" s="42">
        <v>-35.26</v>
      </c>
      <c r="DI705" s="42">
        <v>-33.5</v>
      </c>
      <c r="DN705" s="42">
        <v>-34.26</v>
      </c>
      <c r="DY705" s="42">
        <v>-34.5</v>
      </c>
    </row>
    <row r="706" spans="1:240" x14ac:dyDescent="0.25">
      <c r="A706" s="127">
        <v>44506</v>
      </c>
      <c r="B706" s="23" t="s">
        <v>38</v>
      </c>
      <c r="C706" s="21">
        <f t="shared" si="14"/>
        <v>-307.58999999999997</v>
      </c>
      <c r="BY706" s="42">
        <v>-68.59</v>
      </c>
      <c r="CK706" s="42">
        <v>-101.84</v>
      </c>
      <c r="DC706" s="42">
        <v>-137.16</v>
      </c>
    </row>
    <row r="707" spans="1:240" x14ac:dyDescent="0.25">
      <c r="A707" s="127">
        <v>44508</v>
      </c>
      <c r="B707" s="23" t="s">
        <v>92</v>
      </c>
      <c r="C707" s="21">
        <f t="shared" si="14"/>
        <v>0</v>
      </c>
    </row>
    <row r="708" spans="1:240" x14ac:dyDescent="0.25">
      <c r="A708" s="127">
        <v>44508</v>
      </c>
      <c r="B708" s="23" t="s">
        <v>15</v>
      </c>
      <c r="C708" s="21">
        <f t="shared" si="14"/>
        <v>-59.76</v>
      </c>
      <c r="O708" s="375">
        <v>-34.049999999999997</v>
      </c>
      <c r="CE708" s="42">
        <v>-25.71</v>
      </c>
    </row>
    <row r="709" spans="1:240" x14ac:dyDescent="0.25">
      <c r="A709" s="127">
        <v>44508</v>
      </c>
      <c r="B709" s="23" t="s">
        <v>91</v>
      </c>
      <c r="C709" s="21">
        <f t="shared" si="14"/>
        <v>-8.4749999999999996</v>
      </c>
      <c r="O709" s="375">
        <v>-8.4749999999999996</v>
      </c>
    </row>
    <row r="710" spans="1:240" x14ac:dyDescent="0.25">
      <c r="A710" s="127">
        <v>44508</v>
      </c>
      <c r="B710" s="23" t="s">
        <v>68</v>
      </c>
      <c r="C710" s="21">
        <f t="shared" si="14"/>
        <v>-69.150000000000006</v>
      </c>
      <c r="AP710" s="42">
        <v>-34.15</v>
      </c>
      <c r="BM710" s="88">
        <v>-35</v>
      </c>
    </row>
    <row r="711" spans="1:240" x14ac:dyDescent="0.25">
      <c r="A711" s="127">
        <v>44508</v>
      </c>
      <c r="B711" s="23" t="s">
        <v>78</v>
      </c>
      <c r="C711" s="21">
        <f t="shared" si="14"/>
        <v>-84.82</v>
      </c>
      <c r="AM711" s="69">
        <v>-8.39</v>
      </c>
      <c r="AP711" s="42">
        <v>-8.0500000000000007</v>
      </c>
      <c r="BA711" s="42">
        <v>-17.38</v>
      </c>
      <c r="BG711" s="42">
        <v>-16.899999999999999</v>
      </c>
      <c r="BY711" s="42">
        <v>-17.02</v>
      </c>
      <c r="CE711" s="42">
        <v>-17.079999999999998</v>
      </c>
    </row>
    <row r="712" spans="1:240" x14ac:dyDescent="0.25">
      <c r="A712" s="127">
        <v>44508</v>
      </c>
      <c r="B712" s="23" t="s">
        <v>37</v>
      </c>
      <c r="C712" s="21">
        <f t="shared" ref="C712:C775" si="15">SUM(I712:JT712)</f>
        <v>-28.43</v>
      </c>
      <c r="HK712" s="50">
        <v>-28.43</v>
      </c>
    </row>
    <row r="713" spans="1:240" x14ac:dyDescent="0.25">
      <c r="A713" s="127">
        <v>44508</v>
      </c>
      <c r="B713" s="23" t="s">
        <v>78</v>
      </c>
      <c r="C713" s="21">
        <f t="shared" si="15"/>
        <v>-224.96</v>
      </c>
      <c r="AP713" s="42">
        <v>-8.8699999999999992</v>
      </c>
      <c r="BA713" s="42">
        <v>-8.6199999999999992</v>
      </c>
      <c r="BG713" s="42">
        <v>-17.11</v>
      </c>
      <c r="BM713" s="88">
        <v>-17.23</v>
      </c>
      <c r="BS713" s="42">
        <v>-17.43</v>
      </c>
      <c r="CE713" s="42">
        <v>-8.4499999999999993</v>
      </c>
      <c r="CK713" s="42">
        <v>-8.5299999999999994</v>
      </c>
      <c r="CQ713" s="42">
        <v>-26.78</v>
      </c>
      <c r="CW713" s="42">
        <v>-26.35</v>
      </c>
      <c r="DC713" s="42">
        <v>-34.64</v>
      </c>
      <c r="DN713" s="42">
        <v>-33.83</v>
      </c>
      <c r="DS713" s="42">
        <v>-17.12</v>
      </c>
    </row>
    <row r="714" spans="1:240" x14ac:dyDescent="0.25">
      <c r="A714" s="127">
        <v>44509</v>
      </c>
      <c r="B714" s="23" t="s">
        <v>88</v>
      </c>
      <c r="C714" s="21">
        <f t="shared" si="15"/>
        <v>-33.99</v>
      </c>
      <c r="HL714" s="42">
        <v>-7.72</v>
      </c>
      <c r="IF714" s="50">
        <v>-26.27</v>
      </c>
    </row>
    <row r="715" spans="1:240" x14ac:dyDescent="0.25">
      <c r="A715" s="127">
        <v>44509</v>
      </c>
      <c r="B715" s="23" t="s">
        <v>50</v>
      </c>
      <c r="C715" s="21">
        <f t="shared" si="15"/>
        <v>-360.875</v>
      </c>
      <c r="EY715" s="88">
        <v>-64.924999999999997</v>
      </c>
      <c r="GV715" s="42">
        <v>-8.1</v>
      </c>
      <c r="HC715" s="42">
        <v>-93.95</v>
      </c>
      <c r="HQ715" s="42">
        <v>-98.54</v>
      </c>
      <c r="HZ715" s="42">
        <v>-95.36</v>
      </c>
    </row>
    <row r="716" spans="1:240" x14ac:dyDescent="0.25">
      <c r="A716" s="127">
        <v>44509</v>
      </c>
      <c r="B716" s="23" t="s">
        <v>75</v>
      </c>
      <c r="C716" s="21">
        <f t="shared" si="15"/>
        <v>-34.865000000000002</v>
      </c>
      <c r="AP716" s="42">
        <v>-8.98</v>
      </c>
      <c r="BG716" s="42">
        <v>-8.58</v>
      </c>
      <c r="BS716" s="42">
        <v>-8.73</v>
      </c>
      <c r="CL716" s="69">
        <v>-8.5749999999999993</v>
      </c>
    </row>
    <row r="717" spans="1:240" x14ac:dyDescent="0.25">
      <c r="A717" s="127">
        <v>44509</v>
      </c>
      <c r="B717" s="23" t="s">
        <v>27</v>
      </c>
      <c r="C717" s="21">
        <f t="shared" si="15"/>
        <v>-25.02</v>
      </c>
      <c r="AT717" s="46">
        <v>-7.81</v>
      </c>
      <c r="AZ717" s="182">
        <v>-8.44</v>
      </c>
      <c r="CW717" s="42">
        <v>-8.77</v>
      </c>
    </row>
    <row r="718" spans="1:240" x14ac:dyDescent="0.25">
      <c r="A718" s="127">
        <v>44509</v>
      </c>
      <c r="B718" s="23" t="s">
        <v>45</v>
      </c>
      <c r="C718" s="21">
        <f t="shared" si="15"/>
        <v>-16.78</v>
      </c>
      <c r="AU718" s="42">
        <v>-8.17</v>
      </c>
      <c r="BA718" s="42">
        <v>-8.61</v>
      </c>
    </row>
    <row r="719" spans="1:240" x14ac:dyDescent="0.25">
      <c r="A719" s="127">
        <v>44510</v>
      </c>
      <c r="B719" s="23" t="s">
        <v>15</v>
      </c>
      <c r="C719" s="21">
        <f t="shared" si="15"/>
        <v>-276.58</v>
      </c>
      <c r="U719" s="69">
        <v>-34.47</v>
      </c>
      <c r="AA719" s="42">
        <v>-33.799999999999997</v>
      </c>
      <c r="AU719" s="42">
        <v>-34.07</v>
      </c>
      <c r="BA719" s="42">
        <v>-34.72</v>
      </c>
      <c r="CK719" s="42">
        <v>-35.1</v>
      </c>
      <c r="CW719" s="42">
        <v>-34.81</v>
      </c>
      <c r="EJ719" s="42">
        <v>-34.75</v>
      </c>
      <c r="EN719" s="42">
        <v>-34.86</v>
      </c>
    </row>
    <row r="720" spans="1:240" x14ac:dyDescent="0.25">
      <c r="A720" s="127">
        <v>44510</v>
      </c>
      <c r="B720" s="23" t="s">
        <v>19</v>
      </c>
      <c r="C720" s="21">
        <f t="shared" si="15"/>
        <v>-382.35</v>
      </c>
      <c r="K720" s="42">
        <v>-34.6</v>
      </c>
      <c r="O720" s="375">
        <v>-68.41</v>
      </c>
      <c r="HL720" s="42">
        <v>-127.11</v>
      </c>
      <c r="HU720" s="42">
        <v>-94.63</v>
      </c>
      <c r="HY720" s="38">
        <v>-57.6</v>
      </c>
    </row>
    <row r="721" spans="1:236" x14ac:dyDescent="0.25">
      <c r="A721" s="127">
        <v>44510</v>
      </c>
      <c r="B721" s="23" t="s">
        <v>13</v>
      </c>
      <c r="C721" s="21">
        <f t="shared" si="15"/>
        <v>-178.755</v>
      </c>
      <c r="AA721" s="42">
        <v>-17.48</v>
      </c>
      <c r="BY721" s="42">
        <v>-18.13</v>
      </c>
      <c r="DN721" s="42">
        <v>-30.47</v>
      </c>
      <c r="DY721" s="42">
        <v>-68.98</v>
      </c>
      <c r="FQ721" s="42">
        <v>-43.695</v>
      </c>
    </row>
    <row r="722" spans="1:236" x14ac:dyDescent="0.25">
      <c r="A722" s="127">
        <v>44510</v>
      </c>
      <c r="B722" s="23" t="s">
        <v>32</v>
      </c>
      <c r="C722" s="21">
        <f t="shared" si="15"/>
        <v>-95.25</v>
      </c>
      <c r="BG722" s="42">
        <v>-8.85</v>
      </c>
      <c r="BM722" s="88">
        <v>-17.36</v>
      </c>
      <c r="BS722" s="42">
        <v>-34.99</v>
      </c>
      <c r="BY722" s="42">
        <v>-34.049999999999997</v>
      </c>
    </row>
    <row r="723" spans="1:236" x14ac:dyDescent="0.25">
      <c r="A723" s="127">
        <v>44510</v>
      </c>
      <c r="B723" s="23" t="s">
        <v>19</v>
      </c>
      <c r="C723" s="21">
        <f t="shared" si="15"/>
        <v>255.24</v>
      </c>
      <c r="BG723" s="42">
        <v>69.760000000000005</v>
      </c>
      <c r="BR723" s="182">
        <v>56.74</v>
      </c>
      <c r="BX723" s="182">
        <v>67.650000000000006</v>
      </c>
      <c r="CE723" s="42">
        <v>34.74</v>
      </c>
      <c r="CJ723" s="182">
        <v>26.35</v>
      </c>
    </row>
    <row r="724" spans="1:236" x14ac:dyDescent="0.25">
      <c r="A724" s="127">
        <v>44511</v>
      </c>
      <c r="B724" s="23" t="s">
        <v>78</v>
      </c>
      <c r="C724" s="21">
        <f t="shared" si="15"/>
        <v>-35.005000000000003</v>
      </c>
      <c r="AP724" s="42">
        <v>-8.9600000000000009</v>
      </c>
      <c r="AU724" s="42">
        <v>-8.77</v>
      </c>
      <c r="CL724" s="69">
        <v>-8.6050000000000004</v>
      </c>
      <c r="CQ724" s="42">
        <v>-8.67</v>
      </c>
    </row>
    <row r="725" spans="1:236" x14ac:dyDescent="0.25">
      <c r="A725" s="127">
        <v>44511</v>
      </c>
      <c r="B725" s="23" t="s">
        <v>20</v>
      </c>
      <c r="C725" s="21">
        <f t="shared" si="15"/>
        <v>-117.45</v>
      </c>
      <c r="AP725" s="42">
        <v>-8.85</v>
      </c>
      <c r="AU725" s="42">
        <v>-8.67</v>
      </c>
      <c r="BA725" s="42">
        <v>-8.6</v>
      </c>
      <c r="BG725" s="42">
        <v>-8.69</v>
      </c>
      <c r="BR725" s="182">
        <v>-8.31</v>
      </c>
      <c r="CK725" s="42">
        <v>-8.5299999999999994</v>
      </c>
      <c r="GY725" s="42">
        <v>-65.8</v>
      </c>
    </row>
    <row r="726" spans="1:236" x14ac:dyDescent="0.25">
      <c r="A726" s="127">
        <v>44511</v>
      </c>
      <c r="B726" s="23" t="s">
        <v>15</v>
      </c>
      <c r="C726" s="21">
        <f t="shared" si="15"/>
        <v>-101.58</v>
      </c>
      <c r="BG726" s="42">
        <v>-26.22</v>
      </c>
      <c r="BP726" s="121">
        <v>-8.33</v>
      </c>
      <c r="BR726" s="182">
        <v>-15.64</v>
      </c>
      <c r="BS726" s="42">
        <v>-8.7799999999999994</v>
      </c>
      <c r="BY726" s="42">
        <v>-34.159999999999997</v>
      </c>
      <c r="CE726" s="42">
        <v>-8.4499999999999993</v>
      </c>
    </row>
    <row r="727" spans="1:236" x14ac:dyDescent="0.25">
      <c r="A727" s="127">
        <v>44511</v>
      </c>
      <c r="B727" s="23" t="s">
        <v>44</v>
      </c>
      <c r="C727" s="21">
        <f t="shared" si="15"/>
        <v>-342.16</v>
      </c>
      <c r="GP727" s="42">
        <v>-217.8</v>
      </c>
      <c r="IB727" s="42">
        <v>-124.36</v>
      </c>
    </row>
    <row r="728" spans="1:236" x14ac:dyDescent="0.25">
      <c r="A728" s="127">
        <v>44511</v>
      </c>
      <c r="B728" s="23" t="s">
        <v>37</v>
      </c>
      <c r="C728" s="21">
        <f t="shared" si="15"/>
        <v>-192.36</v>
      </c>
      <c r="HE728" s="42">
        <v>-97</v>
      </c>
      <c r="HO728" s="42">
        <v>-95.36</v>
      </c>
    </row>
    <row r="729" spans="1:236" x14ac:dyDescent="0.25">
      <c r="A729" s="127">
        <v>44512</v>
      </c>
      <c r="B729" s="23" t="s">
        <v>57</v>
      </c>
      <c r="C729" s="21">
        <f t="shared" si="15"/>
        <v>-25.78</v>
      </c>
      <c r="DS729" s="42">
        <v>-25.78</v>
      </c>
    </row>
    <row r="730" spans="1:236" x14ac:dyDescent="0.25">
      <c r="A730" s="127">
        <v>44512</v>
      </c>
      <c r="B730" s="23" t="s">
        <v>80</v>
      </c>
      <c r="C730" s="21">
        <f t="shared" si="15"/>
        <v>-34.29</v>
      </c>
      <c r="AP730" s="42">
        <v>-34.29</v>
      </c>
    </row>
    <row r="731" spans="1:236" x14ac:dyDescent="0.25">
      <c r="A731" s="127">
        <v>44512</v>
      </c>
      <c r="B731" s="23" t="s">
        <v>37</v>
      </c>
      <c r="C731" s="21">
        <f t="shared" si="15"/>
        <v>-688.55</v>
      </c>
      <c r="HE731" s="42">
        <v>-97.89</v>
      </c>
      <c r="HK731" s="50">
        <v>-194.06</v>
      </c>
      <c r="HQ731" s="42">
        <v>-396.6</v>
      </c>
    </row>
    <row r="732" spans="1:236" x14ac:dyDescent="0.25">
      <c r="A732" s="127">
        <v>44513</v>
      </c>
      <c r="B732" s="23" t="s">
        <v>32</v>
      </c>
      <c r="C732" s="21">
        <f t="shared" si="15"/>
        <v>-34.21</v>
      </c>
      <c r="AE732" s="42">
        <v>-34.21</v>
      </c>
    </row>
    <row r="733" spans="1:236" x14ac:dyDescent="0.25">
      <c r="A733" s="127">
        <v>44513</v>
      </c>
      <c r="B733" s="23" t="s">
        <v>57</v>
      </c>
      <c r="C733" s="21">
        <f t="shared" si="15"/>
        <v>-25.74</v>
      </c>
      <c r="DC733" s="42">
        <v>-25.74</v>
      </c>
    </row>
    <row r="734" spans="1:236" x14ac:dyDescent="0.25">
      <c r="A734" s="127">
        <v>44515</v>
      </c>
      <c r="B734" s="23" t="s">
        <v>15</v>
      </c>
      <c r="C734" s="21">
        <f t="shared" si="15"/>
        <v>-51.21</v>
      </c>
      <c r="CE734" s="42">
        <v>-17.100000000000001</v>
      </c>
      <c r="CK734" s="42">
        <v>-34.11</v>
      </c>
    </row>
    <row r="735" spans="1:236" x14ac:dyDescent="0.25">
      <c r="A735" s="127">
        <v>44515</v>
      </c>
      <c r="B735" s="23" t="s">
        <v>68</v>
      </c>
      <c r="C735" s="21">
        <f t="shared" si="15"/>
        <v>-68.930000000000007</v>
      </c>
      <c r="BG735" s="42">
        <v>-34.85</v>
      </c>
      <c r="BY735" s="42">
        <v>-26.08</v>
      </c>
      <c r="CB735" s="121">
        <v>-8</v>
      </c>
    </row>
    <row r="736" spans="1:236" x14ac:dyDescent="0.25">
      <c r="A736" s="127">
        <v>44515</v>
      </c>
      <c r="B736" s="23" t="s">
        <v>84</v>
      </c>
      <c r="C736" s="21">
        <f t="shared" si="15"/>
        <v>-21.414999999999999</v>
      </c>
      <c r="GA736" s="88">
        <v>-21.414999999999999</v>
      </c>
    </row>
    <row r="737" spans="1:173" x14ac:dyDescent="0.25">
      <c r="A737" s="127">
        <v>44516</v>
      </c>
      <c r="B737" s="23" t="s">
        <v>50</v>
      </c>
      <c r="C737" s="21">
        <f t="shared" si="15"/>
        <v>-62.25</v>
      </c>
      <c r="FQ737" s="42">
        <v>-62.25</v>
      </c>
    </row>
    <row r="738" spans="1:173" x14ac:dyDescent="0.25">
      <c r="A738" s="127">
        <v>44517</v>
      </c>
      <c r="B738" s="23" t="s">
        <v>57</v>
      </c>
      <c r="C738" s="21">
        <f t="shared" si="15"/>
        <v>-209.33</v>
      </c>
      <c r="AM738" s="69">
        <v>-16.739999999999998</v>
      </c>
      <c r="AU738" s="42">
        <v>-34.68</v>
      </c>
      <c r="BA738" s="42">
        <v>-34.92</v>
      </c>
      <c r="BL738" s="182">
        <v>-24.22</v>
      </c>
      <c r="BP738" s="121">
        <v>-32.1</v>
      </c>
      <c r="BX738" s="182">
        <v>-33.130000000000003</v>
      </c>
      <c r="CB738" s="121">
        <v>-33.54</v>
      </c>
    </row>
    <row r="739" spans="1:173" x14ac:dyDescent="0.25">
      <c r="A739" s="127">
        <v>44517</v>
      </c>
      <c r="B739" s="23" t="s">
        <v>75</v>
      </c>
      <c r="C739" s="21">
        <f t="shared" si="15"/>
        <v>-15.86</v>
      </c>
      <c r="BS739" s="42">
        <v>-7.75</v>
      </c>
      <c r="CB739" s="121">
        <v>-8.11</v>
      </c>
    </row>
    <row r="740" spans="1:173" x14ac:dyDescent="0.25">
      <c r="A740" s="127">
        <v>44517</v>
      </c>
      <c r="B740" s="23" t="s">
        <v>25</v>
      </c>
      <c r="C740" s="21">
        <f t="shared" si="15"/>
        <v>-25.9</v>
      </c>
      <c r="DC740" s="42">
        <v>-25.9</v>
      </c>
    </row>
    <row r="741" spans="1:173" x14ac:dyDescent="0.25">
      <c r="A741" s="127">
        <v>44517</v>
      </c>
      <c r="B741" s="23" t="s">
        <v>27</v>
      </c>
      <c r="C741" s="21">
        <f t="shared" si="15"/>
        <v>-31.7</v>
      </c>
      <c r="AT741" s="46">
        <v>-7.82</v>
      </c>
      <c r="BR741" s="182">
        <v>-8.2899999999999991</v>
      </c>
      <c r="CV741" s="115">
        <v>-15.59</v>
      </c>
    </row>
    <row r="742" spans="1:173" x14ac:dyDescent="0.25">
      <c r="A742" s="127">
        <v>44517</v>
      </c>
      <c r="B742" s="23" t="s">
        <v>38</v>
      </c>
      <c r="C742" s="21">
        <f t="shared" si="15"/>
        <v>-68.040000000000006</v>
      </c>
      <c r="U742" s="69">
        <v>-68.040000000000006</v>
      </c>
    </row>
    <row r="743" spans="1:173" x14ac:dyDescent="0.25">
      <c r="A743" s="127">
        <v>44517</v>
      </c>
      <c r="B743" s="23" t="s">
        <v>80</v>
      </c>
      <c r="C743" s="21">
        <f t="shared" si="15"/>
        <v>-34.39</v>
      </c>
      <c r="AL743" s="42">
        <v>-34.39</v>
      </c>
    </row>
    <row r="744" spans="1:173" x14ac:dyDescent="0.25">
      <c r="A744" s="127">
        <v>44518</v>
      </c>
      <c r="B744" s="23" t="s">
        <v>78</v>
      </c>
      <c r="C744" s="21">
        <f t="shared" si="15"/>
        <v>-34.575000000000003</v>
      </c>
      <c r="CK744" s="42">
        <v>-8.5500000000000007</v>
      </c>
      <c r="CQ744" s="42">
        <v>-9.17</v>
      </c>
      <c r="CX744" s="69">
        <v>-8.3450000000000006</v>
      </c>
      <c r="DC744" s="42">
        <v>-8.51</v>
      </c>
    </row>
    <row r="745" spans="1:173" x14ac:dyDescent="0.25">
      <c r="A745" s="127">
        <v>44518</v>
      </c>
      <c r="B745" s="23" t="s">
        <v>50</v>
      </c>
      <c r="C745" s="21">
        <f t="shared" si="15"/>
        <v>0</v>
      </c>
    </row>
    <row r="746" spans="1:173" x14ac:dyDescent="0.25">
      <c r="A746" s="127">
        <v>44518</v>
      </c>
      <c r="B746" s="23" t="s">
        <v>47</v>
      </c>
      <c r="C746" s="21">
        <f t="shared" si="15"/>
        <v>-111.44</v>
      </c>
      <c r="Y746" s="69">
        <v>-7.8</v>
      </c>
      <c r="AP746" s="42">
        <v>-8.9600000000000009</v>
      </c>
      <c r="AU746" s="42">
        <v>-8.68</v>
      </c>
      <c r="BA746" s="42">
        <v>-17.38</v>
      </c>
      <c r="CE746" s="42">
        <v>-25.87</v>
      </c>
      <c r="CK746" s="42">
        <v>-25.37</v>
      </c>
      <c r="CQ746" s="42">
        <v>-17.38</v>
      </c>
    </row>
    <row r="747" spans="1:173" x14ac:dyDescent="0.25">
      <c r="A747" s="127">
        <v>44519</v>
      </c>
      <c r="B747" s="23" t="s">
        <v>12</v>
      </c>
      <c r="C747" s="21">
        <f t="shared" si="15"/>
        <v>0</v>
      </c>
    </row>
    <row r="748" spans="1:173" x14ac:dyDescent="0.25">
      <c r="A748" s="127">
        <v>44519</v>
      </c>
      <c r="B748" s="23" t="s">
        <v>23</v>
      </c>
      <c r="C748" s="21">
        <f t="shared" si="15"/>
        <v>0</v>
      </c>
    </row>
    <row r="749" spans="1:173" x14ac:dyDescent="0.25">
      <c r="A749" s="127">
        <v>44519</v>
      </c>
      <c r="B749" s="23" t="s">
        <v>64</v>
      </c>
      <c r="C749" s="21">
        <f t="shared" si="15"/>
        <v>0</v>
      </c>
    </row>
    <row r="750" spans="1:173" x14ac:dyDescent="0.25">
      <c r="A750" s="127">
        <v>44519</v>
      </c>
      <c r="B750" s="23" t="s">
        <v>78</v>
      </c>
      <c r="C750" s="21">
        <f t="shared" si="15"/>
        <v>-16.940000000000001</v>
      </c>
      <c r="AM750" s="69">
        <v>-8.4</v>
      </c>
      <c r="AU750" s="42">
        <v>-8.5399999999999991</v>
      </c>
    </row>
    <row r="751" spans="1:173" x14ac:dyDescent="0.25">
      <c r="A751" s="127">
        <v>44522</v>
      </c>
      <c r="B751" s="23" t="s">
        <v>80</v>
      </c>
      <c r="C751" s="21">
        <f t="shared" si="15"/>
        <v>-35.58</v>
      </c>
      <c r="AL751" s="42">
        <v>-35.58</v>
      </c>
    </row>
    <row r="752" spans="1:173" x14ac:dyDescent="0.25">
      <c r="A752" s="127">
        <v>44522</v>
      </c>
      <c r="B752" s="23" t="s">
        <v>15</v>
      </c>
      <c r="C752" s="21">
        <f t="shared" si="15"/>
        <v>-120.5</v>
      </c>
      <c r="AP752" s="42">
        <v>-34.46</v>
      </c>
      <c r="AU752" s="42">
        <v>-34.909999999999997</v>
      </c>
      <c r="BA752" s="42">
        <v>-17.059999999999999</v>
      </c>
      <c r="CK752" s="42">
        <v>-34.07</v>
      </c>
    </row>
    <row r="753" spans="1:198" x14ac:dyDescent="0.25">
      <c r="A753" s="127">
        <v>44522</v>
      </c>
      <c r="B753" s="23" t="s">
        <v>78</v>
      </c>
      <c r="C753" s="21">
        <f t="shared" si="15"/>
        <v>-57.88</v>
      </c>
      <c r="AE753" s="42">
        <v>-17</v>
      </c>
      <c r="DC753" s="42">
        <v>-8.61</v>
      </c>
      <c r="DN753" s="42">
        <v>-32.270000000000003</v>
      </c>
    </row>
    <row r="754" spans="1:198" x14ac:dyDescent="0.25">
      <c r="A754" s="127">
        <v>44522</v>
      </c>
      <c r="B754" s="23" t="s">
        <v>2</v>
      </c>
      <c r="C754" s="21">
        <f t="shared" si="15"/>
        <v>0</v>
      </c>
    </row>
    <row r="755" spans="1:198" x14ac:dyDescent="0.25">
      <c r="A755" s="127">
        <v>44522</v>
      </c>
      <c r="B755" s="23" t="s">
        <v>44</v>
      </c>
      <c r="C755" s="21">
        <f t="shared" si="15"/>
        <v>-73</v>
      </c>
      <c r="GP755" s="42">
        <v>-73</v>
      </c>
    </row>
    <row r="756" spans="1:198" x14ac:dyDescent="0.25">
      <c r="A756" s="127">
        <v>44522</v>
      </c>
      <c r="B756" s="23" t="s">
        <v>17</v>
      </c>
      <c r="C756" s="21">
        <f t="shared" si="15"/>
        <v>-25.04</v>
      </c>
      <c r="AE756" s="42">
        <v>-8.5500000000000007</v>
      </c>
      <c r="AU756" s="42">
        <v>-8.65</v>
      </c>
      <c r="BD756" s="121">
        <v>-7.84</v>
      </c>
    </row>
    <row r="757" spans="1:198" x14ac:dyDescent="0.25">
      <c r="A757" s="127">
        <v>44523</v>
      </c>
      <c r="B757" s="23" t="s">
        <v>80</v>
      </c>
      <c r="C757" s="21">
        <f t="shared" si="15"/>
        <v>0</v>
      </c>
    </row>
    <row r="758" spans="1:198" x14ac:dyDescent="0.25">
      <c r="A758" s="127">
        <v>44523</v>
      </c>
      <c r="B758" s="23" t="s">
        <v>32</v>
      </c>
      <c r="C758" s="21">
        <f t="shared" si="15"/>
        <v>-102.745</v>
      </c>
      <c r="AE758" s="42">
        <v>-17.100000000000001</v>
      </c>
      <c r="AM758" s="69">
        <v>-16.515000000000001</v>
      </c>
      <c r="AP758" s="42">
        <v>-17.11</v>
      </c>
      <c r="AU758" s="42">
        <v>-17.510000000000002</v>
      </c>
      <c r="CK758" s="42">
        <v>-17.010000000000002</v>
      </c>
      <c r="CW758" s="42">
        <v>-17.5</v>
      </c>
    </row>
    <row r="759" spans="1:198" x14ac:dyDescent="0.25">
      <c r="A759" s="127">
        <v>44523</v>
      </c>
      <c r="B759" s="23" t="s">
        <v>20</v>
      </c>
      <c r="C759" s="21">
        <f t="shared" si="15"/>
        <v>-57.51</v>
      </c>
      <c r="AU759" s="42">
        <v>-7.58</v>
      </c>
      <c r="BD759" s="121">
        <v>-7.71</v>
      </c>
      <c r="BR759" s="182">
        <v>-8.27</v>
      </c>
      <c r="BX759" s="182">
        <v>-8.01</v>
      </c>
      <c r="CB759" s="121">
        <v>-8.4499999999999993</v>
      </c>
      <c r="CW759" s="42">
        <f>-8.74-8.75</f>
        <v>-17.489999999999998</v>
      </c>
    </row>
    <row r="760" spans="1:198" x14ac:dyDescent="0.25">
      <c r="A760" s="127">
        <v>44523</v>
      </c>
      <c r="B760" s="23" t="s">
        <v>68</v>
      </c>
      <c r="C760" s="21">
        <f t="shared" si="15"/>
        <v>-34.29</v>
      </c>
      <c r="AU760" s="42">
        <v>-34.29</v>
      </c>
    </row>
    <row r="761" spans="1:198" x14ac:dyDescent="0.25">
      <c r="A761" s="127">
        <v>44524</v>
      </c>
      <c r="B761" s="23" t="s">
        <v>27</v>
      </c>
      <c r="C761" s="21">
        <f t="shared" si="15"/>
        <v>-33.92</v>
      </c>
      <c r="U761" s="69">
        <v>-8.6199999999999992</v>
      </c>
      <c r="AL761" s="42">
        <v>-8.76</v>
      </c>
      <c r="BF761" s="182">
        <v>-8.64</v>
      </c>
      <c r="CT761" s="121">
        <v>-7.9</v>
      </c>
    </row>
    <row r="762" spans="1:198" x14ac:dyDescent="0.25">
      <c r="A762" s="127">
        <v>44524</v>
      </c>
      <c r="B762" s="23" t="s">
        <v>75</v>
      </c>
      <c r="C762" s="21">
        <f t="shared" si="15"/>
        <v>-34.03</v>
      </c>
      <c r="AU762" s="42">
        <v>-8.7799999999999994</v>
      </c>
      <c r="BR762" s="182">
        <v>-8.27</v>
      </c>
      <c r="CB762" s="121">
        <v>-8.33</v>
      </c>
      <c r="CE762" s="42">
        <v>-8.65</v>
      </c>
    </row>
    <row r="763" spans="1:198" x14ac:dyDescent="0.25">
      <c r="A763" s="127">
        <v>44524</v>
      </c>
      <c r="B763" s="23" t="s">
        <v>25</v>
      </c>
      <c r="C763" s="21">
        <f t="shared" si="15"/>
        <v>-34.549999999999997</v>
      </c>
      <c r="AU763" s="42">
        <v>-8.65</v>
      </c>
      <c r="BX763" s="182">
        <v>-8.89</v>
      </c>
      <c r="CB763" s="121">
        <v>-8.5299999999999994</v>
      </c>
      <c r="CK763" s="42">
        <v>-8.48</v>
      </c>
    </row>
    <row r="764" spans="1:198" x14ac:dyDescent="0.25">
      <c r="A764" s="127">
        <v>44524</v>
      </c>
      <c r="B764" s="23" t="s">
        <v>45</v>
      </c>
      <c r="C764" s="21">
        <f t="shared" si="15"/>
        <v>-43.25</v>
      </c>
      <c r="BX764" s="182">
        <v>-17.62</v>
      </c>
      <c r="CC764" s="126">
        <v>-16.579999999999998</v>
      </c>
      <c r="CP764" s="182">
        <v>-9.0500000000000007</v>
      </c>
    </row>
    <row r="765" spans="1:198" x14ac:dyDescent="0.25">
      <c r="A765" s="127">
        <v>44524</v>
      </c>
      <c r="B765" s="23" t="s">
        <v>58</v>
      </c>
      <c r="C765" s="21">
        <f t="shared" si="15"/>
        <v>0</v>
      </c>
    </row>
    <row r="766" spans="1:198" x14ac:dyDescent="0.25">
      <c r="A766" s="127">
        <v>44525</v>
      </c>
      <c r="B766" s="23" t="s">
        <v>45</v>
      </c>
      <c r="C766" s="21">
        <f t="shared" si="15"/>
        <v>-16.8</v>
      </c>
      <c r="AU766" s="42">
        <v>-8.15</v>
      </c>
      <c r="BF766" s="182">
        <v>-8.65</v>
      </c>
    </row>
    <row r="767" spans="1:198" x14ac:dyDescent="0.25">
      <c r="A767" s="127">
        <v>44526</v>
      </c>
      <c r="B767" s="23" t="s">
        <v>84</v>
      </c>
      <c r="C767" s="21">
        <f t="shared" si="15"/>
        <v>-8.3450000000000006</v>
      </c>
      <c r="EW767" s="88">
        <v>-8.3450000000000006</v>
      </c>
    </row>
    <row r="768" spans="1:198" x14ac:dyDescent="0.25">
      <c r="A768" s="127">
        <v>44527</v>
      </c>
      <c r="B768" s="23" t="s">
        <v>13</v>
      </c>
      <c r="C768" s="21">
        <f t="shared" si="15"/>
        <v>0</v>
      </c>
    </row>
    <row r="769" spans="1:234" x14ac:dyDescent="0.25">
      <c r="A769" s="127">
        <v>44529</v>
      </c>
      <c r="B769" s="23" t="s">
        <v>38</v>
      </c>
      <c r="C769" s="21">
        <f t="shared" si="15"/>
        <v>813.94</v>
      </c>
      <c r="BB769" s="69">
        <v>68.19</v>
      </c>
      <c r="BH769" s="69">
        <v>101.375</v>
      </c>
      <c r="BT769" s="69">
        <v>101.54</v>
      </c>
      <c r="CF769" s="69">
        <v>102.77500000000001</v>
      </c>
      <c r="CL769" s="69">
        <v>100.965</v>
      </c>
      <c r="CR769" s="69">
        <v>67.885000000000005</v>
      </c>
      <c r="CX769" s="69">
        <v>67.86</v>
      </c>
      <c r="DZ769" s="69">
        <v>101.58</v>
      </c>
      <c r="EK769" s="69">
        <v>101.77</v>
      </c>
    </row>
    <row r="770" spans="1:234" x14ac:dyDescent="0.25">
      <c r="A770" s="127">
        <v>44529</v>
      </c>
      <c r="B770" s="23" t="s">
        <v>20</v>
      </c>
      <c r="C770" s="21">
        <f t="shared" si="15"/>
        <v>-25.68</v>
      </c>
      <c r="BH770" s="69">
        <v>-8.4499999999999993</v>
      </c>
      <c r="DC770" s="42">
        <v>-8.5299999999999994</v>
      </c>
      <c r="DI770" s="42">
        <v>-8.6999999999999993</v>
      </c>
    </row>
    <row r="771" spans="1:234" x14ac:dyDescent="0.25">
      <c r="A771" s="127">
        <v>44529</v>
      </c>
      <c r="B771" s="23" t="s">
        <v>2</v>
      </c>
      <c r="C771" s="21">
        <f t="shared" si="15"/>
        <v>8171.12</v>
      </c>
      <c r="T771" s="42">
        <v>305.81</v>
      </c>
      <c r="X771" s="42">
        <v>315.08</v>
      </c>
      <c r="AU771" s="42">
        <v>498.08</v>
      </c>
      <c r="BG771" s="42">
        <v>516.37</v>
      </c>
      <c r="BM771" s="88">
        <v>623.33000000000004</v>
      </c>
      <c r="BS771" s="42">
        <v>720.07</v>
      </c>
      <c r="BY771" s="42">
        <v>598.1</v>
      </c>
      <c r="CE771" s="42">
        <v>530.24</v>
      </c>
      <c r="CK771" s="42">
        <v>511</v>
      </c>
      <c r="CQ771" s="42">
        <v>491</v>
      </c>
      <c r="CW771" s="42">
        <v>519.75</v>
      </c>
      <c r="DC771" s="42">
        <v>506.65</v>
      </c>
      <c r="DI771" s="42">
        <v>522.67999999999995</v>
      </c>
      <c r="DN771" s="42">
        <v>512.36</v>
      </c>
      <c r="DY771" s="42">
        <v>501.44</v>
      </c>
      <c r="EJ771" s="42">
        <v>249.06</v>
      </c>
      <c r="ER771" s="42">
        <v>250.1</v>
      </c>
    </row>
    <row r="772" spans="1:234" x14ac:dyDescent="0.25">
      <c r="A772" s="127">
        <v>44530</v>
      </c>
      <c r="B772" s="23" t="s">
        <v>44</v>
      </c>
      <c r="C772" s="21">
        <f t="shared" si="15"/>
        <v>-197.9</v>
      </c>
      <c r="GP772" s="42">
        <v>-181.4</v>
      </c>
      <c r="HQ772" s="42">
        <v>-16.5</v>
      </c>
    </row>
    <row r="773" spans="1:234" x14ac:dyDescent="0.25">
      <c r="A773" s="127">
        <v>44530</v>
      </c>
      <c r="B773" s="23" t="s">
        <v>44</v>
      </c>
      <c r="C773" s="21">
        <f t="shared" si="15"/>
        <v>-142.69999999999999</v>
      </c>
      <c r="BS773" s="42">
        <v>-8.85</v>
      </c>
      <c r="GY773" s="42">
        <v>-71.599999999999994</v>
      </c>
      <c r="HZ773" s="42">
        <v>-62.25</v>
      </c>
    </row>
    <row r="774" spans="1:234" x14ac:dyDescent="0.25">
      <c r="A774" s="127">
        <v>44530</v>
      </c>
      <c r="B774" s="23" t="s">
        <v>32</v>
      </c>
      <c r="C774" s="21">
        <f t="shared" si="15"/>
        <v>-308.26</v>
      </c>
      <c r="AU774" s="42">
        <v>-33.229999999999997</v>
      </c>
      <c r="BG774" s="42">
        <v>-34.99</v>
      </c>
      <c r="BM774" s="88">
        <v>-34.46</v>
      </c>
      <c r="BS774" s="42">
        <v>-34.06</v>
      </c>
      <c r="BY774" s="42">
        <v>-32.99</v>
      </c>
      <c r="CE774" s="42">
        <v>-35.26</v>
      </c>
      <c r="CK774" s="42">
        <v>-35.770000000000003</v>
      </c>
      <c r="CQ774" s="42">
        <v>-34.65</v>
      </c>
      <c r="DI774" s="42">
        <v>-32.85</v>
      </c>
    </row>
    <row r="775" spans="1:234" x14ac:dyDescent="0.25">
      <c r="A775" s="127">
        <v>44530</v>
      </c>
      <c r="B775" s="23" t="s">
        <v>78</v>
      </c>
      <c r="C775" s="21">
        <f t="shared" si="15"/>
        <v>-940.97500000000002</v>
      </c>
      <c r="BB775" s="69">
        <v>-34.104999999999997</v>
      </c>
      <c r="BG775" s="42">
        <v>-35.08</v>
      </c>
      <c r="BM775" s="88">
        <v>-34.36</v>
      </c>
      <c r="BS775" s="42">
        <v>-102.02</v>
      </c>
      <c r="BY775" s="42">
        <v>-101.21</v>
      </c>
      <c r="CE775" s="42">
        <v>-70.86</v>
      </c>
      <c r="CK775" s="42">
        <v>-103.91</v>
      </c>
      <c r="CQ775" s="42">
        <v>-34.81</v>
      </c>
      <c r="CW775" s="42">
        <v>-35.11</v>
      </c>
      <c r="DS775" s="42">
        <v>-137.44999999999999</v>
      </c>
      <c r="DY775" s="42">
        <v>-140.46</v>
      </c>
      <c r="EF775" s="69">
        <v>-111.6</v>
      </c>
    </row>
    <row r="776" spans="1:234" x14ac:dyDescent="0.25">
      <c r="A776" s="127">
        <v>44530</v>
      </c>
      <c r="B776" s="23" t="s">
        <v>39</v>
      </c>
      <c r="C776" s="21">
        <f t="shared" ref="C776:C839" si="16">SUM(I776:JT776)</f>
        <v>-43.12</v>
      </c>
      <c r="AU776" s="42">
        <v>-8.75</v>
      </c>
      <c r="BH776" s="69">
        <v>-8.4499999999999993</v>
      </c>
      <c r="BM776" s="88">
        <v>-8.7100000000000009</v>
      </c>
      <c r="BS776" s="42">
        <v>-8.5399999999999991</v>
      </c>
      <c r="CE776" s="42">
        <v>-8.67</v>
      </c>
    </row>
    <row r="777" spans="1:234" x14ac:dyDescent="0.25">
      <c r="A777" s="127">
        <v>44530</v>
      </c>
      <c r="B777" s="23" t="s">
        <v>78</v>
      </c>
      <c r="C777" s="21">
        <f t="shared" si="16"/>
        <v>-76.075000000000003</v>
      </c>
      <c r="Y777" s="69">
        <v>-8.4600000000000009</v>
      </c>
      <c r="AA777" s="42">
        <v>-8.25</v>
      </c>
      <c r="AU777" s="42">
        <v>-8.73</v>
      </c>
      <c r="BB777" s="69">
        <v>-8.4949999999999992</v>
      </c>
      <c r="BY777" s="42">
        <v>-16.3</v>
      </c>
      <c r="CQ777" s="42">
        <v>-8.66</v>
      </c>
      <c r="DS777" s="42">
        <v>-8.5500000000000007</v>
      </c>
      <c r="DY777" s="42">
        <v>-8.6300000000000008</v>
      </c>
    </row>
    <row r="778" spans="1:234" x14ac:dyDescent="0.25">
      <c r="A778" s="127">
        <v>44530</v>
      </c>
      <c r="B778" s="23" t="s">
        <v>15</v>
      </c>
      <c r="C778" s="21">
        <f t="shared" si="16"/>
        <v>-68.290000000000006</v>
      </c>
      <c r="BY778" s="42">
        <v>-68.290000000000006</v>
      </c>
    </row>
    <row r="779" spans="1:234" x14ac:dyDescent="0.25">
      <c r="A779" s="127">
        <v>44530</v>
      </c>
      <c r="B779" s="23" t="s">
        <v>15</v>
      </c>
      <c r="C779" s="21">
        <f t="shared" si="16"/>
        <v>-9.07</v>
      </c>
      <c r="DS779" s="42">
        <v>-42.81</v>
      </c>
      <c r="DT779" s="69">
        <v>33.74</v>
      </c>
    </row>
    <row r="780" spans="1:234" x14ac:dyDescent="0.25">
      <c r="A780" s="127">
        <v>44530</v>
      </c>
      <c r="B780" s="23" t="s">
        <v>78</v>
      </c>
      <c r="C780" s="21">
        <f t="shared" si="16"/>
        <v>-136.88999999999999</v>
      </c>
      <c r="AM780" s="69">
        <v>-8.4</v>
      </c>
      <c r="AP780" s="42">
        <v>-8.64</v>
      </c>
      <c r="AU780" s="42">
        <v>-8.3000000000000007</v>
      </c>
      <c r="BH780" s="69">
        <v>-8.4499999999999993</v>
      </c>
      <c r="BM780" s="88">
        <v>-17.46</v>
      </c>
      <c r="BS780" s="42">
        <v>-17.059999999999999</v>
      </c>
      <c r="BY780" s="42">
        <v>-16.600000000000001</v>
      </c>
      <c r="CE780" s="42">
        <v>-17.39</v>
      </c>
      <c r="CK780" s="42">
        <v>-17.010000000000002</v>
      </c>
      <c r="CQ780" s="42">
        <v>-8.9700000000000006</v>
      </c>
      <c r="CW780" s="42">
        <v>-8.61</v>
      </c>
    </row>
    <row r="781" spans="1:234" x14ac:dyDescent="0.25">
      <c r="A781" s="127">
        <v>44530</v>
      </c>
      <c r="B781" s="23" t="s">
        <v>78</v>
      </c>
      <c r="C781" s="21">
        <f t="shared" si="16"/>
        <v>-34.020000000000003</v>
      </c>
      <c r="BM781" s="88">
        <v>-8.56</v>
      </c>
      <c r="BS781" s="42">
        <v>-8.5399999999999991</v>
      </c>
      <c r="BY781" s="42">
        <v>-8.24</v>
      </c>
      <c r="CE781" s="42">
        <v>-8.68</v>
      </c>
    </row>
    <row r="782" spans="1:234" x14ac:dyDescent="0.25">
      <c r="A782" s="127">
        <v>44530</v>
      </c>
      <c r="B782" s="23" t="s">
        <v>25</v>
      </c>
      <c r="C782" s="21">
        <f t="shared" si="16"/>
        <v>-69.209999999999994</v>
      </c>
      <c r="BM782" s="88">
        <v>-8.5500000000000007</v>
      </c>
      <c r="BS782" s="42">
        <v>-8.4499999999999993</v>
      </c>
      <c r="BY782" s="42">
        <v>-8.07</v>
      </c>
      <c r="CE782" s="42">
        <v>-8.4499999999999993</v>
      </c>
      <c r="CK782" s="42">
        <v>-8.4</v>
      </c>
      <c r="DY782" s="42">
        <v>-9.5</v>
      </c>
      <c r="EC782" s="126">
        <v>-17.79</v>
      </c>
    </row>
    <row r="783" spans="1:234" x14ac:dyDescent="0.25">
      <c r="A783" s="127">
        <v>44531</v>
      </c>
      <c r="B783" s="23" t="s">
        <v>38</v>
      </c>
      <c r="C783" s="21">
        <f t="shared" si="16"/>
        <v>-66.099999999999994</v>
      </c>
      <c r="T783" s="42">
        <v>-31.63</v>
      </c>
      <c r="U783" s="69">
        <v>-34.47</v>
      </c>
    </row>
    <row r="784" spans="1:234" x14ac:dyDescent="0.25">
      <c r="A784" s="127">
        <v>44531</v>
      </c>
      <c r="B784" s="23" t="s">
        <v>79</v>
      </c>
      <c r="C784" s="21">
        <f t="shared" si="16"/>
        <v>-25.5</v>
      </c>
      <c r="BM784" s="88">
        <v>-8.81</v>
      </c>
      <c r="BS784" s="42">
        <v>-8.5399999999999991</v>
      </c>
      <c r="BY784" s="42">
        <v>-8.15</v>
      </c>
    </row>
    <row r="785" spans="1:242" x14ac:dyDescent="0.25">
      <c r="A785" s="127">
        <v>44531</v>
      </c>
      <c r="B785" s="23" t="s">
        <v>17</v>
      </c>
      <c r="C785" s="21">
        <f t="shared" si="16"/>
        <v>-856.52499999999998</v>
      </c>
      <c r="AM785" s="69">
        <v>-33.555</v>
      </c>
      <c r="AP785" s="42">
        <v>-34.979999999999997</v>
      </c>
      <c r="AU785" s="42">
        <v>-67.739999999999995</v>
      </c>
      <c r="BG785" s="42">
        <v>-104.84</v>
      </c>
      <c r="BM785" s="88">
        <v>-138.22999999999999</v>
      </c>
      <c r="BS785" s="42">
        <v>-137.91</v>
      </c>
      <c r="BY785" s="42">
        <v>-65.77</v>
      </c>
      <c r="CE785" s="42">
        <v>-70.510000000000005</v>
      </c>
      <c r="CL785" s="69">
        <v>-33.664999999999999</v>
      </c>
      <c r="CW785" s="42">
        <v>-35.04</v>
      </c>
      <c r="DC785" s="42">
        <v>-34.19</v>
      </c>
      <c r="DI785" s="42">
        <v>-32.53</v>
      </c>
      <c r="DS785" s="42">
        <v>-33.74</v>
      </c>
      <c r="DZ785" s="69">
        <v>-33.825000000000003</v>
      </c>
    </row>
    <row r="786" spans="1:242" x14ac:dyDescent="0.25">
      <c r="A786" s="127">
        <v>44531</v>
      </c>
      <c r="B786" s="23" t="s">
        <v>18</v>
      </c>
      <c r="C786" s="21">
        <f t="shared" si="16"/>
        <v>-1734.0150000000001</v>
      </c>
      <c r="AA786" s="42">
        <v>-33.43</v>
      </c>
      <c r="AE786" s="42">
        <v>-34.159999999999997</v>
      </c>
      <c r="AM786" s="69">
        <v>-67.19</v>
      </c>
      <c r="AP786" s="42">
        <v>-68.930000000000007</v>
      </c>
      <c r="BG786" s="42">
        <v>-100.77</v>
      </c>
      <c r="BM786" s="88">
        <v>-104.07</v>
      </c>
      <c r="BS786" s="42">
        <v>-137.79</v>
      </c>
      <c r="BY786" s="42">
        <v>-99.29</v>
      </c>
      <c r="CE786" s="42">
        <v>-106.13</v>
      </c>
      <c r="CK786" s="42">
        <v>-135.91999999999999</v>
      </c>
      <c r="CQ786" s="42">
        <v>-34.67</v>
      </c>
      <c r="CR786" s="69">
        <v>-67.885000000000005</v>
      </c>
      <c r="CX786" s="69">
        <v>-67.564999999999998</v>
      </c>
      <c r="DC786" s="42">
        <v>-101.81</v>
      </c>
      <c r="DI786" s="42">
        <v>-100.82</v>
      </c>
      <c r="DJ786" s="69">
        <v>-66.954999999999998</v>
      </c>
      <c r="DN786" s="42">
        <v>-133.93</v>
      </c>
      <c r="DS786" s="42">
        <v>-68.87</v>
      </c>
      <c r="DT786" s="69">
        <v>-68.375</v>
      </c>
      <c r="DZ786" s="69">
        <v>-67.754999999999995</v>
      </c>
      <c r="EK786" s="69">
        <v>-67.7</v>
      </c>
    </row>
    <row r="787" spans="1:242" x14ac:dyDescent="0.25">
      <c r="A787" s="127">
        <v>44532</v>
      </c>
      <c r="B787" s="23" t="s">
        <v>20</v>
      </c>
      <c r="C787" s="21">
        <f t="shared" si="16"/>
        <v>-41.65</v>
      </c>
      <c r="T787" s="42">
        <v>-7.92</v>
      </c>
      <c r="DC787" s="42">
        <v>-25.12</v>
      </c>
      <c r="DI787" s="42">
        <v>-8.61</v>
      </c>
    </row>
    <row r="788" spans="1:242" x14ac:dyDescent="0.25">
      <c r="A788" s="127">
        <v>44532</v>
      </c>
      <c r="B788" s="23" t="s">
        <v>27</v>
      </c>
      <c r="C788" s="21">
        <f t="shared" si="16"/>
        <v>-17.190000000000001</v>
      </c>
      <c r="BG788" s="42">
        <v>-8.68</v>
      </c>
      <c r="BS788" s="42">
        <v>-8.51</v>
      </c>
    </row>
    <row r="789" spans="1:242" x14ac:dyDescent="0.25">
      <c r="A789" s="127">
        <v>44532</v>
      </c>
      <c r="B789" s="23" t="s">
        <v>26</v>
      </c>
      <c r="C789" s="21">
        <f t="shared" si="16"/>
        <v>-16.78</v>
      </c>
      <c r="AM789" s="69">
        <v>-16.78</v>
      </c>
    </row>
    <row r="790" spans="1:242" x14ac:dyDescent="0.25">
      <c r="A790" s="127">
        <v>44532</v>
      </c>
      <c r="B790" s="23" t="s">
        <v>50</v>
      </c>
      <c r="C790" s="21">
        <f t="shared" si="16"/>
        <v>-96.95</v>
      </c>
      <c r="IH790" s="34">
        <v>-96.95</v>
      </c>
    </row>
    <row r="791" spans="1:242" x14ac:dyDescent="0.25">
      <c r="A791" s="127">
        <v>44532</v>
      </c>
      <c r="B791" s="23" t="s">
        <v>78</v>
      </c>
      <c r="C791" s="21">
        <f t="shared" si="16"/>
        <v>-127.77</v>
      </c>
      <c r="Y791" s="69">
        <v>-7.46</v>
      </c>
      <c r="AA791" s="42">
        <v>-8.4499999999999993</v>
      </c>
      <c r="AU791" s="42">
        <v>-16.579999999999998</v>
      </c>
      <c r="BM791" s="88">
        <v>-8.82</v>
      </c>
      <c r="BY791" s="42">
        <v>-16.600000000000001</v>
      </c>
      <c r="DC791" s="42">
        <v>-17.11</v>
      </c>
      <c r="DS791" s="42">
        <v>-17.170000000000002</v>
      </c>
      <c r="DY791" s="42">
        <v>-35.58</v>
      </c>
    </row>
    <row r="792" spans="1:242" x14ac:dyDescent="0.25">
      <c r="A792" s="127">
        <v>44532</v>
      </c>
      <c r="B792" s="23" t="s">
        <v>58</v>
      </c>
      <c r="C792" s="21">
        <f t="shared" si="16"/>
        <v>0</v>
      </c>
    </row>
    <row r="793" spans="1:242" x14ac:dyDescent="0.25">
      <c r="A793" s="127">
        <v>44532</v>
      </c>
      <c r="B793" s="23" t="s">
        <v>68</v>
      </c>
      <c r="C793" s="21">
        <f t="shared" si="16"/>
        <v>-34.43</v>
      </c>
      <c r="BB793" s="69">
        <v>-25.59</v>
      </c>
      <c r="BF793" s="182">
        <v>-8.84</v>
      </c>
    </row>
    <row r="794" spans="1:242" x14ac:dyDescent="0.25">
      <c r="A794" s="127">
        <v>44532</v>
      </c>
      <c r="B794" s="23" t="s">
        <v>59</v>
      </c>
      <c r="C794" s="21">
        <f t="shared" si="16"/>
        <v>-8.3000000000000007</v>
      </c>
      <c r="CJ794" s="182">
        <v>-8.3000000000000007</v>
      </c>
    </row>
    <row r="795" spans="1:242" x14ac:dyDescent="0.25">
      <c r="A795" s="127">
        <v>44533</v>
      </c>
      <c r="B795" s="23" t="s">
        <v>2</v>
      </c>
      <c r="C795" s="21">
        <f t="shared" si="16"/>
        <v>522.6</v>
      </c>
      <c r="GP795" s="42">
        <v>522.6</v>
      </c>
    </row>
    <row r="796" spans="1:242" x14ac:dyDescent="0.25">
      <c r="A796" s="127">
        <v>44533</v>
      </c>
      <c r="B796" s="23" t="s">
        <v>78</v>
      </c>
      <c r="C796" s="21">
        <f t="shared" si="16"/>
        <v>-42.77</v>
      </c>
      <c r="DS796" s="42">
        <v>-42.77</v>
      </c>
    </row>
    <row r="797" spans="1:242" x14ac:dyDescent="0.25">
      <c r="A797" s="127">
        <v>44533</v>
      </c>
      <c r="B797" s="23" t="s">
        <v>78</v>
      </c>
      <c r="C797" s="21">
        <f t="shared" si="16"/>
        <v>-32.18</v>
      </c>
      <c r="Y797" s="69">
        <v>-7.44</v>
      </c>
      <c r="BG797" s="42">
        <v>-7.74</v>
      </c>
      <c r="BM797" s="88">
        <v>-8.59</v>
      </c>
      <c r="BS797" s="42">
        <v>-8.41</v>
      </c>
    </row>
    <row r="798" spans="1:242" x14ac:dyDescent="0.25">
      <c r="A798" s="127">
        <v>44536</v>
      </c>
      <c r="B798" s="23" t="s">
        <v>80</v>
      </c>
      <c r="C798" s="21">
        <f t="shared" si="16"/>
        <v>0</v>
      </c>
    </row>
    <row r="799" spans="1:242" x14ac:dyDescent="0.25">
      <c r="A799" s="127">
        <v>44536</v>
      </c>
      <c r="B799" s="23" t="s">
        <v>20</v>
      </c>
      <c r="C799" s="21">
        <f t="shared" si="16"/>
        <v>-113.95</v>
      </c>
      <c r="AE799" s="42">
        <v>-8.5500000000000007</v>
      </c>
      <c r="GY799" s="42">
        <v>-105.4</v>
      </c>
    </row>
    <row r="800" spans="1:242" x14ac:dyDescent="0.25">
      <c r="A800" s="127">
        <v>44536</v>
      </c>
      <c r="B800" s="23" t="s">
        <v>32</v>
      </c>
      <c r="C800" s="21">
        <f t="shared" si="16"/>
        <v>-223.72</v>
      </c>
      <c r="AP800" s="42">
        <v>-17.149999999999999</v>
      </c>
      <c r="AV800" s="69">
        <v>24.2</v>
      </c>
      <c r="BY800" s="42">
        <v>-33.090000000000003</v>
      </c>
      <c r="CE800" s="42">
        <v>-35.5</v>
      </c>
      <c r="CK800" s="42">
        <f>-33.59-8.34</f>
        <v>-41.93</v>
      </c>
      <c r="CQ800" s="42">
        <v>-34.58</v>
      </c>
      <c r="CW800" s="42">
        <v>-17.88</v>
      </c>
      <c r="DC800" s="42">
        <v>-17.149999999999999</v>
      </c>
      <c r="DI800" s="42">
        <v>-33.57</v>
      </c>
      <c r="DN800" s="42">
        <v>-17.07</v>
      </c>
    </row>
    <row r="801" spans="1:238" x14ac:dyDescent="0.25">
      <c r="A801" s="127">
        <v>44536</v>
      </c>
      <c r="B801" s="23" t="s">
        <v>89</v>
      </c>
      <c r="C801" s="21">
        <f t="shared" si="16"/>
        <v>-325.77499999999998</v>
      </c>
      <c r="AU801" s="42">
        <v>-34.869999999999997</v>
      </c>
      <c r="BH801" s="69">
        <v>-67.62</v>
      </c>
      <c r="BM801" s="88">
        <v>-34.75</v>
      </c>
      <c r="BT801" s="69">
        <v>-67.75</v>
      </c>
      <c r="CF801" s="69">
        <v>-68.305000000000007</v>
      </c>
      <c r="CL801" s="69">
        <v>-34.619999999999997</v>
      </c>
      <c r="CQ801" s="42">
        <v>-17.86</v>
      </c>
    </row>
    <row r="802" spans="1:238" x14ac:dyDescent="0.25">
      <c r="A802" s="127">
        <v>44536</v>
      </c>
      <c r="B802" s="23" t="s">
        <v>38</v>
      </c>
      <c r="C802" s="21">
        <f t="shared" si="16"/>
        <v>-78.849999999999994</v>
      </c>
      <c r="ER802" s="42">
        <v>-9.1</v>
      </c>
      <c r="ID802" s="42">
        <v>-69.75</v>
      </c>
    </row>
    <row r="803" spans="1:238" x14ac:dyDescent="0.25">
      <c r="A803" s="127">
        <v>44536</v>
      </c>
      <c r="B803" s="23" t="s">
        <v>15</v>
      </c>
      <c r="C803" s="21">
        <f t="shared" si="16"/>
        <v>-69.94</v>
      </c>
      <c r="BM803" s="88">
        <v>-35.229999999999997</v>
      </c>
      <c r="CW803" s="42">
        <v>-34.71</v>
      </c>
    </row>
    <row r="804" spans="1:238" x14ac:dyDescent="0.25">
      <c r="A804" s="127">
        <v>44536</v>
      </c>
      <c r="B804" s="23" t="s">
        <v>78</v>
      </c>
      <c r="C804" s="21">
        <f t="shared" si="16"/>
        <v>-34.67</v>
      </c>
      <c r="AP804" s="42">
        <v>-8.5399999999999991</v>
      </c>
      <c r="AU804" s="42">
        <v>-8.34</v>
      </c>
      <c r="CQ804" s="42">
        <v>-17.79</v>
      </c>
    </row>
    <row r="805" spans="1:238" x14ac:dyDescent="0.25">
      <c r="A805" s="127">
        <v>44536</v>
      </c>
      <c r="B805" s="23" t="s">
        <v>14</v>
      </c>
      <c r="C805" s="21">
        <f t="shared" si="16"/>
        <v>-257.52</v>
      </c>
      <c r="Y805" s="69">
        <v>-8.4600000000000009</v>
      </c>
      <c r="AE805" s="42">
        <v>-8.25</v>
      </c>
      <c r="BG805" s="42">
        <v>-69.89</v>
      </c>
      <c r="BM805" s="88">
        <v>-69.099999999999994</v>
      </c>
      <c r="BS805" s="42">
        <v>-69.06</v>
      </c>
      <c r="BY805" s="42">
        <v>-32.76</v>
      </c>
    </row>
    <row r="806" spans="1:238" x14ac:dyDescent="0.25">
      <c r="A806" s="127">
        <v>44536</v>
      </c>
      <c r="B806" s="23" t="s">
        <v>90</v>
      </c>
      <c r="C806" s="21">
        <f t="shared" si="16"/>
        <v>-25.32</v>
      </c>
      <c r="BM806" s="88">
        <v>-8.57</v>
      </c>
      <c r="BS806" s="42">
        <v>-8.4499999999999993</v>
      </c>
      <c r="BY806" s="42">
        <v>-8.3000000000000007</v>
      </c>
    </row>
    <row r="807" spans="1:238" x14ac:dyDescent="0.25">
      <c r="A807" s="127">
        <v>44537</v>
      </c>
      <c r="B807" s="23" t="s">
        <v>93</v>
      </c>
      <c r="C807" s="21">
        <f t="shared" si="16"/>
        <v>-32.664999999999999</v>
      </c>
      <c r="EW807" s="88">
        <v>-32.664999999999999</v>
      </c>
    </row>
    <row r="808" spans="1:238" x14ac:dyDescent="0.25">
      <c r="A808" s="127">
        <v>44537</v>
      </c>
      <c r="B808" s="23" t="s">
        <v>78</v>
      </c>
      <c r="C808" s="21">
        <f t="shared" si="16"/>
        <v>-308.55</v>
      </c>
      <c r="AL808" s="42">
        <v>-17.760000000000002</v>
      </c>
      <c r="AP808" s="42">
        <v>-17.190000000000001</v>
      </c>
      <c r="AU808" s="42">
        <v>-41.14</v>
      </c>
      <c r="BG808" s="42">
        <v>-43.33</v>
      </c>
      <c r="BM808" s="88">
        <v>-17.21</v>
      </c>
      <c r="BS808" s="42">
        <v>-42.7</v>
      </c>
      <c r="BY808" s="42">
        <v>-16.440000000000001</v>
      </c>
      <c r="CE808" s="42">
        <v>-44.39</v>
      </c>
      <c r="CK808" s="42">
        <v>-41.91</v>
      </c>
      <c r="CQ808" s="42">
        <v>-26.48</v>
      </c>
    </row>
    <row r="809" spans="1:238" x14ac:dyDescent="0.25">
      <c r="A809" s="127">
        <v>44538</v>
      </c>
      <c r="B809" s="23" t="s">
        <v>27</v>
      </c>
      <c r="C809" s="21">
        <f t="shared" si="16"/>
        <v>-33.380000000000003</v>
      </c>
      <c r="AD809" s="115">
        <v>-7.72</v>
      </c>
      <c r="BR809" s="182">
        <v>-8.44</v>
      </c>
      <c r="DM809" s="46">
        <v>-17.22</v>
      </c>
    </row>
    <row r="810" spans="1:238" x14ac:dyDescent="0.25">
      <c r="A810" s="127">
        <v>44538</v>
      </c>
      <c r="B810" s="23" t="s">
        <v>75</v>
      </c>
      <c r="C810" s="21">
        <f t="shared" si="16"/>
        <v>-17.27</v>
      </c>
      <c r="BG810" s="42">
        <v>-8.68</v>
      </c>
      <c r="BM810" s="88">
        <v>-8.59</v>
      </c>
    </row>
    <row r="811" spans="1:238" x14ac:dyDescent="0.25">
      <c r="A811" s="127">
        <v>44538</v>
      </c>
      <c r="B811" s="23" t="s">
        <v>94</v>
      </c>
      <c r="C811" s="21">
        <f t="shared" si="16"/>
        <v>-70.39</v>
      </c>
      <c r="EJ811" s="42">
        <v>-70.39</v>
      </c>
    </row>
    <row r="812" spans="1:238" x14ac:dyDescent="0.25">
      <c r="A812" s="127">
        <v>44538</v>
      </c>
      <c r="B812" s="23" t="s">
        <v>40</v>
      </c>
      <c r="C812" s="21">
        <f t="shared" si="16"/>
        <v>-537.88</v>
      </c>
      <c r="HL812" s="42">
        <v>-284.89999999999998</v>
      </c>
      <c r="HU812" s="42">
        <v>-252.98</v>
      </c>
    </row>
    <row r="813" spans="1:238" x14ac:dyDescent="0.25">
      <c r="A813" s="127">
        <v>44539</v>
      </c>
      <c r="B813" s="23" t="s">
        <v>20</v>
      </c>
      <c r="C813" s="21">
        <f t="shared" si="16"/>
        <v>-34.155000000000001</v>
      </c>
      <c r="BH813" s="69">
        <v>-8.4049999999999994</v>
      </c>
      <c r="BM813" s="88">
        <v>-8.5500000000000007</v>
      </c>
      <c r="BS813" s="42">
        <v>-8.5399999999999991</v>
      </c>
      <c r="CW813" s="42">
        <v>-8.66</v>
      </c>
    </row>
    <row r="814" spans="1:238" x14ac:dyDescent="0.25">
      <c r="A814" s="127">
        <v>44539</v>
      </c>
      <c r="B814" s="23" t="s">
        <v>78</v>
      </c>
      <c r="C814" s="21">
        <f t="shared" si="16"/>
        <v>-137.995</v>
      </c>
      <c r="O814" s="375">
        <v>-8.4949999999999992</v>
      </c>
      <c r="AE814" s="42">
        <v>-8.5500000000000007</v>
      </c>
      <c r="AV814" s="69">
        <v>-8.0500000000000007</v>
      </c>
      <c r="BG814" s="42">
        <v>-17.3</v>
      </c>
      <c r="BM814" s="88">
        <v>-35.19</v>
      </c>
      <c r="BS814" s="42">
        <f>-8.5-8.54</f>
        <v>-17.04</v>
      </c>
      <c r="CW814" s="42">
        <v>-34.659999999999997</v>
      </c>
      <c r="DY814" s="42">
        <v>-8.7100000000000009</v>
      </c>
    </row>
    <row r="815" spans="1:238" x14ac:dyDescent="0.25">
      <c r="A815" s="127">
        <v>44539</v>
      </c>
      <c r="B815" s="23" t="s">
        <v>78</v>
      </c>
      <c r="C815" s="21">
        <f t="shared" si="16"/>
        <v>-33.664999999999999</v>
      </c>
      <c r="AA815" s="42">
        <v>-8.4499999999999993</v>
      </c>
      <c r="AM815" s="69">
        <v>-8.4149999999999991</v>
      </c>
      <c r="AV815" s="69">
        <v>-8.0500000000000007</v>
      </c>
      <c r="BG815" s="42">
        <v>-8.75</v>
      </c>
    </row>
    <row r="816" spans="1:238" x14ac:dyDescent="0.25">
      <c r="A816" s="127">
        <v>44539</v>
      </c>
      <c r="B816" s="23" t="s">
        <v>23</v>
      </c>
      <c r="C816" s="21">
        <f t="shared" si="16"/>
        <v>0</v>
      </c>
    </row>
    <row r="817" spans="1:225" x14ac:dyDescent="0.25">
      <c r="A817" s="127">
        <v>44539</v>
      </c>
      <c r="B817" s="23" t="s">
        <v>80</v>
      </c>
      <c r="C817" s="21">
        <f t="shared" si="16"/>
        <v>0</v>
      </c>
    </row>
    <row r="818" spans="1:225" x14ac:dyDescent="0.25">
      <c r="A818" s="127">
        <v>44539</v>
      </c>
      <c r="B818" s="23" t="s">
        <v>2</v>
      </c>
      <c r="C818" s="21">
        <f t="shared" si="16"/>
        <v>403.87</v>
      </c>
      <c r="HQ818" s="42">
        <v>403.87</v>
      </c>
    </row>
    <row r="819" spans="1:225" x14ac:dyDescent="0.25">
      <c r="A819" s="127">
        <v>44540</v>
      </c>
      <c r="B819" s="23" t="s">
        <v>78</v>
      </c>
      <c r="C819" s="21">
        <f t="shared" si="16"/>
        <v>-25.614999999999998</v>
      </c>
      <c r="O819" s="375">
        <v>-8.4450000000000003</v>
      </c>
      <c r="AP819" s="42">
        <v>-17.170000000000002</v>
      </c>
    </row>
    <row r="820" spans="1:225" x14ac:dyDescent="0.25">
      <c r="A820" s="127">
        <v>44540</v>
      </c>
      <c r="B820" s="23" t="s">
        <v>57</v>
      </c>
      <c r="C820" s="21">
        <f t="shared" si="16"/>
        <v>-16.309999999999999</v>
      </c>
      <c r="T820" s="42">
        <v>-7.86</v>
      </c>
      <c r="AA820" s="42">
        <v>-8.4499999999999993</v>
      </c>
    </row>
    <row r="821" spans="1:225" x14ac:dyDescent="0.25">
      <c r="A821" s="127">
        <v>44540</v>
      </c>
      <c r="B821" s="23" t="s">
        <v>37</v>
      </c>
      <c r="C821" s="21">
        <f t="shared" si="16"/>
        <v>-64.17</v>
      </c>
      <c r="HQ821" s="42">
        <v>-64.17</v>
      </c>
    </row>
    <row r="822" spans="1:225" x14ac:dyDescent="0.25">
      <c r="A822" s="127">
        <v>44540</v>
      </c>
      <c r="B822" s="23" t="s">
        <v>32</v>
      </c>
      <c r="C822" s="21">
        <f t="shared" si="16"/>
        <v>-170.21</v>
      </c>
      <c r="AP822" s="42">
        <v>-17.7</v>
      </c>
      <c r="AU822" s="42">
        <v>-16.329999999999998</v>
      </c>
      <c r="BG822" s="42">
        <v>-17.21</v>
      </c>
      <c r="BM822" s="88">
        <v>-8.56</v>
      </c>
      <c r="BS822" s="42">
        <v>-34.35</v>
      </c>
      <c r="BY822" s="42">
        <v>-16.41</v>
      </c>
      <c r="CK822" s="42">
        <v>-16.82</v>
      </c>
      <c r="CQ822" s="42">
        <v>-25.96</v>
      </c>
      <c r="DI822" s="42">
        <v>-16.87</v>
      </c>
    </row>
    <row r="823" spans="1:225" x14ac:dyDescent="0.25">
      <c r="A823" s="127">
        <v>44540</v>
      </c>
      <c r="B823" s="23" t="s">
        <v>39</v>
      </c>
      <c r="C823" s="21">
        <f t="shared" si="16"/>
        <v>-101.09</v>
      </c>
      <c r="Y823" s="69">
        <v>-7.15</v>
      </c>
      <c r="AA823" s="42">
        <v>-9.01</v>
      </c>
      <c r="AL823" s="42">
        <v>-8.34</v>
      </c>
      <c r="AP823" s="42">
        <v>-8.5500000000000007</v>
      </c>
      <c r="AU823" s="42">
        <v>-8.25</v>
      </c>
      <c r="BG823" s="42">
        <v>-8.7899999999999991</v>
      </c>
      <c r="BM823" s="88">
        <v>-8.5500000000000007</v>
      </c>
      <c r="BS823" s="42">
        <v>-8.42</v>
      </c>
      <c r="BY823" s="42">
        <v>-8.2899999999999991</v>
      </c>
      <c r="CE823" s="42">
        <v>-8.7899999999999991</v>
      </c>
      <c r="CK823" s="42">
        <v>-8.41</v>
      </c>
      <c r="CQ823" s="42">
        <v>-8.5399999999999991</v>
      </c>
    </row>
    <row r="824" spans="1:225" x14ac:dyDescent="0.25">
      <c r="A824" s="127">
        <v>44540</v>
      </c>
      <c r="B824" s="23" t="s">
        <v>68</v>
      </c>
      <c r="C824" s="21">
        <f t="shared" si="16"/>
        <v>-33.07</v>
      </c>
      <c r="BG824" s="42">
        <v>-33.07</v>
      </c>
    </row>
    <row r="825" spans="1:225" x14ac:dyDescent="0.25">
      <c r="A825" s="127">
        <v>44543</v>
      </c>
      <c r="B825" s="23" t="s">
        <v>38</v>
      </c>
      <c r="C825" s="21">
        <f t="shared" si="16"/>
        <v>818.69500000000005</v>
      </c>
      <c r="AV825" s="69">
        <v>68.155000000000001</v>
      </c>
      <c r="BB825" s="69">
        <v>103.04</v>
      </c>
      <c r="BH825" s="69">
        <v>135.07499999999999</v>
      </c>
      <c r="BN825" s="69">
        <v>101.8</v>
      </c>
      <c r="BT825" s="69">
        <v>102.95</v>
      </c>
      <c r="BZ825" s="69">
        <v>102.285</v>
      </c>
      <c r="CF825" s="69">
        <v>69.05</v>
      </c>
      <c r="CL825" s="69">
        <v>33.869999999999997</v>
      </c>
      <c r="CR825" s="69">
        <v>34.085000000000001</v>
      </c>
      <c r="DT825" s="69">
        <v>68.385000000000005</v>
      </c>
    </row>
    <row r="826" spans="1:225" x14ac:dyDescent="0.25">
      <c r="A826" s="127">
        <v>44543</v>
      </c>
      <c r="B826" s="23" t="s">
        <v>95</v>
      </c>
      <c r="C826" s="21">
        <f t="shared" si="16"/>
        <v>-101.66</v>
      </c>
      <c r="BS826" s="42">
        <v>-34.42</v>
      </c>
      <c r="CK826" s="42">
        <v>-67.239999999999995</v>
      </c>
    </row>
    <row r="827" spans="1:225" x14ac:dyDescent="0.25">
      <c r="A827" s="127">
        <v>44543</v>
      </c>
      <c r="B827" s="23" t="s">
        <v>89</v>
      </c>
      <c r="C827" s="21">
        <f t="shared" si="16"/>
        <v>-953.68499999999995</v>
      </c>
      <c r="AU827" s="42">
        <v>-34.99</v>
      </c>
      <c r="AV827" s="69">
        <v>-34.094999999999999</v>
      </c>
      <c r="BB827" s="69">
        <v>-68.724999999999994</v>
      </c>
      <c r="BH827" s="69">
        <v>-67.62</v>
      </c>
      <c r="BN827" s="69">
        <v>-67.84</v>
      </c>
      <c r="BT827" s="69">
        <v>-68.63</v>
      </c>
      <c r="BZ827" s="69">
        <v>-68.174999999999997</v>
      </c>
      <c r="CF827" s="69">
        <v>-69.05</v>
      </c>
      <c r="CQ827" s="42">
        <v>-34.4</v>
      </c>
      <c r="CR827" s="69">
        <v>-34.085000000000001</v>
      </c>
      <c r="CW827" s="42">
        <v>-69.459999999999994</v>
      </c>
      <c r="DC827" s="42">
        <v>-67.7</v>
      </c>
      <c r="DI827" s="42">
        <v>-67.2</v>
      </c>
      <c r="DN827" s="42">
        <v>-65.52</v>
      </c>
      <c r="DT827" s="69">
        <v>-68.385000000000005</v>
      </c>
      <c r="DY827" s="42">
        <v>-67.81</v>
      </c>
    </row>
    <row r="828" spans="1:225" x14ac:dyDescent="0.25">
      <c r="A828" s="127">
        <v>44543</v>
      </c>
      <c r="B828" s="23" t="s">
        <v>87</v>
      </c>
      <c r="C828" s="21">
        <f t="shared" si="16"/>
        <v>-68.400000000000006</v>
      </c>
      <c r="CQ828" s="42">
        <v>-17.43</v>
      </c>
      <c r="CW828" s="42">
        <v>-17.350000000000001</v>
      </c>
      <c r="DC828" s="42">
        <v>-16.88</v>
      </c>
      <c r="DI828" s="42">
        <v>-16.739999999999998</v>
      </c>
    </row>
    <row r="829" spans="1:225" x14ac:dyDescent="0.25">
      <c r="A829" s="127">
        <v>44543</v>
      </c>
      <c r="B829" s="23" t="s">
        <v>89</v>
      </c>
      <c r="C829" s="21">
        <f t="shared" si="16"/>
        <v>-67.69</v>
      </c>
      <c r="CW829" s="42">
        <v>-34.090000000000003</v>
      </c>
      <c r="DC829" s="42">
        <v>-33.6</v>
      </c>
    </row>
    <row r="830" spans="1:225" x14ac:dyDescent="0.25">
      <c r="A830" s="127">
        <v>44543</v>
      </c>
      <c r="B830" s="23" t="s">
        <v>38</v>
      </c>
      <c r="C830" s="21">
        <f t="shared" si="16"/>
        <v>-33.515000000000001</v>
      </c>
      <c r="EW830" s="88">
        <v>-33.515000000000001</v>
      </c>
    </row>
    <row r="831" spans="1:225" x14ac:dyDescent="0.25">
      <c r="A831" s="127">
        <v>44543</v>
      </c>
      <c r="B831" s="23" t="s">
        <v>75</v>
      </c>
      <c r="C831" s="21">
        <f t="shared" si="16"/>
        <v>-8.41</v>
      </c>
      <c r="BS831" s="42">
        <v>-8.41</v>
      </c>
    </row>
    <row r="832" spans="1:225" x14ac:dyDescent="0.25">
      <c r="A832" s="127">
        <v>44544</v>
      </c>
      <c r="B832" s="23" t="s">
        <v>2</v>
      </c>
      <c r="C832" s="21">
        <f t="shared" si="16"/>
        <v>1326.73</v>
      </c>
      <c r="FQ832" s="42">
        <v>215.1</v>
      </c>
      <c r="GV832" s="42">
        <v>803.76</v>
      </c>
      <c r="HE832" s="42">
        <v>307.87</v>
      </c>
    </row>
    <row r="833" spans="1:240" x14ac:dyDescent="0.25">
      <c r="A833" s="127">
        <v>44544</v>
      </c>
      <c r="B833" s="23" t="s">
        <v>20</v>
      </c>
      <c r="C833" s="21">
        <f t="shared" si="16"/>
        <v>-68.709999999999994</v>
      </c>
      <c r="AU833" s="42">
        <v>-8.0299999999999994</v>
      </c>
      <c r="BM833" s="88">
        <v>-8.41</v>
      </c>
      <c r="BR833" s="182">
        <v>-8.77</v>
      </c>
      <c r="BT833" s="69">
        <v>-8.59</v>
      </c>
      <c r="BY833" s="42">
        <v>-8.23</v>
      </c>
      <c r="CE833" s="42">
        <v>-8.82</v>
      </c>
      <c r="CK833" s="42">
        <v>-9.17</v>
      </c>
      <c r="CW833" s="42">
        <v>-8.69</v>
      </c>
    </row>
    <row r="834" spans="1:240" x14ac:dyDescent="0.25">
      <c r="A834" s="127">
        <v>44544</v>
      </c>
      <c r="B834" s="23" t="s">
        <v>68</v>
      </c>
      <c r="C834" s="21">
        <f t="shared" si="16"/>
        <v>-33.96</v>
      </c>
      <c r="BN834" s="69">
        <v>-33.96</v>
      </c>
    </row>
    <row r="835" spans="1:240" x14ac:dyDescent="0.25">
      <c r="A835" s="127">
        <v>44545</v>
      </c>
      <c r="B835" s="23" t="s">
        <v>50</v>
      </c>
      <c r="C835" s="21">
        <f t="shared" si="16"/>
        <v>-717.5</v>
      </c>
      <c r="DC835" s="42">
        <v>-134.5</v>
      </c>
      <c r="GV835" s="42">
        <v>-113.2</v>
      </c>
      <c r="GY835" s="42">
        <v>-108</v>
      </c>
      <c r="HQ835" s="42">
        <v>-96.33</v>
      </c>
      <c r="IB835" s="42">
        <v>-123.64</v>
      </c>
      <c r="IF835" s="50">
        <v>-141.83000000000001</v>
      </c>
    </row>
    <row r="836" spans="1:240" x14ac:dyDescent="0.25">
      <c r="A836" s="127">
        <v>44545</v>
      </c>
      <c r="B836" s="23" t="s">
        <v>31</v>
      </c>
      <c r="C836" s="21">
        <f t="shared" si="16"/>
        <v>-109.32</v>
      </c>
      <c r="GV836" s="42">
        <v>-26.43</v>
      </c>
      <c r="HG836" s="42">
        <v>-34.9</v>
      </c>
      <c r="HQ836" s="42">
        <v>-16.16</v>
      </c>
      <c r="HZ836" s="42">
        <v>-31.83</v>
      </c>
    </row>
    <row r="837" spans="1:240" x14ac:dyDescent="0.25">
      <c r="A837" s="127">
        <v>44545</v>
      </c>
      <c r="B837" s="23" t="s">
        <v>18</v>
      </c>
      <c r="C837" s="21">
        <f t="shared" si="16"/>
        <v>-340.90499999999997</v>
      </c>
      <c r="AM837" s="69">
        <v>-33.594999999999999</v>
      </c>
      <c r="AP837" s="42">
        <v>-33.72</v>
      </c>
      <c r="AU837" s="42">
        <v>-98.76</v>
      </c>
      <c r="CE837" s="42">
        <v>-35.57</v>
      </c>
      <c r="CQ837" s="42">
        <v>-69.83</v>
      </c>
      <c r="CW837" s="42">
        <v>-69.430000000000007</v>
      </c>
    </row>
    <row r="838" spans="1:240" x14ac:dyDescent="0.25">
      <c r="A838" s="127">
        <v>44545</v>
      </c>
      <c r="B838" s="23" t="s">
        <v>80</v>
      </c>
      <c r="C838" s="21">
        <f t="shared" si="16"/>
        <v>-49.44</v>
      </c>
      <c r="AU838" s="42">
        <v>-49.44</v>
      </c>
    </row>
    <row r="839" spans="1:240" x14ac:dyDescent="0.25">
      <c r="A839" s="127">
        <v>44545</v>
      </c>
      <c r="B839" s="23" t="s">
        <v>38</v>
      </c>
      <c r="C839" s="21">
        <f t="shared" si="16"/>
        <v>-7.72</v>
      </c>
      <c r="HE839" s="42">
        <v>-7.72</v>
      </c>
    </row>
    <row r="840" spans="1:240" x14ac:dyDescent="0.25">
      <c r="A840" s="127">
        <v>44545</v>
      </c>
      <c r="B840" s="23" t="s">
        <v>78</v>
      </c>
      <c r="C840" s="21">
        <f t="shared" ref="C840:C903" si="17">SUM(I840:JT840)</f>
        <v>-34.299999999999997</v>
      </c>
      <c r="DS840" s="42">
        <v>-34.299999999999997</v>
      </c>
    </row>
    <row r="841" spans="1:240" x14ac:dyDescent="0.25">
      <c r="A841" s="127">
        <v>44545</v>
      </c>
      <c r="B841" s="23" t="s">
        <v>79</v>
      </c>
      <c r="C841" s="21">
        <f t="shared" si="17"/>
        <v>-17.64</v>
      </c>
      <c r="T841" s="42">
        <v>-7.86</v>
      </c>
      <c r="AA841" s="42">
        <v>-9.7799999999999994</v>
      </c>
    </row>
    <row r="842" spans="1:240" x14ac:dyDescent="0.25">
      <c r="A842" s="127">
        <v>44545</v>
      </c>
      <c r="B842" s="23" t="s">
        <v>75</v>
      </c>
      <c r="C842" s="21">
        <f t="shared" si="17"/>
        <v>-26.16</v>
      </c>
      <c r="AL842" s="42">
        <v>-8.94</v>
      </c>
      <c r="BG842" s="42">
        <v>-8.5299999999999994</v>
      </c>
      <c r="CW842" s="42">
        <v>-8.69</v>
      </c>
    </row>
    <row r="843" spans="1:240" x14ac:dyDescent="0.25">
      <c r="A843" s="127">
        <v>44545</v>
      </c>
      <c r="B843" s="23" t="s">
        <v>27</v>
      </c>
      <c r="C843" s="21">
        <f t="shared" si="17"/>
        <v>-44.05</v>
      </c>
      <c r="AZ843" s="182">
        <v>-8.9</v>
      </c>
      <c r="BF843" s="182">
        <v>-9.01</v>
      </c>
      <c r="BR843" s="182">
        <v>-8.07</v>
      </c>
      <c r="BT843" s="69">
        <v>-8.5500000000000007</v>
      </c>
      <c r="CP843" s="182">
        <v>-9.52</v>
      </c>
    </row>
    <row r="844" spans="1:240" x14ac:dyDescent="0.25">
      <c r="A844" s="127">
        <v>44545</v>
      </c>
      <c r="B844" s="23" t="s">
        <v>25</v>
      </c>
      <c r="C844" s="21">
        <f t="shared" si="17"/>
        <v>-60.26</v>
      </c>
      <c r="AP844" s="42">
        <v>-8.56</v>
      </c>
      <c r="BB844" s="69">
        <v>-8.6050000000000004</v>
      </c>
      <c r="BG844" s="42">
        <v>-8.7200000000000006</v>
      </c>
      <c r="BR844" s="182">
        <v>-8.35</v>
      </c>
      <c r="BT844" s="69">
        <v>-8.5950000000000006</v>
      </c>
      <c r="BZ844" s="69">
        <v>-8.5299999999999994</v>
      </c>
      <c r="CE844" s="42">
        <v>-8.9</v>
      </c>
    </row>
    <row r="845" spans="1:240" x14ac:dyDescent="0.25">
      <c r="A845" s="127">
        <v>44545</v>
      </c>
      <c r="B845" s="23" t="s">
        <v>32</v>
      </c>
      <c r="C845" s="21">
        <f t="shared" si="17"/>
        <v>-83.26</v>
      </c>
      <c r="AE845" s="42">
        <v>-15.35</v>
      </c>
      <c r="CK845" s="42">
        <v>-33.6</v>
      </c>
      <c r="DS845" s="42">
        <v>-34.31</v>
      </c>
    </row>
    <row r="846" spans="1:240" x14ac:dyDescent="0.25">
      <c r="A846" s="127">
        <v>44545</v>
      </c>
      <c r="B846" s="23" t="s">
        <v>96</v>
      </c>
      <c r="C846" s="21">
        <f t="shared" si="17"/>
        <v>-85.944999999999993</v>
      </c>
      <c r="AU846" s="42">
        <v>-8.33</v>
      </c>
      <c r="BH846" s="69">
        <v>-16.91</v>
      </c>
      <c r="BT846" s="69">
        <v>-17.045000000000002</v>
      </c>
      <c r="BZ846" s="69">
        <v>-17.05</v>
      </c>
      <c r="CE846" s="42">
        <v>-17.739999999999998</v>
      </c>
      <c r="CW846" s="42">
        <v>-8.8699999999999992</v>
      </c>
    </row>
    <row r="847" spans="1:240" x14ac:dyDescent="0.25">
      <c r="A847" s="127">
        <v>44546</v>
      </c>
      <c r="B847" s="23" t="s">
        <v>20</v>
      </c>
      <c r="C847" s="21">
        <f t="shared" si="17"/>
        <v>-25.44</v>
      </c>
      <c r="Y847" s="69">
        <v>-8.5399999999999991</v>
      </c>
      <c r="AA847" s="42">
        <v>-8.35</v>
      </c>
      <c r="BB847" s="69">
        <v>-8.5500000000000007</v>
      </c>
    </row>
    <row r="848" spans="1:240" x14ac:dyDescent="0.25">
      <c r="A848" s="127">
        <v>44546</v>
      </c>
      <c r="B848" s="23" t="s">
        <v>84</v>
      </c>
      <c r="C848" s="21">
        <f t="shared" si="17"/>
        <v>-59.28</v>
      </c>
      <c r="DI848" s="42">
        <v>-17.47</v>
      </c>
      <c r="DN848" s="42">
        <v>-41.81</v>
      </c>
    </row>
    <row r="849" spans="1:240" x14ac:dyDescent="0.25">
      <c r="A849" s="127">
        <v>44546</v>
      </c>
      <c r="B849" s="23" t="s">
        <v>17</v>
      </c>
      <c r="C849" s="21">
        <f t="shared" si="17"/>
        <v>-16.16</v>
      </c>
      <c r="O849" s="375">
        <v>-8.4499999999999993</v>
      </c>
      <c r="T849" s="42">
        <v>-7.71</v>
      </c>
    </row>
    <row r="850" spans="1:240" x14ac:dyDescent="0.25">
      <c r="A850" s="127">
        <v>44546</v>
      </c>
      <c r="B850" s="23" t="s">
        <v>2</v>
      </c>
      <c r="C850" s="21">
        <f t="shared" si="17"/>
        <v>209.95</v>
      </c>
      <c r="FA850" s="42">
        <v>209.95</v>
      </c>
    </row>
    <row r="851" spans="1:240" x14ac:dyDescent="0.25">
      <c r="A851" s="127">
        <v>44547</v>
      </c>
      <c r="B851" s="23" t="s">
        <v>25</v>
      </c>
      <c r="C851" s="21">
        <f t="shared" si="17"/>
        <v>-26.3</v>
      </c>
      <c r="CQ851" s="42">
        <v>-26.3</v>
      </c>
    </row>
    <row r="852" spans="1:240" x14ac:dyDescent="0.25">
      <c r="A852" s="127">
        <v>44547</v>
      </c>
      <c r="B852" s="23" t="s">
        <v>37</v>
      </c>
      <c r="C852" s="21">
        <f t="shared" si="17"/>
        <v>-63.95</v>
      </c>
      <c r="HO852" s="42">
        <v>-63.95</v>
      </c>
    </row>
    <row r="853" spans="1:240" x14ac:dyDescent="0.25">
      <c r="A853" s="127">
        <v>44548</v>
      </c>
      <c r="B853" s="23" t="s">
        <v>31</v>
      </c>
      <c r="C853" s="21">
        <f t="shared" si="17"/>
        <v>-8.7799999999999994</v>
      </c>
      <c r="IF853" s="50">
        <v>-8.7799999999999994</v>
      </c>
    </row>
    <row r="854" spans="1:240" x14ac:dyDescent="0.25">
      <c r="A854" s="127">
        <v>44550</v>
      </c>
      <c r="B854" s="23" t="s">
        <v>2</v>
      </c>
      <c r="C854" s="21">
        <f t="shared" si="17"/>
        <v>2052.08</v>
      </c>
      <c r="AU854" s="42">
        <v>173.7</v>
      </c>
      <c r="BA854" s="42">
        <v>170.01</v>
      </c>
      <c r="BG854" s="42">
        <v>169.21</v>
      </c>
      <c r="BM854" s="88">
        <v>173.16</v>
      </c>
      <c r="BS854" s="42">
        <v>166.22</v>
      </c>
      <c r="BY854" s="42">
        <v>173.34</v>
      </c>
      <c r="CE854" s="42">
        <v>173.86</v>
      </c>
      <c r="CK854" s="42">
        <v>173.02</v>
      </c>
      <c r="CQ854" s="42">
        <v>170.56</v>
      </c>
      <c r="GP854" s="42">
        <v>509</v>
      </c>
    </row>
    <row r="855" spans="1:240" x14ac:dyDescent="0.25">
      <c r="A855" s="127">
        <v>44550</v>
      </c>
      <c r="B855" s="23" t="s">
        <v>78</v>
      </c>
      <c r="C855" s="21">
        <f t="shared" si="17"/>
        <v>-86.94</v>
      </c>
      <c r="EN855" s="42">
        <v>-86.94</v>
      </c>
    </row>
    <row r="856" spans="1:240" x14ac:dyDescent="0.25">
      <c r="A856" s="127">
        <v>44550</v>
      </c>
      <c r="B856" s="23" t="s">
        <v>78</v>
      </c>
      <c r="C856" s="21">
        <f t="shared" si="17"/>
        <v>-42.19</v>
      </c>
      <c r="AP856" s="42">
        <v>-8.59</v>
      </c>
      <c r="AV856" s="69">
        <v>-8.1</v>
      </c>
      <c r="BB856" s="69">
        <v>-8.58</v>
      </c>
      <c r="BH856" s="69">
        <v>-8.44</v>
      </c>
      <c r="BT856" s="69">
        <v>-8.48</v>
      </c>
    </row>
    <row r="857" spans="1:240" x14ac:dyDescent="0.25">
      <c r="A857" s="127">
        <v>44550</v>
      </c>
      <c r="B857" s="23" t="s">
        <v>32</v>
      </c>
      <c r="C857" s="21">
        <f t="shared" si="17"/>
        <v>-102.84</v>
      </c>
      <c r="BA857" s="42">
        <v>-25.48</v>
      </c>
      <c r="BM857" s="88">
        <v>-25.96</v>
      </c>
      <c r="BS857" s="42">
        <v>-25.4</v>
      </c>
      <c r="BY857" s="42">
        <v>-26</v>
      </c>
    </row>
    <row r="858" spans="1:240" x14ac:dyDescent="0.25">
      <c r="A858" s="127">
        <v>44550</v>
      </c>
      <c r="B858" s="23" t="s">
        <v>44</v>
      </c>
      <c r="C858" s="21">
        <f t="shared" si="17"/>
        <v>-163.77000000000001</v>
      </c>
      <c r="GP858" s="42">
        <v>-100.75</v>
      </c>
      <c r="ID858" s="42">
        <v>-63.02</v>
      </c>
    </row>
    <row r="859" spans="1:240" x14ac:dyDescent="0.25">
      <c r="A859" s="127">
        <v>44550</v>
      </c>
      <c r="B859" s="23" t="s">
        <v>78</v>
      </c>
      <c r="C859" s="21">
        <f t="shared" si="17"/>
        <v>-33.895000000000003</v>
      </c>
      <c r="BH859" s="69">
        <v>-8.4550000000000001</v>
      </c>
      <c r="BY859" s="42">
        <v>-8.6999999999999993</v>
      </c>
      <c r="DI859" s="42">
        <v>-16.739999999999998</v>
      </c>
    </row>
    <row r="860" spans="1:240" x14ac:dyDescent="0.25">
      <c r="A860" s="127">
        <v>44550</v>
      </c>
      <c r="B860" s="23" t="s">
        <v>20</v>
      </c>
      <c r="C860" s="21">
        <f t="shared" si="17"/>
        <v>-8.69</v>
      </c>
      <c r="CW860" s="42">
        <v>-8.69</v>
      </c>
    </row>
    <row r="861" spans="1:240" x14ac:dyDescent="0.25">
      <c r="A861" s="127">
        <v>44550</v>
      </c>
      <c r="B861" s="23" t="s">
        <v>59</v>
      </c>
      <c r="C861" s="21">
        <f t="shared" si="17"/>
        <v>-8.66</v>
      </c>
      <c r="CW861" s="42">
        <v>-8.66</v>
      </c>
    </row>
    <row r="862" spans="1:240" x14ac:dyDescent="0.25">
      <c r="A862" s="127">
        <v>44551</v>
      </c>
      <c r="B862" s="23" t="s">
        <v>68</v>
      </c>
      <c r="C862" s="21">
        <f t="shared" si="17"/>
        <v>-67.489999999999995</v>
      </c>
      <c r="AU862" s="42">
        <v>-33.14</v>
      </c>
      <c r="BS862" s="42">
        <v>-34.35</v>
      </c>
    </row>
    <row r="863" spans="1:240" x14ac:dyDescent="0.25">
      <c r="A863" s="127">
        <v>44551</v>
      </c>
      <c r="B863" s="23" t="s">
        <v>84</v>
      </c>
      <c r="C863" s="21">
        <f t="shared" si="17"/>
        <v>-51.51</v>
      </c>
      <c r="AU863" s="42">
        <v>-17.440000000000001</v>
      </c>
      <c r="BA863" s="42">
        <v>-8.52</v>
      </c>
      <c r="BB863" s="69">
        <v>-8.58</v>
      </c>
      <c r="BG863" s="42">
        <v>-16.97</v>
      </c>
    </row>
    <row r="864" spans="1:240" x14ac:dyDescent="0.25">
      <c r="A864" s="127">
        <v>44552</v>
      </c>
      <c r="B864" s="23" t="s">
        <v>75</v>
      </c>
      <c r="C864" s="21">
        <f t="shared" si="17"/>
        <v>-26.15</v>
      </c>
      <c r="BG864" s="42">
        <v>-8.43</v>
      </c>
      <c r="CE864" s="42">
        <v>-8.85</v>
      </c>
      <c r="CQ864" s="42">
        <v>-8.8699999999999992</v>
      </c>
    </row>
    <row r="865" spans="1:225" x14ac:dyDescent="0.25">
      <c r="A865" s="127">
        <v>44552</v>
      </c>
      <c r="B865" s="23" t="s">
        <v>28</v>
      </c>
      <c r="C865" s="21">
        <f t="shared" si="17"/>
        <v>-25.48</v>
      </c>
      <c r="BG865" s="42">
        <v>-16.95</v>
      </c>
      <c r="BZ865" s="69">
        <v>-8.5299999999999994</v>
      </c>
    </row>
    <row r="866" spans="1:225" x14ac:dyDescent="0.25">
      <c r="A866" s="127">
        <v>44552</v>
      </c>
      <c r="B866" s="23" t="s">
        <v>79</v>
      </c>
      <c r="C866" s="21">
        <f t="shared" si="17"/>
        <v>-8.7200000000000006</v>
      </c>
      <c r="X866" s="42">
        <v>-8.7200000000000006</v>
      </c>
    </row>
    <row r="867" spans="1:225" x14ac:dyDescent="0.25">
      <c r="A867" s="127">
        <v>44552</v>
      </c>
      <c r="B867" s="23" t="s">
        <v>57</v>
      </c>
      <c r="C867" s="21">
        <f t="shared" si="17"/>
        <v>-188.48500000000001</v>
      </c>
      <c r="AM867" s="69">
        <v>-8.375</v>
      </c>
      <c r="AP867" s="42">
        <v>-8.56</v>
      </c>
      <c r="AU867" s="42">
        <v>-8.61</v>
      </c>
      <c r="BA867" s="42">
        <v>-25.6</v>
      </c>
      <c r="BG867" s="42">
        <v>-33.74</v>
      </c>
      <c r="BM867" s="88">
        <v>-34.799999999999997</v>
      </c>
      <c r="BS867" s="42">
        <v>-8.35</v>
      </c>
      <c r="BY867" s="42">
        <v>-25.97</v>
      </c>
      <c r="CE867" s="42">
        <v>-17.170000000000002</v>
      </c>
      <c r="CK867" s="42">
        <v>-17.309999999999999</v>
      </c>
    </row>
    <row r="868" spans="1:225" x14ac:dyDescent="0.25">
      <c r="A868" s="127">
        <v>44552</v>
      </c>
      <c r="B868" s="23" t="s">
        <v>45</v>
      </c>
      <c r="C868" s="21">
        <f t="shared" si="17"/>
        <v>-8.57</v>
      </c>
      <c r="AE868" s="42">
        <v>-8.57</v>
      </c>
    </row>
    <row r="869" spans="1:225" x14ac:dyDescent="0.25">
      <c r="A869" s="127">
        <v>44552</v>
      </c>
      <c r="B869" s="23" t="s">
        <v>78</v>
      </c>
      <c r="C869" s="21">
        <f t="shared" si="17"/>
        <v>-162.46</v>
      </c>
      <c r="BA869" s="42">
        <v>-50.9</v>
      </c>
      <c r="BG869" s="42">
        <v>-33.94</v>
      </c>
      <c r="BM869" s="88">
        <v>-8.7200000000000006</v>
      </c>
      <c r="BT869" s="69">
        <v>-16.850000000000001</v>
      </c>
      <c r="BY869" s="42">
        <v>-8.34</v>
      </c>
      <c r="CQ869" s="42">
        <v>-8.92</v>
      </c>
      <c r="CW869" s="42">
        <v>-34.79</v>
      </c>
    </row>
    <row r="870" spans="1:225" x14ac:dyDescent="0.25">
      <c r="A870" s="127">
        <v>44552</v>
      </c>
      <c r="B870" s="23" t="s">
        <v>37</v>
      </c>
      <c r="C870" s="21">
        <f t="shared" si="17"/>
        <v>-478.01</v>
      </c>
      <c r="HK870" s="50">
        <v>-106.87</v>
      </c>
      <c r="HO870" s="42">
        <v>-265.18</v>
      </c>
      <c r="HQ870" s="42">
        <v>-105.96</v>
      </c>
    </row>
    <row r="871" spans="1:225" x14ac:dyDescent="0.25">
      <c r="A871" s="127">
        <v>44553</v>
      </c>
      <c r="B871" s="23" t="s">
        <v>78</v>
      </c>
      <c r="C871" s="21">
        <f t="shared" si="17"/>
        <v>-24.72</v>
      </c>
      <c r="AP871" s="42">
        <v>-16.38</v>
      </c>
      <c r="CK871" s="42">
        <v>-8.34</v>
      </c>
    </row>
    <row r="872" spans="1:225" x14ac:dyDescent="0.25">
      <c r="A872" s="127">
        <v>44553</v>
      </c>
      <c r="B872" s="23" t="s">
        <v>78</v>
      </c>
      <c r="C872" s="21">
        <f t="shared" si="17"/>
        <v>-8.0500000000000007</v>
      </c>
      <c r="K872" s="42">
        <v>-8.0500000000000007</v>
      </c>
    </row>
    <row r="873" spans="1:225" x14ac:dyDescent="0.25">
      <c r="A873" s="127">
        <v>44554</v>
      </c>
      <c r="B873" s="23" t="s">
        <v>80</v>
      </c>
      <c r="C873" s="21">
        <f t="shared" si="17"/>
        <v>-34.9</v>
      </c>
      <c r="AU873" s="42">
        <v>-34.9</v>
      </c>
    </row>
    <row r="874" spans="1:225" x14ac:dyDescent="0.25">
      <c r="A874" s="127">
        <v>44554</v>
      </c>
      <c r="B874" s="23" t="s">
        <v>2</v>
      </c>
      <c r="C874" s="21">
        <f t="shared" si="17"/>
        <v>1096.99</v>
      </c>
      <c r="AA874" s="42">
        <v>302.02999999999997</v>
      </c>
      <c r="AE874" s="42">
        <v>288.12</v>
      </c>
      <c r="BA874" s="42">
        <v>506.84</v>
      </c>
    </row>
    <row r="875" spans="1:225" x14ac:dyDescent="0.25">
      <c r="A875" s="127">
        <v>44554</v>
      </c>
      <c r="B875" s="23" t="s">
        <v>78</v>
      </c>
      <c r="C875" s="21">
        <f t="shared" si="17"/>
        <v>-34.65</v>
      </c>
      <c r="BM875" s="88">
        <v>-8.67</v>
      </c>
      <c r="BS875" s="42">
        <v>-8.4700000000000006</v>
      </c>
      <c r="BY875" s="42">
        <v>-8.7100000000000009</v>
      </c>
      <c r="CE875" s="42">
        <v>-8.8000000000000007</v>
      </c>
    </row>
    <row r="876" spans="1:225" x14ac:dyDescent="0.25">
      <c r="A876" s="127">
        <v>44554</v>
      </c>
      <c r="B876" s="23" t="s">
        <v>78</v>
      </c>
      <c r="C876" s="21">
        <f t="shared" si="17"/>
        <v>-101.52</v>
      </c>
      <c r="T876" s="42">
        <v>-7.73</v>
      </c>
      <c r="AU876" s="42">
        <v>-8.86</v>
      </c>
      <c r="BA876" s="42">
        <f>-8.51-8.46</f>
        <v>-16.97</v>
      </c>
      <c r="BM876" s="88">
        <f>-25.86-8.69</f>
        <v>-34.549999999999997</v>
      </c>
      <c r="BS876" s="42">
        <f>-16.28-8.35</f>
        <v>-24.63</v>
      </c>
      <c r="BY876" s="42">
        <v>-8.7799999999999994</v>
      </c>
    </row>
    <row r="877" spans="1:225" x14ac:dyDescent="0.25">
      <c r="A877" s="127">
        <v>44554</v>
      </c>
      <c r="B877" s="23" t="s">
        <v>15</v>
      </c>
      <c r="C877" s="21">
        <f t="shared" si="17"/>
        <v>-42.41</v>
      </c>
      <c r="BA877" s="42">
        <v>-33.76</v>
      </c>
      <c r="BM877" s="88">
        <v>-8.65</v>
      </c>
    </row>
    <row r="878" spans="1:225" x14ac:dyDescent="0.25">
      <c r="A878" s="127">
        <v>44554</v>
      </c>
      <c r="B878" s="23" t="s">
        <v>97</v>
      </c>
      <c r="C878" s="21">
        <f t="shared" si="17"/>
        <v>-25.99</v>
      </c>
      <c r="BM878" s="88">
        <v>-8.64</v>
      </c>
      <c r="CE878" s="42">
        <v>-8.67</v>
      </c>
      <c r="CW878" s="42">
        <v>-8.68</v>
      </c>
    </row>
    <row r="879" spans="1:225" x14ac:dyDescent="0.25">
      <c r="A879" s="127">
        <v>44555</v>
      </c>
      <c r="B879" s="23" t="s">
        <v>47</v>
      </c>
      <c r="C879" s="21">
        <f t="shared" si="17"/>
        <v>-145.93</v>
      </c>
      <c r="AA879" s="42">
        <v>-8.64</v>
      </c>
      <c r="AE879" s="42">
        <v>-8.56</v>
      </c>
      <c r="AL879" s="42">
        <v>-8.7899999999999991</v>
      </c>
      <c r="AU879" s="42">
        <v>-17.14</v>
      </c>
      <c r="BA879" s="42">
        <v>-8.5500000000000007</v>
      </c>
      <c r="BG879" s="42">
        <v>-16.97</v>
      </c>
      <c r="BM879" s="88">
        <v>-17.3</v>
      </c>
      <c r="BY879" s="42">
        <v>-26.02</v>
      </c>
      <c r="CE879" s="42">
        <v>-8.68</v>
      </c>
      <c r="CW879" s="42">
        <v>-16.97</v>
      </c>
      <c r="DC879" s="42">
        <v>-8.31</v>
      </c>
    </row>
    <row r="880" spans="1:225" x14ac:dyDescent="0.25">
      <c r="A880" s="127">
        <v>44557</v>
      </c>
      <c r="B880" s="23" t="s">
        <v>80</v>
      </c>
      <c r="C880" s="21">
        <f t="shared" si="17"/>
        <v>-8.56</v>
      </c>
      <c r="AP880" s="42">
        <v>-8.56</v>
      </c>
    </row>
    <row r="881" spans="1:256" x14ac:dyDescent="0.25">
      <c r="A881" s="127">
        <v>44557</v>
      </c>
      <c r="B881" s="23" t="s">
        <v>78</v>
      </c>
      <c r="C881" s="21">
        <f t="shared" si="17"/>
        <v>-59.744999999999997</v>
      </c>
      <c r="O881" s="375">
        <v>-8.4949999999999992</v>
      </c>
      <c r="AE881" s="42">
        <v>-8.56</v>
      </c>
      <c r="AL881" s="42">
        <v>-8.77</v>
      </c>
      <c r="AP881" s="42">
        <v>-8.5500000000000007</v>
      </c>
      <c r="AU881" s="42">
        <v>-8.58</v>
      </c>
      <c r="BA881" s="42">
        <v>-8.35</v>
      </c>
      <c r="BG881" s="42">
        <v>-8.44</v>
      </c>
    </row>
    <row r="882" spans="1:256" x14ac:dyDescent="0.25">
      <c r="A882" s="127">
        <v>44557</v>
      </c>
      <c r="B882" s="23" t="s">
        <v>78</v>
      </c>
      <c r="C882" s="21">
        <f t="shared" si="17"/>
        <v>-17.16</v>
      </c>
      <c r="BA882" s="42">
        <v>-8.4499999999999993</v>
      </c>
      <c r="BY882" s="42">
        <v>-8.7100000000000009</v>
      </c>
    </row>
    <row r="883" spans="1:256" x14ac:dyDescent="0.25">
      <c r="A883" s="127">
        <v>44557</v>
      </c>
      <c r="B883" s="23" t="s">
        <v>59</v>
      </c>
      <c r="C883" s="21">
        <f t="shared" si="17"/>
        <v>-7.56</v>
      </c>
      <c r="HW883" s="42">
        <v>-7.56</v>
      </c>
    </row>
    <row r="884" spans="1:256" x14ac:dyDescent="0.25">
      <c r="A884" s="127">
        <v>44557</v>
      </c>
      <c r="B884" s="23" t="s">
        <v>78</v>
      </c>
      <c r="C884" s="21">
        <f t="shared" si="17"/>
        <v>-69.319999999999993</v>
      </c>
      <c r="AU884" s="42">
        <v>-17.55</v>
      </c>
      <c r="BG884" s="42">
        <v>-33.770000000000003</v>
      </c>
      <c r="CK884" s="42">
        <v>-18</v>
      </c>
    </row>
    <row r="885" spans="1:256" x14ac:dyDescent="0.25">
      <c r="A885" s="127">
        <v>44557</v>
      </c>
      <c r="B885" s="23" t="s">
        <v>94</v>
      </c>
      <c r="C885" s="21">
        <f t="shared" si="17"/>
        <v>0</v>
      </c>
    </row>
    <row r="886" spans="1:256" x14ac:dyDescent="0.25">
      <c r="A886" s="127">
        <v>44557</v>
      </c>
      <c r="B886" s="23" t="s">
        <v>12</v>
      </c>
      <c r="C886" s="21">
        <f t="shared" si="17"/>
        <v>-151.10499999999999</v>
      </c>
      <c r="FU886" s="88">
        <v>-151.10499999999999</v>
      </c>
    </row>
    <row r="887" spans="1:256" x14ac:dyDescent="0.25">
      <c r="A887" s="127">
        <v>44558</v>
      </c>
      <c r="B887" s="23" t="s">
        <v>32</v>
      </c>
      <c r="C887" s="21">
        <f t="shared" si="17"/>
        <v>-31.18</v>
      </c>
      <c r="AE887" s="42">
        <v>-31.18</v>
      </c>
    </row>
    <row r="888" spans="1:256" x14ac:dyDescent="0.25">
      <c r="A888" s="127">
        <v>44559</v>
      </c>
      <c r="B888" s="23" t="s">
        <v>44</v>
      </c>
      <c r="C888" s="21">
        <f t="shared" si="17"/>
        <v>-73.2</v>
      </c>
      <c r="GP888" s="42">
        <v>-73.2</v>
      </c>
    </row>
    <row r="889" spans="1:256" x14ac:dyDescent="0.25">
      <c r="A889" s="127">
        <v>44560</v>
      </c>
      <c r="B889" s="23" t="s">
        <v>25</v>
      </c>
      <c r="C889" s="21">
        <f t="shared" si="17"/>
        <v>-86.25</v>
      </c>
      <c r="AL889" s="42">
        <v>-8.8699999999999992</v>
      </c>
      <c r="AU889" s="42">
        <v>-8.56</v>
      </c>
      <c r="BA889" s="42">
        <v>-8.48</v>
      </c>
      <c r="BH889" s="69">
        <v>-8.4499999999999993</v>
      </c>
      <c r="BM889" s="88">
        <v>-8.58</v>
      </c>
      <c r="BS889" s="42">
        <v>-8.15</v>
      </c>
      <c r="BY889" s="42">
        <v>-8.68</v>
      </c>
      <c r="CE889" s="42">
        <v>-8.68</v>
      </c>
      <c r="CK889" s="42">
        <v>-8.67</v>
      </c>
      <c r="CQ889" s="42">
        <v>-9.1300000000000008</v>
      </c>
    </row>
    <row r="890" spans="1:256" x14ac:dyDescent="0.25">
      <c r="A890" s="127">
        <v>44560</v>
      </c>
      <c r="B890" s="23" t="s">
        <v>20</v>
      </c>
      <c r="C890" s="21">
        <f t="shared" si="17"/>
        <v>-34.700000000000003</v>
      </c>
      <c r="AL890" s="42">
        <v>-8.89</v>
      </c>
      <c r="BH890" s="69">
        <v>-8.44</v>
      </c>
      <c r="CK890" s="42">
        <v>-8.64</v>
      </c>
      <c r="CQ890" s="42">
        <v>-8.73</v>
      </c>
    </row>
    <row r="891" spans="1:256" x14ac:dyDescent="0.25">
      <c r="A891" s="127">
        <v>44560</v>
      </c>
      <c r="B891" s="23" t="s">
        <v>15</v>
      </c>
      <c r="C891" s="21">
        <f t="shared" si="17"/>
        <v>-33.08</v>
      </c>
      <c r="AP891" s="42">
        <v>-33.08</v>
      </c>
    </row>
    <row r="892" spans="1:256" x14ac:dyDescent="0.25">
      <c r="A892" s="127">
        <v>44560</v>
      </c>
      <c r="B892" s="23" t="s">
        <v>15</v>
      </c>
      <c r="C892" s="21">
        <f t="shared" si="17"/>
        <v>-68.02</v>
      </c>
      <c r="BA892" s="42">
        <v>-68.02</v>
      </c>
    </row>
    <row r="893" spans="1:256" x14ac:dyDescent="0.25">
      <c r="A893" s="127">
        <v>44560</v>
      </c>
      <c r="B893" s="23" t="s">
        <v>98</v>
      </c>
      <c r="C893" s="21">
        <f t="shared" si="17"/>
        <v>-8.6199999999999992</v>
      </c>
      <c r="BM893" s="88">
        <v>-8.6199999999999992</v>
      </c>
    </row>
    <row r="894" spans="1:256" x14ac:dyDescent="0.25">
      <c r="A894" s="127">
        <v>44560</v>
      </c>
      <c r="B894" s="18" t="s">
        <v>29</v>
      </c>
      <c r="C894" s="21">
        <f t="shared" si="17"/>
        <v>-34.414999999999999</v>
      </c>
      <c r="AL894" s="42">
        <v>-8.9499999999999993</v>
      </c>
      <c r="AU894" s="42">
        <v>-8.85</v>
      </c>
      <c r="BH894" s="69">
        <v>-8.3650000000000002</v>
      </c>
      <c r="BS894" s="42">
        <v>-8.25</v>
      </c>
    </row>
    <row r="895" spans="1:256" x14ac:dyDescent="0.25">
      <c r="A895" s="127">
        <v>44561</v>
      </c>
      <c r="B895" s="23" t="s">
        <v>81</v>
      </c>
      <c r="C895" s="21">
        <f t="shared" si="17"/>
        <v>-77.23</v>
      </c>
      <c r="AA895" s="42">
        <v>-8.6199999999999992</v>
      </c>
      <c r="BM895" s="88">
        <v>-8.67</v>
      </c>
      <c r="BS895" s="42">
        <v>-16.78</v>
      </c>
      <c r="BY895" s="42">
        <v>-17.309999999999999</v>
      </c>
      <c r="CK895" s="42">
        <v>-17.260000000000002</v>
      </c>
      <c r="DC895" s="42">
        <v>-8.59</v>
      </c>
    </row>
    <row r="896" spans="1:256" s="52" customFormat="1" x14ac:dyDescent="0.25">
      <c r="A896" s="436" t="s">
        <v>105</v>
      </c>
      <c r="B896" s="437"/>
      <c r="C896" s="270">
        <f>SUM(D896:JT896)</f>
        <v>38.545999999999999</v>
      </c>
      <c r="D896" s="386">
        <v>-1.37</v>
      </c>
      <c r="E896" s="386">
        <v>0.57999999999999996</v>
      </c>
      <c r="F896" s="365">
        <v>-8.8450000000000006</v>
      </c>
      <c r="I896" s="52">
        <v>1.24</v>
      </c>
      <c r="K896" s="53"/>
      <c r="L896" s="55">
        <v>-33.155000000000001</v>
      </c>
      <c r="M896" s="54">
        <v>-20.385000000000002</v>
      </c>
      <c r="N896" s="53"/>
      <c r="O896" s="375">
        <v>-9.2050000000000001</v>
      </c>
      <c r="P896" s="55">
        <v>-74.760000000000005</v>
      </c>
      <c r="Q896" s="55"/>
      <c r="R896" s="54">
        <v>-0.75</v>
      </c>
      <c r="S896" s="55">
        <v>-1.43</v>
      </c>
      <c r="T896" s="53">
        <v>5.15</v>
      </c>
      <c r="U896" s="55">
        <v>0.08</v>
      </c>
      <c r="V896" s="55">
        <v>-5.2949999999999999</v>
      </c>
      <c r="W896" s="55">
        <v>0.01</v>
      </c>
      <c r="X896" s="53">
        <v>-48.33</v>
      </c>
      <c r="Y896" s="55">
        <v>33.445</v>
      </c>
      <c r="Z896" s="79">
        <v>9.43</v>
      </c>
      <c r="AA896" s="53"/>
      <c r="AB896" s="55">
        <v>-7.9349999999999996</v>
      </c>
      <c r="AC896" s="106">
        <v>-19.344999999999999</v>
      </c>
      <c r="AD896" s="54">
        <v>-7.4</v>
      </c>
      <c r="AE896" s="53">
        <v>0.09</v>
      </c>
      <c r="AF896" s="55">
        <v>-1.4999999999999999E-2</v>
      </c>
      <c r="AG896" s="360">
        <v>-27.09</v>
      </c>
      <c r="AH896" s="55"/>
      <c r="AI896" s="55"/>
      <c r="AJ896" s="55"/>
      <c r="AL896" s="53">
        <v>-28.145</v>
      </c>
      <c r="AM896" s="55">
        <v>-62.27</v>
      </c>
      <c r="AN896" s="106">
        <v>-27.215</v>
      </c>
      <c r="AO896" s="359">
        <v>-8.76</v>
      </c>
      <c r="AP896" s="53">
        <v>-51.27</v>
      </c>
      <c r="AQ896" s="55">
        <v>34.31</v>
      </c>
      <c r="AR896" s="106">
        <v>33.19</v>
      </c>
      <c r="AS896" s="55"/>
      <c r="AT896" s="54"/>
      <c r="AU896" s="53">
        <v>9.3000000000000007</v>
      </c>
      <c r="AV896" s="55">
        <v>2.46</v>
      </c>
      <c r="AW896" s="360">
        <v>105.715</v>
      </c>
      <c r="AX896" s="55"/>
      <c r="AY896" s="55"/>
      <c r="AZ896" s="182">
        <v>-64.674999999999997</v>
      </c>
      <c r="BA896" s="53">
        <v>-59.19</v>
      </c>
      <c r="BB896" s="55">
        <v>34.715000000000003</v>
      </c>
      <c r="BC896" s="106">
        <v>-19.7</v>
      </c>
      <c r="BD896" s="55">
        <v>-7.15</v>
      </c>
      <c r="BE896" s="55"/>
      <c r="BF896" s="182"/>
      <c r="BG896" s="53">
        <v>-8.19</v>
      </c>
      <c r="BH896" s="55">
        <v>1.21</v>
      </c>
      <c r="BI896" s="106">
        <v>-136.55500000000001</v>
      </c>
      <c r="BJ896" s="55">
        <v>-5.71</v>
      </c>
      <c r="BK896" s="55"/>
      <c r="BL896" s="182"/>
      <c r="BM896" s="53">
        <v>-2.7</v>
      </c>
      <c r="BN896" s="55">
        <v>1.585</v>
      </c>
      <c r="BO896" s="106">
        <v>-42.73</v>
      </c>
      <c r="BP896" s="55"/>
      <c r="BQ896" s="55"/>
      <c r="BR896" s="182"/>
      <c r="BS896" s="53">
        <v>-24.015000000000001</v>
      </c>
      <c r="BT896" s="69">
        <v>6.5750000000000002</v>
      </c>
      <c r="BU896" s="106">
        <v>-70.84</v>
      </c>
      <c r="BV896" s="55">
        <v>16.649999999999999</v>
      </c>
      <c r="BW896" s="55">
        <v>-0.105</v>
      </c>
      <c r="BX896" s="182">
        <v>-32.270000000000003</v>
      </c>
      <c r="BY896" s="53">
        <v>-0.06</v>
      </c>
      <c r="BZ896" s="55">
        <v>8.5549999999999997</v>
      </c>
      <c r="CA896" s="106">
        <v>-161.595</v>
      </c>
      <c r="CB896" s="55"/>
      <c r="CC896" s="55"/>
      <c r="CD896" s="182"/>
      <c r="CE896" s="53">
        <v>-24.18</v>
      </c>
      <c r="CF896" s="55">
        <v>-14.414999999999999</v>
      </c>
      <c r="CG896" s="106">
        <v>-46.875</v>
      </c>
      <c r="CH896" s="55"/>
      <c r="CI896" s="55"/>
      <c r="CJ896" s="182">
        <v>-24.52</v>
      </c>
      <c r="CK896" s="53">
        <v>-9.51</v>
      </c>
      <c r="CL896" s="55">
        <v>-19.100000000000001</v>
      </c>
      <c r="CM896" s="360">
        <v>-83.765000000000001</v>
      </c>
      <c r="CN896" s="55">
        <v>0.09</v>
      </c>
      <c r="CO896" s="55"/>
      <c r="CP896" s="182">
        <v>-7.11</v>
      </c>
      <c r="CQ896" s="53">
        <v>-7.75</v>
      </c>
      <c r="CR896" s="69">
        <v>-7.3949999999999996</v>
      </c>
      <c r="CS896" s="74">
        <v>-42.66</v>
      </c>
      <c r="CT896" s="55">
        <v>0.2</v>
      </c>
      <c r="CU896" s="55"/>
      <c r="CV896" s="54"/>
      <c r="CW896" s="53">
        <v>49.77</v>
      </c>
      <c r="CX896" s="55">
        <v>-0.01</v>
      </c>
      <c r="CY896" s="106">
        <v>-143.19999999999999</v>
      </c>
      <c r="CZ896" s="55"/>
      <c r="DA896" s="55">
        <v>-8.5299999999999994</v>
      </c>
      <c r="DB896" s="54"/>
      <c r="DC896" s="53"/>
      <c r="DD896" s="55">
        <v>-5.0000000000000001E-3</v>
      </c>
      <c r="DE896" s="74">
        <v>-145.095</v>
      </c>
      <c r="DF896" s="55"/>
      <c r="DG896" s="55">
        <v>-24.8</v>
      </c>
      <c r="DH896" s="54"/>
      <c r="DI896" s="53">
        <v>-0.25</v>
      </c>
      <c r="DJ896" s="55">
        <v>0.99</v>
      </c>
      <c r="DK896" s="360">
        <f>-80.11+8.265</f>
        <v>-71.844999999999999</v>
      </c>
      <c r="DL896" s="55">
        <v>0.1</v>
      </c>
      <c r="DM896" s="359"/>
      <c r="DN896" s="53">
        <v>-0.35</v>
      </c>
      <c r="DO896" s="375">
        <v>0.37</v>
      </c>
      <c r="DP896" s="74">
        <v>-51.155000000000001</v>
      </c>
      <c r="DQ896" s="55"/>
      <c r="DR896" s="54"/>
      <c r="DS896" s="53">
        <v>-9.26</v>
      </c>
      <c r="DT896" s="55">
        <v>-0.93</v>
      </c>
      <c r="DU896" s="55">
        <v>-0.33</v>
      </c>
      <c r="DV896" s="55"/>
      <c r="DW896" s="55"/>
      <c r="DX896" s="54"/>
      <c r="DY896" s="53">
        <v>1</v>
      </c>
      <c r="DZ896" s="55">
        <v>-23.995000000000001</v>
      </c>
      <c r="EA896" s="74">
        <v>47.88</v>
      </c>
      <c r="EB896" s="55"/>
      <c r="EC896" s="360"/>
      <c r="ED896" s="54"/>
      <c r="EE896" s="53"/>
      <c r="EF896" s="55"/>
      <c r="EG896" s="55">
        <v>-8.8000000000000007</v>
      </c>
      <c r="EH896" s="55"/>
      <c r="EI896" s="54"/>
      <c r="EJ896" s="53">
        <v>-0.2</v>
      </c>
      <c r="EK896" s="55"/>
      <c r="EL896" s="55">
        <v>25.58</v>
      </c>
      <c r="EM896" s="54"/>
      <c r="EN896" s="53">
        <f>35.13+26.45</f>
        <v>61.58</v>
      </c>
      <c r="EO896" s="55"/>
      <c r="EP896" s="55">
        <v>8.74</v>
      </c>
      <c r="EQ896" s="54">
        <v>0.24</v>
      </c>
      <c r="ER896" s="53"/>
      <c r="ES896" s="55"/>
      <c r="ET896" s="55">
        <v>-8.94</v>
      </c>
      <c r="EU896" s="55"/>
      <c r="EW896" s="53">
        <v>0.29499999999999998</v>
      </c>
      <c r="EX896" s="53"/>
      <c r="EY896" s="53">
        <v>-21.385000000000002</v>
      </c>
      <c r="EZ896" s="54">
        <v>-0.18</v>
      </c>
      <c r="FA896" s="53"/>
      <c r="FB896" s="55"/>
      <c r="FC896" s="55"/>
      <c r="FD896" s="55">
        <v>0.6</v>
      </c>
      <c r="FF896" s="53"/>
      <c r="FG896" s="55"/>
      <c r="FH896" s="359"/>
      <c r="FI896" s="53"/>
      <c r="FJ896" s="55"/>
      <c r="FK896" s="55"/>
      <c r="FL896" s="54"/>
      <c r="FM896" s="53"/>
      <c r="FN896" s="54"/>
      <c r="FQ896" s="53">
        <v>43.695</v>
      </c>
      <c r="FR896" s="55"/>
      <c r="FS896" s="55">
        <v>1.57</v>
      </c>
      <c r="FT896" s="54"/>
      <c r="FU896" s="53">
        <v>-43.695</v>
      </c>
      <c r="FV896" s="55"/>
      <c r="FW896" s="54"/>
      <c r="FX896" s="53"/>
      <c r="FY896" s="55"/>
      <c r="FZ896" s="54"/>
      <c r="GA896" s="53">
        <v>1.18</v>
      </c>
      <c r="GB896" s="55"/>
      <c r="GC896" s="55"/>
      <c r="GD896" s="54"/>
      <c r="GE896" s="53"/>
      <c r="GF896" s="54"/>
      <c r="GH896" s="55"/>
      <c r="GI896" s="53"/>
      <c r="GJ896" s="203"/>
      <c r="GK896" s="54">
        <v>-0.01</v>
      </c>
      <c r="GL896" s="53"/>
      <c r="GM896" s="54">
        <v>-22.9</v>
      </c>
      <c r="GO896" s="52">
        <v>-6.5000000000000002E-2</v>
      </c>
      <c r="GP896" s="53">
        <v>-0.15</v>
      </c>
      <c r="GQ896" s="54">
        <v>7.2859999999999996</v>
      </c>
      <c r="GS896" s="52">
        <v>-0.13</v>
      </c>
      <c r="GU896" s="52">
        <v>-0.31</v>
      </c>
      <c r="GV896" s="53">
        <v>-0.8</v>
      </c>
      <c r="GW896" s="54">
        <v>0.35</v>
      </c>
      <c r="GX896" s="55"/>
      <c r="GY896" s="53">
        <v>401.35</v>
      </c>
      <c r="GZ896" s="55">
        <v>24.125</v>
      </c>
      <c r="HA896" s="54"/>
      <c r="HB896" s="55"/>
      <c r="HC896" s="53"/>
      <c r="HD896" s="54">
        <v>-0.57999999999999996</v>
      </c>
      <c r="HE896" s="53">
        <v>-2.94</v>
      </c>
      <c r="HF896" s="359">
        <v>10.1</v>
      </c>
      <c r="HG896" s="53"/>
      <c r="HH896" s="55"/>
      <c r="HI896" s="54"/>
      <c r="HJ896" s="54"/>
      <c r="HK896" s="52">
        <v>32.119999999999997</v>
      </c>
      <c r="HL896" s="53">
        <v>512.5</v>
      </c>
      <c r="HM896" s="55">
        <v>0.95</v>
      </c>
      <c r="HN896" s="54"/>
      <c r="HO896" s="53">
        <v>-31.24</v>
      </c>
      <c r="HP896" s="359">
        <v>1.8</v>
      </c>
      <c r="HQ896" s="53">
        <v>8.1300000000000008</v>
      </c>
      <c r="HR896" s="359">
        <v>0.35</v>
      </c>
      <c r="HS896" s="52">
        <v>7.85</v>
      </c>
      <c r="HU896" s="53">
        <v>496.57</v>
      </c>
      <c r="HV896" s="359">
        <v>-17.850000000000001</v>
      </c>
      <c r="HW896" s="53">
        <v>-24.28</v>
      </c>
      <c r="HX896" s="54">
        <v>24.28</v>
      </c>
      <c r="HZ896" s="53"/>
      <c r="IA896" s="54"/>
      <c r="IB896" s="53">
        <v>-4.6500000000000004</v>
      </c>
      <c r="IC896" s="54"/>
      <c r="ID896" s="53">
        <v>-0.48</v>
      </c>
      <c r="IE896" s="54"/>
      <c r="IG896" s="52">
        <v>2</v>
      </c>
      <c r="IH896" s="53">
        <v>-36.159999999999997</v>
      </c>
      <c r="II896" s="53">
        <v>31.85</v>
      </c>
      <c r="IJ896" s="271"/>
      <c r="IM896" s="365"/>
      <c r="IN896" s="366"/>
      <c r="IO896" s="54"/>
      <c r="IV896" s="365"/>
    </row>
    <row r="897" spans="1:213" x14ac:dyDescent="0.25">
      <c r="A897" s="127">
        <v>44564</v>
      </c>
      <c r="B897" s="23" t="s">
        <v>17</v>
      </c>
      <c r="C897" s="21">
        <f t="shared" si="17"/>
        <v>-35.229999999999997</v>
      </c>
      <c r="EJ897" s="42">
        <v>-35.229999999999997</v>
      </c>
    </row>
    <row r="898" spans="1:213" x14ac:dyDescent="0.25">
      <c r="A898" s="127">
        <v>44564</v>
      </c>
      <c r="B898" s="23" t="s">
        <v>15</v>
      </c>
      <c r="C898" s="21">
        <f t="shared" si="17"/>
        <v>-111.03</v>
      </c>
      <c r="AU898" s="42">
        <v>-33.049999999999997</v>
      </c>
      <c r="CQ898" s="42">
        <v>-34.659999999999997</v>
      </c>
      <c r="CW898" s="42">
        <v>-34.74</v>
      </c>
      <c r="DC898" s="42">
        <v>-8.58</v>
      </c>
    </row>
    <row r="899" spans="1:213" x14ac:dyDescent="0.25">
      <c r="A899" s="127">
        <v>44564</v>
      </c>
      <c r="B899" s="23" t="s">
        <v>100</v>
      </c>
      <c r="C899" s="21">
        <f t="shared" si="17"/>
        <v>0</v>
      </c>
    </row>
    <row r="900" spans="1:213" x14ac:dyDescent="0.25">
      <c r="A900" s="127">
        <v>44564</v>
      </c>
      <c r="B900" s="23" t="s">
        <v>37</v>
      </c>
      <c r="C900" s="21">
        <f t="shared" si="17"/>
        <v>-30.92</v>
      </c>
      <c r="HE900" s="42">
        <v>-30.92</v>
      </c>
    </row>
    <row r="901" spans="1:213" x14ac:dyDescent="0.25">
      <c r="A901" s="127">
        <v>44564</v>
      </c>
      <c r="B901" s="23" t="s">
        <v>32</v>
      </c>
      <c r="C901" s="21">
        <f t="shared" si="17"/>
        <v>-101.76</v>
      </c>
      <c r="AU901" s="42">
        <v>-34.65</v>
      </c>
      <c r="BA901" s="42">
        <v>-33.92</v>
      </c>
      <c r="CE901" s="42">
        <v>-33.19</v>
      </c>
    </row>
    <row r="902" spans="1:213" x14ac:dyDescent="0.25">
      <c r="A902" s="127">
        <v>44564</v>
      </c>
      <c r="B902" s="23" t="s">
        <v>80</v>
      </c>
      <c r="C902" s="21">
        <f t="shared" si="17"/>
        <v>-105.67</v>
      </c>
      <c r="AL902" s="42">
        <v>-70.989999999999995</v>
      </c>
      <c r="AU902" s="42">
        <v>-34.68</v>
      </c>
    </row>
    <row r="903" spans="1:213" x14ac:dyDescent="0.25">
      <c r="A903" s="127">
        <v>44565</v>
      </c>
      <c r="B903" s="23" t="s">
        <v>59</v>
      </c>
      <c r="C903" s="21">
        <f t="shared" si="17"/>
        <v>-8</v>
      </c>
      <c r="CT903" s="121">
        <v>-8</v>
      </c>
    </row>
    <row r="904" spans="1:213" x14ac:dyDescent="0.25">
      <c r="A904" s="127">
        <v>44565</v>
      </c>
      <c r="B904" s="23" t="s">
        <v>37</v>
      </c>
      <c r="C904" s="21">
        <f t="shared" ref="C904:C967" si="18">SUM(I904:JT904)</f>
        <v>-30.71</v>
      </c>
      <c r="HE904" s="42">
        <v>-30.71</v>
      </c>
    </row>
    <row r="905" spans="1:213" x14ac:dyDescent="0.25">
      <c r="A905" s="127">
        <v>44565</v>
      </c>
      <c r="B905" s="23" t="s">
        <v>78</v>
      </c>
      <c r="C905" s="21">
        <f t="shared" si="18"/>
        <v>-52.62</v>
      </c>
      <c r="DC905" s="42">
        <v>-25.3</v>
      </c>
      <c r="DI905" s="42">
        <v>-27.32</v>
      </c>
    </row>
    <row r="906" spans="1:213" x14ac:dyDescent="0.25">
      <c r="A906" s="127">
        <v>44566</v>
      </c>
      <c r="B906" s="23" t="s">
        <v>15</v>
      </c>
      <c r="C906" s="21">
        <f t="shared" si="18"/>
        <v>-94.234999999999999</v>
      </c>
      <c r="BY906" s="42">
        <v>-17.34</v>
      </c>
      <c r="EW906" s="88">
        <v>-33.484999999999999</v>
      </c>
      <c r="EY906" s="88">
        <v>-43.41</v>
      </c>
    </row>
    <row r="907" spans="1:213" x14ac:dyDescent="0.25">
      <c r="A907" s="127">
        <v>44566</v>
      </c>
      <c r="B907" s="23" t="s">
        <v>32</v>
      </c>
      <c r="C907" s="21">
        <f t="shared" si="18"/>
        <v>-33.03</v>
      </c>
      <c r="AE907" s="42">
        <v>-16.260000000000002</v>
      </c>
      <c r="CQ907" s="42">
        <v>-16.77</v>
      </c>
    </row>
    <row r="908" spans="1:213" x14ac:dyDescent="0.25">
      <c r="A908" s="127">
        <v>44566</v>
      </c>
      <c r="B908" s="23" t="s">
        <v>84</v>
      </c>
      <c r="C908" s="21">
        <f t="shared" si="18"/>
        <v>-8.17</v>
      </c>
      <c r="AE908" s="42">
        <v>-8.17</v>
      </c>
    </row>
    <row r="909" spans="1:213" x14ac:dyDescent="0.25">
      <c r="A909" s="127">
        <v>44566</v>
      </c>
      <c r="B909" s="23" t="s">
        <v>27</v>
      </c>
      <c r="C909" s="21">
        <f t="shared" si="18"/>
        <v>-25.75</v>
      </c>
      <c r="BF909" s="182">
        <v>-8.8699999999999992</v>
      </c>
      <c r="BS909" s="42">
        <v>-8.49</v>
      </c>
      <c r="CP909" s="182">
        <v>-8.39</v>
      </c>
    </row>
    <row r="910" spans="1:213" x14ac:dyDescent="0.25">
      <c r="A910" s="127">
        <v>44566</v>
      </c>
      <c r="B910" s="23" t="s">
        <v>79</v>
      </c>
      <c r="C910" s="21">
        <f t="shared" si="18"/>
        <v>-25.03</v>
      </c>
      <c r="AE910" s="42">
        <v>-8.17</v>
      </c>
      <c r="BA910" s="42">
        <v>-16.86</v>
      </c>
    </row>
    <row r="911" spans="1:213" x14ac:dyDescent="0.25">
      <c r="A911" s="127">
        <v>44566</v>
      </c>
      <c r="B911" s="23" t="s">
        <v>75</v>
      </c>
      <c r="C911" s="21">
        <f t="shared" si="18"/>
        <v>-16.875</v>
      </c>
      <c r="AM911" s="69">
        <v>-8.48</v>
      </c>
      <c r="BH911" s="69">
        <v>-8.3949999999999996</v>
      </c>
    </row>
    <row r="912" spans="1:213" x14ac:dyDescent="0.25">
      <c r="A912" s="127">
        <v>44566</v>
      </c>
      <c r="B912" s="23" t="s">
        <v>20</v>
      </c>
      <c r="C912" s="21">
        <f t="shared" si="18"/>
        <v>-48.954999999999998</v>
      </c>
      <c r="O912" s="375">
        <v>-8.4949999999999992</v>
      </c>
      <c r="AT912" s="46">
        <v>-7.83</v>
      </c>
      <c r="BA912" s="42">
        <v>-8.43</v>
      </c>
      <c r="BR912" s="182">
        <v>-7.6</v>
      </c>
      <c r="BS912" s="42">
        <v>-7.82</v>
      </c>
      <c r="BY912" s="42">
        <v>-8.7799999999999994</v>
      </c>
    </row>
    <row r="913" spans="1:231" x14ac:dyDescent="0.25">
      <c r="A913" s="127">
        <v>44566</v>
      </c>
      <c r="B913" s="23" t="s">
        <v>40</v>
      </c>
      <c r="C913" s="21">
        <f t="shared" si="18"/>
        <v>-464.02</v>
      </c>
      <c r="HL913" s="42">
        <v>-232.17</v>
      </c>
      <c r="HU913" s="42">
        <v>-231.85</v>
      </c>
    </row>
    <row r="914" spans="1:231" x14ac:dyDescent="0.25">
      <c r="A914" s="127">
        <v>44567</v>
      </c>
      <c r="B914" s="23" t="s">
        <v>15</v>
      </c>
      <c r="C914" s="21">
        <f t="shared" si="18"/>
        <v>-108.41</v>
      </c>
      <c r="EY914" s="88">
        <v>-108.41</v>
      </c>
    </row>
    <row r="915" spans="1:231" x14ac:dyDescent="0.25">
      <c r="A915" s="127">
        <v>44567</v>
      </c>
      <c r="B915" s="23" t="s">
        <v>19</v>
      </c>
      <c r="C915" s="21">
        <f t="shared" si="18"/>
        <v>-293.27</v>
      </c>
      <c r="HL915" s="42">
        <v>-100.88</v>
      </c>
      <c r="HS915" s="38">
        <v>-96.06</v>
      </c>
      <c r="HU915" s="42">
        <v>-66.25</v>
      </c>
      <c r="HW915" s="42">
        <v>-30.08</v>
      </c>
    </row>
    <row r="916" spans="1:231" x14ac:dyDescent="0.25">
      <c r="A916" s="127">
        <v>44567</v>
      </c>
      <c r="B916" s="23" t="s">
        <v>44</v>
      </c>
      <c r="C916" s="21">
        <f t="shared" si="18"/>
        <v>-180.4</v>
      </c>
      <c r="GP916" s="42">
        <v>-180.4</v>
      </c>
    </row>
    <row r="917" spans="1:231" x14ac:dyDescent="0.25">
      <c r="A917" s="127">
        <v>44567</v>
      </c>
      <c r="B917" s="23" t="s">
        <v>12</v>
      </c>
      <c r="C917" s="21">
        <f t="shared" si="18"/>
        <v>-128.17500000000001</v>
      </c>
      <c r="FQ917" s="42">
        <v>-64.05</v>
      </c>
      <c r="FX917" s="34">
        <v>-64.125</v>
      </c>
    </row>
    <row r="918" spans="1:231" x14ac:dyDescent="0.25">
      <c r="A918" s="127">
        <v>44567</v>
      </c>
      <c r="B918" s="23" t="s">
        <v>88</v>
      </c>
      <c r="C918" s="21">
        <f t="shared" si="18"/>
        <v>-209.49</v>
      </c>
      <c r="DN918" s="42">
        <v>-85.31</v>
      </c>
      <c r="EW918" s="88">
        <v>-82.99</v>
      </c>
      <c r="HL918" s="42">
        <v>-41.19</v>
      </c>
    </row>
    <row r="919" spans="1:231" x14ac:dyDescent="0.25">
      <c r="A919" s="127">
        <v>44567</v>
      </c>
      <c r="B919" s="23" t="s">
        <v>15</v>
      </c>
      <c r="C919" s="21">
        <f t="shared" si="18"/>
        <v>-67.989999999999995</v>
      </c>
      <c r="BA919" s="42">
        <v>-33.28</v>
      </c>
      <c r="CW919" s="42">
        <v>-34.71</v>
      </c>
    </row>
    <row r="920" spans="1:231" x14ac:dyDescent="0.25">
      <c r="A920" s="127">
        <v>44567</v>
      </c>
      <c r="B920" s="23" t="s">
        <v>15</v>
      </c>
      <c r="C920" s="21">
        <f t="shared" si="18"/>
        <v>-34.72</v>
      </c>
      <c r="CW920" s="42">
        <v>-34.72</v>
      </c>
    </row>
    <row r="921" spans="1:231" x14ac:dyDescent="0.25">
      <c r="A921" s="127">
        <v>44567</v>
      </c>
      <c r="B921" s="23" t="s">
        <v>19</v>
      </c>
      <c r="C921" s="21">
        <f t="shared" si="18"/>
        <v>94.77</v>
      </c>
      <c r="BJ921" s="121">
        <v>31.88</v>
      </c>
      <c r="BR921" s="182">
        <v>33.36</v>
      </c>
      <c r="BV921" s="121">
        <v>29.53</v>
      </c>
    </row>
    <row r="922" spans="1:231" x14ac:dyDescent="0.25">
      <c r="A922" s="127">
        <v>44567</v>
      </c>
      <c r="B922" s="23" t="s">
        <v>2</v>
      </c>
      <c r="C922" s="21">
        <f t="shared" si="18"/>
        <v>0</v>
      </c>
    </row>
    <row r="923" spans="1:231" x14ac:dyDescent="0.25">
      <c r="A923" s="127">
        <v>44568</v>
      </c>
      <c r="B923" s="23" t="s">
        <v>23</v>
      </c>
      <c r="C923" s="21">
        <f t="shared" si="18"/>
        <v>0</v>
      </c>
    </row>
    <row r="924" spans="1:231" x14ac:dyDescent="0.25">
      <c r="A924" s="127">
        <v>44568</v>
      </c>
      <c r="B924" s="23" t="s">
        <v>79</v>
      </c>
      <c r="C924" s="21">
        <f t="shared" si="18"/>
        <v>-32.380000000000003</v>
      </c>
      <c r="BJ924" s="121">
        <v>-15.76</v>
      </c>
      <c r="BR924" s="182">
        <v>-16.62</v>
      </c>
    </row>
    <row r="925" spans="1:231" x14ac:dyDescent="0.25">
      <c r="A925" s="127">
        <v>44568</v>
      </c>
      <c r="B925" s="23" t="s">
        <v>27</v>
      </c>
      <c r="C925" s="21">
        <f t="shared" si="18"/>
        <v>-16.13</v>
      </c>
      <c r="BJ925" s="121">
        <v>-8.16</v>
      </c>
      <c r="BR925" s="182">
        <v>-7.97</v>
      </c>
    </row>
    <row r="926" spans="1:231" x14ac:dyDescent="0.25">
      <c r="A926" s="127">
        <v>44568</v>
      </c>
      <c r="B926" s="23" t="s">
        <v>20</v>
      </c>
      <c r="C926" s="21">
        <f t="shared" si="18"/>
        <v>-16.73</v>
      </c>
      <c r="BJ926" s="121">
        <v>-7.96</v>
      </c>
      <c r="BR926" s="182">
        <v>-8.77</v>
      </c>
    </row>
    <row r="927" spans="1:231" x14ac:dyDescent="0.25">
      <c r="A927" s="127">
        <v>44568</v>
      </c>
      <c r="B927" s="23" t="s">
        <v>26</v>
      </c>
      <c r="C927" s="21">
        <f t="shared" si="18"/>
        <v>-25.07</v>
      </c>
      <c r="AA927" s="42">
        <v>-8.35</v>
      </c>
      <c r="BA927" s="42">
        <v>-8.48</v>
      </c>
      <c r="BY927" s="42">
        <v>-8.24</v>
      </c>
    </row>
    <row r="928" spans="1:231" x14ac:dyDescent="0.25">
      <c r="A928" s="127">
        <v>44569</v>
      </c>
      <c r="B928" s="23" t="s">
        <v>37</v>
      </c>
      <c r="C928" s="21">
        <f t="shared" si="18"/>
        <v>-64.680000000000007</v>
      </c>
      <c r="HQ928" s="42">
        <v>-64.680000000000007</v>
      </c>
    </row>
    <row r="929" spans="1:225" x14ac:dyDescent="0.25">
      <c r="A929" s="127">
        <v>44569</v>
      </c>
      <c r="B929" s="23" t="s">
        <v>57</v>
      </c>
      <c r="C929" s="21">
        <f t="shared" si="18"/>
        <v>-7.82</v>
      </c>
      <c r="AE929" s="42">
        <v>-7.82</v>
      </c>
    </row>
    <row r="930" spans="1:225" x14ac:dyDescent="0.25">
      <c r="A930" s="127">
        <v>44571</v>
      </c>
      <c r="B930" s="23" t="s">
        <v>80</v>
      </c>
      <c r="C930" s="21">
        <f t="shared" si="18"/>
        <v>-8.5299999999999994</v>
      </c>
      <c r="BS930" s="42">
        <v>-8.5299999999999994</v>
      </c>
    </row>
    <row r="931" spans="1:225" x14ac:dyDescent="0.25">
      <c r="A931" s="127">
        <v>44571</v>
      </c>
      <c r="B931" s="23" t="s">
        <v>101</v>
      </c>
      <c r="C931" s="21">
        <f t="shared" si="18"/>
        <v>-9.25</v>
      </c>
      <c r="GP931" s="42">
        <v>-9.25</v>
      </c>
    </row>
    <row r="932" spans="1:225" x14ac:dyDescent="0.25">
      <c r="A932" s="127">
        <v>44571</v>
      </c>
      <c r="B932" s="23" t="s">
        <v>15</v>
      </c>
      <c r="C932" s="21">
        <f t="shared" si="18"/>
        <v>-44.395000000000003</v>
      </c>
      <c r="FJ932" s="69">
        <v>-44.395000000000003</v>
      </c>
    </row>
    <row r="933" spans="1:225" x14ac:dyDescent="0.25">
      <c r="A933" s="127">
        <v>44571</v>
      </c>
      <c r="B933" s="23" t="s">
        <v>25</v>
      </c>
      <c r="C933" s="21">
        <f t="shared" si="18"/>
        <v>-23.69</v>
      </c>
      <c r="BV933" s="121">
        <v>-15.48</v>
      </c>
      <c r="BY933" s="42">
        <v>-8.2100000000000009</v>
      </c>
    </row>
    <row r="934" spans="1:225" x14ac:dyDescent="0.25">
      <c r="A934" s="127">
        <v>44572</v>
      </c>
      <c r="B934" s="23" t="s">
        <v>2</v>
      </c>
      <c r="C934" s="21">
        <f t="shared" si="18"/>
        <v>3697.85</v>
      </c>
      <c r="AL934" s="42">
        <v>208.42</v>
      </c>
      <c r="AP934" s="42">
        <v>244.75</v>
      </c>
      <c r="AU934" s="42">
        <v>240.61</v>
      </c>
      <c r="BG934" s="42">
        <v>404.08</v>
      </c>
      <c r="BM934" s="88">
        <v>404.84</v>
      </c>
      <c r="BS934" s="42">
        <v>311.12</v>
      </c>
      <c r="BY934" s="42">
        <v>311.83</v>
      </c>
      <c r="CE934" s="42">
        <v>309.99</v>
      </c>
      <c r="CK934" s="42">
        <v>306.49</v>
      </c>
      <c r="CQ934" s="42">
        <v>207.89</v>
      </c>
      <c r="CW934" s="42">
        <v>275.87</v>
      </c>
      <c r="DS934" s="42">
        <v>280.14</v>
      </c>
      <c r="EE934" s="42">
        <v>191.82</v>
      </c>
    </row>
    <row r="935" spans="1:225" x14ac:dyDescent="0.25">
      <c r="A935" s="127">
        <v>44572</v>
      </c>
      <c r="B935" s="23" t="s">
        <v>57</v>
      </c>
      <c r="C935" s="21">
        <f t="shared" si="18"/>
        <v>-34.29</v>
      </c>
      <c r="CE935" s="42">
        <v>-8.75</v>
      </c>
      <c r="CK935" s="42">
        <v>-8.43</v>
      </c>
      <c r="CQ935" s="42">
        <v>-17.11</v>
      </c>
    </row>
    <row r="936" spans="1:225" x14ac:dyDescent="0.25">
      <c r="A936" s="127">
        <v>44572</v>
      </c>
      <c r="B936" s="23" t="s">
        <v>37</v>
      </c>
      <c r="C936" s="21">
        <f t="shared" si="18"/>
        <v>-72.73</v>
      </c>
      <c r="HQ936" s="42">
        <v>-72.73</v>
      </c>
    </row>
    <row r="937" spans="1:225" x14ac:dyDescent="0.25">
      <c r="A937" s="127">
        <v>44572</v>
      </c>
      <c r="B937" s="23" t="s">
        <v>78</v>
      </c>
      <c r="C937" s="21">
        <f t="shared" si="18"/>
        <v>-34.33</v>
      </c>
      <c r="AU937" s="42">
        <v>-8.86</v>
      </c>
      <c r="BG937" s="42">
        <v>-8.42</v>
      </c>
      <c r="BM937" s="88">
        <v>-8.43</v>
      </c>
      <c r="BS937" s="42">
        <v>-8.6199999999999992</v>
      </c>
    </row>
    <row r="938" spans="1:225" x14ac:dyDescent="0.25">
      <c r="A938" s="127">
        <v>44573</v>
      </c>
      <c r="B938" s="23" t="s">
        <v>78</v>
      </c>
      <c r="C938" s="21">
        <f t="shared" si="18"/>
        <v>-307.69</v>
      </c>
      <c r="AU938" s="42">
        <v>-17.239999999999998</v>
      </c>
      <c r="BA938" s="42">
        <v>-16.89</v>
      </c>
      <c r="BG938" s="42">
        <v>-25.24</v>
      </c>
      <c r="BM938" s="88">
        <v>-25.15</v>
      </c>
      <c r="BS938" s="42">
        <v>-8.64</v>
      </c>
      <c r="BY938" s="42">
        <v>-17.399999999999999</v>
      </c>
      <c r="CE938" s="42">
        <v>-49.85</v>
      </c>
      <c r="CK938" s="42">
        <v>-17.3</v>
      </c>
      <c r="CQ938" s="42">
        <v>-77.38</v>
      </c>
      <c r="CW938" s="42">
        <v>-17.37</v>
      </c>
      <c r="DC938" s="42">
        <v>-8.49</v>
      </c>
      <c r="DI938" s="42">
        <v>-26.74</v>
      </c>
    </row>
    <row r="939" spans="1:225" x14ac:dyDescent="0.25">
      <c r="A939" s="127">
        <v>44573</v>
      </c>
      <c r="B939" s="23" t="s">
        <v>75</v>
      </c>
      <c r="C939" s="21">
        <f t="shared" si="18"/>
        <v>-51.87</v>
      </c>
      <c r="AP939" s="42">
        <v>-8.7799999999999994</v>
      </c>
      <c r="AU939" s="42">
        <v>-8.65</v>
      </c>
      <c r="BA939" s="42">
        <v>-8.4499999999999993</v>
      </c>
      <c r="BG939" s="42">
        <v>-8.41</v>
      </c>
      <c r="BS939" s="42">
        <v>-8.7799999999999994</v>
      </c>
      <c r="CE939" s="42">
        <v>-8.8000000000000007</v>
      </c>
    </row>
    <row r="940" spans="1:225" x14ac:dyDescent="0.25">
      <c r="A940" s="127">
        <v>44573</v>
      </c>
      <c r="B940" s="23" t="s">
        <v>28</v>
      </c>
      <c r="C940" s="21">
        <f t="shared" si="18"/>
        <v>-17.2</v>
      </c>
      <c r="BS940" s="42">
        <v>-17.2</v>
      </c>
    </row>
    <row r="941" spans="1:225" x14ac:dyDescent="0.25">
      <c r="A941" s="127">
        <v>44573</v>
      </c>
      <c r="B941" s="23" t="s">
        <v>27</v>
      </c>
      <c r="C941" s="21">
        <f t="shared" si="18"/>
        <v>-17.079999999999998</v>
      </c>
      <c r="AU941" s="42">
        <v>-8.59</v>
      </c>
      <c r="BG941" s="42">
        <v>-8.49</v>
      </c>
    </row>
    <row r="942" spans="1:225" x14ac:dyDescent="0.25">
      <c r="A942" s="127">
        <v>44573</v>
      </c>
      <c r="B942" s="23" t="s">
        <v>25</v>
      </c>
      <c r="C942" s="21">
        <f t="shared" si="18"/>
        <v>-51.42</v>
      </c>
      <c r="BG942" s="42">
        <v>-8.42</v>
      </c>
      <c r="BM942" s="88">
        <v>-8.43</v>
      </c>
      <c r="BY942" s="42">
        <v>-8.6999999999999993</v>
      </c>
      <c r="CE942" s="42">
        <v>-17.45</v>
      </c>
      <c r="CK942" s="42">
        <v>-8.42</v>
      </c>
    </row>
    <row r="943" spans="1:225" x14ac:dyDescent="0.25">
      <c r="A943" s="127">
        <v>44573</v>
      </c>
      <c r="B943" s="23" t="s">
        <v>45</v>
      </c>
      <c r="C943" s="21">
        <f t="shared" si="18"/>
        <v>-16.77</v>
      </c>
      <c r="BG943" s="42">
        <v>-16.77</v>
      </c>
    </row>
    <row r="944" spans="1:225" x14ac:dyDescent="0.25">
      <c r="A944" s="127">
        <v>44573</v>
      </c>
      <c r="B944" s="23" t="s">
        <v>84</v>
      </c>
      <c r="C944" s="21">
        <f t="shared" si="18"/>
        <v>-21.46</v>
      </c>
      <c r="FF944" s="88">
        <v>-21.46</v>
      </c>
    </row>
    <row r="945" spans="1:220" x14ac:dyDescent="0.25">
      <c r="A945" s="127">
        <v>44573</v>
      </c>
      <c r="B945" s="23" t="s">
        <v>20</v>
      </c>
      <c r="C945" s="21">
        <f t="shared" si="18"/>
        <v>-94.65</v>
      </c>
      <c r="BY945" s="42">
        <v>-8.6999999999999993</v>
      </c>
      <c r="CE945" s="42">
        <v>-8.73</v>
      </c>
      <c r="CK945" s="42">
        <v>-8.42</v>
      </c>
      <c r="GY945" s="42">
        <v>-68.8</v>
      </c>
    </row>
    <row r="946" spans="1:220" x14ac:dyDescent="0.25">
      <c r="A946" s="127">
        <v>44573</v>
      </c>
      <c r="B946" s="23" t="s">
        <v>68</v>
      </c>
      <c r="C946" s="21">
        <f t="shared" si="18"/>
        <v>-272.83999999999997</v>
      </c>
      <c r="AL946" s="42">
        <v>-34.97</v>
      </c>
      <c r="BA946" s="42">
        <v>-33.81</v>
      </c>
      <c r="BG946" s="42">
        <v>-33.590000000000003</v>
      </c>
      <c r="BM946" s="88">
        <v>-33.53</v>
      </c>
      <c r="BS946" s="42">
        <v>-34.299999999999997</v>
      </c>
      <c r="BY946" s="42">
        <v>-33.71</v>
      </c>
      <c r="CE946" s="42">
        <v>-35</v>
      </c>
      <c r="CK946" s="42">
        <v>-33.93</v>
      </c>
    </row>
    <row r="947" spans="1:220" x14ac:dyDescent="0.25">
      <c r="A947" s="127">
        <v>44574</v>
      </c>
      <c r="B947" s="23" t="s">
        <v>12</v>
      </c>
      <c r="C947" s="21">
        <f t="shared" si="18"/>
        <v>-247.74</v>
      </c>
      <c r="AP947" s="42">
        <v>-35.15</v>
      </c>
      <c r="BA947" s="42">
        <v>-33.6</v>
      </c>
      <c r="BG947" s="42">
        <v>-67.34</v>
      </c>
      <c r="BS947" s="42">
        <v>-34.17</v>
      </c>
      <c r="BY947" s="42">
        <v>-35.26</v>
      </c>
      <c r="DI947" s="42">
        <v>-16.86</v>
      </c>
      <c r="DS947" s="42">
        <v>-17.16</v>
      </c>
      <c r="EW947" s="88">
        <v>-8.1999999999999993</v>
      </c>
    </row>
    <row r="948" spans="1:220" x14ac:dyDescent="0.25">
      <c r="A948" s="127">
        <v>44574</v>
      </c>
      <c r="B948" s="23" t="s">
        <v>13</v>
      </c>
      <c r="C948" s="21">
        <f t="shared" si="18"/>
        <v>-248.66</v>
      </c>
      <c r="X948" s="42">
        <v>-8.7200000000000006</v>
      </c>
      <c r="AE948" s="42">
        <v>-32.54</v>
      </c>
      <c r="BS948" s="42">
        <v>-34.71</v>
      </c>
      <c r="CQ948" s="42">
        <v>-34.57</v>
      </c>
      <c r="CW948" s="42">
        <v>-34.75</v>
      </c>
      <c r="DI948" s="42">
        <v>-35.1</v>
      </c>
      <c r="DS948" s="42">
        <v>-35.36</v>
      </c>
      <c r="DY948" s="42">
        <v>-32.909999999999997</v>
      </c>
    </row>
    <row r="949" spans="1:220" x14ac:dyDescent="0.25">
      <c r="A949" s="127">
        <v>44574</v>
      </c>
      <c r="B949" s="23" t="s">
        <v>80</v>
      </c>
      <c r="C949" s="21">
        <f t="shared" si="18"/>
        <v>-8.8699999999999992</v>
      </c>
      <c r="AP949" s="42">
        <v>-8.8699999999999992</v>
      </c>
    </row>
    <row r="950" spans="1:220" x14ac:dyDescent="0.25">
      <c r="A950" s="127">
        <v>44574</v>
      </c>
      <c r="B950" s="23" t="s">
        <v>78</v>
      </c>
      <c r="C950" s="21">
        <f t="shared" si="18"/>
        <v>-126.43</v>
      </c>
      <c r="AE950" s="42">
        <f>-7.87-7.71</f>
        <v>-15.58</v>
      </c>
      <c r="BA950" s="42">
        <v>-16.920000000000002</v>
      </c>
      <c r="BG950" s="42">
        <v>-16.84</v>
      </c>
      <c r="BM950" s="88">
        <v>-25.15</v>
      </c>
      <c r="BS950" s="42">
        <v>-26.11</v>
      </c>
      <c r="CE950" s="42">
        <v>-8.73</v>
      </c>
      <c r="CK950" s="42">
        <v>-8.4</v>
      </c>
      <c r="CW950" s="42">
        <v>-8.6999999999999993</v>
      </c>
    </row>
    <row r="951" spans="1:220" x14ac:dyDescent="0.25">
      <c r="A951" s="127">
        <v>44574</v>
      </c>
      <c r="B951" s="23" t="s">
        <v>78</v>
      </c>
      <c r="C951" s="21">
        <f t="shared" si="18"/>
        <v>-136.44</v>
      </c>
      <c r="AU951" s="42">
        <v>-34.46</v>
      </c>
      <c r="BA951" s="42">
        <v>-33.56</v>
      </c>
      <c r="BM951" s="88">
        <v>-33.58</v>
      </c>
      <c r="BS951" s="42">
        <v>-34.840000000000003</v>
      </c>
    </row>
    <row r="952" spans="1:220" x14ac:dyDescent="0.25">
      <c r="A952" s="127">
        <v>44574</v>
      </c>
      <c r="B952" s="23" t="s">
        <v>32</v>
      </c>
      <c r="C952" s="21">
        <f t="shared" si="18"/>
        <v>-204.98</v>
      </c>
      <c r="AU952" s="42">
        <v>-34.29</v>
      </c>
      <c r="BA952" s="42">
        <v>-33.81</v>
      </c>
      <c r="BG952" s="42">
        <v>-33.65</v>
      </c>
      <c r="BM952" s="88">
        <v>-33.619999999999997</v>
      </c>
      <c r="BS952" s="42">
        <v>-34.83</v>
      </c>
      <c r="BY952" s="42">
        <v>-34.78</v>
      </c>
    </row>
    <row r="953" spans="1:220" x14ac:dyDescent="0.25">
      <c r="A953" s="127">
        <v>44574</v>
      </c>
      <c r="B953" s="23" t="s">
        <v>32</v>
      </c>
      <c r="C953" s="21">
        <f t="shared" si="18"/>
        <v>-77.31</v>
      </c>
      <c r="T953" s="42">
        <v>-7.85</v>
      </c>
      <c r="CK953" s="42">
        <v>-34.68</v>
      </c>
      <c r="CQ953" s="42">
        <v>-34.78</v>
      </c>
    </row>
    <row r="954" spans="1:220" x14ac:dyDescent="0.25">
      <c r="A954" s="127">
        <v>44574</v>
      </c>
      <c r="B954" s="23" t="s">
        <v>78</v>
      </c>
      <c r="C954" s="21">
        <f t="shared" si="18"/>
        <v>-17.16</v>
      </c>
      <c r="CK954" s="42">
        <v>-8.42</v>
      </c>
      <c r="CQ954" s="42">
        <v>-8.74</v>
      </c>
    </row>
    <row r="955" spans="1:220" x14ac:dyDescent="0.25">
      <c r="A955" s="127">
        <v>44574</v>
      </c>
      <c r="B955" s="23" t="s">
        <v>38</v>
      </c>
      <c r="C955" s="21">
        <f t="shared" si="18"/>
        <v>-952.08</v>
      </c>
      <c r="BA955" s="42">
        <v>-33.65</v>
      </c>
      <c r="BM955" s="88">
        <v>-34.549999999999997</v>
      </c>
      <c r="BY955" s="42">
        <v>-34.04</v>
      </c>
      <c r="CE955" s="42">
        <v>-175.01</v>
      </c>
      <c r="CK955" s="42">
        <v>-101.49</v>
      </c>
      <c r="DN955" s="42">
        <v>-169.4</v>
      </c>
      <c r="DS955" s="42">
        <v>-139.81</v>
      </c>
      <c r="DY955" s="42">
        <v>-264.13</v>
      </c>
    </row>
    <row r="956" spans="1:220" x14ac:dyDescent="0.25">
      <c r="A956" s="127">
        <v>44574</v>
      </c>
      <c r="B956" s="23" t="s">
        <v>44</v>
      </c>
      <c r="C956" s="21">
        <f t="shared" si="18"/>
        <v>-72</v>
      </c>
      <c r="GP956" s="42">
        <v>-72</v>
      </c>
    </row>
    <row r="957" spans="1:220" x14ac:dyDescent="0.25">
      <c r="A957" s="131">
        <v>44575</v>
      </c>
      <c r="B957" s="23" t="s">
        <v>37</v>
      </c>
      <c r="C957" s="21">
        <f t="shared" si="18"/>
        <v>-32.64</v>
      </c>
      <c r="HL957" s="42">
        <v>-32.64</v>
      </c>
    </row>
    <row r="958" spans="1:220" x14ac:dyDescent="0.25">
      <c r="A958" s="127">
        <v>44575</v>
      </c>
      <c r="B958" s="23" t="s">
        <v>12</v>
      </c>
      <c r="C958" s="21">
        <f t="shared" si="18"/>
        <v>-35.1</v>
      </c>
      <c r="CK958" s="42">
        <v>-35.1</v>
      </c>
    </row>
    <row r="959" spans="1:220" x14ac:dyDescent="0.25">
      <c r="A959" s="127">
        <v>44575</v>
      </c>
      <c r="B959" s="23" t="s">
        <v>89</v>
      </c>
      <c r="C959" s="21">
        <f t="shared" si="18"/>
        <v>-337.68</v>
      </c>
      <c r="DY959" s="42">
        <v>-171.13</v>
      </c>
      <c r="EE959" s="42">
        <v>-166.55</v>
      </c>
    </row>
    <row r="960" spans="1:220" x14ac:dyDescent="0.25">
      <c r="A960" s="127">
        <v>44576</v>
      </c>
      <c r="B960" s="23" t="s">
        <v>78</v>
      </c>
      <c r="C960" s="21">
        <f t="shared" si="18"/>
        <v>-219.92</v>
      </c>
      <c r="X960" s="42">
        <v>-8.33</v>
      </c>
      <c r="AA960" s="42">
        <v>-8.4499999999999993</v>
      </c>
      <c r="AE960" s="42">
        <v>-15.93</v>
      </c>
      <c r="AP960" s="42">
        <v>-8.81</v>
      </c>
      <c r="BA960" s="42">
        <v>-16.93</v>
      </c>
      <c r="BG960" s="42">
        <v>-33.74</v>
      </c>
      <c r="BM960" s="88">
        <v>-8.35</v>
      </c>
      <c r="BS960" s="42">
        <v>-26.01</v>
      </c>
      <c r="BY960" s="42">
        <v>-16.62</v>
      </c>
      <c r="CE960" s="42">
        <v>-17.34</v>
      </c>
      <c r="CK960" s="42">
        <v>-16.88</v>
      </c>
      <c r="CQ960" s="42">
        <v>-17.010000000000002</v>
      </c>
      <c r="CW960" s="42">
        <v>-17.18</v>
      </c>
      <c r="DC960" s="42">
        <v>-8.34</v>
      </c>
    </row>
    <row r="961" spans="1:231" x14ac:dyDescent="0.25">
      <c r="A961" s="127">
        <v>44576</v>
      </c>
      <c r="B961" s="23" t="s">
        <v>38</v>
      </c>
      <c r="C961" s="21">
        <f t="shared" si="18"/>
        <v>-69.14</v>
      </c>
      <c r="CE961" s="42">
        <v>-34.869999999999997</v>
      </c>
      <c r="DI961" s="42">
        <v>-34.270000000000003</v>
      </c>
    </row>
    <row r="962" spans="1:231" x14ac:dyDescent="0.25">
      <c r="A962" s="127">
        <v>44578</v>
      </c>
      <c r="B962" s="23" t="s">
        <v>37</v>
      </c>
      <c r="C962" s="21">
        <f t="shared" si="18"/>
        <v>-150.44999999999999</v>
      </c>
      <c r="HL962" s="42">
        <v>-150.44999999999999</v>
      </c>
    </row>
    <row r="963" spans="1:231" x14ac:dyDescent="0.25">
      <c r="A963" s="127">
        <v>44579</v>
      </c>
      <c r="B963" s="23" t="s">
        <v>15</v>
      </c>
      <c r="C963" s="21">
        <f t="shared" si="18"/>
        <v>-21.164999999999999</v>
      </c>
      <c r="FF963" s="88">
        <v>-21.164999999999999</v>
      </c>
    </row>
    <row r="964" spans="1:231" x14ac:dyDescent="0.25">
      <c r="A964" s="127">
        <v>44578</v>
      </c>
      <c r="B964" s="23" t="s">
        <v>59</v>
      </c>
      <c r="C964" s="21">
        <f t="shared" si="18"/>
        <v>-8.5</v>
      </c>
      <c r="CK964" s="42">
        <v>-8.5</v>
      </c>
    </row>
    <row r="965" spans="1:231" x14ac:dyDescent="0.25">
      <c r="A965" s="127">
        <v>44579</v>
      </c>
      <c r="B965" s="23" t="s">
        <v>15</v>
      </c>
      <c r="C965" s="21">
        <f t="shared" si="18"/>
        <v>-21.45</v>
      </c>
      <c r="FX965" s="34">
        <v>-21.45</v>
      </c>
    </row>
    <row r="966" spans="1:231" x14ac:dyDescent="0.25">
      <c r="A966" s="127">
        <v>44579</v>
      </c>
      <c r="B966" s="23" t="s">
        <v>78</v>
      </c>
      <c r="C966" s="21">
        <f t="shared" si="18"/>
        <v>-25.37</v>
      </c>
      <c r="X966" s="42">
        <v>-8.67</v>
      </c>
      <c r="AA966" s="42">
        <v>-8.5500000000000007</v>
      </c>
      <c r="AE966" s="42">
        <v>-8.15</v>
      </c>
    </row>
    <row r="967" spans="1:231" x14ac:dyDescent="0.25">
      <c r="A967" s="127">
        <v>44580</v>
      </c>
      <c r="B967" s="23" t="s">
        <v>75</v>
      </c>
      <c r="C967" s="21">
        <f t="shared" si="18"/>
        <v>-43.9</v>
      </c>
      <c r="AU967" s="42">
        <v>-17.16</v>
      </c>
      <c r="BS967" s="42">
        <v>-8.7200000000000006</v>
      </c>
      <c r="BY967" s="42">
        <v>-9.31</v>
      </c>
      <c r="CE967" s="42">
        <v>-8.7100000000000009</v>
      </c>
    </row>
    <row r="968" spans="1:231" x14ac:dyDescent="0.25">
      <c r="A968" s="127">
        <v>44580</v>
      </c>
      <c r="B968" s="23" t="s">
        <v>27</v>
      </c>
      <c r="C968" s="21">
        <f t="shared" ref="C968:C1031" si="19">SUM(I968:JT968)</f>
        <v>-51.07</v>
      </c>
      <c r="BS968" s="42">
        <v>-16.559999999999999</v>
      </c>
      <c r="BY968" s="42">
        <v>-17.23</v>
      </c>
      <c r="CE968" s="42">
        <v>-8.76</v>
      </c>
      <c r="CK968" s="42">
        <v>-8.52</v>
      </c>
    </row>
    <row r="969" spans="1:231" x14ac:dyDescent="0.25">
      <c r="A969" s="127">
        <v>44580</v>
      </c>
      <c r="B969" s="23" t="s">
        <v>12</v>
      </c>
      <c r="C969" s="21">
        <f t="shared" si="19"/>
        <v>-66.23</v>
      </c>
      <c r="AE969" s="42">
        <v>-66.23</v>
      </c>
    </row>
    <row r="970" spans="1:231" x14ac:dyDescent="0.25">
      <c r="A970" s="127">
        <v>44581</v>
      </c>
      <c r="B970" s="23" t="s">
        <v>44</v>
      </c>
      <c r="C970" s="21">
        <f t="shared" si="19"/>
        <v>-172.62</v>
      </c>
      <c r="AA970" s="42">
        <v>-17.239999999999998</v>
      </c>
      <c r="GP970" s="42">
        <v>-73.400000000000006</v>
      </c>
      <c r="GY970" s="42">
        <v>-36</v>
      </c>
      <c r="HE970" s="42">
        <v>-30.99</v>
      </c>
      <c r="HW970" s="42">
        <v>-14.99</v>
      </c>
    </row>
    <row r="971" spans="1:231" x14ac:dyDescent="0.25">
      <c r="A971" s="127">
        <v>44581</v>
      </c>
      <c r="B971" s="23" t="s">
        <v>17</v>
      </c>
      <c r="C971" s="21">
        <f t="shared" si="19"/>
        <v>-1096.3150000000001</v>
      </c>
      <c r="AL971" s="42">
        <v>-34.96</v>
      </c>
      <c r="AP971" s="42">
        <v>-34.17</v>
      </c>
      <c r="AU971" s="42">
        <v>-103.13</v>
      </c>
      <c r="BA971" s="42">
        <v>-102.41</v>
      </c>
      <c r="BG971" s="42">
        <v>-101.1</v>
      </c>
      <c r="BM971" s="88">
        <v>-101.55</v>
      </c>
      <c r="BS971" s="42">
        <v>-104.99</v>
      </c>
      <c r="BY971" s="42">
        <v>-34.619999999999997</v>
      </c>
      <c r="CE971" s="42">
        <v>-68.22</v>
      </c>
      <c r="CF971" s="69">
        <v>-33.604999999999997</v>
      </c>
      <c r="CK971" s="42">
        <v>-67.81</v>
      </c>
      <c r="CQ971" s="42">
        <v>-68.569999999999993</v>
      </c>
      <c r="CW971" s="42">
        <v>-69.040000000000006</v>
      </c>
      <c r="DC971" s="42">
        <v>-34.25</v>
      </c>
      <c r="DI971" s="42">
        <v>-68.52</v>
      </c>
      <c r="DN971" s="42">
        <v>-34.590000000000003</v>
      </c>
      <c r="DS971" s="42">
        <v>-34.78</v>
      </c>
    </row>
    <row r="972" spans="1:231" x14ac:dyDescent="0.25">
      <c r="A972" s="127">
        <v>44581</v>
      </c>
      <c r="B972" s="23" t="s">
        <v>78</v>
      </c>
      <c r="C972" s="21">
        <f t="shared" si="19"/>
        <v>-17.45</v>
      </c>
      <c r="CE972" s="42">
        <v>-17.45</v>
      </c>
    </row>
    <row r="973" spans="1:231" x14ac:dyDescent="0.25">
      <c r="A973" s="127">
        <v>44581</v>
      </c>
      <c r="B973" s="23" t="s">
        <v>45</v>
      </c>
      <c r="C973" s="21">
        <f t="shared" si="19"/>
        <v>-24.2</v>
      </c>
      <c r="DG973" s="126">
        <v>-24.2</v>
      </c>
    </row>
    <row r="974" spans="1:231" x14ac:dyDescent="0.25">
      <c r="A974" s="127">
        <v>44581</v>
      </c>
      <c r="B974" s="23" t="s">
        <v>78</v>
      </c>
      <c r="C974" s="21">
        <f t="shared" si="19"/>
        <v>-17.75</v>
      </c>
      <c r="DI974" s="42">
        <v>-17.75</v>
      </c>
    </row>
    <row r="975" spans="1:231" x14ac:dyDescent="0.25">
      <c r="A975" s="127">
        <v>44581</v>
      </c>
      <c r="B975" s="23" t="s">
        <v>59</v>
      </c>
      <c r="C975" s="21">
        <f t="shared" si="19"/>
        <v>-8.4700000000000006</v>
      </c>
      <c r="CK975" s="42">
        <v>-8.4700000000000006</v>
      </c>
    </row>
    <row r="976" spans="1:231" x14ac:dyDescent="0.25">
      <c r="A976" s="127">
        <v>44581</v>
      </c>
      <c r="B976" s="23" t="s">
        <v>2</v>
      </c>
      <c r="C976" s="21">
        <f t="shared" si="19"/>
        <v>2837.69</v>
      </c>
      <c r="AL976" s="42">
        <v>309.32</v>
      </c>
      <c r="AP976" s="42">
        <v>301.77999999999997</v>
      </c>
      <c r="AU976" s="42">
        <v>313.31</v>
      </c>
      <c r="BA976" s="42">
        <v>302.14999999999998</v>
      </c>
      <c r="BG976" s="42">
        <v>311.32</v>
      </c>
      <c r="BM976" s="88">
        <v>306.70999999999998</v>
      </c>
      <c r="BS976" s="42">
        <v>315.16000000000003</v>
      </c>
      <c r="BY976" s="42">
        <v>303.5</v>
      </c>
      <c r="DC976" s="42">
        <v>374.44</v>
      </c>
    </row>
    <row r="977" spans="1:220" x14ac:dyDescent="0.25">
      <c r="A977" s="127">
        <v>44581</v>
      </c>
      <c r="B977" s="23" t="s">
        <v>37</v>
      </c>
      <c r="C977" s="21">
        <f t="shared" si="19"/>
        <v>-67.84</v>
      </c>
      <c r="AA977" s="42">
        <v>-34.24</v>
      </c>
      <c r="HL977" s="42">
        <v>-33.6</v>
      </c>
    </row>
    <row r="978" spans="1:220" x14ac:dyDescent="0.25">
      <c r="A978" s="127">
        <v>44585</v>
      </c>
      <c r="B978" s="23" t="s">
        <v>38</v>
      </c>
      <c r="C978" s="21">
        <f t="shared" si="19"/>
        <v>-243.65</v>
      </c>
      <c r="BA978" s="42">
        <v>-172.38</v>
      </c>
      <c r="DS978" s="42">
        <v>-17.45</v>
      </c>
      <c r="DY978" s="42">
        <v>-8.6</v>
      </c>
      <c r="ER978" s="42">
        <v>-45.22</v>
      </c>
    </row>
    <row r="979" spans="1:220" x14ac:dyDescent="0.25">
      <c r="A979" s="127">
        <v>44585</v>
      </c>
      <c r="B979" s="23" t="s">
        <v>78</v>
      </c>
      <c r="C979" s="21">
        <f t="shared" si="19"/>
        <v>-8.3800000000000008</v>
      </c>
      <c r="DC979" s="42">
        <v>-8.3800000000000008</v>
      </c>
    </row>
    <row r="980" spans="1:220" x14ac:dyDescent="0.25">
      <c r="A980" s="127">
        <v>44585</v>
      </c>
      <c r="B980" s="23" t="s">
        <v>78</v>
      </c>
      <c r="C980" s="21">
        <f t="shared" si="19"/>
        <v>-33.659999999999997</v>
      </c>
      <c r="BG980" s="42">
        <v>-16.829999999999998</v>
      </c>
      <c r="BM980" s="88">
        <v>-16.829999999999998</v>
      </c>
    </row>
    <row r="981" spans="1:220" x14ac:dyDescent="0.25">
      <c r="A981" s="127">
        <v>44585</v>
      </c>
      <c r="B981" s="23" t="s">
        <v>20</v>
      </c>
      <c r="C981" s="21">
        <f t="shared" si="19"/>
        <v>-59.21</v>
      </c>
      <c r="T981" s="42">
        <v>-7.9</v>
      </c>
      <c r="AU981" s="42">
        <v>-8.56</v>
      </c>
      <c r="BA981" s="42">
        <v>-8.4499999999999993</v>
      </c>
      <c r="BG981" s="42">
        <v>-8.68</v>
      </c>
      <c r="BM981" s="88">
        <v>-8.43</v>
      </c>
      <c r="BS981" s="42">
        <v>-8.5500000000000007</v>
      </c>
      <c r="BY981" s="42">
        <v>-8.64</v>
      </c>
    </row>
    <row r="982" spans="1:220" x14ac:dyDescent="0.25">
      <c r="A982" s="127">
        <v>44585</v>
      </c>
      <c r="B982" s="23" t="s">
        <v>68</v>
      </c>
      <c r="C982" s="21">
        <f t="shared" si="19"/>
        <v>-129.19999999999999</v>
      </c>
      <c r="AA982" s="42">
        <v>-29.47</v>
      </c>
      <c r="AE982" s="42">
        <v>-30.75</v>
      </c>
      <c r="AP982" s="42">
        <v>-35.33</v>
      </c>
      <c r="BM982" s="88">
        <v>-33.65</v>
      </c>
    </row>
    <row r="983" spans="1:220" x14ac:dyDescent="0.25">
      <c r="A983" s="127">
        <v>44587</v>
      </c>
      <c r="B983" s="23" t="s">
        <v>80</v>
      </c>
      <c r="C983" s="21">
        <f t="shared" si="19"/>
        <v>-8.7899999999999991</v>
      </c>
      <c r="AP983" s="42">
        <v>-8.7899999999999991</v>
      </c>
    </row>
    <row r="984" spans="1:220" x14ac:dyDescent="0.25">
      <c r="A984" s="127">
        <v>44587</v>
      </c>
      <c r="B984" s="23" t="s">
        <v>13</v>
      </c>
      <c r="C984" s="21">
        <f t="shared" si="19"/>
        <v>-1146.55</v>
      </c>
      <c r="AU984" s="42">
        <v>-210.83</v>
      </c>
      <c r="BA984" s="42">
        <v>-69.31</v>
      </c>
      <c r="BG984" s="42">
        <v>-207.82</v>
      </c>
      <c r="BM984" s="88">
        <v>-170.71</v>
      </c>
      <c r="BS984" s="42">
        <v>-175.11</v>
      </c>
      <c r="BY984" s="42">
        <v>-174.15</v>
      </c>
      <c r="DC984" s="42">
        <v>-33.69</v>
      </c>
      <c r="DI984" s="42">
        <v>-69.650000000000006</v>
      </c>
      <c r="DS984" s="42">
        <v>-35.28</v>
      </c>
    </row>
    <row r="985" spans="1:220" x14ac:dyDescent="0.25">
      <c r="A985" s="127">
        <v>44587</v>
      </c>
      <c r="B985" s="23" t="s">
        <v>12</v>
      </c>
      <c r="C985" s="21">
        <f t="shared" si="19"/>
        <v>-293.27499999999998</v>
      </c>
      <c r="X985" s="42">
        <v>-34.479999999999997</v>
      </c>
      <c r="AA985" s="42">
        <v>-33.14</v>
      </c>
      <c r="AE985" s="42">
        <v>-98.84</v>
      </c>
      <c r="FU985" s="88">
        <v>-126.815</v>
      </c>
    </row>
    <row r="986" spans="1:220" x14ac:dyDescent="0.25">
      <c r="A986" s="127">
        <v>44587</v>
      </c>
      <c r="B986" s="23" t="s">
        <v>19</v>
      </c>
      <c r="C986" s="21">
        <f t="shared" si="19"/>
        <v>-195.63</v>
      </c>
      <c r="AL986" s="42">
        <v>-31.5</v>
      </c>
      <c r="AP986" s="42">
        <v>-34.21</v>
      </c>
      <c r="HG986" s="42">
        <v>-129.91999999999999</v>
      </c>
    </row>
    <row r="987" spans="1:220" x14ac:dyDescent="0.25">
      <c r="A987" s="127">
        <v>44587</v>
      </c>
      <c r="B987" s="23" t="s">
        <v>57</v>
      </c>
      <c r="C987" s="21">
        <f t="shared" si="19"/>
        <v>-34.19</v>
      </c>
      <c r="BG987" s="42">
        <v>-17.13</v>
      </c>
      <c r="CQ987" s="42">
        <v>-17.059999999999999</v>
      </c>
    </row>
    <row r="988" spans="1:220" x14ac:dyDescent="0.25">
      <c r="A988" s="127">
        <v>44587</v>
      </c>
      <c r="B988" s="23" t="s">
        <v>19</v>
      </c>
      <c r="C988" s="21">
        <f t="shared" si="19"/>
        <v>165.76</v>
      </c>
      <c r="BJ988" s="121">
        <v>32.99</v>
      </c>
      <c r="BR988" s="182">
        <v>34.51</v>
      </c>
      <c r="BX988" s="182">
        <v>32.270000000000003</v>
      </c>
      <c r="CZ988" s="121">
        <v>33.17</v>
      </c>
      <c r="DL988" s="121">
        <v>32.82</v>
      </c>
    </row>
    <row r="989" spans="1:220" x14ac:dyDescent="0.25">
      <c r="A989" s="127">
        <v>44588</v>
      </c>
      <c r="B989" s="23" t="s">
        <v>84</v>
      </c>
      <c r="C989" s="21">
        <f t="shared" si="19"/>
        <v>-60.08</v>
      </c>
      <c r="DI989" s="42">
        <v>-16.989999999999998</v>
      </c>
      <c r="DN989" s="42">
        <v>-43.09</v>
      </c>
    </row>
    <row r="990" spans="1:220" x14ac:dyDescent="0.25">
      <c r="A990" s="127">
        <v>44588</v>
      </c>
      <c r="B990" s="23" t="s">
        <v>59</v>
      </c>
      <c r="C990" s="21">
        <f t="shared" si="19"/>
        <v>-17.170000000000002</v>
      </c>
      <c r="DG990" s="126">
        <v>-8.2899999999999991</v>
      </c>
      <c r="DV990" s="121">
        <v>-8.8800000000000008</v>
      </c>
    </row>
    <row r="991" spans="1:220" x14ac:dyDescent="0.25">
      <c r="A991" s="127">
        <v>44588</v>
      </c>
      <c r="B991" s="23" t="s">
        <v>78</v>
      </c>
      <c r="C991" s="21">
        <f t="shared" si="19"/>
        <v>-181.07499999999999</v>
      </c>
      <c r="O991" s="375">
        <v>-8.4949999999999992</v>
      </c>
      <c r="AM991" s="69">
        <v>-8.4600000000000009</v>
      </c>
      <c r="AP991" s="42">
        <v>-8.77</v>
      </c>
      <c r="BA991" s="42">
        <v>-8.4499999999999993</v>
      </c>
      <c r="BG991" s="42">
        <v>-17.66</v>
      </c>
      <c r="BM991" s="88">
        <v>-17.34</v>
      </c>
      <c r="BS991" s="42">
        <v>-17.29</v>
      </c>
      <c r="BY991" s="42">
        <v>-17.399999999999999</v>
      </c>
      <c r="CK991" s="42">
        <v>-17</v>
      </c>
      <c r="CQ991" s="42">
        <v>-8.6999999999999993</v>
      </c>
      <c r="CW991" s="42">
        <v>-17.190000000000001</v>
      </c>
      <c r="DI991" s="42">
        <v>-8.5500000000000007</v>
      </c>
      <c r="DN991" s="42">
        <v>-25.77</v>
      </c>
    </row>
    <row r="992" spans="1:220" x14ac:dyDescent="0.25">
      <c r="A992" s="127">
        <v>44588</v>
      </c>
      <c r="B992" s="23" t="s">
        <v>32</v>
      </c>
      <c r="C992" s="21">
        <f t="shared" si="19"/>
        <v>-169.83</v>
      </c>
      <c r="AL992" s="42">
        <v>-16.05</v>
      </c>
      <c r="AP992" s="42">
        <v>-17.73</v>
      </c>
      <c r="BG992" s="42">
        <v>-33.65</v>
      </c>
      <c r="BM992" s="88">
        <v>-33.6</v>
      </c>
      <c r="CK992" s="42">
        <v>-34.5</v>
      </c>
      <c r="DC992" s="42">
        <v>-34.299999999999997</v>
      </c>
    </row>
    <row r="993" spans="1:225" x14ac:dyDescent="0.25">
      <c r="A993" s="127">
        <v>44588</v>
      </c>
      <c r="B993" s="23" t="s">
        <v>37</v>
      </c>
      <c r="C993" s="21">
        <f t="shared" si="19"/>
        <v>-29.91</v>
      </c>
      <c r="HE993" s="42">
        <v>-29.91</v>
      </c>
    </row>
    <row r="994" spans="1:225" x14ac:dyDescent="0.25">
      <c r="A994" s="127">
        <v>44588</v>
      </c>
      <c r="B994" s="23" t="s">
        <v>2</v>
      </c>
      <c r="C994" s="21">
        <f t="shared" si="19"/>
        <v>1215.68</v>
      </c>
      <c r="DY994" s="42">
        <v>387.18</v>
      </c>
      <c r="HO994" s="42">
        <v>421.72</v>
      </c>
      <c r="HQ994" s="42">
        <v>406.78</v>
      </c>
    </row>
    <row r="995" spans="1:225" x14ac:dyDescent="0.25">
      <c r="A995" s="127">
        <v>44589</v>
      </c>
      <c r="B995" s="23" t="s">
        <v>84</v>
      </c>
      <c r="C995" s="21">
        <f t="shared" si="19"/>
        <v>-25.84</v>
      </c>
      <c r="DC995" s="42">
        <v>-25.84</v>
      </c>
    </row>
    <row r="996" spans="1:225" x14ac:dyDescent="0.25">
      <c r="A996" s="127">
        <v>44589</v>
      </c>
      <c r="B996" s="23" t="s">
        <v>222</v>
      </c>
      <c r="C996" s="21">
        <f t="shared" si="19"/>
        <v>-13.61</v>
      </c>
      <c r="Y996" s="69">
        <v>-5.2</v>
      </c>
      <c r="CJ996" s="182">
        <v>-8.41</v>
      </c>
    </row>
    <row r="997" spans="1:225" x14ac:dyDescent="0.25">
      <c r="A997" s="127">
        <v>44589</v>
      </c>
      <c r="B997" s="23" t="s">
        <v>95</v>
      </c>
      <c r="C997" s="21">
        <f t="shared" si="19"/>
        <v>-442.69</v>
      </c>
      <c r="DC997" s="42">
        <v>-137.36000000000001</v>
      </c>
      <c r="DI997" s="42">
        <v>-140.04</v>
      </c>
      <c r="DY997" s="42">
        <v>-140.02000000000001</v>
      </c>
      <c r="EE997" s="42">
        <v>-25.27</v>
      </c>
    </row>
    <row r="998" spans="1:225" x14ac:dyDescent="0.25">
      <c r="A998" s="127">
        <v>44589</v>
      </c>
      <c r="B998" s="23" t="s">
        <v>78</v>
      </c>
      <c r="C998" s="21">
        <f t="shared" si="19"/>
        <v>-184.54</v>
      </c>
      <c r="DY998" s="42">
        <v>-184.54</v>
      </c>
    </row>
    <row r="999" spans="1:225" x14ac:dyDescent="0.25">
      <c r="A999" s="127">
        <v>44589</v>
      </c>
      <c r="B999" s="23" t="s">
        <v>75</v>
      </c>
      <c r="C999" s="21">
        <f t="shared" si="19"/>
        <v>-34.659999999999997</v>
      </c>
      <c r="BG999" s="42">
        <v>-8.6199999999999992</v>
      </c>
      <c r="BM999" s="88">
        <v>-8.6199999999999992</v>
      </c>
      <c r="BS999" s="42">
        <v>-8.7100000000000009</v>
      </c>
      <c r="CJ999" s="182">
        <v>-8.7100000000000009</v>
      </c>
    </row>
    <row r="1000" spans="1:225" x14ac:dyDescent="0.25">
      <c r="A1000" s="127">
        <v>44589</v>
      </c>
      <c r="B1000" s="23" t="s">
        <v>94</v>
      </c>
      <c r="C1000" s="21">
        <f t="shared" si="19"/>
        <v>-50.49</v>
      </c>
      <c r="CL1000" s="69">
        <v>-50.49</v>
      </c>
    </row>
    <row r="1001" spans="1:225" x14ac:dyDescent="0.25">
      <c r="A1001" s="127">
        <v>44590</v>
      </c>
      <c r="B1001" s="23" t="s">
        <v>78</v>
      </c>
      <c r="C1001" s="21">
        <f t="shared" si="19"/>
        <v>-17.399999999999999</v>
      </c>
      <c r="AP1001" s="42">
        <v>-8.8699999999999992</v>
      </c>
      <c r="AU1001" s="42">
        <v>-8.5299999999999994</v>
      </c>
    </row>
    <row r="1002" spans="1:225" x14ac:dyDescent="0.25">
      <c r="A1002" s="127">
        <v>44592</v>
      </c>
      <c r="B1002" s="23" t="s">
        <v>37</v>
      </c>
      <c r="C1002" s="21">
        <f t="shared" si="19"/>
        <v>-128.86000000000001</v>
      </c>
      <c r="HO1002" s="42">
        <v>-66.180000000000007</v>
      </c>
      <c r="HQ1002" s="42">
        <v>-62.68</v>
      </c>
    </row>
    <row r="1003" spans="1:225" x14ac:dyDescent="0.25">
      <c r="A1003" s="127">
        <v>44592</v>
      </c>
      <c r="B1003" s="23" t="s">
        <v>37</v>
      </c>
      <c r="C1003" s="21">
        <f t="shared" si="19"/>
        <v>-30.85</v>
      </c>
      <c r="HE1003" s="42">
        <v>-30.85</v>
      </c>
    </row>
    <row r="1004" spans="1:225" x14ac:dyDescent="0.25">
      <c r="A1004" s="127">
        <v>44592</v>
      </c>
      <c r="B1004" s="23" t="s">
        <v>78</v>
      </c>
      <c r="C1004" s="21">
        <f t="shared" si="19"/>
        <v>-17.29</v>
      </c>
      <c r="CQ1004" s="42">
        <v>-8.6999999999999993</v>
      </c>
      <c r="CW1004" s="42">
        <v>-8.59</v>
      </c>
    </row>
    <row r="1005" spans="1:225" x14ac:dyDescent="0.25">
      <c r="A1005" s="127">
        <v>44592</v>
      </c>
      <c r="B1005" s="23" t="s">
        <v>15</v>
      </c>
      <c r="C1005" s="21">
        <f t="shared" si="19"/>
        <v>-51.79</v>
      </c>
      <c r="BA1005" s="42">
        <v>-8.74</v>
      </c>
      <c r="BY1005" s="42">
        <v>-34.53</v>
      </c>
      <c r="CK1005" s="42">
        <v>-8.52</v>
      </c>
    </row>
    <row r="1006" spans="1:225" x14ac:dyDescent="0.25">
      <c r="A1006" s="127">
        <v>44592</v>
      </c>
      <c r="B1006" s="23" t="s">
        <v>15</v>
      </c>
      <c r="C1006" s="21">
        <f t="shared" si="19"/>
        <v>-17.170000000000002</v>
      </c>
      <c r="BM1006" s="88">
        <v>-8.59</v>
      </c>
      <c r="BV1006" s="121">
        <v>-8.58</v>
      </c>
    </row>
    <row r="1007" spans="1:225" x14ac:dyDescent="0.25">
      <c r="A1007" s="127">
        <v>44592</v>
      </c>
      <c r="B1007" s="23" t="s">
        <v>37</v>
      </c>
      <c r="C1007" s="21">
        <f t="shared" si="19"/>
        <v>-289.67</v>
      </c>
      <c r="HK1007" s="50">
        <v>-33.39</v>
      </c>
      <c r="HO1007" s="42">
        <v>-162.46</v>
      </c>
      <c r="HQ1007" s="42">
        <v>-93.82</v>
      </c>
    </row>
    <row r="1008" spans="1:225" x14ac:dyDescent="0.25">
      <c r="A1008" s="127">
        <v>44592</v>
      </c>
      <c r="B1008" s="23" t="s">
        <v>13</v>
      </c>
      <c r="C1008" s="21">
        <f t="shared" si="19"/>
        <v>-137.25</v>
      </c>
      <c r="T1008" s="42">
        <v>-15.74</v>
      </c>
      <c r="AA1008" s="42">
        <v>-16.920000000000002</v>
      </c>
      <c r="BY1008" s="42">
        <v>-68.91</v>
      </c>
      <c r="DY1008" s="42">
        <v>-35.68</v>
      </c>
    </row>
    <row r="1009" spans="1:229" x14ac:dyDescent="0.25">
      <c r="A1009" s="127">
        <v>44592</v>
      </c>
      <c r="B1009" s="23" t="s">
        <v>32</v>
      </c>
      <c r="C1009" s="21">
        <f t="shared" si="19"/>
        <v>-15.42</v>
      </c>
      <c r="AD1009" s="115">
        <v>-15.42</v>
      </c>
    </row>
    <row r="1010" spans="1:229" x14ac:dyDescent="0.25">
      <c r="A1010" s="132">
        <v>44593</v>
      </c>
      <c r="B1010" s="51" t="s">
        <v>78</v>
      </c>
      <c r="C1010" s="21">
        <f t="shared" si="19"/>
        <v>-85.23</v>
      </c>
      <c r="AA1010" s="42">
        <v>-8.6199999999999992</v>
      </c>
      <c r="AE1010" s="42">
        <v>-8.14</v>
      </c>
      <c r="AM1010" s="69">
        <v>-8.26</v>
      </c>
      <c r="BG1010" s="42">
        <f>-8.55-8.62</f>
        <v>-17.170000000000002</v>
      </c>
      <c r="BM1010" s="88">
        <f>-8.5-8.5</f>
        <v>-17</v>
      </c>
      <c r="BY1010" s="42">
        <f>-8.66-8.65-8.73</f>
        <v>-26.04</v>
      </c>
    </row>
    <row r="1011" spans="1:229" x14ac:dyDescent="0.25">
      <c r="A1011" s="132">
        <v>44593</v>
      </c>
      <c r="B1011" s="29" t="s">
        <v>40</v>
      </c>
      <c r="C1011" s="21">
        <f t="shared" si="19"/>
        <v>-195.14</v>
      </c>
      <c r="HU1011" s="42">
        <v>-195.14</v>
      </c>
    </row>
    <row r="1012" spans="1:229" x14ac:dyDescent="0.25">
      <c r="A1012" s="132">
        <v>44593</v>
      </c>
      <c r="B1012" s="29" t="s">
        <v>29</v>
      </c>
      <c r="C1012" s="21">
        <f t="shared" si="19"/>
        <v>-43.4</v>
      </c>
      <c r="BA1012" s="42">
        <v>-8.73</v>
      </c>
      <c r="BG1012" s="42">
        <v>-8.61</v>
      </c>
      <c r="BM1012" s="88">
        <v>-8.44</v>
      </c>
      <c r="BS1012" s="42">
        <v>-8.76</v>
      </c>
      <c r="CJ1012" s="182">
        <v>-8.86</v>
      </c>
    </row>
    <row r="1013" spans="1:229" x14ac:dyDescent="0.25">
      <c r="A1013" s="132">
        <v>44594</v>
      </c>
      <c r="B1013" s="23" t="s">
        <v>13</v>
      </c>
      <c r="C1013" s="21">
        <f t="shared" si="19"/>
        <v>-208.7</v>
      </c>
      <c r="CQ1013" s="42">
        <v>-70.83</v>
      </c>
      <c r="DC1013" s="42">
        <v>-33.89</v>
      </c>
      <c r="DI1013" s="42">
        <v>-34.479999999999997</v>
      </c>
      <c r="DN1013" s="42">
        <v>-69.5</v>
      </c>
    </row>
    <row r="1014" spans="1:229" x14ac:dyDescent="0.25">
      <c r="A1014" s="132">
        <v>44594</v>
      </c>
      <c r="B1014" s="23" t="s">
        <v>96</v>
      </c>
      <c r="C1014" s="21">
        <f t="shared" si="19"/>
        <v>-121.15</v>
      </c>
      <c r="AP1014" s="42">
        <v>-8.8000000000000007</v>
      </c>
      <c r="BA1014" s="42">
        <v>-8.57</v>
      </c>
      <c r="BG1014" s="42">
        <v>-17.25</v>
      </c>
      <c r="BM1014" s="88">
        <v>-8.42</v>
      </c>
      <c r="BS1014" s="42">
        <v>-17.59</v>
      </c>
      <c r="BY1014" s="42">
        <v>-17.170000000000002</v>
      </c>
      <c r="CQ1014" s="42">
        <v>-17.59</v>
      </c>
      <c r="CW1014" s="42">
        <v>-17.2</v>
      </c>
      <c r="DC1014" s="42">
        <v>-8.56</v>
      </c>
    </row>
    <row r="1015" spans="1:229" x14ac:dyDescent="0.25">
      <c r="A1015" s="132">
        <v>44594</v>
      </c>
      <c r="B1015" s="23" t="s">
        <v>32</v>
      </c>
      <c r="C1015" s="21">
        <f t="shared" si="19"/>
        <v>-34.74</v>
      </c>
      <c r="BY1015" s="42">
        <v>-34.74</v>
      </c>
    </row>
    <row r="1016" spans="1:229" x14ac:dyDescent="0.25">
      <c r="A1016" s="132">
        <v>44594</v>
      </c>
      <c r="B1016" s="23" t="s">
        <v>75</v>
      </c>
      <c r="C1016" s="21">
        <f t="shared" si="19"/>
        <v>-42.11</v>
      </c>
      <c r="BF1016" s="182">
        <v>-8.59</v>
      </c>
      <c r="BM1016" s="88">
        <v>-8.43</v>
      </c>
      <c r="CC1016" s="126">
        <v>-7.64</v>
      </c>
      <c r="CJ1016" s="182">
        <v>-8.98</v>
      </c>
      <c r="CK1016" s="42">
        <v>-8.4700000000000006</v>
      </c>
    </row>
    <row r="1017" spans="1:229" x14ac:dyDescent="0.25">
      <c r="A1017" s="132">
        <v>44594</v>
      </c>
      <c r="B1017" s="23" t="s">
        <v>27</v>
      </c>
      <c r="C1017" s="21">
        <f t="shared" si="19"/>
        <v>-32.29</v>
      </c>
      <c r="BJ1017" s="121">
        <v>-8.6</v>
      </c>
      <c r="BR1017" s="182">
        <v>-7.77</v>
      </c>
      <c r="BV1017" s="121">
        <v>-7.06</v>
      </c>
      <c r="CJ1017" s="182">
        <v>-8.86</v>
      </c>
    </row>
    <row r="1018" spans="1:229" x14ac:dyDescent="0.25">
      <c r="A1018" s="127">
        <v>44594</v>
      </c>
      <c r="B1018" s="23" t="s">
        <v>59</v>
      </c>
      <c r="C1018" s="21">
        <f t="shared" si="19"/>
        <v>-8.9700000000000006</v>
      </c>
      <c r="CW1018" s="42">
        <v>-8.9700000000000006</v>
      </c>
    </row>
    <row r="1019" spans="1:229" x14ac:dyDescent="0.25">
      <c r="A1019" s="127">
        <v>44595</v>
      </c>
      <c r="B1019" s="23" t="s">
        <v>20</v>
      </c>
      <c r="C1019" s="21">
        <f t="shared" si="19"/>
        <v>-88.69</v>
      </c>
      <c r="BM1019" s="88">
        <v>-8.44</v>
      </c>
      <c r="CQ1019" s="42">
        <v>-8.4499999999999993</v>
      </c>
      <c r="GY1019" s="42">
        <v>-71.8</v>
      </c>
    </row>
    <row r="1020" spans="1:229" x14ac:dyDescent="0.25">
      <c r="A1020" s="131">
        <v>44595</v>
      </c>
      <c r="B1020" s="23" t="s">
        <v>13</v>
      </c>
      <c r="C1020" s="21">
        <f t="shared" si="19"/>
        <v>-155.27000000000001</v>
      </c>
      <c r="AU1020" s="42">
        <v>-34.229999999999997</v>
      </c>
      <c r="CQ1020" s="42">
        <v>-35.65</v>
      </c>
      <c r="CW1020" s="42">
        <v>-33.4</v>
      </c>
      <c r="DC1020" s="42">
        <v>-17.149999999999999</v>
      </c>
      <c r="DI1020" s="42">
        <v>-34.840000000000003</v>
      </c>
    </row>
    <row r="1021" spans="1:229" x14ac:dyDescent="0.25">
      <c r="A1021" s="127">
        <v>44595</v>
      </c>
      <c r="B1021" s="23" t="s">
        <v>17</v>
      </c>
      <c r="C1021" s="21">
        <f t="shared" si="19"/>
        <v>-30.065000000000001</v>
      </c>
      <c r="O1021" s="375">
        <v>-8.48</v>
      </c>
      <c r="FX1021" s="34">
        <v>-21.585000000000001</v>
      </c>
    </row>
    <row r="1022" spans="1:229" x14ac:dyDescent="0.25">
      <c r="A1022" s="131">
        <v>44595</v>
      </c>
      <c r="B1022" s="23" t="s">
        <v>15</v>
      </c>
      <c r="C1022" s="21">
        <f t="shared" si="19"/>
        <v>-231.99</v>
      </c>
      <c r="X1022" s="42">
        <v>-27.65</v>
      </c>
      <c r="AL1022" s="42">
        <v>-31.91</v>
      </c>
      <c r="AP1022" s="42">
        <v>-34.1</v>
      </c>
      <c r="AU1022" s="42">
        <v>-34.090000000000003</v>
      </c>
      <c r="BM1022" s="88">
        <v>-17.07</v>
      </c>
      <c r="CW1022" s="42">
        <v>-52.36</v>
      </c>
      <c r="DI1022" s="42">
        <v>-34.81</v>
      </c>
    </row>
    <row r="1023" spans="1:229" x14ac:dyDescent="0.25">
      <c r="A1023" s="127">
        <v>44595</v>
      </c>
      <c r="B1023" s="23" t="s">
        <v>19</v>
      </c>
      <c r="C1023" s="21">
        <f t="shared" si="19"/>
        <v>-128.99</v>
      </c>
      <c r="HG1023" s="42">
        <v>-66.22</v>
      </c>
      <c r="HQ1023" s="42">
        <v>-62.77</v>
      </c>
    </row>
    <row r="1024" spans="1:229" x14ac:dyDescent="0.25">
      <c r="A1024" s="131">
        <v>44595</v>
      </c>
      <c r="B1024" s="23" t="s">
        <v>27</v>
      </c>
      <c r="C1024" s="21">
        <f t="shared" si="19"/>
        <v>-25.13</v>
      </c>
      <c r="BF1024" s="182">
        <v>-8.9700000000000006</v>
      </c>
      <c r="CT1024" s="121">
        <v>-7.82</v>
      </c>
      <c r="CZ1024" s="121">
        <v>-8.34</v>
      </c>
    </row>
    <row r="1025" spans="1:238" x14ac:dyDescent="0.25">
      <c r="A1025" s="127">
        <v>44595</v>
      </c>
      <c r="B1025" s="23" t="s">
        <v>80</v>
      </c>
      <c r="C1025" s="21">
        <f t="shared" si="19"/>
        <v>0</v>
      </c>
    </row>
    <row r="1026" spans="1:238" x14ac:dyDescent="0.25">
      <c r="A1026" s="131">
        <v>44596</v>
      </c>
      <c r="B1026" s="23" t="s">
        <v>23</v>
      </c>
      <c r="C1026" s="21">
        <f t="shared" si="19"/>
        <v>0</v>
      </c>
    </row>
    <row r="1027" spans="1:238" x14ac:dyDescent="0.25">
      <c r="A1027" s="127">
        <v>44597</v>
      </c>
      <c r="B1027" s="23" t="s">
        <v>78</v>
      </c>
      <c r="C1027" s="21">
        <f t="shared" si="19"/>
        <v>-33.83</v>
      </c>
      <c r="AA1027" s="42">
        <v>-8.61</v>
      </c>
      <c r="BM1027" s="88">
        <v>-25.22</v>
      </c>
    </row>
    <row r="1028" spans="1:238" x14ac:dyDescent="0.25">
      <c r="A1028" s="131">
        <v>44597</v>
      </c>
      <c r="B1028" s="24" t="s">
        <v>78</v>
      </c>
      <c r="C1028" s="21">
        <f t="shared" si="19"/>
        <v>2887.78</v>
      </c>
      <c r="BB1028" s="69">
        <v>340.39</v>
      </c>
      <c r="BH1028" s="69">
        <v>341.75</v>
      </c>
      <c r="BN1028" s="69">
        <v>340.16</v>
      </c>
      <c r="BT1028" s="69">
        <v>338.18</v>
      </c>
      <c r="BZ1028" s="69">
        <v>340.91</v>
      </c>
      <c r="CF1028" s="69">
        <v>339.2</v>
      </c>
      <c r="CL1028" s="69">
        <v>338.06</v>
      </c>
      <c r="DO1028" s="375">
        <v>169.65</v>
      </c>
      <c r="DT1028" s="69">
        <v>102.17</v>
      </c>
      <c r="DZ1028" s="69">
        <v>237.31</v>
      </c>
    </row>
    <row r="1029" spans="1:238" x14ac:dyDescent="0.25">
      <c r="A1029" s="127">
        <v>44599</v>
      </c>
      <c r="B1029" s="24" t="s">
        <v>2</v>
      </c>
      <c r="C1029" s="21">
        <f t="shared" si="19"/>
        <v>2938.01</v>
      </c>
      <c r="BA1029" s="42">
        <v>312.91000000000003</v>
      </c>
      <c r="BM1029" s="88">
        <v>306.29000000000002</v>
      </c>
      <c r="BY1029" s="42">
        <v>309.35000000000002</v>
      </c>
      <c r="CE1029" s="42">
        <v>398.79</v>
      </c>
      <c r="CK1029" s="42">
        <v>408.01</v>
      </c>
      <c r="CQ1029" s="42">
        <v>309.89</v>
      </c>
      <c r="CW1029" s="42">
        <v>309.29000000000002</v>
      </c>
      <c r="DN1029" s="42">
        <v>201</v>
      </c>
      <c r="DS1029" s="42">
        <v>204.51</v>
      </c>
      <c r="EE1029" s="42">
        <v>177.97</v>
      </c>
    </row>
    <row r="1030" spans="1:238" x14ac:dyDescent="0.25">
      <c r="A1030" s="127">
        <v>44597</v>
      </c>
      <c r="B1030" s="24" t="s">
        <v>45</v>
      </c>
      <c r="C1030" s="21">
        <f t="shared" si="19"/>
        <v>-16.965</v>
      </c>
      <c r="BH1030" s="69">
        <v>-8.4350000000000005</v>
      </c>
      <c r="BN1030" s="69">
        <v>-8.5299999999999994</v>
      </c>
    </row>
    <row r="1031" spans="1:238" x14ac:dyDescent="0.25">
      <c r="A1031" s="127">
        <v>44599</v>
      </c>
      <c r="B1031" s="24" t="s">
        <v>78</v>
      </c>
      <c r="C1031" s="21">
        <f t="shared" si="19"/>
        <v>-50.93</v>
      </c>
      <c r="BT1031" s="69">
        <v>-8.4049999999999994</v>
      </c>
      <c r="BZ1031" s="69">
        <v>-17.114999999999998</v>
      </c>
      <c r="CF1031" s="69">
        <v>-16.905000000000001</v>
      </c>
      <c r="CL1031" s="69">
        <v>-8.5050000000000008</v>
      </c>
    </row>
    <row r="1032" spans="1:238" x14ac:dyDescent="0.25">
      <c r="A1032" s="127">
        <v>44599</v>
      </c>
      <c r="B1032" s="24" t="s">
        <v>78</v>
      </c>
      <c r="C1032" s="21">
        <f t="shared" ref="C1032:C1095" si="20">SUM(I1032:JT1032)</f>
        <v>-33.81</v>
      </c>
      <c r="CL1032" s="69">
        <v>-33.81</v>
      </c>
    </row>
    <row r="1033" spans="1:238" x14ac:dyDescent="0.25">
      <c r="A1033" s="127">
        <v>44599</v>
      </c>
      <c r="B1033" s="24" t="s">
        <v>78</v>
      </c>
      <c r="C1033" s="21">
        <f t="shared" si="20"/>
        <v>-32.44</v>
      </c>
      <c r="ER1033" s="42">
        <v>-9.09</v>
      </c>
      <c r="FA1033" s="42">
        <v>-23.35</v>
      </c>
    </row>
    <row r="1034" spans="1:238" x14ac:dyDescent="0.25">
      <c r="A1034" s="127">
        <v>44599</v>
      </c>
      <c r="B1034" s="24" t="s">
        <v>78</v>
      </c>
      <c r="C1034" s="21">
        <f t="shared" si="20"/>
        <v>-16.98</v>
      </c>
      <c r="BN1034" s="69">
        <v>-16.98</v>
      </c>
    </row>
    <row r="1035" spans="1:238" x14ac:dyDescent="0.25">
      <c r="A1035" s="127">
        <v>44599</v>
      </c>
      <c r="B1035" s="24" t="s">
        <v>78</v>
      </c>
      <c r="C1035" s="21">
        <f t="shared" si="20"/>
        <v>-127.09</v>
      </c>
      <c r="DZ1035" s="69">
        <v>-127.09</v>
      </c>
    </row>
    <row r="1036" spans="1:238" x14ac:dyDescent="0.25">
      <c r="A1036" s="127">
        <v>44599</v>
      </c>
      <c r="B1036" s="24" t="s">
        <v>57</v>
      </c>
      <c r="C1036" s="21">
        <f t="shared" si="20"/>
        <v>-101.74</v>
      </c>
      <c r="BN1036" s="69">
        <v>-25.555</v>
      </c>
      <c r="BT1036" s="69">
        <v>-16.885000000000002</v>
      </c>
      <c r="CF1036" s="69">
        <v>-16.965</v>
      </c>
      <c r="CL1036" s="69">
        <v>-16.855</v>
      </c>
      <c r="CQ1036" s="42">
        <v>-16.82</v>
      </c>
      <c r="CW1036" s="42">
        <v>-8.66</v>
      </c>
    </row>
    <row r="1037" spans="1:238" x14ac:dyDescent="0.25">
      <c r="A1037" s="127">
        <v>44599</v>
      </c>
      <c r="B1037" s="24" t="s">
        <v>44</v>
      </c>
      <c r="C1037" s="21">
        <f t="shared" si="20"/>
        <v>-270.52</v>
      </c>
      <c r="GJ1037" s="202">
        <v>-29.97</v>
      </c>
      <c r="GP1037" s="42">
        <v>-176.4</v>
      </c>
      <c r="ID1037" s="42">
        <v>-64.150000000000006</v>
      </c>
    </row>
    <row r="1038" spans="1:238" x14ac:dyDescent="0.25">
      <c r="A1038" s="127">
        <v>44599</v>
      </c>
      <c r="B1038" s="24" t="s">
        <v>15</v>
      </c>
      <c r="C1038" s="21">
        <f t="shared" si="20"/>
        <v>-613.76</v>
      </c>
      <c r="AV1038" s="69">
        <v>-34.06</v>
      </c>
      <c r="BB1038" s="69">
        <v>-34.229999999999997</v>
      </c>
      <c r="BH1038" s="69">
        <v>-68.674999999999997</v>
      </c>
      <c r="BN1038" s="69">
        <v>-67.91</v>
      </c>
      <c r="BT1038" s="69">
        <v>-67.534999999999997</v>
      </c>
      <c r="BZ1038" s="69">
        <v>-102.16500000000001</v>
      </c>
      <c r="CF1038" s="69">
        <v>-67.875</v>
      </c>
      <c r="CL1038" s="69">
        <v>-101.93</v>
      </c>
      <c r="CQ1038" s="42">
        <v>-34.86</v>
      </c>
      <c r="CW1038" s="42">
        <v>-34.520000000000003</v>
      </c>
    </row>
    <row r="1039" spans="1:238" x14ac:dyDescent="0.25">
      <c r="A1039" s="127">
        <v>44599</v>
      </c>
      <c r="B1039" s="24" t="s">
        <v>68</v>
      </c>
      <c r="C1039" s="21">
        <f t="shared" si="20"/>
        <v>-65.015000000000001</v>
      </c>
      <c r="AL1039" s="42">
        <v>-31.19</v>
      </c>
      <c r="BT1039" s="69">
        <v>-33.825000000000003</v>
      </c>
    </row>
    <row r="1040" spans="1:238" x14ac:dyDescent="0.25">
      <c r="A1040" s="127">
        <v>44600</v>
      </c>
      <c r="B1040" s="24" t="s">
        <v>32</v>
      </c>
      <c r="C1040" s="21">
        <f t="shared" si="20"/>
        <v>-136.26499999999999</v>
      </c>
      <c r="BA1040" s="42">
        <v>-34.49</v>
      </c>
      <c r="BH1040" s="69">
        <v>-33.865000000000002</v>
      </c>
      <c r="BM1040" s="88">
        <v>-34.14</v>
      </c>
      <c r="BT1040" s="69">
        <v>-33.770000000000003</v>
      </c>
    </row>
    <row r="1041" spans="1:238" x14ac:dyDescent="0.25">
      <c r="A1041" s="127">
        <v>44600</v>
      </c>
      <c r="B1041" s="24" t="s">
        <v>15</v>
      </c>
      <c r="C1041" s="21">
        <f t="shared" si="20"/>
        <v>-38.770000000000003</v>
      </c>
      <c r="AI1041" s="126">
        <v>-16.39</v>
      </c>
      <c r="GA1041" s="88">
        <v>-22.38</v>
      </c>
    </row>
    <row r="1042" spans="1:238" x14ac:dyDescent="0.25">
      <c r="A1042" s="127">
        <v>44600</v>
      </c>
      <c r="B1042" s="24" t="s">
        <v>95</v>
      </c>
      <c r="C1042" s="21">
        <f t="shared" si="20"/>
        <v>-557.16499999999996</v>
      </c>
      <c r="AL1042" s="42">
        <v>-31.62</v>
      </c>
      <c r="AU1042" s="42">
        <v>-32.67</v>
      </c>
      <c r="BA1042" s="42">
        <v>-37.020000000000003</v>
      </c>
      <c r="BH1042" s="69">
        <v>-68.614999999999995</v>
      </c>
      <c r="BM1042" s="88">
        <v>-35.22</v>
      </c>
      <c r="BT1042" s="69">
        <v>-33.770000000000003</v>
      </c>
      <c r="BY1042" s="42">
        <v>-68.290000000000006</v>
      </c>
      <c r="CE1042" s="42">
        <v>-68.84</v>
      </c>
      <c r="CK1042" s="42">
        <v>-67.56</v>
      </c>
      <c r="CQ1042" s="42">
        <v>-70.08</v>
      </c>
      <c r="EY1042" s="88">
        <v>-43.48</v>
      </c>
    </row>
    <row r="1043" spans="1:238" x14ac:dyDescent="0.25">
      <c r="A1043" s="127">
        <v>44600</v>
      </c>
      <c r="B1043" s="24" t="s">
        <v>78</v>
      </c>
      <c r="C1043" s="21">
        <f t="shared" si="20"/>
        <v>-84.82</v>
      </c>
      <c r="BB1043" s="69">
        <v>-17.03</v>
      </c>
      <c r="BH1043" s="69">
        <v>-16.945</v>
      </c>
      <c r="BN1043" s="69">
        <v>-17.010000000000002</v>
      </c>
      <c r="BT1043" s="69">
        <v>-16.835000000000001</v>
      </c>
      <c r="BZ1043" s="69">
        <v>-17</v>
      </c>
    </row>
    <row r="1044" spans="1:238" x14ac:dyDescent="0.25">
      <c r="A1044" s="127">
        <v>44600</v>
      </c>
      <c r="B1044" s="24" t="s">
        <v>13</v>
      </c>
      <c r="C1044" s="21">
        <f t="shared" si="20"/>
        <v>-495.34500000000003</v>
      </c>
      <c r="AA1044" s="42">
        <v>-1</v>
      </c>
      <c r="AM1044" s="69">
        <v>-33.594999999999999</v>
      </c>
      <c r="AP1044" s="42">
        <v>-34.11</v>
      </c>
      <c r="CL1044" s="69">
        <v>-67.680000000000007</v>
      </c>
      <c r="CQ1044" s="42">
        <v>-69.72</v>
      </c>
      <c r="CW1044" s="42">
        <v>-34.31</v>
      </c>
      <c r="CX1044" s="69">
        <v>-33.81</v>
      </c>
      <c r="DC1044" s="42">
        <v>-17.16</v>
      </c>
      <c r="DI1044" s="42">
        <v>-34.36</v>
      </c>
      <c r="DO1044" s="375">
        <v>-33.715000000000003</v>
      </c>
      <c r="DT1044" s="69">
        <v>-68.03</v>
      </c>
      <c r="DZ1044" s="69">
        <v>-67.855000000000004</v>
      </c>
    </row>
    <row r="1045" spans="1:238" x14ac:dyDescent="0.25">
      <c r="A1045" s="127">
        <v>44600</v>
      </c>
      <c r="B1045" s="24" t="s">
        <v>50</v>
      </c>
      <c r="C1045" s="21">
        <f t="shared" si="20"/>
        <v>-492.93</v>
      </c>
      <c r="GR1045" s="50">
        <v>-95</v>
      </c>
      <c r="GY1045" s="42">
        <v>-174.6</v>
      </c>
      <c r="ID1045" s="42">
        <v>-223.33</v>
      </c>
    </row>
    <row r="1046" spans="1:238" x14ac:dyDescent="0.25">
      <c r="A1046" s="127">
        <v>44600</v>
      </c>
      <c r="B1046" s="24" t="s">
        <v>78</v>
      </c>
      <c r="C1046" s="21">
        <f t="shared" si="20"/>
        <v>-25.83</v>
      </c>
      <c r="BT1046" s="69">
        <v>-8.4600000000000009</v>
      </c>
      <c r="BY1046" s="42">
        <v>-8.73</v>
      </c>
      <c r="CE1046" s="42">
        <v>-8.64</v>
      </c>
    </row>
    <row r="1047" spans="1:238" x14ac:dyDescent="0.25">
      <c r="A1047" s="127">
        <v>44600</v>
      </c>
      <c r="B1047" s="24" t="s">
        <v>12</v>
      </c>
      <c r="C1047" s="21">
        <f t="shared" si="20"/>
        <v>-210.51499999999999</v>
      </c>
      <c r="O1047" s="375">
        <v>-8.5</v>
      </c>
      <c r="T1047" s="42">
        <v>-15.61</v>
      </c>
      <c r="X1047" s="42">
        <v>-34.11</v>
      </c>
      <c r="AA1047" s="42">
        <v>-16.760000000000002</v>
      </c>
      <c r="AE1047" s="42">
        <v>-8.1300000000000008</v>
      </c>
      <c r="AU1047" s="42">
        <v>-34.159999999999997</v>
      </c>
      <c r="BB1047" s="69">
        <v>-34.049999999999997</v>
      </c>
      <c r="BM1047" s="88">
        <v>-16.940000000000001</v>
      </c>
      <c r="CL1047" s="69">
        <v>-25.225000000000001</v>
      </c>
      <c r="DO1047" s="375">
        <v>-17.03</v>
      </c>
    </row>
    <row r="1048" spans="1:238" x14ac:dyDescent="0.25">
      <c r="A1048" s="127">
        <v>44601</v>
      </c>
      <c r="B1048" s="24" t="s">
        <v>15</v>
      </c>
      <c r="C1048" s="21">
        <f t="shared" si="20"/>
        <v>-289.87</v>
      </c>
      <c r="AP1048" s="42">
        <v>-17.59</v>
      </c>
      <c r="BA1048" s="42">
        <v>-52.27</v>
      </c>
      <c r="BH1048" s="69">
        <v>-50.865000000000002</v>
      </c>
      <c r="BM1048" s="88">
        <v>-67.86</v>
      </c>
      <c r="BT1048" s="69">
        <v>-33.835000000000001</v>
      </c>
      <c r="BY1048" s="42">
        <v>-34.869999999999997</v>
      </c>
      <c r="CE1048" s="42">
        <v>-32.58</v>
      </c>
    </row>
    <row r="1049" spans="1:238" x14ac:dyDescent="0.25">
      <c r="A1049" s="127">
        <v>44601</v>
      </c>
      <c r="B1049" s="24" t="s">
        <v>13</v>
      </c>
      <c r="C1049" s="21">
        <f t="shared" si="20"/>
        <v>-33.854999999999997</v>
      </c>
      <c r="DZ1049" s="69">
        <v>-33.854999999999997</v>
      </c>
    </row>
    <row r="1050" spans="1:238" x14ac:dyDescent="0.25">
      <c r="A1050" s="127">
        <v>44601</v>
      </c>
      <c r="B1050" s="24" t="s">
        <v>12</v>
      </c>
      <c r="C1050" s="21">
        <f t="shared" si="20"/>
        <v>-64.95</v>
      </c>
      <c r="BA1050" s="42">
        <v>-34.49</v>
      </c>
      <c r="HZ1050" s="42">
        <v>-30.46</v>
      </c>
    </row>
    <row r="1051" spans="1:238" x14ac:dyDescent="0.25">
      <c r="A1051" s="127">
        <v>44601</v>
      </c>
      <c r="B1051" s="24" t="s">
        <v>95</v>
      </c>
      <c r="C1051" s="21">
        <f t="shared" si="20"/>
        <v>-475.54500000000002</v>
      </c>
      <c r="BB1051" s="69">
        <v>-33.17</v>
      </c>
      <c r="BN1051" s="69">
        <v>-67.98</v>
      </c>
      <c r="BT1051" s="69">
        <v>-34.195</v>
      </c>
      <c r="BY1051" s="42">
        <v>-70.28</v>
      </c>
      <c r="CE1051" s="42">
        <v>-97.32</v>
      </c>
      <c r="CK1051" s="42">
        <v>-103.62</v>
      </c>
      <c r="CQ1051" s="42">
        <v>-34.659999999999997</v>
      </c>
      <c r="CW1051" s="42">
        <v>-34.32</v>
      </c>
    </row>
    <row r="1052" spans="1:238" x14ac:dyDescent="0.25">
      <c r="A1052" s="127">
        <v>44601</v>
      </c>
      <c r="B1052" s="24" t="s">
        <v>13</v>
      </c>
      <c r="C1052" s="21">
        <f t="shared" si="20"/>
        <v>-33.81</v>
      </c>
      <c r="CL1052" s="69">
        <v>-33.81</v>
      </c>
    </row>
    <row r="1053" spans="1:238" x14ac:dyDescent="0.25">
      <c r="A1053" s="127">
        <v>44601</v>
      </c>
      <c r="B1053" s="24" t="s">
        <v>19</v>
      </c>
      <c r="C1053" s="21">
        <f t="shared" si="20"/>
        <v>-867.39</v>
      </c>
      <c r="AL1053" s="42">
        <v>-66.739999999999995</v>
      </c>
      <c r="BB1053" s="69">
        <v>-68.135000000000005</v>
      </c>
      <c r="BN1053" s="69">
        <v>-68.22</v>
      </c>
      <c r="BZ1053" s="69">
        <v>-68.405000000000001</v>
      </c>
      <c r="CF1053" s="69">
        <v>-101.86</v>
      </c>
      <c r="CK1053" s="42">
        <v>-101.66</v>
      </c>
      <c r="CW1053" s="42">
        <v>-68.599999999999994</v>
      </c>
      <c r="DI1053" s="42">
        <v>-34.4</v>
      </c>
      <c r="HG1053" s="42">
        <v>-31.81</v>
      </c>
      <c r="HQ1053" s="42">
        <v>-62</v>
      </c>
      <c r="HU1053" s="42">
        <v>-33.32</v>
      </c>
      <c r="HZ1053" s="42">
        <v>-162.24</v>
      </c>
    </row>
    <row r="1054" spans="1:238" x14ac:dyDescent="0.25">
      <c r="A1054" s="127">
        <v>44601</v>
      </c>
      <c r="B1054" s="24" t="s">
        <v>78</v>
      </c>
      <c r="C1054" s="21">
        <f t="shared" si="20"/>
        <v>-85.655000000000001</v>
      </c>
      <c r="AA1054" s="42">
        <v>-8.65</v>
      </c>
      <c r="BB1054" s="69">
        <v>-8.5250000000000004</v>
      </c>
      <c r="BH1054" s="69">
        <v>-8.5850000000000009</v>
      </c>
      <c r="BM1054" s="88">
        <v>-8.5299999999999994</v>
      </c>
      <c r="BT1054" s="69">
        <v>-8.4550000000000001</v>
      </c>
      <c r="BY1054" s="42">
        <v>-8.5500000000000007</v>
      </c>
      <c r="CE1054" s="42">
        <v>-8.7799999999999994</v>
      </c>
      <c r="CK1054" s="42">
        <v>-8.51</v>
      </c>
      <c r="CQ1054" s="42">
        <v>-8.42</v>
      </c>
      <c r="CW1054" s="42">
        <v>-8.65</v>
      </c>
    </row>
    <row r="1055" spans="1:238" x14ac:dyDescent="0.25">
      <c r="A1055" s="127">
        <v>44601</v>
      </c>
      <c r="B1055" s="24" t="s">
        <v>39</v>
      </c>
      <c r="C1055" s="21">
        <f t="shared" si="20"/>
        <v>-33.085000000000001</v>
      </c>
      <c r="AL1055" s="42">
        <v>-7.95</v>
      </c>
      <c r="BA1055" s="42">
        <v>-8.02</v>
      </c>
      <c r="BH1055" s="69">
        <v>-8.5850000000000009</v>
      </c>
      <c r="BM1055" s="88">
        <v>-8.5299999999999994</v>
      </c>
    </row>
    <row r="1056" spans="1:238" x14ac:dyDescent="0.25">
      <c r="A1056" s="127">
        <v>44601</v>
      </c>
      <c r="B1056" s="24" t="s">
        <v>78</v>
      </c>
      <c r="C1056" s="21">
        <f t="shared" si="20"/>
        <v>-17.350000000000001</v>
      </c>
      <c r="AP1056" s="42">
        <v>-8.8000000000000007</v>
      </c>
      <c r="BM1056" s="88">
        <v>-8.5500000000000007</v>
      </c>
    </row>
    <row r="1057" spans="1:231" x14ac:dyDescent="0.25">
      <c r="A1057" s="127">
        <v>44601</v>
      </c>
      <c r="B1057" s="24" t="s">
        <v>37</v>
      </c>
      <c r="C1057" s="21">
        <f t="shared" si="20"/>
        <v>-33.020000000000003</v>
      </c>
      <c r="HU1057" s="42">
        <v>-33.020000000000003</v>
      </c>
    </row>
    <row r="1058" spans="1:231" x14ac:dyDescent="0.25">
      <c r="A1058" s="127">
        <v>44601</v>
      </c>
      <c r="B1058" s="24" t="s">
        <v>80</v>
      </c>
      <c r="C1058" s="21">
        <f t="shared" si="20"/>
        <v>-67.150000000000006</v>
      </c>
      <c r="AP1058" s="42">
        <v>-67.150000000000006</v>
      </c>
    </row>
    <row r="1059" spans="1:231" x14ac:dyDescent="0.25">
      <c r="A1059" s="127">
        <v>44601</v>
      </c>
      <c r="B1059" s="24" t="s">
        <v>19</v>
      </c>
      <c r="C1059" s="21">
        <f t="shared" si="20"/>
        <v>291.75</v>
      </c>
      <c r="BD1059" s="121">
        <v>26.78</v>
      </c>
      <c r="BJ1059" s="121">
        <v>31.68</v>
      </c>
      <c r="BP1059" s="121">
        <v>32.5</v>
      </c>
      <c r="BV1059" s="121">
        <v>31.17</v>
      </c>
      <c r="CB1059" s="121">
        <v>34.54</v>
      </c>
      <c r="CH1059" s="121">
        <v>34.36</v>
      </c>
      <c r="CN1059" s="121">
        <v>35.590000000000003</v>
      </c>
      <c r="CZ1059" s="121">
        <v>32.03</v>
      </c>
      <c r="DL1059" s="121">
        <v>33.1</v>
      </c>
    </row>
    <row r="1060" spans="1:231" x14ac:dyDescent="0.25">
      <c r="A1060" s="127">
        <v>44602</v>
      </c>
      <c r="B1060" s="24" t="s">
        <v>47</v>
      </c>
      <c r="C1060" s="21">
        <f t="shared" si="20"/>
        <v>-85.135000000000005</v>
      </c>
      <c r="AP1060" s="42">
        <v>-8.4700000000000006</v>
      </c>
      <c r="BB1060" s="69">
        <v>-25.84</v>
      </c>
      <c r="BH1060" s="69">
        <v>-25.695</v>
      </c>
      <c r="BM1060" s="88">
        <v>-25.13</v>
      </c>
    </row>
    <row r="1061" spans="1:231" x14ac:dyDescent="0.25">
      <c r="A1061" s="127">
        <v>44602</v>
      </c>
      <c r="B1061" s="24" t="s">
        <v>15</v>
      </c>
      <c r="C1061" s="21">
        <f t="shared" si="20"/>
        <v>-84.704999999999998</v>
      </c>
      <c r="BH1061" s="69">
        <v>-17.175000000000001</v>
      </c>
      <c r="BT1061" s="69">
        <v>-15.62</v>
      </c>
      <c r="CE1061" s="42">
        <v>-17.420000000000002</v>
      </c>
      <c r="CQ1061" s="42">
        <v>-17.329999999999998</v>
      </c>
      <c r="DC1061" s="42">
        <v>-17.16</v>
      </c>
    </row>
    <row r="1062" spans="1:231" x14ac:dyDescent="0.25">
      <c r="A1062" s="127">
        <v>44602</v>
      </c>
      <c r="B1062" s="24" t="s">
        <v>78</v>
      </c>
      <c r="C1062" s="21">
        <f t="shared" si="20"/>
        <v>-17.25</v>
      </c>
      <c r="BY1062" s="42">
        <v>-8.77</v>
      </c>
      <c r="CK1062" s="42">
        <v>-8.48</v>
      </c>
    </row>
    <row r="1063" spans="1:231" x14ac:dyDescent="0.25">
      <c r="A1063" s="127">
        <v>44602</v>
      </c>
      <c r="B1063" s="24" t="s">
        <v>58</v>
      </c>
      <c r="C1063" s="21">
        <f t="shared" si="20"/>
        <v>0</v>
      </c>
    </row>
    <row r="1064" spans="1:231" x14ac:dyDescent="0.25">
      <c r="A1064" s="127">
        <v>44603</v>
      </c>
      <c r="B1064" s="24" t="s">
        <v>15</v>
      </c>
      <c r="C1064" s="21">
        <f t="shared" si="20"/>
        <v>-8.59</v>
      </c>
      <c r="BH1064" s="69">
        <v>-8.59</v>
      </c>
    </row>
    <row r="1065" spans="1:231" x14ac:dyDescent="0.25">
      <c r="A1065" s="127">
        <v>44603</v>
      </c>
      <c r="B1065" s="24" t="s">
        <v>102</v>
      </c>
      <c r="C1065" s="21">
        <f t="shared" si="20"/>
        <v>-255.48</v>
      </c>
      <c r="AL1065" s="42">
        <v>-16.5</v>
      </c>
      <c r="AP1065" s="42">
        <v>-17.13</v>
      </c>
      <c r="AU1065" s="42">
        <v>-17.38</v>
      </c>
      <c r="BB1065" s="69">
        <v>-17.329999999999998</v>
      </c>
      <c r="BH1065" s="69">
        <v>-25.684999999999999</v>
      </c>
      <c r="BN1065" s="69">
        <v>-34.08</v>
      </c>
      <c r="BZ1065" s="69">
        <v>-34.125</v>
      </c>
      <c r="CE1065" s="42">
        <v>-67.819999999999993</v>
      </c>
      <c r="CK1065" s="42">
        <v>-25.43</v>
      </c>
    </row>
    <row r="1066" spans="1:231" x14ac:dyDescent="0.25">
      <c r="A1066" s="127">
        <v>44603</v>
      </c>
      <c r="B1066" s="24" t="s">
        <v>43</v>
      </c>
      <c r="C1066" s="21">
        <f t="shared" si="20"/>
        <v>-637.9</v>
      </c>
      <c r="T1066" s="42">
        <v>-30.94</v>
      </c>
      <c r="X1066" s="42">
        <v>-29.27</v>
      </c>
      <c r="AA1066" s="42">
        <v>-33.79</v>
      </c>
      <c r="BA1066" s="42">
        <v>-68.92</v>
      </c>
      <c r="BM1066" s="88">
        <v>-68.05</v>
      </c>
      <c r="BY1066" s="42">
        <v>-69.52</v>
      </c>
      <c r="CE1066" s="42">
        <v>-62.86</v>
      </c>
      <c r="CK1066" s="42">
        <v>-67.3</v>
      </c>
      <c r="CQ1066" s="42">
        <v>-69.34</v>
      </c>
      <c r="CW1066" s="42">
        <v>-68.36</v>
      </c>
      <c r="DI1066" s="42">
        <v>-35.130000000000003</v>
      </c>
      <c r="DS1066" s="42">
        <v>-34.42</v>
      </c>
    </row>
    <row r="1067" spans="1:231" x14ac:dyDescent="0.25">
      <c r="A1067" s="127">
        <v>44603</v>
      </c>
      <c r="B1067" s="24" t="s">
        <v>12</v>
      </c>
      <c r="C1067" s="21">
        <f t="shared" si="20"/>
        <v>0</v>
      </c>
    </row>
    <row r="1068" spans="1:231" x14ac:dyDescent="0.25">
      <c r="A1068" s="127">
        <v>44606</v>
      </c>
      <c r="B1068" s="24" t="s">
        <v>37</v>
      </c>
      <c r="C1068" s="21">
        <f t="shared" si="20"/>
        <v>-158.06</v>
      </c>
      <c r="HK1068" s="50">
        <v>-32.67</v>
      </c>
      <c r="HO1068" s="42">
        <v>-62.68</v>
      </c>
      <c r="HQ1068" s="42">
        <v>-31.99</v>
      </c>
      <c r="HW1068" s="42">
        <v>-30.72</v>
      </c>
    </row>
    <row r="1069" spans="1:231" x14ac:dyDescent="0.25">
      <c r="A1069" s="127">
        <v>44606</v>
      </c>
      <c r="B1069" s="24" t="s">
        <v>78</v>
      </c>
      <c r="C1069" s="21">
        <f t="shared" si="20"/>
        <v>-30.734999999999999</v>
      </c>
      <c r="DJ1069" s="69">
        <v>-8.5449999999999999</v>
      </c>
      <c r="GA1069" s="88">
        <v>-22.19</v>
      </c>
    </row>
    <row r="1070" spans="1:231" x14ac:dyDescent="0.25">
      <c r="A1070" s="127">
        <v>44606</v>
      </c>
      <c r="B1070" s="24" t="s">
        <v>78</v>
      </c>
      <c r="C1070" s="21">
        <f t="shared" si="20"/>
        <v>1415.33</v>
      </c>
      <c r="U1070" s="69">
        <v>85.91</v>
      </c>
      <c r="Y1070" s="69">
        <v>188.65</v>
      </c>
      <c r="AB1070" s="69">
        <v>221.91</v>
      </c>
      <c r="AF1070" s="69">
        <v>249.45</v>
      </c>
      <c r="AM1070" s="69">
        <v>25.78</v>
      </c>
      <c r="AQ1070" s="69">
        <v>59.5</v>
      </c>
      <c r="AV1070" s="69">
        <v>76.58</v>
      </c>
      <c r="BH1070" s="69">
        <v>145.16</v>
      </c>
      <c r="BN1070" s="69">
        <v>220.66</v>
      </c>
      <c r="BZ1070" s="69">
        <v>23.53</v>
      </c>
      <c r="CL1070" s="69">
        <v>42.28</v>
      </c>
      <c r="CR1070" s="69">
        <v>8.57</v>
      </c>
      <c r="DD1070" s="69">
        <v>16.59</v>
      </c>
      <c r="DJ1070" s="69">
        <v>16.97</v>
      </c>
      <c r="DO1070" s="375">
        <v>33.79</v>
      </c>
    </row>
    <row r="1071" spans="1:231" x14ac:dyDescent="0.25">
      <c r="A1071" s="127">
        <v>44607</v>
      </c>
      <c r="B1071" s="24" t="s">
        <v>95</v>
      </c>
      <c r="C1071" s="21">
        <f t="shared" si="20"/>
        <v>-442.94499999999999</v>
      </c>
      <c r="BN1071" s="69">
        <v>-135.80000000000001</v>
      </c>
      <c r="BZ1071" s="69">
        <v>-67.885000000000005</v>
      </c>
      <c r="CF1071" s="69">
        <v>-101.64</v>
      </c>
      <c r="CL1071" s="69">
        <v>-33.9</v>
      </c>
      <c r="CQ1071" s="42">
        <v>-34.369999999999997</v>
      </c>
      <c r="CW1071" s="42">
        <v>-69.349999999999994</v>
      </c>
    </row>
    <row r="1072" spans="1:231" x14ac:dyDescent="0.25">
      <c r="A1072" s="127">
        <v>44607</v>
      </c>
      <c r="B1072" s="24" t="s">
        <v>78</v>
      </c>
      <c r="C1072" s="21">
        <f t="shared" si="20"/>
        <v>-68.075000000000003</v>
      </c>
      <c r="Y1072" s="69">
        <v>-8.5549999999999997</v>
      </c>
      <c r="AF1072" s="69">
        <v>-8.4600000000000009</v>
      </c>
      <c r="BN1072" s="69">
        <v>-33.840000000000003</v>
      </c>
      <c r="CE1072" s="42">
        <v>-17.22</v>
      </c>
    </row>
    <row r="1073" spans="1:223" x14ac:dyDescent="0.25">
      <c r="A1073" s="127">
        <v>44607</v>
      </c>
      <c r="B1073" s="24" t="s">
        <v>32</v>
      </c>
      <c r="C1073" s="21">
        <f t="shared" si="20"/>
        <v>-130.08500000000001</v>
      </c>
      <c r="AF1073" s="69">
        <v>-29.68</v>
      </c>
      <c r="AQ1073" s="69">
        <v>-34.29</v>
      </c>
      <c r="BY1073" s="42">
        <v>-7.89</v>
      </c>
      <c r="BZ1073" s="69">
        <f>-7.09-8.02-8.415</f>
        <v>-23.524999999999999</v>
      </c>
      <c r="CE1073" s="42">
        <v>-17.309999999999999</v>
      </c>
      <c r="CQ1073" s="42">
        <v>-17.39</v>
      </c>
    </row>
    <row r="1074" spans="1:223" x14ac:dyDescent="0.25">
      <c r="A1074" s="127">
        <v>44607</v>
      </c>
      <c r="B1074" s="24" t="s">
        <v>75</v>
      </c>
      <c r="C1074" s="21">
        <f t="shared" si="20"/>
        <v>-59.34</v>
      </c>
      <c r="AA1074" s="42">
        <v>-8.35</v>
      </c>
      <c r="AF1074" s="69">
        <v>-8.26</v>
      </c>
      <c r="BH1074" s="69">
        <v>-8.5850000000000009</v>
      </c>
      <c r="BN1074" s="69">
        <v>-8.5</v>
      </c>
      <c r="BT1074" s="69">
        <v>-16.905000000000001</v>
      </c>
      <c r="BY1074" s="42">
        <v>-8.74</v>
      </c>
    </row>
    <row r="1075" spans="1:223" x14ac:dyDescent="0.25">
      <c r="A1075" s="127">
        <v>44607</v>
      </c>
      <c r="B1075" s="24" t="s">
        <v>84</v>
      </c>
      <c r="C1075" s="21">
        <f t="shared" si="20"/>
        <v>-34.255000000000003</v>
      </c>
      <c r="AL1075" s="42">
        <v>-8.6</v>
      </c>
      <c r="BB1075" s="69">
        <v>-8.5950000000000006</v>
      </c>
      <c r="BH1075" s="69">
        <v>-8.6150000000000002</v>
      </c>
      <c r="BT1075" s="69">
        <v>-8.4450000000000003</v>
      </c>
    </row>
    <row r="1076" spans="1:223" x14ac:dyDescent="0.25">
      <c r="A1076" s="127">
        <v>44607</v>
      </c>
      <c r="B1076" s="24" t="s">
        <v>20</v>
      </c>
      <c r="C1076" s="21">
        <f t="shared" si="20"/>
        <v>-68.47</v>
      </c>
      <c r="AU1076" s="42">
        <v>-8.68</v>
      </c>
      <c r="BB1076" s="69">
        <v>-8.5250000000000004</v>
      </c>
      <c r="BH1076" s="69">
        <v>-8.49</v>
      </c>
      <c r="BN1076" s="69">
        <v>-8.5399999999999991</v>
      </c>
      <c r="BT1076" s="69">
        <v>-8.4450000000000003</v>
      </c>
      <c r="BY1076" s="42">
        <v>-8.73</v>
      </c>
      <c r="CF1076" s="69">
        <v>-8.4949999999999992</v>
      </c>
      <c r="CR1076" s="69">
        <v>-8.5649999999999995</v>
      </c>
    </row>
    <row r="1077" spans="1:223" x14ac:dyDescent="0.25">
      <c r="A1077" s="127">
        <v>44607</v>
      </c>
      <c r="B1077" s="24" t="s">
        <v>27</v>
      </c>
      <c r="C1077" s="21">
        <f t="shared" si="20"/>
        <v>-33.93</v>
      </c>
      <c r="AI1077" s="126">
        <v>-8.24</v>
      </c>
      <c r="AO1077" s="46">
        <v>-8.43</v>
      </c>
      <c r="AT1077" s="46">
        <v>-8.76</v>
      </c>
      <c r="BJ1077" s="121">
        <v>-8.5</v>
      </c>
    </row>
    <row r="1078" spans="1:223" x14ac:dyDescent="0.25">
      <c r="A1078" s="127">
        <v>44608</v>
      </c>
      <c r="B1078" s="24" t="s">
        <v>80</v>
      </c>
      <c r="C1078" s="21">
        <f t="shared" si="20"/>
        <v>-25.4</v>
      </c>
      <c r="AL1078" s="42">
        <v>-17.670000000000002</v>
      </c>
      <c r="AP1078" s="42">
        <v>-7.73</v>
      </c>
    </row>
    <row r="1079" spans="1:223" x14ac:dyDescent="0.25">
      <c r="A1079" s="127">
        <v>44608</v>
      </c>
      <c r="B1079" s="24" t="s">
        <v>72</v>
      </c>
      <c r="C1079" s="21">
        <f t="shared" si="20"/>
        <v>-25.14</v>
      </c>
      <c r="BM1079" s="88">
        <v>-25.14</v>
      </c>
    </row>
    <row r="1080" spans="1:223" x14ac:dyDescent="0.25">
      <c r="A1080" s="127">
        <v>44608</v>
      </c>
      <c r="B1080" s="24" t="s">
        <v>103</v>
      </c>
      <c r="C1080" s="21">
        <f t="shared" si="20"/>
        <v>-42.965000000000003</v>
      </c>
      <c r="BY1080" s="42">
        <v>-8.7799999999999994</v>
      </c>
      <c r="BZ1080" s="69">
        <v>-34.185000000000002</v>
      </c>
    </row>
    <row r="1081" spans="1:223" x14ac:dyDescent="0.25">
      <c r="A1081" s="127">
        <v>44608</v>
      </c>
      <c r="B1081" s="24" t="s">
        <v>94</v>
      </c>
      <c r="C1081" s="21">
        <f t="shared" si="20"/>
        <v>0</v>
      </c>
    </row>
    <row r="1082" spans="1:223" x14ac:dyDescent="0.25">
      <c r="A1082" s="127">
        <v>44608</v>
      </c>
      <c r="B1082" s="24" t="s">
        <v>32</v>
      </c>
      <c r="C1082" s="21">
        <f t="shared" si="20"/>
        <v>-17.16</v>
      </c>
      <c r="BH1082" s="69">
        <v>-17.16</v>
      </c>
    </row>
    <row r="1083" spans="1:223" x14ac:dyDescent="0.25">
      <c r="A1083" s="127">
        <v>44608</v>
      </c>
      <c r="B1083" s="24" t="s">
        <v>75</v>
      </c>
      <c r="C1083" s="21">
        <f t="shared" si="20"/>
        <v>-42.185000000000002</v>
      </c>
      <c r="DC1083" s="42">
        <f>-8.59-8.59</f>
        <v>-17.18</v>
      </c>
      <c r="DD1083" s="69">
        <f>-8.32-8.27</f>
        <v>-16.59</v>
      </c>
      <c r="DJ1083" s="69">
        <v>-8.4149999999999991</v>
      </c>
    </row>
    <row r="1084" spans="1:223" x14ac:dyDescent="0.25">
      <c r="A1084" s="127">
        <v>44609</v>
      </c>
      <c r="B1084" s="24" t="s">
        <v>59</v>
      </c>
      <c r="C1084" s="21">
        <f t="shared" si="20"/>
        <v>-8.56</v>
      </c>
      <c r="CW1084" s="42">
        <v>-8.56</v>
      </c>
    </row>
    <row r="1085" spans="1:223" x14ac:dyDescent="0.25">
      <c r="A1085" s="127">
        <v>44609</v>
      </c>
      <c r="B1085" s="24" t="s">
        <v>37</v>
      </c>
      <c r="C1085" s="21">
        <f t="shared" si="20"/>
        <v>-253</v>
      </c>
      <c r="HK1085" s="50">
        <v>-89.84</v>
      </c>
      <c r="HL1085" s="42">
        <v>-97.2</v>
      </c>
      <c r="HO1085" s="42">
        <v>-65.959999999999994</v>
      </c>
    </row>
    <row r="1086" spans="1:223" x14ac:dyDescent="0.25">
      <c r="A1086" s="127">
        <v>44609</v>
      </c>
      <c r="B1086" s="24" t="s">
        <v>32</v>
      </c>
      <c r="C1086" s="21">
        <f t="shared" si="20"/>
        <v>-67.7</v>
      </c>
      <c r="AF1086" s="69">
        <v>-67.7</v>
      </c>
    </row>
    <row r="1087" spans="1:223" x14ac:dyDescent="0.25">
      <c r="A1087" s="127">
        <v>44609</v>
      </c>
      <c r="B1087" s="24" t="s">
        <v>72</v>
      </c>
      <c r="C1087" s="21">
        <f t="shared" si="20"/>
        <v>-25.135000000000002</v>
      </c>
      <c r="BG1087" s="42">
        <v>-8.59</v>
      </c>
      <c r="BN1087" s="69">
        <v>-8.4749999999999996</v>
      </c>
      <c r="BV1087" s="121">
        <v>-8.07</v>
      </c>
    </row>
    <row r="1088" spans="1:223" x14ac:dyDescent="0.25">
      <c r="A1088" s="127">
        <v>44609</v>
      </c>
      <c r="B1088" s="24" t="s">
        <v>40</v>
      </c>
      <c r="C1088" s="21">
        <f t="shared" si="20"/>
        <v>-186.87</v>
      </c>
      <c r="HL1088" s="42">
        <v>-186.87</v>
      </c>
    </row>
    <row r="1089" spans="1:223" x14ac:dyDescent="0.25">
      <c r="A1089" s="127">
        <v>44609</v>
      </c>
      <c r="B1089" s="24" t="s">
        <v>2</v>
      </c>
      <c r="C1089" s="21">
        <f t="shared" si="20"/>
        <v>621.46</v>
      </c>
      <c r="BG1089" s="42">
        <v>313.18</v>
      </c>
      <c r="HL1089" s="42">
        <v>308.27999999999997</v>
      </c>
    </row>
    <row r="1090" spans="1:223" x14ac:dyDescent="0.25">
      <c r="A1090" s="127">
        <v>44610</v>
      </c>
      <c r="B1090" s="24" t="s">
        <v>78</v>
      </c>
      <c r="C1090" s="21">
        <f t="shared" si="20"/>
        <v>-76.275000000000006</v>
      </c>
      <c r="BB1090" s="69">
        <v>-17.045000000000002</v>
      </c>
      <c r="BG1090" s="42">
        <v>-8.27</v>
      </c>
      <c r="BH1090" s="69">
        <f>-8.59-8.595-8.585</f>
        <v>-25.77</v>
      </c>
      <c r="BM1090" s="88">
        <v>-16.62</v>
      </c>
      <c r="CW1090" s="42">
        <v>-8.57</v>
      </c>
    </row>
    <row r="1091" spans="1:223" x14ac:dyDescent="0.25">
      <c r="A1091" s="127">
        <v>44610</v>
      </c>
      <c r="B1091" s="24" t="s">
        <v>17</v>
      </c>
      <c r="C1091" s="21">
        <f t="shared" si="20"/>
        <v>-35.200000000000003</v>
      </c>
      <c r="EJ1091" s="42">
        <v>-35.200000000000003</v>
      </c>
    </row>
    <row r="1092" spans="1:223" x14ac:dyDescent="0.25">
      <c r="A1092" s="127">
        <v>44610</v>
      </c>
      <c r="B1092" s="24" t="s">
        <v>104</v>
      </c>
      <c r="C1092" s="21">
        <f t="shared" si="20"/>
        <v>161.59</v>
      </c>
      <c r="AL1092" s="42">
        <v>16.5</v>
      </c>
      <c r="AP1092" s="42">
        <v>17.13</v>
      </c>
      <c r="AU1092" s="42">
        <v>17.38</v>
      </c>
      <c r="BA1092" s="42">
        <v>17.329999999999998</v>
      </c>
      <c r="CE1092" s="42">
        <v>67.819999999999993</v>
      </c>
      <c r="CK1092" s="42">
        <v>25.43</v>
      </c>
    </row>
    <row r="1093" spans="1:223" x14ac:dyDescent="0.25">
      <c r="A1093" s="127">
        <v>44610</v>
      </c>
      <c r="B1093" s="29" t="s">
        <v>59</v>
      </c>
      <c r="C1093" s="21">
        <f t="shared" si="20"/>
        <v>-7.9</v>
      </c>
      <c r="DG1093" s="126">
        <v>-7.9</v>
      </c>
    </row>
    <row r="1094" spans="1:223" x14ac:dyDescent="0.25">
      <c r="A1094" s="127">
        <v>44610</v>
      </c>
      <c r="B1094" s="24" t="s">
        <v>78</v>
      </c>
      <c r="C1094" s="21">
        <f t="shared" si="20"/>
        <v>-25.44</v>
      </c>
      <c r="CF1094" s="69">
        <v>-25.44</v>
      </c>
    </row>
    <row r="1095" spans="1:223" x14ac:dyDescent="0.25">
      <c r="A1095" s="127">
        <v>44611</v>
      </c>
      <c r="B1095" s="24" t="s">
        <v>20</v>
      </c>
      <c r="C1095" s="21">
        <f t="shared" si="20"/>
        <v>-8.65</v>
      </c>
      <c r="AA1095" s="42">
        <v>-8.65</v>
      </c>
    </row>
    <row r="1096" spans="1:223" x14ac:dyDescent="0.25">
      <c r="A1096" s="127">
        <v>44611</v>
      </c>
      <c r="B1096" s="24" t="s">
        <v>53</v>
      </c>
      <c r="C1096" s="21">
        <f t="shared" ref="C1096:C1159" si="21">SUM(I1096:JT1096)</f>
        <v>-465.40499999999997</v>
      </c>
      <c r="L1096" s="69">
        <v>-67.959999999999994</v>
      </c>
      <c r="O1096" s="375">
        <v>-25.425000000000001</v>
      </c>
      <c r="Y1096" s="69">
        <v>-102.49</v>
      </c>
      <c r="DN1096" s="42">
        <v>-133.44999999999999</v>
      </c>
      <c r="DO1096" s="375">
        <v>-136.08000000000001</v>
      </c>
    </row>
    <row r="1097" spans="1:223" x14ac:dyDescent="0.25">
      <c r="A1097" s="127">
        <v>44611</v>
      </c>
      <c r="B1097" s="24" t="s">
        <v>72</v>
      </c>
      <c r="C1097" s="21">
        <f t="shared" si="21"/>
        <v>-67.83</v>
      </c>
      <c r="EW1097" s="88">
        <v>-67.83</v>
      </c>
    </row>
    <row r="1098" spans="1:223" x14ac:dyDescent="0.25">
      <c r="A1098" s="127">
        <v>44611</v>
      </c>
      <c r="B1098" s="24" t="s">
        <v>27</v>
      </c>
      <c r="C1098" s="21">
        <f t="shared" si="21"/>
        <v>-72.31</v>
      </c>
      <c r="CN1098" s="121">
        <v>-8.52</v>
      </c>
      <c r="CT1098" s="121">
        <v>-16.690000000000001</v>
      </c>
      <c r="CZ1098" s="121">
        <v>-16.53</v>
      </c>
      <c r="DC1098" s="42">
        <v>-6.25</v>
      </c>
      <c r="DF1098" s="121">
        <v>-7.85</v>
      </c>
      <c r="DV1098" s="121">
        <v>-16.47</v>
      </c>
    </row>
    <row r="1099" spans="1:223" x14ac:dyDescent="0.25">
      <c r="A1099" s="127">
        <v>44611</v>
      </c>
      <c r="B1099" s="24" t="s">
        <v>17</v>
      </c>
      <c r="C1099" s="21">
        <f t="shared" si="21"/>
        <v>-42.185000000000002</v>
      </c>
      <c r="AB1099" s="69">
        <v>-8.57</v>
      </c>
      <c r="BH1099" s="69">
        <v>-33.615000000000002</v>
      </c>
    </row>
    <row r="1100" spans="1:223" x14ac:dyDescent="0.25">
      <c r="A1100" s="127">
        <v>44611</v>
      </c>
      <c r="B1100" s="24" t="s">
        <v>78</v>
      </c>
      <c r="C1100" s="21">
        <f t="shared" si="21"/>
        <v>-17.579999999999998</v>
      </c>
      <c r="DS1100" s="42">
        <v>-17.579999999999998</v>
      </c>
    </row>
    <row r="1101" spans="1:223" x14ac:dyDescent="0.25">
      <c r="A1101" s="127">
        <v>44613</v>
      </c>
      <c r="B1101" s="24" t="s">
        <v>57</v>
      </c>
      <c r="C1101" s="21">
        <f t="shared" si="21"/>
        <v>-83.165000000000006</v>
      </c>
      <c r="AA1101" s="42">
        <v>-8.92</v>
      </c>
      <c r="AU1101" s="42">
        <v>-17.38</v>
      </c>
      <c r="BA1101" s="42">
        <v>-8.6199999999999992</v>
      </c>
      <c r="BG1101" s="42">
        <v>-25.16</v>
      </c>
      <c r="BN1101" s="69">
        <v>-8.5</v>
      </c>
      <c r="BT1101" s="69">
        <v>-8.3849999999999998</v>
      </c>
      <c r="BY1101" s="42">
        <v>-6.2</v>
      </c>
    </row>
    <row r="1102" spans="1:223" x14ac:dyDescent="0.25">
      <c r="A1102" s="127">
        <v>44613</v>
      </c>
      <c r="B1102" s="24" t="s">
        <v>95</v>
      </c>
      <c r="C1102" s="21">
        <f t="shared" si="21"/>
        <v>-91.165000000000006</v>
      </c>
      <c r="EN1102" s="42">
        <v>-82.82</v>
      </c>
      <c r="EO1102" s="69">
        <v>-8.3450000000000006</v>
      </c>
    </row>
    <row r="1103" spans="1:223" x14ac:dyDescent="0.25">
      <c r="A1103" s="127">
        <v>44613</v>
      </c>
      <c r="B1103" s="24" t="s">
        <v>32</v>
      </c>
      <c r="C1103" s="21">
        <f t="shared" si="21"/>
        <v>-118.58</v>
      </c>
      <c r="AL1103" s="42">
        <v>-17.59</v>
      </c>
      <c r="AP1103" s="42">
        <v>-17.13</v>
      </c>
      <c r="BG1103" s="42">
        <v>-32.799999999999997</v>
      </c>
      <c r="BN1103" s="69">
        <v>-33.880000000000003</v>
      </c>
      <c r="CE1103" s="42">
        <v>-17.18</v>
      </c>
    </row>
    <row r="1104" spans="1:223" x14ac:dyDescent="0.25">
      <c r="A1104" s="127">
        <v>44613</v>
      </c>
      <c r="B1104" s="24" t="s">
        <v>37</v>
      </c>
      <c r="C1104" s="21">
        <f t="shared" si="21"/>
        <v>-33.200000000000003</v>
      </c>
      <c r="HO1104" s="42">
        <v>-33.200000000000003</v>
      </c>
    </row>
    <row r="1105" spans="1:220" x14ac:dyDescent="0.25">
      <c r="A1105" s="127">
        <v>44613</v>
      </c>
      <c r="B1105" s="24" t="s">
        <v>45</v>
      </c>
      <c r="C1105" s="21">
        <f t="shared" si="21"/>
        <v>-17.41</v>
      </c>
      <c r="AU1105" s="42">
        <v>-8.6999999999999993</v>
      </c>
      <c r="BA1105" s="42">
        <v>-8.7100000000000009</v>
      </c>
    </row>
    <row r="1106" spans="1:220" x14ac:dyDescent="0.25">
      <c r="A1106" s="127">
        <v>44613</v>
      </c>
      <c r="B1106" s="24" t="s">
        <v>80</v>
      </c>
      <c r="C1106" s="21">
        <f t="shared" si="21"/>
        <v>-8.5299999999999994</v>
      </c>
      <c r="AV1106" s="69">
        <v>-8.5299999999999994</v>
      </c>
    </row>
    <row r="1107" spans="1:220" x14ac:dyDescent="0.25">
      <c r="A1107" s="127">
        <v>44613</v>
      </c>
      <c r="B1107" s="24" t="s">
        <v>78</v>
      </c>
      <c r="C1107" s="21">
        <f t="shared" si="21"/>
        <v>-17.93</v>
      </c>
      <c r="DY1107" s="42">
        <v>-17.93</v>
      </c>
    </row>
    <row r="1108" spans="1:220" x14ac:dyDescent="0.25">
      <c r="A1108" s="127">
        <v>44614</v>
      </c>
      <c r="B1108" s="24" t="s">
        <v>95</v>
      </c>
      <c r="C1108" s="21">
        <f t="shared" si="21"/>
        <v>-84.55</v>
      </c>
      <c r="AF1108" s="69">
        <v>-8.4749999999999996</v>
      </c>
      <c r="AV1108" s="69">
        <v>-16.934999999999999</v>
      </c>
      <c r="BA1108" s="42">
        <v>-17.23</v>
      </c>
      <c r="BG1108" s="42">
        <v>-16.93</v>
      </c>
      <c r="CW1108" s="42">
        <v>-8.58</v>
      </c>
      <c r="DN1108" s="42">
        <v>-8.2799999999999994</v>
      </c>
      <c r="DS1108" s="42">
        <v>-8.1199999999999992</v>
      </c>
    </row>
    <row r="1109" spans="1:220" x14ac:dyDescent="0.25">
      <c r="A1109" s="127">
        <v>44614</v>
      </c>
      <c r="B1109" s="24" t="s">
        <v>68</v>
      </c>
      <c r="C1109" s="21">
        <f t="shared" si="21"/>
        <v>-99.17</v>
      </c>
      <c r="BG1109" s="42">
        <v>-99.17</v>
      </c>
    </row>
    <row r="1110" spans="1:220" x14ac:dyDescent="0.25">
      <c r="A1110" s="127">
        <v>44614</v>
      </c>
      <c r="B1110" s="24" t="s">
        <v>44</v>
      </c>
      <c r="C1110" s="21">
        <f t="shared" si="21"/>
        <v>-149.4</v>
      </c>
      <c r="GP1110" s="42">
        <v>-149.4</v>
      </c>
    </row>
    <row r="1111" spans="1:220" x14ac:dyDescent="0.25">
      <c r="A1111" s="127">
        <v>44614</v>
      </c>
      <c r="B1111" s="24" t="s">
        <v>15</v>
      </c>
      <c r="C1111" s="21">
        <f t="shared" si="21"/>
        <v>-148.83000000000001</v>
      </c>
      <c r="K1111" s="42">
        <v>-8.65</v>
      </c>
      <c r="BA1111" s="42">
        <v>-17.3</v>
      </c>
      <c r="BG1111" s="42">
        <v>-24.85</v>
      </c>
      <c r="BP1111" s="121">
        <v>-32.5</v>
      </c>
      <c r="BV1111" s="121">
        <v>-31.17</v>
      </c>
      <c r="CH1111" s="121">
        <v>-34.36</v>
      </c>
    </row>
    <row r="1112" spans="1:220" x14ac:dyDescent="0.25">
      <c r="A1112" s="127">
        <v>44614</v>
      </c>
      <c r="B1112" s="24" t="s">
        <v>37</v>
      </c>
      <c r="C1112" s="21">
        <f t="shared" si="21"/>
        <v>-93.01</v>
      </c>
      <c r="HE1112" s="42">
        <v>-61.44</v>
      </c>
      <c r="HL1112" s="42">
        <v>-31.57</v>
      </c>
    </row>
    <row r="1113" spans="1:220" x14ac:dyDescent="0.25">
      <c r="A1113" s="127">
        <v>44614</v>
      </c>
      <c r="B1113" s="24" t="s">
        <v>38</v>
      </c>
      <c r="C1113" s="21">
        <f t="shared" si="21"/>
        <v>-62.04</v>
      </c>
      <c r="GE1113" s="88">
        <f>-20.455-20.985-20.6</f>
        <v>-62.04</v>
      </c>
    </row>
    <row r="1114" spans="1:220" x14ac:dyDescent="0.25">
      <c r="A1114" s="127">
        <v>44614</v>
      </c>
      <c r="B1114" s="24" t="s">
        <v>78</v>
      </c>
      <c r="C1114" s="21">
        <f t="shared" si="21"/>
        <v>-42.465000000000003</v>
      </c>
      <c r="AB1114" s="69">
        <v>-8.5500000000000007</v>
      </c>
      <c r="AF1114" s="69">
        <v>-8.4749999999999996</v>
      </c>
      <c r="AV1114" s="69">
        <v>-8.49</v>
      </c>
      <c r="BG1114" s="42">
        <v>-8.3000000000000007</v>
      </c>
      <c r="CE1114" s="42">
        <v>-8.65</v>
      </c>
    </row>
    <row r="1115" spans="1:220" x14ac:dyDescent="0.25">
      <c r="A1115" s="127">
        <v>44615</v>
      </c>
      <c r="B1115" s="24" t="s">
        <v>29</v>
      </c>
      <c r="C1115" s="21">
        <f t="shared" si="21"/>
        <v>-8.24</v>
      </c>
      <c r="BG1115" s="42">
        <v>-8.24</v>
      </c>
    </row>
    <row r="1116" spans="1:220" x14ac:dyDescent="0.25">
      <c r="A1116" s="127">
        <v>44615</v>
      </c>
      <c r="B1116" s="24" t="s">
        <v>27</v>
      </c>
      <c r="C1116" s="21">
        <f t="shared" si="21"/>
        <v>-56.39</v>
      </c>
      <c r="CT1116" s="121">
        <v>-24.36</v>
      </c>
      <c r="CZ1116" s="121">
        <v>-32.03</v>
      </c>
    </row>
    <row r="1117" spans="1:220" x14ac:dyDescent="0.25">
      <c r="A1117" s="127">
        <v>44615</v>
      </c>
      <c r="B1117" s="24" t="s">
        <v>45</v>
      </c>
      <c r="C1117" s="21">
        <f t="shared" si="21"/>
        <v>-16.940000000000001</v>
      </c>
      <c r="CW1117" s="42">
        <v>-8.64</v>
      </c>
      <c r="CZ1117" s="121">
        <v>-8.3000000000000007</v>
      </c>
    </row>
    <row r="1118" spans="1:220" x14ac:dyDescent="0.25">
      <c r="A1118" s="127">
        <v>44615</v>
      </c>
      <c r="B1118" s="24" t="s">
        <v>15</v>
      </c>
      <c r="C1118" s="21">
        <f t="shared" si="21"/>
        <v>-197.23</v>
      </c>
      <c r="EE1118" s="42">
        <v>-88.96</v>
      </c>
      <c r="EJ1118" s="42">
        <v>-72.209999999999994</v>
      </c>
      <c r="ER1118" s="42">
        <v>-36.06</v>
      </c>
    </row>
    <row r="1119" spans="1:220" x14ac:dyDescent="0.25">
      <c r="A1119" s="127">
        <v>44615</v>
      </c>
      <c r="B1119" s="24" t="s">
        <v>15</v>
      </c>
      <c r="C1119" s="21">
        <f t="shared" si="21"/>
        <v>-200.36</v>
      </c>
      <c r="T1119" s="42">
        <v>-31.18</v>
      </c>
      <c r="AB1119" s="69">
        <v>-34.055</v>
      </c>
      <c r="AF1119" s="69">
        <v>-33.844999999999999</v>
      </c>
      <c r="AL1119" s="42">
        <v>-32.049999999999997</v>
      </c>
      <c r="AP1119" s="42">
        <v>-34.200000000000003</v>
      </c>
      <c r="DS1119" s="42">
        <v>-35.03</v>
      </c>
    </row>
    <row r="1120" spans="1:220" x14ac:dyDescent="0.25">
      <c r="A1120" s="127">
        <v>44616</v>
      </c>
      <c r="B1120" s="24" t="s">
        <v>106</v>
      </c>
      <c r="C1120" s="21">
        <f t="shared" si="21"/>
        <v>-279.35000000000002</v>
      </c>
      <c r="FQ1120" s="42">
        <v>-279.35000000000002</v>
      </c>
    </row>
    <row r="1121" spans="1:225" x14ac:dyDescent="0.25">
      <c r="A1121" s="127">
        <v>44616</v>
      </c>
      <c r="B1121" s="24" t="s">
        <v>37</v>
      </c>
      <c r="C1121" s="21">
        <f t="shared" si="21"/>
        <v>-369.12</v>
      </c>
      <c r="HE1121" s="42">
        <v>-178.68</v>
      </c>
      <c r="HK1121" s="50">
        <v>-96.92</v>
      </c>
      <c r="HQ1121" s="42">
        <v>-93.52</v>
      </c>
    </row>
    <row r="1122" spans="1:225" x14ac:dyDescent="0.25">
      <c r="A1122" s="127">
        <v>44617</v>
      </c>
      <c r="B1122" s="24" t="s">
        <v>57</v>
      </c>
      <c r="C1122" s="21">
        <f t="shared" si="21"/>
        <v>-40.945</v>
      </c>
      <c r="AQ1122" s="69">
        <v>-8.5649999999999995</v>
      </c>
      <c r="CC1122" s="126">
        <v>-16.170000000000002</v>
      </c>
      <c r="CE1122" s="42">
        <v>-16.21</v>
      </c>
    </row>
    <row r="1123" spans="1:225" x14ac:dyDescent="0.25">
      <c r="A1123" s="127">
        <v>44617</v>
      </c>
      <c r="B1123" s="24" t="s">
        <v>72</v>
      </c>
      <c r="C1123" s="21">
        <f t="shared" si="21"/>
        <v>-93.875</v>
      </c>
      <c r="AM1123" s="69">
        <v>-17.18</v>
      </c>
      <c r="AQ1123" s="69">
        <v>-17.18</v>
      </c>
      <c r="AV1123" s="69">
        <v>-16.920000000000002</v>
      </c>
      <c r="BB1123" s="69">
        <v>-17.145</v>
      </c>
      <c r="CL1123" s="69">
        <v>-25.45</v>
      </c>
    </row>
    <row r="1124" spans="1:225" x14ac:dyDescent="0.25">
      <c r="A1124" s="127">
        <v>44618</v>
      </c>
      <c r="B1124" s="24" t="s">
        <v>15</v>
      </c>
      <c r="C1124" s="21">
        <f t="shared" si="21"/>
        <v>-40.869999999999997</v>
      </c>
      <c r="BG1124" s="42">
        <v>-32.35</v>
      </c>
      <c r="CK1124" s="42">
        <v>-8.52</v>
      </c>
    </row>
    <row r="1125" spans="1:225" x14ac:dyDescent="0.25">
      <c r="A1125" s="127">
        <v>44618</v>
      </c>
      <c r="B1125" s="24" t="s">
        <v>45</v>
      </c>
      <c r="C1125" s="21">
        <f t="shared" si="21"/>
        <v>-19.04</v>
      </c>
      <c r="CN1125" s="121">
        <v>-19.04</v>
      </c>
    </row>
    <row r="1126" spans="1:225" x14ac:dyDescent="0.25">
      <c r="A1126" s="127">
        <v>44618</v>
      </c>
      <c r="B1126" s="24" t="s">
        <v>33</v>
      </c>
      <c r="C1126" s="21">
        <f t="shared" si="21"/>
        <v>-16.785</v>
      </c>
      <c r="AV1126" s="69">
        <v>-8.5350000000000001</v>
      </c>
      <c r="BG1126" s="42">
        <v>-8.25</v>
      </c>
    </row>
    <row r="1127" spans="1:225" x14ac:dyDescent="0.25">
      <c r="A1127" s="127">
        <v>44620</v>
      </c>
      <c r="B1127" s="24" t="s">
        <v>95</v>
      </c>
      <c r="C1127" s="21">
        <f t="shared" si="21"/>
        <v>-170.23</v>
      </c>
      <c r="AF1127" s="69">
        <v>-33.840000000000003</v>
      </c>
      <c r="BB1127" s="69">
        <v>-68.31</v>
      </c>
      <c r="BH1127" s="69">
        <v>-34.32</v>
      </c>
      <c r="CL1127" s="69">
        <v>-33.76</v>
      </c>
    </row>
    <row r="1128" spans="1:225" x14ac:dyDescent="0.25">
      <c r="A1128" s="127">
        <v>44620</v>
      </c>
      <c r="B1128" s="24" t="s">
        <v>12</v>
      </c>
      <c r="C1128" s="21">
        <f t="shared" si="21"/>
        <v>-150.63</v>
      </c>
      <c r="ER1128" s="42">
        <v>-150.63</v>
      </c>
    </row>
    <row r="1129" spans="1:225" x14ac:dyDescent="0.25">
      <c r="A1129" s="127">
        <v>44620</v>
      </c>
      <c r="B1129" s="24" t="s">
        <v>32</v>
      </c>
      <c r="C1129" s="21">
        <f t="shared" si="21"/>
        <v>-67.930000000000007</v>
      </c>
      <c r="X1129" s="42">
        <v>-6.14</v>
      </c>
      <c r="AB1129" s="69">
        <v>-8.58</v>
      </c>
      <c r="BS1129" s="42">
        <v>-36.21</v>
      </c>
      <c r="CB1129" s="121">
        <v>-8.17</v>
      </c>
      <c r="EJ1129" s="42">
        <v>-8.83</v>
      </c>
    </row>
    <row r="1130" spans="1:225" x14ac:dyDescent="0.25">
      <c r="A1130" s="127">
        <v>44621</v>
      </c>
      <c r="B1130" s="24" t="s">
        <v>2</v>
      </c>
      <c r="C1130" s="21">
        <f t="shared" si="21"/>
        <v>308.45</v>
      </c>
      <c r="BS1130" s="42">
        <v>308.45</v>
      </c>
    </row>
    <row r="1131" spans="1:225" x14ac:dyDescent="0.25">
      <c r="A1131" s="127">
        <v>44621</v>
      </c>
      <c r="B1131" s="24" t="s">
        <v>37</v>
      </c>
      <c r="C1131" s="21">
        <f t="shared" si="21"/>
        <v>-34.479999999999997</v>
      </c>
      <c r="Y1131" s="69">
        <v>-34.479999999999997</v>
      </c>
    </row>
    <row r="1132" spans="1:225" x14ac:dyDescent="0.25">
      <c r="A1132" s="127">
        <v>44621</v>
      </c>
      <c r="B1132" s="24" t="s">
        <v>78</v>
      </c>
      <c r="C1132" s="21">
        <f t="shared" si="21"/>
        <v>-8.4600000000000009</v>
      </c>
      <c r="AF1132" s="69">
        <v>-8.4600000000000009</v>
      </c>
    </row>
    <row r="1133" spans="1:225" x14ac:dyDescent="0.25">
      <c r="A1133" s="127">
        <v>44622</v>
      </c>
      <c r="B1133" s="24" t="s">
        <v>78</v>
      </c>
      <c r="C1133" s="21">
        <f t="shared" si="21"/>
        <v>2308.1799999999998</v>
      </c>
      <c r="AF1133" s="69">
        <v>137.05000000000001</v>
      </c>
      <c r="AM1133" s="69">
        <v>102.05</v>
      </c>
      <c r="AQ1133" s="69">
        <v>101.82</v>
      </c>
      <c r="AV1133" s="69">
        <v>172.15</v>
      </c>
      <c r="BH1133" s="69">
        <v>202.07</v>
      </c>
      <c r="BN1133" s="69">
        <v>204.38</v>
      </c>
      <c r="BT1133" s="69">
        <v>167.94</v>
      </c>
      <c r="BZ1133" s="69">
        <v>236.79</v>
      </c>
      <c r="CF1133" s="69">
        <v>237.76</v>
      </c>
      <c r="CL1133" s="69">
        <v>237.63</v>
      </c>
      <c r="CR1133" s="69">
        <v>169.4</v>
      </c>
      <c r="CX1133" s="69">
        <v>170.09</v>
      </c>
      <c r="DO1133" s="375">
        <v>169.05</v>
      </c>
    </row>
    <row r="1134" spans="1:225" x14ac:dyDescent="0.25">
      <c r="A1134" s="127">
        <v>44622</v>
      </c>
      <c r="B1134" s="24" t="s">
        <v>12</v>
      </c>
      <c r="C1134" s="21">
        <f t="shared" si="21"/>
        <v>-253.26</v>
      </c>
      <c r="T1134" s="42">
        <v>-15.71</v>
      </c>
      <c r="AA1134" s="42">
        <v>-32.65</v>
      </c>
      <c r="AF1134" s="69">
        <v>-34.305</v>
      </c>
      <c r="AQ1134" s="69">
        <v>-67.665000000000006</v>
      </c>
      <c r="BB1134" s="69">
        <v>-17.13</v>
      </c>
      <c r="BS1134" s="42">
        <v>-34.33</v>
      </c>
      <c r="CK1134" s="42">
        <v>-33.97</v>
      </c>
      <c r="DY1134" s="42">
        <v>-9.01</v>
      </c>
      <c r="DZ1134" s="69">
        <v>-8.49</v>
      </c>
    </row>
    <row r="1135" spans="1:225" x14ac:dyDescent="0.25">
      <c r="A1135" s="127">
        <v>44622</v>
      </c>
      <c r="B1135" s="24" t="s">
        <v>78</v>
      </c>
      <c r="C1135" s="21">
        <f t="shared" si="21"/>
        <v>-404.20499999999998</v>
      </c>
      <c r="AL1135" s="42">
        <v>-16.5</v>
      </c>
      <c r="AQ1135" s="69">
        <v>-16.984999999999999</v>
      </c>
      <c r="BH1135" s="69">
        <v>-49.015000000000001</v>
      </c>
      <c r="BN1135" s="69">
        <v>-68.099999999999994</v>
      </c>
      <c r="BT1135" s="69">
        <v>-100.81</v>
      </c>
      <c r="BZ1135" s="69">
        <v>-25.39</v>
      </c>
      <c r="CF1135" s="69">
        <v>-67.915000000000006</v>
      </c>
      <c r="CL1135" s="69">
        <v>-16.954999999999998</v>
      </c>
      <c r="CR1135" s="69">
        <v>-16.945</v>
      </c>
      <c r="CX1135" s="69">
        <v>-25.59</v>
      </c>
    </row>
    <row r="1136" spans="1:225" x14ac:dyDescent="0.25">
      <c r="A1136" s="127">
        <v>44622</v>
      </c>
      <c r="B1136" s="24" t="s">
        <v>32</v>
      </c>
      <c r="C1136" s="21">
        <f t="shared" si="21"/>
        <v>-118.88500000000001</v>
      </c>
      <c r="BZ1136" s="69">
        <v>-33.83</v>
      </c>
      <c r="CF1136" s="69">
        <v>-16.95</v>
      </c>
      <c r="CL1136" s="69">
        <v>-34.28</v>
      </c>
      <c r="CR1136" s="69">
        <v>-33.825000000000003</v>
      </c>
    </row>
    <row r="1137" spans="1:238" x14ac:dyDescent="0.25">
      <c r="A1137" s="127">
        <v>44622</v>
      </c>
      <c r="B1137" s="24" t="s">
        <v>15</v>
      </c>
      <c r="C1137" s="21">
        <f t="shared" si="21"/>
        <v>-270.81</v>
      </c>
      <c r="BH1137" s="69">
        <v>-33.61</v>
      </c>
      <c r="BN1137" s="69">
        <v>-34.104999999999997</v>
      </c>
      <c r="BT1137" s="69">
        <v>-33.534999999999997</v>
      </c>
      <c r="BZ1137" s="69">
        <v>-33.854999999999997</v>
      </c>
      <c r="CF1137" s="69">
        <v>-33.97</v>
      </c>
      <c r="CL1137" s="69">
        <v>-33.93</v>
      </c>
      <c r="CR1137" s="69">
        <v>-33.844999999999999</v>
      </c>
      <c r="CX1137" s="69">
        <v>-33.96</v>
      </c>
    </row>
    <row r="1138" spans="1:238" x14ac:dyDescent="0.25">
      <c r="A1138" s="127">
        <v>44622</v>
      </c>
      <c r="B1138" s="24" t="s">
        <v>38</v>
      </c>
      <c r="C1138" s="21">
        <f t="shared" si="21"/>
        <v>539.245</v>
      </c>
      <c r="BB1138" s="69">
        <v>135.26499999999999</v>
      </c>
      <c r="CR1138" s="69">
        <v>135.595</v>
      </c>
      <c r="DD1138" s="69">
        <v>134.17500000000001</v>
      </c>
      <c r="DJ1138" s="69">
        <v>134.21</v>
      </c>
    </row>
    <row r="1139" spans="1:238" x14ac:dyDescent="0.25">
      <c r="A1139" s="127">
        <v>44623</v>
      </c>
      <c r="B1139" s="24" t="s">
        <v>27</v>
      </c>
      <c r="C1139" s="21">
        <f t="shared" si="21"/>
        <v>-77.59</v>
      </c>
      <c r="AZ1139" s="182">
        <v>-8.2899999999999991</v>
      </c>
      <c r="BF1139" s="182">
        <v>-8.9600000000000009</v>
      </c>
      <c r="BR1139" s="182">
        <v>-8.84</v>
      </c>
      <c r="BV1139" s="121">
        <v>-6.99</v>
      </c>
      <c r="CB1139" s="121">
        <v>-18.13</v>
      </c>
      <c r="CE1139" s="42">
        <v>-17.190000000000001</v>
      </c>
      <c r="CJ1139" s="182">
        <v>-9.19</v>
      </c>
    </row>
    <row r="1140" spans="1:238" x14ac:dyDescent="0.25">
      <c r="A1140" s="127">
        <v>44623</v>
      </c>
      <c r="B1140" s="24" t="s">
        <v>75</v>
      </c>
      <c r="C1140" s="21">
        <f t="shared" si="21"/>
        <v>-33.965000000000003</v>
      </c>
      <c r="BZ1140" s="69">
        <v>-8.4499999999999993</v>
      </c>
      <c r="CE1140" s="42">
        <v>-8.59</v>
      </c>
      <c r="CK1140" s="42">
        <v>-8.44</v>
      </c>
      <c r="CR1140" s="69">
        <v>-8.4849999999999994</v>
      </c>
    </row>
    <row r="1141" spans="1:238" x14ac:dyDescent="0.25">
      <c r="A1141" s="127">
        <v>44623</v>
      </c>
      <c r="B1141" s="24" t="s">
        <v>29</v>
      </c>
      <c r="C1141" s="21">
        <f t="shared" si="21"/>
        <v>-7.89</v>
      </c>
      <c r="T1141" s="42">
        <v>-7.89</v>
      </c>
    </row>
    <row r="1142" spans="1:238" x14ac:dyDescent="0.25">
      <c r="A1142" s="127">
        <v>44623</v>
      </c>
      <c r="B1142" s="24" t="s">
        <v>107</v>
      </c>
      <c r="C1142" s="21">
        <f t="shared" si="21"/>
        <v>-25.2</v>
      </c>
      <c r="BG1142" s="42">
        <v>-8.24</v>
      </c>
      <c r="BN1142" s="69">
        <v>-8.51</v>
      </c>
      <c r="BZ1142" s="69">
        <v>-8.4499999999999993</v>
      </c>
    </row>
    <row r="1143" spans="1:238" x14ac:dyDescent="0.25">
      <c r="A1143" s="127">
        <v>44623</v>
      </c>
      <c r="B1143" s="24" t="s">
        <v>84</v>
      </c>
      <c r="C1143" s="21">
        <f t="shared" si="21"/>
        <v>-16.57</v>
      </c>
      <c r="BG1143" s="42">
        <v>-16.57</v>
      </c>
    </row>
    <row r="1144" spans="1:238" x14ac:dyDescent="0.25">
      <c r="A1144" s="127">
        <v>44623</v>
      </c>
      <c r="B1144" s="24" t="s">
        <v>95</v>
      </c>
      <c r="C1144" s="21">
        <f t="shared" si="21"/>
        <v>-472.6</v>
      </c>
      <c r="AL1144" s="42">
        <v>-31.41</v>
      </c>
      <c r="AP1144" s="42">
        <v>-34.67</v>
      </c>
      <c r="AV1144" s="69">
        <v>-68.849999999999994</v>
      </c>
      <c r="BB1144" s="69">
        <v>-67.885000000000005</v>
      </c>
      <c r="BH1144" s="69">
        <v>-33.72</v>
      </c>
      <c r="BS1144" s="42">
        <v>-34.04</v>
      </c>
      <c r="BZ1144" s="69">
        <v>-33.869999999999997</v>
      </c>
      <c r="CL1144" s="69">
        <v>-33.875</v>
      </c>
      <c r="CR1144" s="69">
        <v>-33.784999999999997</v>
      </c>
      <c r="CX1144" s="69">
        <v>-33.99</v>
      </c>
      <c r="DD1144" s="69">
        <v>-33.484999999999999</v>
      </c>
      <c r="DJ1144" s="69">
        <v>-33.020000000000003</v>
      </c>
    </row>
    <row r="1145" spans="1:238" x14ac:dyDescent="0.25">
      <c r="A1145" s="127">
        <v>44623</v>
      </c>
      <c r="B1145" s="24" t="s">
        <v>32</v>
      </c>
      <c r="C1145" s="21">
        <f t="shared" si="21"/>
        <v>-169.64</v>
      </c>
      <c r="AV1145" s="69">
        <v>-34.515000000000001</v>
      </c>
      <c r="CF1145" s="69">
        <v>-34.005000000000003</v>
      </c>
      <c r="CR1145" s="69">
        <v>-33.914999999999999</v>
      </c>
      <c r="CX1145" s="69">
        <f>-8.43-8.51</f>
        <v>-16.940000000000001</v>
      </c>
      <c r="DD1145" s="69">
        <f>-8.325-8.4</f>
        <v>-16.725000000000001</v>
      </c>
      <c r="DJ1145" s="69">
        <v>-33.54</v>
      </c>
    </row>
    <row r="1146" spans="1:238" x14ac:dyDescent="0.25">
      <c r="A1146" s="127">
        <v>44623</v>
      </c>
      <c r="B1146" s="24" t="s">
        <v>78</v>
      </c>
      <c r="C1146" s="21">
        <f t="shared" si="21"/>
        <v>-84.49</v>
      </c>
      <c r="AM1146" s="69">
        <v>-8.5</v>
      </c>
      <c r="AV1146" s="69">
        <v>-8.5299999999999994</v>
      </c>
      <c r="BG1146" s="42">
        <v>-8.24</v>
      </c>
      <c r="BH1146" s="69">
        <v>-8.4350000000000005</v>
      </c>
      <c r="BS1146" s="42">
        <f>-8.52-8.45</f>
        <v>-16.97</v>
      </c>
      <c r="BZ1146" s="69">
        <f>-8.47-8.38</f>
        <v>-16.850000000000001</v>
      </c>
      <c r="CF1146" s="69">
        <v>-8.5</v>
      </c>
      <c r="CL1146" s="69">
        <v>-8.4649999999999999</v>
      </c>
    </row>
    <row r="1147" spans="1:238" x14ac:dyDescent="0.25">
      <c r="A1147" s="127">
        <v>44623</v>
      </c>
      <c r="B1147" s="24" t="s">
        <v>78</v>
      </c>
      <c r="C1147" s="21">
        <f t="shared" si="21"/>
        <v>-25.26</v>
      </c>
      <c r="BH1147" s="69">
        <v>-8.375</v>
      </c>
      <c r="BS1147" s="42">
        <v>-8.44</v>
      </c>
      <c r="BZ1147" s="69">
        <v>-8.4450000000000003</v>
      </c>
    </row>
    <row r="1148" spans="1:238" x14ac:dyDescent="0.25">
      <c r="A1148" s="127">
        <v>44623</v>
      </c>
      <c r="B1148" s="24" t="s">
        <v>37</v>
      </c>
      <c r="C1148" s="21">
        <f t="shared" si="21"/>
        <v>-34.1</v>
      </c>
      <c r="Y1148" s="69">
        <v>-34.1</v>
      </c>
    </row>
    <row r="1149" spans="1:238" x14ac:dyDescent="0.25">
      <c r="A1149" s="127">
        <v>44623</v>
      </c>
      <c r="B1149" s="64" t="s">
        <v>15</v>
      </c>
      <c r="C1149" s="21">
        <f t="shared" si="21"/>
        <v>-67.84</v>
      </c>
      <c r="CF1149" s="69">
        <v>-33.895000000000003</v>
      </c>
      <c r="CR1149" s="69">
        <v>-33.945</v>
      </c>
    </row>
    <row r="1150" spans="1:238" x14ac:dyDescent="0.25">
      <c r="A1150" s="127">
        <v>44623</v>
      </c>
      <c r="B1150" s="64" t="s">
        <v>50</v>
      </c>
      <c r="C1150" s="21">
        <f t="shared" si="21"/>
        <v>-671.87</v>
      </c>
      <c r="GV1150" s="42">
        <v>-186.58</v>
      </c>
      <c r="GY1150" s="42">
        <v>-166.6</v>
      </c>
      <c r="HZ1150" s="42">
        <v>-158.97</v>
      </c>
      <c r="IB1150" s="42">
        <v>-46.46</v>
      </c>
      <c r="ID1150" s="42">
        <v>-113.26</v>
      </c>
    </row>
    <row r="1151" spans="1:238" x14ac:dyDescent="0.25">
      <c r="A1151" s="127">
        <v>44624</v>
      </c>
      <c r="B1151" s="64" t="s">
        <v>14</v>
      </c>
      <c r="C1151" s="21">
        <f t="shared" si="21"/>
        <v>-203.505</v>
      </c>
      <c r="BB1151" s="69">
        <f>-33.73-33.65</f>
        <v>-67.38</v>
      </c>
      <c r="BN1151" s="69">
        <f>-34.065-34.08</f>
        <v>-68.144999999999996</v>
      </c>
      <c r="CF1151" s="69">
        <v>-34.01</v>
      </c>
      <c r="CL1151" s="69">
        <v>-33.97</v>
      </c>
    </row>
    <row r="1152" spans="1:238" x14ac:dyDescent="0.25">
      <c r="A1152" s="127">
        <v>44624</v>
      </c>
      <c r="B1152" s="64" t="s">
        <v>108</v>
      </c>
      <c r="C1152" s="21">
        <f t="shared" si="21"/>
        <v>-16.934999999999999</v>
      </c>
      <c r="BN1152" s="69">
        <v>-8.4849999999999994</v>
      </c>
      <c r="BS1152" s="42">
        <v>-8.4499999999999993</v>
      </c>
    </row>
    <row r="1153" spans="1:231" x14ac:dyDescent="0.25">
      <c r="A1153" s="127">
        <v>44624</v>
      </c>
      <c r="B1153" s="64" t="s">
        <v>40</v>
      </c>
      <c r="C1153" s="21">
        <f t="shared" si="21"/>
        <v>-128.21</v>
      </c>
      <c r="X1153" s="42">
        <f>-34.31-25.62-34.13</f>
        <v>-94.06</v>
      </c>
      <c r="Y1153" s="69">
        <v>-34.15</v>
      </c>
    </row>
    <row r="1154" spans="1:231" x14ac:dyDescent="0.25">
      <c r="A1154" s="127">
        <v>44624</v>
      </c>
      <c r="B1154" s="64" t="s">
        <v>15</v>
      </c>
      <c r="C1154" s="21">
        <f t="shared" si="21"/>
        <v>-8.43</v>
      </c>
      <c r="CL1154" s="69">
        <v>-8.43</v>
      </c>
    </row>
    <row r="1155" spans="1:231" x14ac:dyDescent="0.25">
      <c r="A1155" s="127">
        <v>44624</v>
      </c>
      <c r="B1155" s="30" t="s">
        <v>13</v>
      </c>
      <c r="C1155" s="21">
        <f t="shared" si="21"/>
        <v>-246.24</v>
      </c>
      <c r="U1155" s="69">
        <v>-8.57</v>
      </c>
      <c r="Y1155" s="69">
        <v>-8.5649999999999995</v>
      </c>
      <c r="AB1155" s="69">
        <v>-8.58</v>
      </c>
      <c r="AF1155" s="69">
        <v>-17.065000000000001</v>
      </c>
      <c r="AV1155" s="69">
        <v>-34.375</v>
      </c>
      <c r="BH1155" s="69">
        <v>-33.65</v>
      </c>
      <c r="BT1155" s="69">
        <v>-33.594999999999999</v>
      </c>
      <c r="BZ1155" s="69">
        <v>-33.799999999999997</v>
      </c>
      <c r="CL1155" s="69">
        <v>-33.924999999999997</v>
      </c>
      <c r="DO1155" s="375">
        <v>-34.115000000000002</v>
      </c>
    </row>
    <row r="1156" spans="1:231" x14ac:dyDescent="0.25">
      <c r="A1156" s="127">
        <v>44624</v>
      </c>
      <c r="B1156" s="64" t="s">
        <v>100</v>
      </c>
      <c r="C1156" s="21">
        <f t="shared" si="21"/>
        <v>-17.05</v>
      </c>
      <c r="BS1156" s="42">
        <f>-8.52-8.53</f>
        <v>-17.05</v>
      </c>
    </row>
    <row r="1157" spans="1:231" x14ac:dyDescent="0.25">
      <c r="A1157" s="127">
        <v>44624</v>
      </c>
      <c r="B1157" s="64" t="s">
        <v>78</v>
      </c>
      <c r="C1157" s="21">
        <f t="shared" si="21"/>
        <v>951.92</v>
      </c>
      <c r="U1157" s="69">
        <v>171.17</v>
      </c>
      <c r="Y1157" s="69">
        <v>171.2</v>
      </c>
      <c r="AM1157" s="69">
        <v>169.87</v>
      </c>
      <c r="BB1157" s="69">
        <v>203.48</v>
      </c>
      <c r="DJ1157" s="69">
        <v>236.2</v>
      </c>
    </row>
    <row r="1158" spans="1:231" x14ac:dyDescent="0.25">
      <c r="A1158" s="127">
        <v>44624</v>
      </c>
      <c r="B1158" s="64" t="s">
        <v>18</v>
      </c>
      <c r="C1158" s="21">
        <f t="shared" si="21"/>
        <v>-338.70499999999998</v>
      </c>
      <c r="AB1158" s="69">
        <v>-34.31</v>
      </c>
      <c r="AM1158" s="69">
        <v>-33.234999999999999</v>
      </c>
      <c r="AQ1158" s="69">
        <v>-33.94</v>
      </c>
      <c r="BB1158" s="69">
        <v>-101.45</v>
      </c>
      <c r="BS1158" s="42">
        <v>-101.85</v>
      </c>
      <c r="CL1158" s="69">
        <v>-33.92</v>
      </c>
    </row>
    <row r="1159" spans="1:231" x14ac:dyDescent="0.25">
      <c r="A1159" s="127">
        <v>44624</v>
      </c>
      <c r="B1159" s="64" t="s">
        <v>37</v>
      </c>
      <c r="C1159" s="21">
        <f t="shared" si="21"/>
        <v>-88.27</v>
      </c>
      <c r="X1159" s="42">
        <v>-6.57</v>
      </c>
      <c r="Y1159" s="69">
        <v>-19.84</v>
      </c>
      <c r="AA1159" s="42">
        <v>-61.86</v>
      </c>
    </row>
    <row r="1160" spans="1:231" x14ac:dyDescent="0.25">
      <c r="A1160" s="127">
        <v>44624</v>
      </c>
      <c r="B1160" s="64" t="s">
        <v>78</v>
      </c>
      <c r="C1160" s="21">
        <f t="shared" ref="C1160:C1223" si="22">SUM(I1160:JT1160)</f>
        <v>-93.064999999999998</v>
      </c>
      <c r="AV1160" s="69">
        <v>-8.5350000000000001</v>
      </c>
      <c r="BB1160" s="69">
        <v>-67.605000000000004</v>
      </c>
      <c r="BH1160" s="69">
        <v>-8.4049999999999994</v>
      </c>
      <c r="BS1160" s="42">
        <v>-8.52</v>
      </c>
    </row>
    <row r="1161" spans="1:231" x14ac:dyDescent="0.25">
      <c r="A1161" s="127">
        <v>44625</v>
      </c>
      <c r="B1161" s="64" t="s">
        <v>13</v>
      </c>
      <c r="C1161" s="21">
        <f t="shared" si="22"/>
        <v>-162.625</v>
      </c>
      <c r="AB1161" s="69">
        <v>-8.56</v>
      </c>
      <c r="AM1161" s="69">
        <v>-34.14</v>
      </c>
      <c r="AQ1161" s="69">
        <v>-16.965</v>
      </c>
      <c r="AV1161" s="69">
        <v>-17.16</v>
      </c>
      <c r="BH1161" s="69">
        <v>-8.42</v>
      </c>
      <c r="BS1161" s="42">
        <v>-8.52</v>
      </c>
      <c r="CR1161" s="69">
        <v>-33.97</v>
      </c>
      <c r="DD1161" s="69">
        <v>-34.89</v>
      </c>
    </row>
    <row r="1162" spans="1:231" x14ac:dyDescent="0.25">
      <c r="A1162" s="127">
        <v>44625</v>
      </c>
      <c r="B1162" s="24" t="s">
        <v>78</v>
      </c>
      <c r="C1162" s="21">
        <f t="shared" si="22"/>
        <v>-8.59</v>
      </c>
      <c r="AB1162" s="69">
        <v>-8.59</v>
      </c>
    </row>
    <row r="1163" spans="1:231" x14ac:dyDescent="0.25">
      <c r="A1163" s="127">
        <v>44625</v>
      </c>
      <c r="B1163" s="24" t="s">
        <v>39</v>
      </c>
      <c r="C1163" s="21">
        <f t="shared" si="22"/>
        <v>-67.894999999999996</v>
      </c>
      <c r="AB1163" s="69">
        <v>-8.5449999999999999</v>
      </c>
      <c r="BB1163" s="69">
        <v>-8.4450000000000003</v>
      </c>
      <c r="BH1163" s="69">
        <v>-8.43</v>
      </c>
      <c r="BN1163" s="69">
        <v>-8.5250000000000004</v>
      </c>
      <c r="BS1163" s="42">
        <v>-8.52</v>
      </c>
      <c r="BZ1163" s="69">
        <v>-8.4550000000000001</v>
      </c>
      <c r="CF1163" s="69">
        <v>-8.5150000000000006</v>
      </c>
      <c r="CL1163" s="69">
        <v>-8.4600000000000009</v>
      </c>
    </row>
    <row r="1164" spans="1:231" x14ac:dyDescent="0.25">
      <c r="A1164" s="127">
        <v>44627</v>
      </c>
      <c r="B1164" s="24" t="s">
        <v>100</v>
      </c>
      <c r="C1164" s="21">
        <f t="shared" si="22"/>
        <v>0</v>
      </c>
    </row>
    <row r="1165" spans="1:231" x14ac:dyDescent="0.25">
      <c r="A1165" s="127">
        <v>44627</v>
      </c>
      <c r="B1165" s="24" t="s">
        <v>59</v>
      </c>
      <c r="C1165" s="21">
        <f t="shared" si="22"/>
        <v>-1.61</v>
      </c>
      <c r="BN1165" s="69">
        <v>-1.61</v>
      </c>
    </row>
    <row r="1166" spans="1:231" x14ac:dyDescent="0.25">
      <c r="A1166" s="127">
        <v>44627</v>
      </c>
      <c r="B1166" s="24" t="s">
        <v>44</v>
      </c>
      <c r="C1166" s="21">
        <f t="shared" si="22"/>
        <v>-193.19</v>
      </c>
      <c r="AA1166" s="42">
        <v>-33.700000000000003</v>
      </c>
      <c r="GP1166" s="42">
        <v>-113.4</v>
      </c>
      <c r="HG1166" s="42">
        <v>-30.94</v>
      </c>
      <c r="HW1166" s="42">
        <v>-15.15</v>
      </c>
    </row>
    <row r="1167" spans="1:231" x14ac:dyDescent="0.25">
      <c r="A1167" s="127">
        <v>44628</v>
      </c>
      <c r="B1167" s="24" t="s">
        <v>59</v>
      </c>
      <c r="C1167" s="21">
        <f t="shared" si="22"/>
        <v>-1.63</v>
      </c>
      <c r="BN1167" s="69">
        <f>-0.75-0.88</f>
        <v>-1.63</v>
      </c>
    </row>
    <row r="1168" spans="1:231" x14ac:dyDescent="0.25">
      <c r="A1168" s="127">
        <v>44628</v>
      </c>
      <c r="B1168" s="24" t="s">
        <v>12</v>
      </c>
      <c r="C1168" s="21">
        <f t="shared" si="22"/>
        <v>-172.02500000000001</v>
      </c>
      <c r="DJ1168" s="69">
        <v>-67.355000000000004</v>
      </c>
      <c r="DN1168" s="42">
        <v>-33.72</v>
      </c>
      <c r="DS1168" s="42">
        <v>-34.92</v>
      </c>
      <c r="EJ1168" s="42">
        <v>-36.03</v>
      </c>
    </row>
    <row r="1169" spans="1:241" x14ac:dyDescent="0.25">
      <c r="A1169" s="127">
        <v>44628</v>
      </c>
      <c r="B1169" s="24" t="s">
        <v>50</v>
      </c>
      <c r="C1169" s="21">
        <f t="shared" si="22"/>
        <v>-31.84</v>
      </c>
      <c r="GL1169" s="42">
        <v>-31.84</v>
      </c>
    </row>
    <row r="1170" spans="1:241" x14ac:dyDescent="0.25">
      <c r="A1170" s="127">
        <v>44628</v>
      </c>
      <c r="B1170" s="24" t="s">
        <v>32</v>
      </c>
      <c r="C1170" s="21">
        <f t="shared" si="22"/>
        <v>-42.795000000000002</v>
      </c>
      <c r="AF1170" s="69">
        <v>-42.795000000000002</v>
      </c>
    </row>
    <row r="1171" spans="1:241" x14ac:dyDescent="0.25">
      <c r="A1171" s="127">
        <v>44628</v>
      </c>
      <c r="B1171" s="24" t="s">
        <v>72</v>
      </c>
      <c r="C1171" s="21">
        <f t="shared" si="22"/>
        <v>-8.5299999999999994</v>
      </c>
      <c r="AP1171" s="42">
        <v>-8.5299999999999994</v>
      </c>
    </row>
    <row r="1172" spans="1:241" x14ac:dyDescent="0.25">
      <c r="A1172" s="127">
        <v>44629</v>
      </c>
      <c r="B1172" s="24" t="s">
        <v>96</v>
      </c>
      <c r="C1172" s="21">
        <f t="shared" si="22"/>
        <v>-99.325000000000003</v>
      </c>
      <c r="AZ1172" s="182">
        <v>-8.7899999999999991</v>
      </c>
      <c r="BD1172" s="121">
        <v>-6.64</v>
      </c>
      <c r="BH1172" s="69">
        <v>-16.844999999999999</v>
      </c>
      <c r="BN1172" s="69">
        <v>-16.105</v>
      </c>
      <c r="BS1172" s="42">
        <v>-8.52</v>
      </c>
      <c r="BZ1172" s="69">
        <v>-8.4550000000000001</v>
      </c>
      <c r="CR1172" s="69">
        <v>-16.945</v>
      </c>
      <c r="CX1172" s="69">
        <v>-17.024999999999999</v>
      </c>
    </row>
    <row r="1173" spans="1:241" x14ac:dyDescent="0.25">
      <c r="A1173" s="127">
        <v>44629</v>
      </c>
      <c r="B1173" s="24" t="s">
        <v>75</v>
      </c>
      <c r="C1173" s="21">
        <f t="shared" si="22"/>
        <v>-33.895000000000003</v>
      </c>
      <c r="BB1173" s="69">
        <v>-8.4450000000000003</v>
      </c>
      <c r="BS1173" s="42">
        <v>-8.52</v>
      </c>
      <c r="BZ1173" s="69">
        <v>-8.4649999999999999</v>
      </c>
      <c r="CR1173" s="69">
        <v>-8.4649999999999999</v>
      </c>
    </row>
    <row r="1174" spans="1:241" x14ac:dyDescent="0.25">
      <c r="A1174" s="127">
        <v>44629</v>
      </c>
      <c r="B1174" s="24" t="s">
        <v>40</v>
      </c>
      <c r="C1174" s="21">
        <f t="shared" si="22"/>
        <v>-136.72</v>
      </c>
      <c r="Y1174" s="69">
        <v>-136.72</v>
      </c>
    </row>
    <row r="1175" spans="1:241" x14ac:dyDescent="0.25">
      <c r="A1175" s="127">
        <v>44629</v>
      </c>
      <c r="B1175" s="24" t="s">
        <v>20</v>
      </c>
      <c r="C1175" s="21">
        <f t="shared" si="22"/>
        <v>-58.69</v>
      </c>
      <c r="AM1175" s="69">
        <v>-8.4600000000000009</v>
      </c>
      <c r="AP1175" s="42">
        <v>-7.53</v>
      </c>
      <c r="AV1175" s="69">
        <v>-8.61</v>
      </c>
      <c r="BB1175" s="69">
        <v>-8.5850000000000009</v>
      </c>
      <c r="BH1175" s="69">
        <v>-8.4350000000000005</v>
      </c>
      <c r="BR1175" s="182">
        <v>-8.56</v>
      </c>
      <c r="BS1175" s="42">
        <v>-8.51</v>
      </c>
    </row>
    <row r="1176" spans="1:241" x14ac:dyDescent="0.25">
      <c r="A1176" s="127">
        <v>44629</v>
      </c>
      <c r="B1176" s="24" t="s">
        <v>109</v>
      </c>
      <c r="C1176" s="21">
        <f t="shared" si="22"/>
        <v>-135.035</v>
      </c>
      <c r="DJ1176" s="69">
        <v>-33.74</v>
      </c>
      <c r="DO1176" s="375">
        <v>-67.55</v>
      </c>
      <c r="EW1176" s="88">
        <v>-33.744999999999997</v>
      </c>
    </row>
    <row r="1177" spans="1:241" x14ac:dyDescent="0.25">
      <c r="A1177" s="127">
        <v>44629</v>
      </c>
      <c r="B1177" s="24" t="s">
        <v>222</v>
      </c>
      <c r="C1177" s="21">
        <f t="shared" si="22"/>
        <v>-42.07</v>
      </c>
      <c r="AP1177" s="42">
        <v>-7.46</v>
      </c>
      <c r="AV1177" s="69">
        <v>-8.64</v>
      </c>
      <c r="BB1177" s="69">
        <v>-8.9649999999999999</v>
      </c>
      <c r="BN1177" s="69">
        <v>-8.5299999999999994</v>
      </c>
      <c r="BZ1177" s="69">
        <v>-8.4749999999999996</v>
      </c>
    </row>
    <row r="1178" spans="1:241" x14ac:dyDescent="0.25">
      <c r="A1178" s="127">
        <v>44629</v>
      </c>
      <c r="B1178" s="24" t="s">
        <v>32</v>
      </c>
      <c r="C1178" s="21">
        <f t="shared" si="22"/>
        <v>-6.49</v>
      </c>
      <c r="AP1178" s="42">
        <v>-6.49</v>
      </c>
    </row>
    <row r="1179" spans="1:241" x14ac:dyDescent="0.25">
      <c r="A1179" s="127">
        <v>44629</v>
      </c>
      <c r="B1179" s="24" t="s">
        <v>12</v>
      </c>
      <c r="C1179" s="21">
        <f t="shared" si="22"/>
        <v>-307.30500000000001</v>
      </c>
      <c r="K1179" s="42">
        <v>-98</v>
      </c>
      <c r="DS1179" s="42">
        <v>-15.97</v>
      </c>
      <c r="EW1179" s="88">
        <v>-42.2</v>
      </c>
      <c r="FF1179" s="88">
        <v>-151.13499999999999</v>
      </c>
    </row>
    <row r="1180" spans="1:241" x14ac:dyDescent="0.25">
      <c r="A1180" s="127">
        <v>44630</v>
      </c>
      <c r="B1180" s="24" t="s">
        <v>15</v>
      </c>
      <c r="C1180" s="21">
        <f t="shared" si="22"/>
        <v>-46.9</v>
      </c>
      <c r="FA1180" s="42">
        <v>-46.9</v>
      </c>
    </row>
    <row r="1181" spans="1:241" x14ac:dyDescent="0.25">
      <c r="A1181" s="127">
        <v>44630</v>
      </c>
      <c r="B1181" s="24" t="s">
        <v>107</v>
      </c>
      <c r="C1181" s="21">
        <f t="shared" si="22"/>
        <v>-9.34</v>
      </c>
      <c r="BR1181" s="182">
        <v>-9.34</v>
      </c>
    </row>
    <row r="1182" spans="1:241" x14ac:dyDescent="0.25">
      <c r="A1182" s="127">
        <v>44635</v>
      </c>
      <c r="B1182" s="24" t="s">
        <v>32</v>
      </c>
      <c r="C1182" s="21">
        <f t="shared" si="22"/>
        <v>-8.65</v>
      </c>
      <c r="Y1182" s="69">
        <v>-8.65</v>
      </c>
    </row>
    <row r="1183" spans="1:241" x14ac:dyDescent="0.25">
      <c r="A1183" s="127">
        <v>44635</v>
      </c>
      <c r="B1183" s="24" t="s">
        <v>95</v>
      </c>
      <c r="C1183" s="21">
        <f t="shared" si="22"/>
        <v>0</v>
      </c>
    </row>
    <row r="1184" spans="1:241" x14ac:dyDescent="0.25">
      <c r="A1184" s="127">
        <v>44635</v>
      </c>
      <c r="B1184" s="18" t="s">
        <v>31</v>
      </c>
      <c r="C1184" s="21">
        <f t="shared" si="22"/>
        <v>-144.99</v>
      </c>
      <c r="IG1184" s="38">
        <v>-144.99</v>
      </c>
    </row>
    <row r="1185" spans="1:241" x14ac:dyDescent="0.25">
      <c r="A1185" s="127">
        <v>44636</v>
      </c>
      <c r="B1185" s="24" t="s">
        <v>59</v>
      </c>
      <c r="C1185" s="21">
        <f t="shared" si="22"/>
        <v>-8.5050000000000008</v>
      </c>
      <c r="CX1185" s="69">
        <v>-8.5050000000000008</v>
      </c>
    </row>
    <row r="1186" spans="1:241" x14ac:dyDescent="0.25">
      <c r="A1186" s="127">
        <v>44636</v>
      </c>
      <c r="B1186" s="24" t="s">
        <v>80</v>
      </c>
      <c r="C1186" s="21">
        <f t="shared" si="22"/>
        <v>-16.21</v>
      </c>
      <c r="AL1186" s="42">
        <v>-16.21</v>
      </c>
    </row>
    <row r="1187" spans="1:241" x14ac:dyDescent="0.25">
      <c r="A1187" s="127">
        <v>44636</v>
      </c>
      <c r="B1187" s="24" t="s">
        <v>78</v>
      </c>
      <c r="C1187" s="21">
        <f t="shared" si="22"/>
        <v>3192.05</v>
      </c>
      <c r="O1187" s="375">
        <v>69.23</v>
      </c>
      <c r="Y1187" s="69">
        <v>169.67</v>
      </c>
      <c r="AB1187" s="69">
        <v>67.989999999999995</v>
      </c>
      <c r="AF1187" s="69">
        <v>66.58</v>
      </c>
      <c r="AM1187" s="69">
        <v>68.06</v>
      </c>
      <c r="AQ1187" s="69">
        <v>339.72</v>
      </c>
      <c r="AV1187" s="69">
        <v>102.02</v>
      </c>
      <c r="BB1187" s="69">
        <v>338.19</v>
      </c>
      <c r="BH1187" s="69">
        <v>203.37</v>
      </c>
      <c r="BN1187" s="69">
        <v>203.37</v>
      </c>
      <c r="BT1187" s="69">
        <v>401.14</v>
      </c>
      <c r="BZ1187" s="69">
        <v>338.78</v>
      </c>
      <c r="CF1187" s="69">
        <v>346.03</v>
      </c>
      <c r="CR1187" s="69">
        <v>343.09</v>
      </c>
      <c r="CX1187" s="69">
        <v>134.81</v>
      </c>
    </row>
    <row r="1188" spans="1:241" x14ac:dyDescent="0.25">
      <c r="A1188" s="127">
        <v>44636</v>
      </c>
      <c r="B1188" s="24" t="s">
        <v>12</v>
      </c>
      <c r="C1188" s="21">
        <f t="shared" si="22"/>
        <v>-304.90499999999997</v>
      </c>
      <c r="AQ1188" s="69">
        <v>-33.914999999999999</v>
      </c>
      <c r="AV1188" s="69">
        <v>-34.03</v>
      </c>
      <c r="EY1188" s="88">
        <v>-64.92</v>
      </c>
      <c r="GE1188" s="88">
        <v>-107.01</v>
      </c>
      <c r="IG1188" s="38">
        <v>-65.03</v>
      </c>
    </row>
    <row r="1189" spans="1:241" x14ac:dyDescent="0.25">
      <c r="A1189" s="127">
        <v>44636</v>
      </c>
      <c r="B1189" s="24" t="s">
        <v>14</v>
      </c>
      <c r="C1189" s="21">
        <f t="shared" si="22"/>
        <v>-126.68</v>
      </c>
      <c r="AF1189" s="69">
        <v>-8.57</v>
      </c>
      <c r="AM1189" s="69">
        <v>-15.69</v>
      </c>
      <c r="BH1189" s="69">
        <v>-33.884999999999998</v>
      </c>
      <c r="BN1189" s="69">
        <v>-33.909999999999997</v>
      </c>
      <c r="CR1189" s="69">
        <v>-34.625</v>
      </c>
    </row>
    <row r="1190" spans="1:241" x14ac:dyDescent="0.25">
      <c r="A1190" s="127">
        <v>44636</v>
      </c>
      <c r="B1190" s="24" t="s">
        <v>13</v>
      </c>
      <c r="C1190" s="21">
        <f t="shared" si="22"/>
        <v>-201.95</v>
      </c>
      <c r="AB1190" s="69">
        <v>-17.145</v>
      </c>
      <c r="AF1190" s="69">
        <v>-15.62</v>
      </c>
      <c r="AM1190" s="69">
        <v>-34.020000000000003</v>
      </c>
      <c r="AQ1190" s="69">
        <v>-33.979999999999997</v>
      </c>
      <c r="BH1190" s="69">
        <v>-33.86</v>
      </c>
      <c r="BN1190" s="69">
        <v>-33.924999999999997</v>
      </c>
      <c r="BT1190" s="69">
        <v>-33.4</v>
      </c>
    </row>
    <row r="1191" spans="1:241" x14ac:dyDescent="0.25">
      <c r="A1191" s="127">
        <v>44636</v>
      </c>
      <c r="B1191" s="24" t="s">
        <v>17</v>
      </c>
      <c r="C1191" s="21">
        <f t="shared" si="22"/>
        <v>-169.21</v>
      </c>
      <c r="AM1191" s="69">
        <v>-34.045000000000002</v>
      </c>
      <c r="AQ1191" s="69">
        <v>-34.024999999999999</v>
      </c>
      <c r="BT1191" s="69">
        <v>-33.46</v>
      </c>
      <c r="BZ1191" s="69">
        <v>-33.869999999999997</v>
      </c>
      <c r="CX1191" s="69">
        <v>-33.81</v>
      </c>
    </row>
    <row r="1192" spans="1:241" x14ac:dyDescent="0.25">
      <c r="A1192" s="127">
        <v>44636</v>
      </c>
      <c r="B1192" s="24" t="s">
        <v>78</v>
      </c>
      <c r="C1192" s="21">
        <f t="shared" si="22"/>
        <v>-134.97999999999999</v>
      </c>
      <c r="AV1192" s="69">
        <v>-8.4949999999999992</v>
      </c>
      <c r="BB1192" s="69">
        <v>-8.4499999999999993</v>
      </c>
      <c r="BH1192" s="69">
        <v>-16.940000000000001</v>
      </c>
      <c r="BN1192" s="69">
        <v>-42.395000000000003</v>
      </c>
      <c r="BT1192" s="69">
        <v>-8.3650000000000002</v>
      </c>
      <c r="BZ1192" s="69">
        <v>-8.5150000000000006</v>
      </c>
      <c r="CF1192" s="69">
        <v>-8.6449999999999996</v>
      </c>
      <c r="DD1192" s="69">
        <v>-33.174999999999997</v>
      </c>
    </row>
    <row r="1193" spans="1:241" x14ac:dyDescent="0.25">
      <c r="A1193" s="127">
        <v>44636</v>
      </c>
      <c r="B1193" s="24" t="s">
        <v>57</v>
      </c>
      <c r="C1193" s="21">
        <f t="shared" si="22"/>
        <v>-110.345</v>
      </c>
      <c r="Y1193" s="69">
        <v>-8.6150000000000002</v>
      </c>
      <c r="AF1193" s="69">
        <v>-8.51</v>
      </c>
      <c r="AQ1193" s="69">
        <v>-16.96</v>
      </c>
      <c r="AV1193" s="69">
        <v>-17.024999999999999</v>
      </c>
      <c r="BB1193" s="69">
        <v>-16.914999999999999</v>
      </c>
      <c r="BN1193" s="69">
        <v>-16.93</v>
      </c>
      <c r="BT1193" s="69">
        <v>-16.75</v>
      </c>
      <c r="CF1193" s="69">
        <v>-8.64</v>
      </c>
    </row>
    <row r="1194" spans="1:241" x14ac:dyDescent="0.25">
      <c r="A1194" s="127">
        <v>44636</v>
      </c>
      <c r="B1194" s="24" t="s">
        <v>72</v>
      </c>
      <c r="C1194" s="21">
        <f t="shared" si="22"/>
        <v>-34.094999999999999</v>
      </c>
      <c r="DO1194" s="375">
        <v>-8.5050000000000008</v>
      </c>
      <c r="DT1194" s="69">
        <v>-25.59</v>
      </c>
    </row>
    <row r="1195" spans="1:241" x14ac:dyDescent="0.25">
      <c r="A1195" s="127">
        <v>44636</v>
      </c>
      <c r="B1195" s="24" t="s">
        <v>20</v>
      </c>
      <c r="C1195" s="21">
        <f t="shared" si="22"/>
        <v>-25.47</v>
      </c>
      <c r="Y1195" s="69">
        <v>-8.6549999999999994</v>
      </c>
      <c r="BT1195" s="69">
        <v>-8.3350000000000009</v>
      </c>
      <c r="BZ1195" s="69">
        <v>-8.48</v>
      </c>
    </row>
    <row r="1196" spans="1:241" x14ac:dyDescent="0.25">
      <c r="A1196" s="127">
        <v>44636</v>
      </c>
      <c r="B1196" s="24" t="s">
        <v>19</v>
      </c>
      <c r="C1196" s="21">
        <f t="shared" si="22"/>
        <v>-69.23</v>
      </c>
      <c r="O1196" s="375">
        <v>-69.23</v>
      </c>
    </row>
    <row r="1197" spans="1:241" x14ac:dyDescent="0.25">
      <c r="A1197" s="127">
        <v>44636</v>
      </c>
      <c r="B1197" s="24" t="s">
        <v>19</v>
      </c>
      <c r="C1197" s="21">
        <f t="shared" si="22"/>
        <v>497.66</v>
      </c>
      <c r="BD1197" s="121">
        <v>28.08</v>
      </c>
      <c r="BJ1197" s="121">
        <v>31.31</v>
      </c>
      <c r="BL1197" s="182">
        <v>35.72</v>
      </c>
      <c r="BR1197" s="182">
        <v>68.28</v>
      </c>
      <c r="BV1197" s="121">
        <v>31.51</v>
      </c>
      <c r="BX1197" s="182">
        <v>32.47</v>
      </c>
      <c r="CC1197" s="126">
        <v>65.87</v>
      </c>
      <c r="CJ1197" s="182">
        <v>34.14</v>
      </c>
      <c r="CT1197" s="121">
        <v>68.97</v>
      </c>
      <c r="DB1197" s="115">
        <v>66.63</v>
      </c>
      <c r="DG1197" s="126">
        <v>34.68</v>
      </c>
    </row>
    <row r="1198" spans="1:241" x14ac:dyDescent="0.25">
      <c r="A1198" s="127">
        <v>44637</v>
      </c>
      <c r="B1198" s="24" t="s">
        <v>32</v>
      </c>
      <c r="C1198" s="21">
        <f t="shared" si="22"/>
        <v>-346.02499999999998</v>
      </c>
      <c r="AB1198" s="69">
        <v>-8.5749999999999993</v>
      </c>
      <c r="AL1198" s="42">
        <v>-32.28</v>
      </c>
      <c r="AQ1198" s="69">
        <v>-33.96</v>
      </c>
      <c r="AV1198" s="69">
        <v>-16.989999999999998</v>
      </c>
      <c r="BB1198" s="69">
        <v>-33.880000000000003</v>
      </c>
      <c r="BH1198" s="69">
        <v>-67.715000000000003</v>
      </c>
      <c r="BN1198" s="69">
        <v>-33.840000000000003</v>
      </c>
      <c r="BT1198" s="69">
        <v>-33.375</v>
      </c>
      <c r="BZ1198" s="69">
        <v>-50.865000000000002</v>
      </c>
      <c r="CF1198" s="69">
        <v>-34.545000000000002</v>
      </c>
    </row>
    <row r="1199" spans="1:241" x14ac:dyDescent="0.25">
      <c r="A1199" s="127">
        <v>44637</v>
      </c>
      <c r="B1199" s="24" t="s">
        <v>78</v>
      </c>
      <c r="C1199" s="21">
        <f t="shared" si="22"/>
        <v>-33.774999999999999</v>
      </c>
      <c r="BB1199" s="69">
        <v>-8.4849999999999994</v>
      </c>
      <c r="BH1199" s="69">
        <v>-8.4450000000000003</v>
      </c>
      <c r="BT1199" s="69">
        <v>-8.3550000000000004</v>
      </c>
      <c r="BZ1199" s="69">
        <v>-8.49</v>
      </c>
    </row>
    <row r="1200" spans="1:241" x14ac:dyDescent="0.25">
      <c r="A1200" s="127">
        <v>44637</v>
      </c>
      <c r="B1200" s="24" t="s">
        <v>44</v>
      </c>
      <c r="C1200" s="21">
        <f t="shared" si="22"/>
        <v>-112.8</v>
      </c>
      <c r="GP1200" s="42">
        <v>-112.8</v>
      </c>
    </row>
    <row r="1201" spans="1:231" x14ac:dyDescent="0.25">
      <c r="A1201" s="127">
        <v>44637</v>
      </c>
      <c r="B1201" s="24" t="s">
        <v>33</v>
      </c>
      <c r="C1201" s="21">
        <f t="shared" si="22"/>
        <v>-25.364999999999998</v>
      </c>
      <c r="BB1201" s="69">
        <v>-8.49</v>
      </c>
      <c r="BH1201" s="69">
        <v>-8.4600000000000009</v>
      </c>
      <c r="BT1201" s="69">
        <v>-8.4149999999999991</v>
      </c>
    </row>
    <row r="1202" spans="1:231" x14ac:dyDescent="0.25">
      <c r="A1202" s="127">
        <v>44637</v>
      </c>
      <c r="B1202" s="24" t="s">
        <v>94</v>
      </c>
      <c r="C1202" s="21">
        <f t="shared" si="22"/>
        <v>-42.76</v>
      </c>
      <c r="EJ1202" s="42">
        <v>-8.69</v>
      </c>
      <c r="EK1202" s="69">
        <v>-34.07</v>
      </c>
    </row>
    <row r="1203" spans="1:231" x14ac:dyDescent="0.25">
      <c r="A1203" s="127">
        <v>44637</v>
      </c>
      <c r="B1203" s="24" t="s">
        <v>75</v>
      </c>
      <c r="C1203" s="21">
        <f t="shared" si="22"/>
        <v>-17.02</v>
      </c>
      <c r="CF1203" s="69">
        <v>-8.64</v>
      </c>
      <c r="CL1203" s="69">
        <v>-8.3800000000000008</v>
      </c>
    </row>
    <row r="1204" spans="1:231" x14ac:dyDescent="0.25">
      <c r="A1204" s="127">
        <v>44637</v>
      </c>
      <c r="B1204" s="24" t="s">
        <v>27</v>
      </c>
      <c r="C1204" s="21">
        <f t="shared" si="22"/>
        <v>-16.27</v>
      </c>
      <c r="BR1204" s="182">
        <v>-8.24</v>
      </c>
      <c r="CN1204" s="121">
        <v>-8.0299999999999994</v>
      </c>
    </row>
    <row r="1205" spans="1:231" x14ac:dyDescent="0.25">
      <c r="A1205" s="127">
        <v>44637</v>
      </c>
      <c r="B1205" s="24" t="s">
        <v>108</v>
      </c>
      <c r="C1205" s="21">
        <f t="shared" si="22"/>
        <v>-17.004999999999999</v>
      </c>
      <c r="AV1205" s="69">
        <v>-8.5050000000000008</v>
      </c>
      <c r="BZ1205" s="69">
        <v>-8.5</v>
      </c>
    </row>
    <row r="1206" spans="1:231" x14ac:dyDescent="0.25">
      <c r="A1206" s="127">
        <v>44638</v>
      </c>
      <c r="B1206" s="24" t="s">
        <v>15</v>
      </c>
      <c r="C1206" s="21">
        <f t="shared" si="22"/>
        <v>-77.055000000000007</v>
      </c>
      <c r="BN1206" s="69">
        <v>-8.48</v>
      </c>
      <c r="CF1206" s="69">
        <v>-34.700000000000003</v>
      </c>
      <c r="CX1206" s="69">
        <v>-33.875</v>
      </c>
    </row>
    <row r="1207" spans="1:231" x14ac:dyDescent="0.25">
      <c r="A1207" s="127">
        <v>44638</v>
      </c>
      <c r="B1207" s="24" t="s">
        <v>78</v>
      </c>
      <c r="C1207" s="21">
        <f t="shared" si="22"/>
        <v>-42.41</v>
      </c>
      <c r="AM1207" s="69">
        <v>-8.4949999999999992</v>
      </c>
      <c r="AQ1207" s="69">
        <v>-8.4849999999999994</v>
      </c>
      <c r="BH1207" s="69">
        <v>-16.920000000000002</v>
      </c>
      <c r="BZ1207" s="69">
        <v>-8.51</v>
      </c>
    </row>
    <row r="1208" spans="1:231" x14ac:dyDescent="0.25">
      <c r="A1208" s="127">
        <v>44639</v>
      </c>
      <c r="B1208" s="24" t="s">
        <v>72</v>
      </c>
      <c r="C1208" s="21">
        <f t="shared" si="22"/>
        <v>-8.5749999999999993</v>
      </c>
      <c r="AB1208" s="69">
        <v>-8.5749999999999993</v>
      </c>
    </row>
    <row r="1209" spans="1:231" x14ac:dyDescent="0.25">
      <c r="A1209" s="127">
        <v>44639</v>
      </c>
      <c r="B1209" s="24" t="s">
        <v>45</v>
      </c>
      <c r="C1209" s="21">
        <f t="shared" si="22"/>
        <v>-32.659999999999997</v>
      </c>
      <c r="DG1209" s="126">
        <f>-8.28-8.55</f>
        <v>-16.829999999999998</v>
      </c>
      <c r="DL1209" s="121">
        <f>-7.87-7.96</f>
        <v>-15.83</v>
      </c>
    </row>
    <row r="1210" spans="1:231" x14ac:dyDescent="0.25">
      <c r="A1210" s="127">
        <v>44639</v>
      </c>
      <c r="B1210" s="24" t="s">
        <v>78</v>
      </c>
      <c r="C1210" s="21">
        <f t="shared" si="22"/>
        <v>680.75</v>
      </c>
      <c r="O1210" s="375">
        <v>137.80000000000001</v>
      </c>
      <c r="BH1210" s="69">
        <v>136.85</v>
      </c>
      <c r="CL1210" s="69">
        <v>270.8</v>
      </c>
      <c r="DD1210" s="69">
        <v>135.30000000000001</v>
      </c>
    </row>
    <row r="1211" spans="1:231" x14ac:dyDescent="0.25">
      <c r="A1211" s="127">
        <v>44641</v>
      </c>
      <c r="B1211" s="24" t="s">
        <v>78</v>
      </c>
      <c r="C1211" s="21">
        <f t="shared" si="22"/>
        <v>-33.814999999999998</v>
      </c>
      <c r="BT1211" s="69">
        <v>-8.3849999999999998</v>
      </c>
      <c r="BZ1211" s="69">
        <v>-8.4250000000000007</v>
      </c>
      <c r="CF1211" s="69">
        <v>-8.6449999999999996</v>
      </c>
      <c r="CL1211" s="69">
        <v>-8.36</v>
      </c>
    </row>
    <row r="1212" spans="1:231" x14ac:dyDescent="0.25">
      <c r="A1212" s="127">
        <v>44641</v>
      </c>
      <c r="B1212" s="24" t="s">
        <v>78</v>
      </c>
      <c r="C1212" s="21">
        <f t="shared" si="22"/>
        <v>-34.295000000000002</v>
      </c>
      <c r="BZ1212" s="69">
        <v>-16.91</v>
      </c>
      <c r="CF1212" s="69">
        <v>-17.385000000000002</v>
      </c>
    </row>
    <row r="1213" spans="1:231" x14ac:dyDescent="0.25">
      <c r="A1213" s="127">
        <v>44641</v>
      </c>
      <c r="B1213" s="24" t="s">
        <v>59</v>
      </c>
      <c r="C1213" s="21">
        <f t="shared" si="22"/>
        <v>-16.350000000000001</v>
      </c>
      <c r="GV1213" s="42">
        <v>-8.85</v>
      </c>
      <c r="HW1213" s="42">
        <v>-7.5</v>
      </c>
    </row>
    <row r="1214" spans="1:231" x14ac:dyDescent="0.25">
      <c r="A1214" s="127">
        <v>44641</v>
      </c>
      <c r="B1214" s="24" t="s">
        <v>78</v>
      </c>
      <c r="C1214" s="21">
        <f t="shared" si="22"/>
        <v>-84.254999999999995</v>
      </c>
      <c r="AV1214" s="69">
        <v>-16.72</v>
      </c>
      <c r="BB1214" s="69">
        <v>-16.89</v>
      </c>
      <c r="BH1214" s="69">
        <v>-16.954999999999998</v>
      </c>
      <c r="BN1214" s="69">
        <v>-16.954999999999998</v>
      </c>
      <c r="BT1214" s="69">
        <v>-16.734999999999999</v>
      </c>
    </row>
    <row r="1215" spans="1:231" x14ac:dyDescent="0.25">
      <c r="A1215" s="127">
        <v>44641</v>
      </c>
      <c r="B1215" s="24" t="s">
        <v>80</v>
      </c>
      <c r="C1215" s="21">
        <f t="shared" si="22"/>
        <v>-15.46</v>
      </c>
      <c r="AL1215" s="42">
        <v>-15.46</v>
      </c>
    </row>
    <row r="1216" spans="1:231" x14ac:dyDescent="0.25">
      <c r="A1216" s="127">
        <v>44641</v>
      </c>
      <c r="B1216" s="24" t="s">
        <v>78</v>
      </c>
      <c r="C1216" s="21">
        <f t="shared" si="22"/>
        <v>808.36</v>
      </c>
      <c r="O1216" s="375">
        <v>34.630000000000003</v>
      </c>
      <c r="AV1216" s="69">
        <v>200.61</v>
      </c>
      <c r="BH1216" s="69">
        <v>136.72</v>
      </c>
      <c r="BT1216" s="69">
        <v>33.65</v>
      </c>
      <c r="CL1216" s="69">
        <v>169.13</v>
      </c>
      <c r="DZ1216" s="69">
        <v>233.62</v>
      </c>
    </row>
    <row r="1217" spans="1:229" x14ac:dyDescent="0.25">
      <c r="A1217" s="127">
        <v>44642</v>
      </c>
      <c r="B1217" s="24" t="s">
        <v>15</v>
      </c>
      <c r="C1217" s="21">
        <f t="shared" si="22"/>
        <v>-19.8</v>
      </c>
      <c r="FF1217" s="88">
        <v>-19.8</v>
      </c>
    </row>
    <row r="1218" spans="1:229" x14ac:dyDescent="0.25">
      <c r="A1218" s="127">
        <v>44642</v>
      </c>
      <c r="B1218" s="24" t="s">
        <v>32</v>
      </c>
      <c r="C1218" s="21">
        <f t="shared" si="22"/>
        <v>-25.62</v>
      </c>
      <c r="CR1218" s="69">
        <v>-25.62</v>
      </c>
    </row>
    <row r="1219" spans="1:229" x14ac:dyDescent="0.25">
      <c r="A1219" s="127">
        <v>44642</v>
      </c>
      <c r="B1219" s="24" t="s">
        <v>2</v>
      </c>
      <c r="C1219" s="21">
        <f t="shared" si="22"/>
        <v>1534.64</v>
      </c>
      <c r="HK1219" s="50">
        <v>520.80999999999995</v>
      </c>
      <c r="HL1219" s="42">
        <v>516.14</v>
      </c>
      <c r="HU1219" s="42">
        <v>497.69</v>
      </c>
    </row>
    <row r="1220" spans="1:229" x14ac:dyDescent="0.25">
      <c r="A1220" s="127">
        <v>44642</v>
      </c>
      <c r="B1220" s="24" t="s">
        <v>40</v>
      </c>
      <c r="C1220" s="21">
        <f t="shared" si="22"/>
        <v>-805.99</v>
      </c>
      <c r="HL1220" s="42">
        <v>-516.14</v>
      </c>
      <c r="HU1220" s="42">
        <v>-289.85000000000002</v>
      </c>
    </row>
    <row r="1221" spans="1:229" x14ac:dyDescent="0.25">
      <c r="A1221" s="127">
        <v>44642</v>
      </c>
      <c r="B1221" s="24" t="s">
        <v>20</v>
      </c>
      <c r="C1221" s="21">
        <f t="shared" si="22"/>
        <v>-68.635000000000005</v>
      </c>
      <c r="BH1221" s="69">
        <v>-8.4849999999999994</v>
      </c>
      <c r="GY1221" s="42">
        <v>-60.15</v>
      </c>
    </row>
    <row r="1222" spans="1:229" x14ac:dyDescent="0.25">
      <c r="A1222" s="127">
        <v>44642</v>
      </c>
      <c r="B1222" s="24" t="s">
        <v>12</v>
      </c>
      <c r="C1222" s="21">
        <f t="shared" si="22"/>
        <v>-169.98500000000001</v>
      </c>
      <c r="K1222" s="42">
        <v>-101.8</v>
      </c>
      <c r="AF1222" s="69">
        <v>-68.185000000000002</v>
      </c>
    </row>
    <row r="1223" spans="1:229" x14ac:dyDescent="0.25">
      <c r="A1223" s="127">
        <v>44642</v>
      </c>
      <c r="B1223" s="24" t="s">
        <v>78</v>
      </c>
      <c r="C1223" s="21">
        <f t="shared" si="22"/>
        <v>-84.99</v>
      </c>
      <c r="BH1223" s="69">
        <v>-17.13</v>
      </c>
      <c r="BN1223" s="69">
        <v>-16.95</v>
      </c>
      <c r="BT1223" s="69">
        <v>-16.734999999999999</v>
      </c>
      <c r="BZ1223" s="69">
        <v>-16.954999999999998</v>
      </c>
      <c r="CF1223" s="69">
        <v>-8.7100000000000009</v>
      </c>
      <c r="CX1223" s="69">
        <v>-8.51</v>
      </c>
    </row>
    <row r="1224" spans="1:229" x14ac:dyDescent="0.25">
      <c r="A1224" s="127">
        <v>44642</v>
      </c>
      <c r="B1224" s="24" t="s">
        <v>44</v>
      </c>
      <c r="C1224" s="21">
        <f t="shared" ref="C1224:C1287" si="23">SUM(I1224:JT1224)</f>
        <v>-218.19499999999999</v>
      </c>
      <c r="BH1224" s="69">
        <v>-68.394999999999996</v>
      </c>
      <c r="GP1224" s="42">
        <v>-73.8</v>
      </c>
      <c r="GV1224" s="42">
        <v>-76</v>
      </c>
    </row>
    <row r="1225" spans="1:229" x14ac:dyDescent="0.25">
      <c r="A1225" s="127">
        <v>44642</v>
      </c>
      <c r="B1225" s="24" t="s">
        <v>78</v>
      </c>
      <c r="C1225" s="21">
        <f t="shared" si="23"/>
        <v>-34.5</v>
      </c>
      <c r="CF1225" s="69">
        <v>-34.5</v>
      </c>
    </row>
    <row r="1226" spans="1:229" x14ac:dyDescent="0.25">
      <c r="A1226" s="127">
        <v>44642</v>
      </c>
      <c r="B1226" s="24" t="s">
        <v>78</v>
      </c>
      <c r="C1226" s="21">
        <f t="shared" si="23"/>
        <v>801.75</v>
      </c>
      <c r="O1226" s="375">
        <v>103.78</v>
      </c>
      <c r="BN1226" s="69">
        <f>68.14+135.85</f>
        <v>203.99</v>
      </c>
      <c r="BT1226" s="69">
        <v>67.599999999999994</v>
      </c>
      <c r="BZ1226" s="69">
        <v>66.790000000000006</v>
      </c>
      <c r="CL1226" s="69">
        <v>170.87</v>
      </c>
      <c r="EK1226" s="69">
        <v>101.65</v>
      </c>
      <c r="EO1226" s="69">
        <v>87.07</v>
      </c>
    </row>
    <row r="1227" spans="1:229" x14ac:dyDescent="0.25">
      <c r="A1227" s="127">
        <v>44643</v>
      </c>
      <c r="B1227" s="24" t="s">
        <v>15</v>
      </c>
      <c r="C1227" s="21">
        <f t="shared" si="23"/>
        <v>-17.02</v>
      </c>
      <c r="BN1227" s="69">
        <v>-17.02</v>
      </c>
    </row>
    <row r="1228" spans="1:229" x14ac:dyDescent="0.25">
      <c r="A1228" s="127">
        <v>44643</v>
      </c>
      <c r="B1228" s="24" t="s">
        <v>75</v>
      </c>
      <c r="C1228" s="21">
        <f t="shared" si="23"/>
        <v>-42.365000000000002</v>
      </c>
      <c r="AF1228" s="69">
        <v>-8.4700000000000006</v>
      </c>
      <c r="AM1228" s="69">
        <v>-8.5399999999999991</v>
      </c>
      <c r="BB1228" s="69">
        <v>-8.4550000000000001</v>
      </c>
      <c r="BH1228" s="69">
        <v>-8.5500000000000007</v>
      </c>
      <c r="BT1228" s="69">
        <v>-8.35</v>
      </c>
    </row>
    <row r="1229" spans="1:229" x14ac:dyDescent="0.25">
      <c r="A1229" s="127">
        <v>44643</v>
      </c>
      <c r="B1229" s="24" t="s">
        <v>79</v>
      </c>
      <c r="C1229" s="21">
        <f t="shared" si="23"/>
        <v>-8.6449999999999996</v>
      </c>
      <c r="O1229" s="375">
        <v>-8.6449999999999996</v>
      </c>
    </row>
    <row r="1230" spans="1:229" x14ac:dyDescent="0.25">
      <c r="A1230" s="127">
        <v>44643</v>
      </c>
      <c r="B1230" s="24" t="s">
        <v>78</v>
      </c>
      <c r="C1230" s="21">
        <f t="shared" si="23"/>
        <v>-16.885000000000002</v>
      </c>
      <c r="BB1230" s="69">
        <v>-16.885000000000002</v>
      </c>
    </row>
    <row r="1231" spans="1:229" x14ac:dyDescent="0.25">
      <c r="A1231" s="127">
        <v>44643</v>
      </c>
      <c r="B1231" s="24" t="s">
        <v>78</v>
      </c>
      <c r="C1231" s="21">
        <f t="shared" si="23"/>
        <v>-68.099999999999994</v>
      </c>
      <c r="BN1231" s="69">
        <v>-17.010000000000002</v>
      </c>
      <c r="BZ1231" s="69">
        <v>-16.664999999999999</v>
      </c>
      <c r="CF1231" s="69">
        <v>-17.364999999999998</v>
      </c>
      <c r="CL1231" s="69">
        <v>-17.059999999999999</v>
      </c>
    </row>
    <row r="1232" spans="1:229" x14ac:dyDescent="0.25">
      <c r="A1232" s="127">
        <v>44643</v>
      </c>
      <c r="B1232" s="24" t="s">
        <v>37</v>
      </c>
      <c r="C1232" s="21">
        <f t="shared" si="23"/>
        <v>-32.79</v>
      </c>
      <c r="HK1232" s="50">
        <v>-32.79</v>
      </c>
    </row>
    <row r="1233" spans="1:219" x14ac:dyDescent="0.25">
      <c r="A1233" s="127">
        <v>44643</v>
      </c>
      <c r="B1233" s="24" t="s">
        <v>27</v>
      </c>
      <c r="C1233" s="21">
        <f t="shared" si="23"/>
        <v>-8.1300000000000008</v>
      </c>
      <c r="AZ1233" s="182">
        <v>-8.1300000000000008</v>
      </c>
    </row>
    <row r="1234" spans="1:219" x14ac:dyDescent="0.25">
      <c r="A1234" s="127">
        <v>44644</v>
      </c>
      <c r="B1234" s="24" t="s">
        <v>80</v>
      </c>
      <c r="C1234" s="21">
        <f t="shared" si="23"/>
        <v>-43.475000000000001</v>
      </c>
      <c r="AL1234" s="42">
        <v>-26.49</v>
      </c>
      <c r="AV1234" s="69">
        <v>-16.984999999999999</v>
      </c>
    </row>
    <row r="1235" spans="1:219" x14ac:dyDescent="0.25">
      <c r="A1235" s="127">
        <v>44644</v>
      </c>
      <c r="B1235" s="24" t="s">
        <v>110</v>
      </c>
      <c r="C1235" s="21">
        <f t="shared" si="23"/>
        <v>-59.1</v>
      </c>
      <c r="CF1235" s="69">
        <v>-25.934999999999999</v>
      </c>
      <c r="CL1235" s="69">
        <v>-25.61</v>
      </c>
      <c r="DD1235" s="69">
        <v>-7.5549999999999997</v>
      </c>
    </row>
    <row r="1236" spans="1:219" x14ac:dyDescent="0.25">
      <c r="A1236" s="127">
        <v>44644</v>
      </c>
      <c r="B1236" s="24" t="s">
        <v>110</v>
      </c>
      <c r="C1236" s="21">
        <f t="shared" si="23"/>
        <v>-67.334999999999994</v>
      </c>
      <c r="DZ1236" s="69">
        <v>-67.334999999999994</v>
      </c>
    </row>
    <row r="1237" spans="1:219" x14ac:dyDescent="0.25">
      <c r="A1237" s="127">
        <v>44644</v>
      </c>
      <c r="B1237" s="24" t="s">
        <v>38</v>
      </c>
      <c r="C1237" s="21">
        <f t="shared" si="23"/>
        <v>-42.984999999999999</v>
      </c>
      <c r="FJ1237" s="69">
        <v>-42.984999999999999</v>
      </c>
    </row>
    <row r="1238" spans="1:219" x14ac:dyDescent="0.25">
      <c r="A1238" s="127">
        <v>44644</v>
      </c>
      <c r="B1238" s="24" t="s">
        <v>66</v>
      </c>
      <c r="C1238" s="21">
        <f t="shared" si="23"/>
        <v>-67.209999999999994</v>
      </c>
      <c r="DS1238" s="42">
        <v>-67.209999999999994</v>
      </c>
    </row>
    <row r="1239" spans="1:219" x14ac:dyDescent="0.25">
      <c r="A1239" s="127">
        <v>44644</v>
      </c>
      <c r="B1239" s="24" t="s">
        <v>37</v>
      </c>
      <c r="C1239" s="21">
        <f t="shared" si="23"/>
        <v>-33.35</v>
      </c>
      <c r="HK1239" s="50">
        <v>-33.35</v>
      </c>
    </row>
    <row r="1240" spans="1:219" x14ac:dyDescent="0.25">
      <c r="A1240" s="127">
        <v>44644</v>
      </c>
      <c r="B1240" s="24" t="s">
        <v>107</v>
      </c>
      <c r="C1240" s="21">
        <f t="shared" si="23"/>
        <v>-59.625</v>
      </c>
      <c r="BH1240" s="69">
        <v>-8.56</v>
      </c>
      <c r="BN1240" s="69">
        <v>-8.4849999999999994</v>
      </c>
      <c r="BT1240" s="69">
        <v>-8.4649999999999999</v>
      </c>
      <c r="BZ1240" s="69">
        <v>-8.4550000000000001</v>
      </c>
      <c r="CF1240" s="69">
        <v>-8.67</v>
      </c>
      <c r="CL1240" s="69">
        <v>-16.989999999999998</v>
      </c>
    </row>
    <row r="1241" spans="1:219" x14ac:dyDescent="0.25">
      <c r="A1241" s="127">
        <v>44645</v>
      </c>
      <c r="B1241" s="24" t="s">
        <v>17</v>
      </c>
      <c r="C1241" s="21">
        <f t="shared" si="23"/>
        <v>-66.98</v>
      </c>
      <c r="BT1241" s="69">
        <v>-33.744999999999997</v>
      </c>
      <c r="BZ1241" s="69">
        <v>-33.234999999999999</v>
      </c>
    </row>
    <row r="1242" spans="1:219" x14ac:dyDescent="0.25">
      <c r="A1242" s="127">
        <v>44645</v>
      </c>
      <c r="B1242" s="24" t="s">
        <v>15</v>
      </c>
      <c r="C1242" s="21">
        <f t="shared" si="23"/>
        <v>-43.255000000000003</v>
      </c>
      <c r="CL1242" s="69">
        <v>-8.58</v>
      </c>
      <c r="DD1242" s="69">
        <v>-34.674999999999997</v>
      </c>
    </row>
    <row r="1243" spans="1:219" x14ac:dyDescent="0.25">
      <c r="A1243" s="127">
        <v>44645</v>
      </c>
      <c r="B1243" s="24" t="s">
        <v>111</v>
      </c>
      <c r="C1243" s="21">
        <f t="shared" si="23"/>
        <v>-16.47</v>
      </c>
      <c r="BX1243" s="182">
        <v>-16.47</v>
      </c>
    </row>
    <row r="1244" spans="1:219" x14ac:dyDescent="0.25">
      <c r="A1244" s="127">
        <v>44645</v>
      </c>
      <c r="B1244" s="24" t="s">
        <v>78</v>
      </c>
      <c r="C1244" s="21">
        <f t="shared" si="23"/>
        <v>-25.315000000000001</v>
      </c>
      <c r="BN1244" s="69">
        <v>-8.41</v>
      </c>
      <c r="BT1244" s="69">
        <v>-8.4700000000000006</v>
      </c>
      <c r="BZ1244" s="69">
        <v>-8.4350000000000005</v>
      </c>
    </row>
    <row r="1245" spans="1:219" x14ac:dyDescent="0.25">
      <c r="A1245" s="127">
        <v>44645</v>
      </c>
      <c r="B1245" s="24" t="s">
        <v>13</v>
      </c>
      <c r="C1245" s="21">
        <f t="shared" si="23"/>
        <v>-543.32500000000005</v>
      </c>
      <c r="L1245" s="69">
        <v>-8.49</v>
      </c>
      <c r="O1245" s="375">
        <v>-8.6549999999999994</v>
      </c>
      <c r="U1245" s="69">
        <v>-8.5749999999999993</v>
      </c>
      <c r="Y1245" s="69">
        <v>-8.5749999999999993</v>
      </c>
      <c r="AB1245" s="69">
        <v>-17.234999999999999</v>
      </c>
      <c r="AF1245" s="69">
        <v>-17.045000000000002</v>
      </c>
      <c r="AM1245" s="69">
        <v>-17.055</v>
      </c>
      <c r="AQ1245" s="69">
        <v>-16.95</v>
      </c>
      <c r="BB1245" s="69">
        <v>-33.844999999999999</v>
      </c>
      <c r="BH1245" s="69">
        <v>-34.234999999999999</v>
      </c>
      <c r="BN1245" s="69">
        <v>-33.975000000000001</v>
      </c>
      <c r="BT1245" s="69">
        <v>-33.4</v>
      </c>
      <c r="BZ1245" s="69">
        <v>-33.905000000000001</v>
      </c>
      <c r="CF1245" s="69">
        <v>-34.56</v>
      </c>
      <c r="CL1245" s="69">
        <v>-34.24</v>
      </c>
      <c r="CR1245" s="69">
        <v>-34.299999999999997</v>
      </c>
      <c r="CX1245" s="69">
        <v>-33.6</v>
      </c>
      <c r="DD1245" s="69">
        <v>-33.645000000000003</v>
      </c>
      <c r="DJ1245" s="69">
        <v>-33.82</v>
      </c>
      <c r="DO1245" s="375">
        <v>-33.604999999999997</v>
      </c>
      <c r="DZ1245" s="69">
        <v>-33.615000000000002</v>
      </c>
    </row>
    <row r="1246" spans="1:219" x14ac:dyDescent="0.25">
      <c r="A1246" s="127">
        <v>44645</v>
      </c>
      <c r="B1246" s="24" t="s">
        <v>78</v>
      </c>
      <c r="C1246" s="21">
        <f t="shared" si="23"/>
        <v>-17.035</v>
      </c>
      <c r="BB1246" s="69">
        <v>-8.4649999999999999</v>
      </c>
      <c r="BH1246" s="69">
        <v>-8.57</v>
      </c>
    </row>
    <row r="1247" spans="1:219" x14ac:dyDescent="0.25">
      <c r="A1247" s="127">
        <v>44645</v>
      </c>
      <c r="B1247" s="24" t="s">
        <v>72</v>
      </c>
      <c r="C1247" s="21">
        <f t="shared" si="23"/>
        <v>-17.204999999999998</v>
      </c>
      <c r="CF1247" s="69">
        <v>-8.6449999999999996</v>
      </c>
      <c r="CL1247" s="69">
        <v>-8.56</v>
      </c>
    </row>
    <row r="1248" spans="1:219" x14ac:dyDescent="0.25">
      <c r="A1248" s="127">
        <v>44645</v>
      </c>
      <c r="B1248" s="24" t="s">
        <v>72</v>
      </c>
      <c r="C1248" s="21">
        <f t="shared" si="23"/>
        <v>-25.484999999999999</v>
      </c>
      <c r="BH1248" s="69">
        <v>-8.5649999999999995</v>
      </c>
      <c r="BT1248" s="69">
        <v>-16.920000000000002</v>
      </c>
    </row>
    <row r="1249" spans="1:198" x14ac:dyDescent="0.25">
      <c r="A1249" s="127">
        <v>44645</v>
      </c>
      <c r="B1249" s="24" t="s">
        <v>14</v>
      </c>
      <c r="C1249" s="21">
        <f t="shared" si="23"/>
        <v>-65.204999999999998</v>
      </c>
      <c r="BT1249" s="69">
        <v>-33.42</v>
      </c>
      <c r="DZ1249" s="69">
        <v>-31.785</v>
      </c>
    </row>
    <row r="1250" spans="1:198" x14ac:dyDescent="0.25">
      <c r="A1250" s="127">
        <v>44645</v>
      </c>
      <c r="B1250" s="24" t="s">
        <v>13</v>
      </c>
      <c r="C1250" s="21">
        <f t="shared" si="23"/>
        <v>-237.09</v>
      </c>
      <c r="CF1250" s="69">
        <v>-34.674999999999997</v>
      </c>
      <c r="CR1250" s="69">
        <v>-34.134999999999998</v>
      </c>
      <c r="DD1250" s="69">
        <v>-33.450000000000003</v>
      </c>
      <c r="DJ1250" s="69">
        <v>-67.5</v>
      </c>
      <c r="DO1250" s="375">
        <v>-33.78</v>
      </c>
      <c r="DZ1250" s="69">
        <v>-33.549999999999997</v>
      </c>
    </row>
    <row r="1251" spans="1:198" x14ac:dyDescent="0.25">
      <c r="A1251" s="127">
        <v>44646</v>
      </c>
      <c r="B1251" s="24" t="s">
        <v>12</v>
      </c>
      <c r="C1251" s="21">
        <f t="shared" si="23"/>
        <v>-100.55</v>
      </c>
      <c r="GP1251" s="42">
        <v>-100.55</v>
      </c>
    </row>
    <row r="1252" spans="1:198" x14ac:dyDescent="0.25">
      <c r="A1252" s="127">
        <v>44646</v>
      </c>
      <c r="B1252" s="24" t="s">
        <v>44</v>
      </c>
      <c r="C1252" s="21">
        <f t="shared" si="23"/>
        <v>-86.765000000000001</v>
      </c>
      <c r="EY1252" s="88">
        <v>-86.765000000000001</v>
      </c>
    </row>
    <row r="1253" spans="1:198" x14ac:dyDescent="0.25">
      <c r="A1253" s="127">
        <v>44646</v>
      </c>
      <c r="B1253" s="24" t="s">
        <v>14</v>
      </c>
      <c r="C1253" s="21">
        <f t="shared" si="23"/>
        <v>-33.534999999999997</v>
      </c>
      <c r="CX1253" s="69">
        <v>-33.534999999999997</v>
      </c>
    </row>
    <row r="1254" spans="1:198" x14ac:dyDescent="0.25">
      <c r="A1254" s="127">
        <v>44646</v>
      </c>
      <c r="B1254" s="24" t="s">
        <v>78</v>
      </c>
      <c r="C1254" s="21">
        <f t="shared" si="23"/>
        <v>-100.78</v>
      </c>
      <c r="BT1254" s="69">
        <v>-33.43</v>
      </c>
      <c r="DZ1254" s="69">
        <v>-67.349999999999994</v>
      </c>
    </row>
    <row r="1255" spans="1:198" x14ac:dyDescent="0.25">
      <c r="A1255" s="127">
        <v>44646</v>
      </c>
      <c r="B1255" s="24" t="s">
        <v>78</v>
      </c>
      <c r="C1255" s="21">
        <f t="shared" si="23"/>
        <v>-25.504999999999999</v>
      </c>
      <c r="BN1255" s="69">
        <v>-8.57</v>
      </c>
      <c r="BT1255" s="69">
        <v>-8.4149999999999991</v>
      </c>
      <c r="BZ1255" s="69">
        <v>-8.52</v>
      </c>
    </row>
    <row r="1256" spans="1:198" x14ac:dyDescent="0.25">
      <c r="A1256" s="127">
        <v>44648</v>
      </c>
      <c r="B1256" s="24" t="s">
        <v>95</v>
      </c>
      <c r="C1256" s="21">
        <f t="shared" si="23"/>
        <v>-450.31</v>
      </c>
      <c r="AF1256" s="69">
        <v>-25.305</v>
      </c>
      <c r="AM1256" s="69">
        <v>-34.15</v>
      </c>
      <c r="AV1256" s="69">
        <v>-33.42</v>
      </c>
      <c r="BB1256" s="69">
        <v>-33.840000000000003</v>
      </c>
      <c r="BH1256" s="69">
        <v>-68.400000000000006</v>
      </c>
      <c r="BN1256" s="69">
        <v>-68.135000000000005</v>
      </c>
      <c r="BT1256" s="69">
        <v>-66.825000000000003</v>
      </c>
      <c r="CR1256" s="69">
        <v>-34.335000000000001</v>
      </c>
      <c r="FJ1256" s="69">
        <v>-85.9</v>
      </c>
    </row>
    <row r="1257" spans="1:198" x14ac:dyDescent="0.25">
      <c r="A1257" s="127">
        <v>44648</v>
      </c>
      <c r="B1257" s="24" t="s">
        <v>72</v>
      </c>
      <c r="C1257" s="21">
        <f t="shared" si="23"/>
        <v>-17.015000000000001</v>
      </c>
      <c r="BH1257" s="69">
        <v>-17.015000000000001</v>
      </c>
    </row>
    <row r="1258" spans="1:198" x14ac:dyDescent="0.25">
      <c r="A1258" s="127">
        <v>44648</v>
      </c>
      <c r="B1258" s="24" t="s">
        <v>32</v>
      </c>
      <c r="C1258" s="21">
        <f t="shared" si="23"/>
        <v>-212.63</v>
      </c>
      <c r="Y1258" s="69">
        <v>-8.06</v>
      </c>
      <c r="AV1258" s="69">
        <v>-33.5</v>
      </c>
      <c r="BB1258" s="69">
        <v>-33.774999999999999</v>
      </c>
      <c r="BZ1258" s="69">
        <v>-33.805</v>
      </c>
      <c r="CF1258" s="69">
        <v>-34.56</v>
      </c>
      <c r="CL1258" s="69">
        <v>-34.1</v>
      </c>
      <c r="CR1258" s="69">
        <v>-34.83</v>
      </c>
    </row>
    <row r="1259" spans="1:198" x14ac:dyDescent="0.25">
      <c r="A1259" s="127">
        <v>44648</v>
      </c>
      <c r="B1259" s="24" t="s">
        <v>15</v>
      </c>
      <c r="C1259" s="21">
        <f t="shared" si="23"/>
        <v>-66.995000000000005</v>
      </c>
      <c r="BJ1259" s="121">
        <v>-15.89</v>
      </c>
      <c r="BR1259" s="182">
        <v>-17.18</v>
      </c>
      <c r="CL1259" s="69">
        <v>-8.5500000000000007</v>
      </c>
      <c r="DJ1259" s="69">
        <v>-16.895</v>
      </c>
      <c r="DO1259" s="375">
        <v>-8.48</v>
      </c>
    </row>
    <row r="1260" spans="1:198" x14ac:dyDescent="0.25">
      <c r="A1260" s="127">
        <v>44648</v>
      </c>
      <c r="B1260" s="24" t="s">
        <v>15</v>
      </c>
      <c r="C1260" s="21">
        <f t="shared" si="23"/>
        <v>-8.3800000000000008</v>
      </c>
      <c r="BT1260" s="69">
        <v>-8.3800000000000008</v>
      </c>
    </row>
    <row r="1261" spans="1:198" x14ac:dyDescent="0.25">
      <c r="A1261" s="127">
        <v>44648</v>
      </c>
      <c r="B1261" s="24" t="s">
        <v>32</v>
      </c>
      <c r="C1261" s="21">
        <f t="shared" si="23"/>
        <v>-16.86</v>
      </c>
      <c r="BT1261" s="69">
        <v>-16.86</v>
      </c>
    </row>
    <row r="1262" spans="1:198" x14ac:dyDescent="0.25">
      <c r="A1262" s="127">
        <v>44649</v>
      </c>
      <c r="B1262" s="24" t="s">
        <v>80</v>
      </c>
      <c r="C1262" s="21">
        <f t="shared" si="23"/>
        <v>-17.094999999999999</v>
      </c>
      <c r="AM1262" s="69">
        <v>-17.094999999999999</v>
      </c>
    </row>
    <row r="1263" spans="1:198" x14ac:dyDescent="0.25">
      <c r="A1263" s="127">
        <v>44649</v>
      </c>
      <c r="B1263" s="24" t="s">
        <v>18</v>
      </c>
      <c r="C1263" s="21">
        <f t="shared" si="23"/>
        <v>-236.37</v>
      </c>
      <c r="AM1263" s="69">
        <v>-34.14</v>
      </c>
      <c r="AQ1263" s="69">
        <v>-34.015000000000001</v>
      </c>
      <c r="AV1263" s="69">
        <v>-33.409999999999997</v>
      </c>
      <c r="BB1263" s="69">
        <v>-67.599999999999994</v>
      </c>
      <c r="BT1263" s="69">
        <v>-33.424999999999997</v>
      </c>
      <c r="BZ1263" s="69">
        <v>-33.78</v>
      </c>
    </row>
    <row r="1264" spans="1:198" x14ac:dyDescent="0.25">
      <c r="A1264" s="127">
        <v>44649</v>
      </c>
      <c r="B1264" s="24" t="s">
        <v>20</v>
      </c>
      <c r="C1264" s="21">
        <f t="shared" si="23"/>
        <v>-68.034999999999997</v>
      </c>
      <c r="AV1264" s="69">
        <v>-8.3699999999999992</v>
      </c>
      <c r="BB1264" s="69">
        <v>-8.4049999999999994</v>
      </c>
      <c r="BH1264" s="69">
        <v>-8.5549999999999997</v>
      </c>
      <c r="BN1264" s="69">
        <v>-8.4949999999999992</v>
      </c>
      <c r="BZ1264" s="69">
        <v>-8.4849999999999994</v>
      </c>
      <c r="CL1264" s="69">
        <v>-8.6349999999999998</v>
      </c>
      <c r="CR1264" s="69">
        <v>-17.09</v>
      </c>
    </row>
    <row r="1265" spans="1:234" x14ac:dyDescent="0.25">
      <c r="A1265" s="127">
        <v>44649</v>
      </c>
      <c r="B1265" s="24" t="s">
        <v>84</v>
      </c>
      <c r="C1265" s="21">
        <f t="shared" si="23"/>
        <v>-42.094999999999999</v>
      </c>
      <c r="BB1265" s="69">
        <v>-16.925000000000001</v>
      </c>
      <c r="BH1265" s="69">
        <v>-17.12</v>
      </c>
      <c r="GR1265" s="50">
        <v>-8.0500000000000007</v>
      </c>
    </row>
    <row r="1266" spans="1:234" x14ac:dyDescent="0.25">
      <c r="A1266" s="127">
        <v>44649</v>
      </c>
      <c r="B1266" s="24" t="s">
        <v>75</v>
      </c>
      <c r="C1266" s="21">
        <f t="shared" si="23"/>
        <v>-25.574999999999999</v>
      </c>
      <c r="O1266" s="375">
        <v>-8.56</v>
      </c>
      <c r="U1266" s="69">
        <v>-8.5549999999999997</v>
      </c>
      <c r="BB1266" s="69">
        <v>-8.4600000000000009</v>
      </c>
    </row>
    <row r="1267" spans="1:234" x14ac:dyDescent="0.25">
      <c r="A1267" s="127">
        <v>44649</v>
      </c>
      <c r="B1267" s="24" t="s">
        <v>25</v>
      </c>
      <c r="C1267" s="21">
        <f t="shared" si="23"/>
        <v>-41.47</v>
      </c>
      <c r="BB1267" s="69">
        <v>-8.4550000000000001</v>
      </c>
      <c r="BN1267" s="69">
        <v>-8.49</v>
      </c>
      <c r="BV1267" s="121">
        <v>-7.4</v>
      </c>
      <c r="BZ1267" s="69">
        <v>-8.48</v>
      </c>
      <c r="CF1267" s="69">
        <v>-8.6449999999999996</v>
      </c>
    </row>
    <row r="1268" spans="1:234" x14ac:dyDescent="0.25">
      <c r="A1268" s="127">
        <v>44649</v>
      </c>
      <c r="B1268" s="24" t="s">
        <v>12</v>
      </c>
      <c r="C1268" s="21">
        <f t="shared" si="23"/>
        <v>-107.31</v>
      </c>
      <c r="T1268" s="42">
        <v>-15.7</v>
      </c>
      <c r="Y1268" s="69">
        <v>-32.664999999999999</v>
      </c>
      <c r="DD1268" s="69">
        <v>-16.77</v>
      </c>
      <c r="DN1268" s="42">
        <v>-16.77</v>
      </c>
      <c r="EK1268" s="69">
        <v>-16.885000000000002</v>
      </c>
      <c r="EW1268" s="88">
        <v>-8.52</v>
      </c>
    </row>
    <row r="1269" spans="1:234" x14ac:dyDescent="0.25">
      <c r="A1269" s="127">
        <v>44650</v>
      </c>
      <c r="B1269" s="24" t="s">
        <v>80</v>
      </c>
      <c r="C1269" s="21">
        <f t="shared" si="23"/>
        <v>-142.66499999999999</v>
      </c>
      <c r="AL1269" s="42">
        <v>-8.84</v>
      </c>
      <c r="AM1269" s="69">
        <v>-59.615000000000002</v>
      </c>
      <c r="AV1269" s="69">
        <v>-50.1</v>
      </c>
      <c r="BV1269" s="121">
        <v>-24.11</v>
      </c>
    </row>
    <row r="1270" spans="1:234" x14ac:dyDescent="0.25">
      <c r="A1270" s="127">
        <v>44650</v>
      </c>
      <c r="B1270" s="24" t="s">
        <v>57</v>
      </c>
      <c r="C1270" s="21">
        <f t="shared" si="23"/>
        <v>-93.034999999999997</v>
      </c>
      <c r="BZ1270" s="69">
        <v>-25.41</v>
      </c>
      <c r="CJ1270" s="182">
        <v>-25.26</v>
      </c>
      <c r="CL1270" s="69">
        <v>-25.405000000000001</v>
      </c>
      <c r="CR1270" s="69">
        <v>-16.96</v>
      </c>
    </row>
    <row r="1271" spans="1:234" x14ac:dyDescent="0.25">
      <c r="A1271" s="127">
        <v>44650</v>
      </c>
      <c r="B1271" s="24" t="s">
        <v>15</v>
      </c>
      <c r="C1271" s="21">
        <f t="shared" si="23"/>
        <v>-36.75</v>
      </c>
      <c r="AM1271" s="69">
        <v>-2.86</v>
      </c>
      <c r="AQ1271" s="69">
        <v>-16.984999999999999</v>
      </c>
      <c r="CL1271" s="69">
        <v>-16.905000000000001</v>
      </c>
    </row>
    <row r="1272" spans="1:234" x14ac:dyDescent="0.25">
      <c r="A1272" s="127">
        <v>44650</v>
      </c>
      <c r="B1272" s="24" t="s">
        <v>112</v>
      </c>
      <c r="C1272" s="21">
        <f t="shared" si="23"/>
        <v>-24.82</v>
      </c>
      <c r="EC1272" s="126">
        <v>-24.82</v>
      </c>
    </row>
    <row r="1273" spans="1:234" x14ac:dyDescent="0.25">
      <c r="A1273" s="127">
        <v>44650</v>
      </c>
      <c r="B1273" s="24" t="s">
        <v>2</v>
      </c>
      <c r="C1273" s="21">
        <f t="shared" si="23"/>
        <v>0</v>
      </c>
    </row>
    <row r="1274" spans="1:234" x14ac:dyDescent="0.25">
      <c r="A1274" s="127">
        <v>44651</v>
      </c>
      <c r="B1274" s="24" t="s">
        <v>18</v>
      </c>
      <c r="C1274" s="21">
        <f t="shared" si="23"/>
        <v>-101.05</v>
      </c>
      <c r="AQ1274" s="69">
        <v>-33.975000000000001</v>
      </c>
      <c r="AV1274" s="69">
        <v>-67.075000000000003</v>
      </c>
    </row>
    <row r="1275" spans="1:234" x14ac:dyDescent="0.25">
      <c r="A1275" s="127">
        <v>44652</v>
      </c>
      <c r="B1275" s="24" t="s">
        <v>57</v>
      </c>
      <c r="C1275" s="21">
        <f t="shared" si="23"/>
        <v>-33.965000000000003</v>
      </c>
      <c r="DJ1275" s="69">
        <v>-16.905000000000001</v>
      </c>
      <c r="DN1275" s="42">
        <v>-17.059999999999999</v>
      </c>
    </row>
    <row r="1276" spans="1:234" x14ac:dyDescent="0.25">
      <c r="A1276" s="127">
        <v>44652</v>
      </c>
      <c r="B1276" s="24" t="s">
        <v>78</v>
      </c>
      <c r="C1276" s="21">
        <f t="shared" si="23"/>
        <v>811.58500000000004</v>
      </c>
      <c r="AF1276" s="69">
        <v>68.37</v>
      </c>
      <c r="AV1276" s="69">
        <v>167.85</v>
      </c>
      <c r="BH1276" s="69">
        <v>102.65</v>
      </c>
      <c r="BN1276" s="69">
        <v>102.31</v>
      </c>
      <c r="BT1276" s="69">
        <v>100.72499999999999</v>
      </c>
      <c r="CF1276" s="69">
        <v>33.909999999999997</v>
      </c>
      <c r="DZ1276" s="69">
        <v>235.77</v>
      </c>
    </row>
    <row r="1277" spans="1:234" x14ac:dyDescent="0.25">
      <c r="A1277" s="127">
        <v>44652</v>
      </c>
      <c r="B1277" s="29" t="s">
        <v>59</v>
      </c>
      <c r="C1277" s="21">
        <f t="shared" si="23"/>
        <v>-7.45</v>
      </c>
      <c r="BX1277" s="182">
        <v>-7.45</v>
      </c>
    </row>
    <row r="1278" spans="1:234" x14ac:dyDescent="0.25">
      <c r="A1278" s="127">
        <v>44653</v>
      </c>
      <c r="B1278" s="29" t="s">
        <v>31</v>
      </c>
      <c r="C1278" s="21">
        <f t="shared" si="23"/>
        <v>-59.38</v>
      </c>
      <c r="GV1278" s="42">
        <v>-18.899999999999999</v>
      </c>
      <c r="HG1278" s="42">
        <v>-7.72</v>
      </c>
      <c r="HZ1278" s="42">
        <v>-32.76</v>
      </c>
    </row>
    <row r="1279" spans="1:234" x14ac:dyDescent="0.25">
      <c r="A1279" s="127">
        <v>44653</v>
      </c>
      <c r="B1279" s="29" t="s">
        <v>78</v>
      </c>
      <c r="C1279" s="21">
        <f t="shared" si="23"/>
        <v>-101.87</v>
      </c>
      <c r="Y1279" s="69">
        <v>-17.175000000000001</v>
      </c>
      <c r="AQ1279" s="69">
        <v>-17</v>
      </c>
      <c r="AV1279" s="69">
        <v>-16.754999999999999</v>
      </c>
      <c r="BH1279" s="69">
        <v>-17.13</v>
      </c>
      <c r="BN1279" s="69">
        <v>-16.914999999999999</v>
      </c>
      <c r="CL1279" s="69">
        <v>-8.3849999999999998</v>
      </c>
      <c r="CX1279" s="69">
        <v>-8.51</v>
      </c>
    </row>
    <row r="1280" spans="1:234" x14ac:dyDescent="0.25">
      <c r="A1280" s="127">
        <v>44655</v>
      </c>
      <c r="B1280" s="24" t="s">
        <v>78</v>
      </c>
      <c r="C1280" s="21">
        <f t="shared" si="23"/>
        <v>-25.41</v>
      </c>
      <c r="AV1280" s="69">
        <v>-8.3450000000000006</v>
      </c>
      <c r="BN1280" s="69">
        <v>-8.4849999999999994</v>
      </c>
      <c r="CF1280" s="69">
        <v>-8.58</v>
      </c>
    </row>
    <row r="1281" spans="1:183" x14ac:dyDescent="0.25">
      <c r="A1281" s="127">
        <v>44655</v>
      </c>
      <c r="B1281" s="24" t="s">
        <v>95</v>
      </c>
      <c r="C1281" s="21">
        <f t="shared" si="23"/>
        <v>-373.58499999999998</v>
      </c>
      <c r="AQ1281" s="69">
        <v>-33.994999999999997</v>
      </c>
      <c r="AV1281" s="69">
        <v>-33.659999999999997</v>
      </c>
      <c r="BH1281" s="69">
        <v>-34.25</v>
      </c>
      <c r="BN1281" s="69">
        <v>-68.515000000000001</v>
      </c>
      <c r="BT1281" s="69">
        <v>-66.995000000000005</v>
      </c>
      <c r="CL1281" s="69">
        <v>-67.704999999999998</v>
      </c>
      <c r="CR1281" s="69">
        <v>-68.465000000000003</v>
      </c>
    </row>
    <row r="1282" spans="1:183" x14ac:dyDescent="0.25">
      <c r="A1282" s="127">
        <v>44655</v>
      </c>
      <c r="B1282" s="24" t="s">
        <v>15</v>
      </c>
      <c r="C1282" s="21">
        <f t="shared" si="23"/>
        <v>-8.4499999999999993</v>
      </c>
      <c r="CL1282" s="69">
        <v>-8.4499999999999993</v>
      </c>
    </row>
    <row r="1283" spans="1:183" x14ac:dyDescent="0.25">
      <c r="A1283" s="127">
        <v>44655</v>
      </c>
      <c r="B1283" s="24" t="s">
        <v>84</v>
      </c>
      <c r="C1283" s="21">
        <f t="shared" si="23"/>
        <v>-42.33</v>
      </c>
      <c r="Y1283" s="69">
        <v>-8.58</v>
      </c>
      <c r="BN1283" s="69">
        <v>-16.91</v>
      </c>
      <c r="BT1283" s="69">
        <v>-8.4149999999999991</v>
      </c>
      <c r="BZ1283" s="69">
        <v>-8.4250000000000007</v>
      </c>
    </row>
    <row r="1284" spans="1:183" x14ac:dyDescent="0.25">
      <c r="A1284" s="127">
        <v>44655</v>
      </c>
      <c r="B1284" s="29" t="s">
        <v>114</v>
      </c>
      <c r="C1284" s="21">
        <f t="shared" si="23"/>
        <v>-21.675000000000001</v>
      </c>
      <c r="FJ1284" s="69">
        <v>-21.675000000000001</v>
      </c>
    </row>
    <row r="1285" spans="1:183" x14ac:dyDescent="0.25">
      <c r="A1285" s="132">
        <v>44655</v>
      </c>
      <c r="B1285" s="51" t="s">
        <v>38</v>
      </c>
      <c r="C1285" s="21">
        <f t="shared" si="23"/>
        <v>-21.29</v>
      </c>
      <c r="GA1285" s="88">
        <v>-21.29</v>
      </c>
    </row>
    <row r="1286" spans="1:183" x14ac:dyDescent="0.25">
      <c r="A1286" s="132">
        <v>44656</v>
      </c>
      <c r="B1286" s="51" t="s">
        <v>20</v>
      </c>
      <c r="C1286" s="21">
        <f t="shared" si="23"/>
        <v>-8.4450000000000003</v>
      </c>
      <c r="BT1286" s="69">
        <v>-8.4450000000000003</v>
      </c>
    </row>
    <row r="1287" spans="1:183" x14ac:dyDescent="0.25">
      <c r="A1287" s="127">
        <v>44656</v>
      </c>
      <c r="B1287" s="29" t="s">
        <v>79</v>
      </c>
      <c r="C1287" s="21">
        <f t="shared" si="23"/>
        <v>-59.104999999999997</v>
      </c>
      <c r="AV1287" s="69">
        <v>-16.760000000000002</v>
      </c>
      <c r="BH1287" s="69">
        <v>-8.5749999999999993</v>
      </c>
      <c r="BN1287" s="69">
        <v>-8.3949999999999996</v>
      </c>
      <c r="BT1287" s="69">
        <v>-8.44</v>
      </c>
      <c r="BZ1287" s="69">
        <v>-8.48</v>
      </c>
      <c r="CF1287" s="69">
        <v>-8.4550000000000001</v>
      </c>
    </row>
    <row r="1288" spans="1:183" x14ac:dyDescent="0.25">
      <c r="A1288" s="127">
        <v>44656</v>
      </c>
      <c r="B1288" s="29" t="s">
        <v>25</v>
      </c>
      <c r="C1288" s="21">
        <f t="shared" ref="C1288:C1351" si="24">SUM(I1288:JT1288)</f>
        <v>-8.64</v>
      </c>
      <c r="AO1288" s="46">
        <v>-8.64</v>
      </c>
    </row>
    <row r="1289" spans="1:183" x14ac:dyDescent="0.25">
      <c r="A1289" s="127">
        <v>44656</v>
      </c>
      <c r="B1289" s="29" t="s">
        <v>75</v>
      </c>
      <c r="C1289" s="21">
        <f t="shared" si="24"/>
        <v>-8.49</v>
      </c>
      <c r="BN1289" s="69">
        <v>-8.49</v>
      </c>
    </row>
    <row r="1290" spans="1:183" x14ac:dyDescent="0.25">
      <c r="A1290" s="127">
        <v>44656</v>
      </c>
      <c r="B1290" s="29" t="s">
        <v>27</v>
      </c>
      <c r="C1290" s="21">
        <f t="shared" si="24"/>
        <v>-40.204999999999998</v>
      </c>
      <c r="BD1290" s="121">
        <v>-6.68</v>
      </c>
      <c r="BR1290" s="182">
        <v>-8.4499999999999993</v>
      </c>
      <c r="BX1290" s="182">
        <v>-8.5500000000000007</v>
      </c>
      <c r="CL1290" s="69">
        <v>-8.4550000000000001</v>
      </c>
      <c r="DV1290" s="121">
        <v>-8.07</v>
      </c>
    </row>
    <row r="1291" spans="1:183" x14ac:dyDescent="0.25">
      <c r="A1291" s="127">
        <v>44656</v>
      </c>
      <c r="B1291" s="24" t="s">
        <v>32</v>
      </c>
      <c r="C1291" s="21">
        <f t="shared" si="24"/>
        <v>-41.92</v>
      </c>
      <c r="CB1291" s="121">
        <v>-8.24</v>
      </c>
      <c r="CL1291" s="69">
        <v>-33.68</v>
      </c>
    </row>
    <row r="1292" spans="1:183" x14ac:dyDescent="0.25">
      <c r="A1292" s="127">
        <v>44656</v>
      </c>
      <c r="B1292" s="24" t="s">
        <v>15</v>
      </c>
      <c r="C1292" s="21">
        <f t="shared" si="24"/>
        <v>-8.5250000000000004</v>
      </c>
      <c r="EW1292" s="88">
        <v>-8.5250000000000004</v>
      </c>
    </row>
    <row r="1293" spans="1:183" x14ac:dyDescent="0.25">
      <c r="A1293" s="127">
        <v>44656</v>
      </c>
      <c r="B1293" s="24" t="s">
        <v>15</v>
      </c>
      <c r="C1293" s="21">
        <f t="shared" si="24"/>
        <v>-17.14</v>
      </c>
      <c r="AF1293" s="69">
        <v>-17.14</v>
      </c>
    </row>
    <row r="1294" spans="1:183" x14ac:dyDescent="0.25">
      <c r="A1294" s="132">
        <v>44657</v>
      </c>
      <c r="B1294" s="51" t="s">
        <v>13</v>
      </c>
      <c r="C1294" s="21">
        <f t="shared" si="24"/>
        <v>-203.28</v>
      </c>
      <c r="AV1294" s="69">
        <v>-33.594999999999999</v>
      </c>
      <c r="BH1294" s="69">
        <v>-34.204999999999998</v>
      </c>
      <c r="CL1294" s="69">
        <v>-67.930000000000007</v>
      </c>
      <c r="DZ1294" s="69">
        <v>-67.55</v>
      </c>
    </row>
    <row r="1295" spans="1:183" x14ac:dyDescent="0.25">
      <c r="A1295" s="127">
        <v>44657</v>
      </c>
      <c r="B1295" s="24" t="s">
        <v>80</v>
      </c>
      <c r="C1295" s="21">
        <f t="shared" si="24"/>
        <v>-36.17</v>
      </c>
      <c r="AO1295" s="46">
        <v>-36.17</v>
      </c>
    </row>
    <row r="1296" spans="1:183" x14ac:dyDescent="0.25">
      <c r="A1296" s="127">
        <v>44657</v>
      </c>
      <c r="B1296" s="24" t="s">
        <v>89</v>
      </c>
      <c r="C1296" s="21">
        <f t="shared" si="24"/>
        <v>-48.72</v>
      </c>
      <c r="DS1296" s="42">
        <v>-6.72</v>
      </c>
      <c r="DT1296" s="69">
        <v>-8.5449999999999999</v>
      </c>
      <c r="DZ1296" s="69">
        <v>-33.454999999999998</v>
      </c>
    </row>
    <row r="1297" spans="1:241" x14ac:dyDescent="0.25">
      <c r="A1297" s="127">
        <v>44658</v>
      </c>
      <c r="B1297" s="24" t="s">
        <v>80</v>
      </c>
      <c r="C1297" s="21">
        <f t="shared" si="24"/>
        <v>-8.5549999999999997</v>
      </c>
      <c r="Y1297" s="69">
        <v>-8.5549999999999997</v>
      </c>
    </row>
    <row r="1298" spans="1:241" x14ac:dyDescent="0.25">
      <c r="A1298" s="127">
        <v>44658</v>
      </c>
      <c r="B1298" s="24" t="s">
        <v>57</v>
      </c>
      <c r="C1298" s="21">
        <f t="shared" si="24"/>
        <v>-24.734999999999999</v>
      </c>
      <c r="DD1298" s="69">
        <v>-8.3450000000000006</v>
      </c>
      <c r="DJ1298" s="69">
        <v>-8.4499999999999993</v>
      </c>
      <c r="DQ1298" s="121">
        <v>-7.94</v>
      </c>
    </row>
    <row r="1299" spans="1:241" x14ac:dyDescent="0.25">
      <c r="A1299" s="127">
        <v>44658</v>
      </c>
      <c r="B1299" s="24" t="s">
        <v>115</v>
      </c>
      <c r="C1299" s="21">
        <f t="shared" si="24"/>
        <v>0</v>
      </c>
    </row>
    <row r="1300" spans="1:241" x14ac:dyDescent="0.25">
      <c r="A1300" s="127">
        <v>44658</v>
      </c>
      <c r="B1300" s="24" t="s">
        <v>15</v>
      </c>
      <c r="C1300" s="21">
        <f t="shared" si="24"/>
        <v>-16.925000000000001</v>
      </c>
      <c r="DJ1300" s="69">
        <v>-16.925000000000001</v>
      </c>
    </row>
    <row r="1301" spans="1:241" x14ac:dyDescent="0.25">
      <c r="A1301" s="127">
        <v>44658</v>
      </c>
      <c r="B1301" s="24" t="s">
        <v>57</v>
      </c>
      <c r="C1301" s="21">
        <f t="shared" si="24"/>
        <v>-25.81</v>
      </c>
      <c r="BR1301" s="182">
        <v>-25.81</v>
      </c>
    </row>
    <row r="1302" spans="1:241" x14ac:dyDescent="0.25">
      <c r="A1302" s="127">
        <v>44658</v>
      </c>
      <c r="B1302" s="24" t="s">
        <v>19</v>
      </c>
      <c r="C1302" s="21">
        <f t="shared" si="24"/>
        <v>-610.125</v>
      </c>
      <c r="L1302" s="69">
        <f>-8.47-8.49</f>
        <v>-16.96</v>
      </c>
      <c r="AB1302" s="69">
        <v>-68.575000000000003</v>
      </c>
      <c r="HG1302" s="42">
        <v>-32.99</v>
      </c>
      <c r="HU1302" s="42">
        <v>-63.39</v>
      </c>
      <c r="HW1302" s="42">
        <v>-60.51</v>
      </c>
      <c r="HZ1302" s="42">
        <v>-40.43</v>
      </c>
      <c r="IG1302" s="38">
        <v>-327.27</v>
      </c>
    </row>
    <row r="1303" spans="1:241" x14ac:dyDescent="0.25">
      <c r="A1303" s="127">
        <v>44658</v>
      </c>
      <c r="B1303" s="24" t="s">
        <v>32</v>
      </c>
      <c r="C1303" s="21">
        <f t="shared" si="24"/>
        <v>-0.09</v>
      </c>
      <c r="AL1303" s="42">
        <v>8.1</v>
      </c>
      <c r="CC1303" s="126">
        <v>-8.19</v>
      </c>
    </row>
    <row r="1304" spans="1:241" x14ac:dyDescent="0.25">
      <c r="A1304" s="127">
        <v>44659</v>
      </c>
      <c r="B1304" s="24" t="s">
        <v>13</v>
      </c>
      <c r="C1304" s="21">
        <f t="shared" si="24"/>
        <v>-68.72</v>
      </c>
      <c r="DZ1304" s="69">
        <v>-33.799999999999997</v>
      </c>
      <c r="EE1304" s="42">
        <v>-34.92</v>
      </c>
    </row>
    <row r="1305" spans="1:241" x14ac:dyDescent="0.25">
      <c r="A1305" s="127">
        <v>44659</v>
      </c>
      <c r="B1305" s="24" t="s">
        <v>57</v>
      </c>
      <c r="C1305" s="21">
        <f t="shared" si="24"/>
        <v>-8.1</v>
      </c>
      <c r="AL1305" s="42">
        <v>-8.1</v>
      </c>
    </row>
    <row r="1306" spans="1:241" x14ac:dyDescent="0.25">
      <c r="A1306" s="127">
        <v>44659</v>
      </c>
      <c r="B1306" s="24" t="s">
        <v>59</v>
      </c>
      <c r="C1306" s="21">
        <f t="shared" si="24"/>
        <v>-9.23</v>
      </c>
      <c r="CT1306" s="121">
        <v>-9.23</v>
      </c>
    </row>
    <row r="1307" spans="1:241" x14ac:dyDescent="0.25">
      <c r="A1307" s="127">
        <v>44659</v>
      </c>
      <c r="B1307" s="23" t="s">
        <v>20</v>
      </c>
      <c r="C1307" s="21">
        <f t="shared" si="24"/>
        <v>-15.17</v>
      </c>
      <c r="BD1307" s="121">
        <v>-6.68</v>
      </c>
      <c r="BH1307" s="69">
        <v>-8.49</v>
      </c>
    </row>
    <row r="1308" spans="1:241" x14ac:dyDescent="0.25">
      <c r="A1308" s="127">
        <v>44659</v>
      </c>
      <c r="B1308" s="23" t="s">
        <v>15</v>
      </c>
      <c r="C1308" s="21">
        <f t="shared" si="24"/>
        <v>-34.06</v>
      </c>
      <c r="CR1308" s="69">
        <v>-34.06</v>
      </c>
    </row>
    <row r="1309" spans="1:241" x14ac:dyDescent="0.25">
      <c r="A1309" s="127">
        <v>44662</v>
      </c>
      <c r="B1309" s="24" t="s">
        <v>17</v>
      </c>
      <c r="C1309" s="21">
        <f t="shared" si="24"/>
        <v>-50.755000000000003</v>
      </c>
      <c r="U1309" s="69">
        <v>-8.5549999999999997</v>
      </c>
      <c r="CF1309" s="69">
        <v>-8.48</v>
      </c>
      <c r="CL1309" s="69">
        <v>-33.72</v>
      </c>
    </row>
    <row r="1310" spans="1:241" x14ac:dyDescent="0.25">
      <c r="A1310" s="127">
        <v>44662</v>
      </c>
      <c r="B1310" s="24" t="s">
        <v>107</v>
      </c>
      <c r="C1310" s="21">
        <f t="shared" si="24"/>
        <v>-6.78</v>
      </c>
      <c r="BD1310" s="121">
        <v>-6.78</v>
      </c>
    </row>
    <row r="1311" spans="1:241" x14ac:dyDescent="0.25">
      <c r="A1311" s="127">
        <v>44663</v>
      </c>
      <c r="B1311" s="24" t="s">
        <v>37</v>
      </c>
      <c r="C1311" s="21">
        <f t="shared" si="24"/>
        <v>-64.89</v>
      </c>
      <c r="HK1311" s="50">
        <v>-64.89</v>
      </c>
    </row>
    <row r="1312" spans="1:241" x14ac:dyDescent="0.25">
      <c r="A1312" s="127">
        <v>44664</v>
      </c>
      <c r="B1312" s="24" t="s">
        <v>80</v>
      </c>
      <c r="C1312" s="21">
        <f t="shared" si="24"/>
        <v>-30.7</v>
      </c>
      <c r="AV1312" s="69">
        <v>-16.760000000000002</v>
      </c>
      <c r="BD1312" s="121">
        <v>-13.94</v>
      </c>
    </row>
    <row r="1313" spans="1:242" x14ac:dyDescent="0.25">
      <c r="A1313" s="127">
        <v>44664</v>
      </c>
      <c r="B1313" s="24" t="s">
        <v>31</v>
      </c>
      <c r="C1313" s="21">
        <f t="shared" si="24"/>
        <v>-11.685</v>
      </c>
      <c r="FJ1313" s="69">
        <v>-2.2349999999999999</v>
      </c>
      <c r="GV1313" s="42">
        <v>-9.4499999999999993</v>
      </c>
    </row>
    <row r="1314" spans="1:242" x14ac:dyDescent="0.25">
      <c r="A1314" s="127">
        <v>44664</v>
      </c>
      <c r="B1314" s="24" t="s">
        <v>44</v>
      </c>
      <c r="C1314" s="21">
        <f t="shared" si="24"/>
        <v>-57.44</v>
      </c>
      <c r="GR1314" s="50">
        <v>-33.5</v>
      </c>
      <c r="HG1314" s="42">
        <v>-23.94</v>
      </c>
    </row>
    <row r="1315" spans="1:242" x14ac:dyDescent="0.25">
      <c r="A1315" s="127">
        <v>44665</v>
      </c>
      <c r="B1315" s="24" t="s">
        <v>32</v>
      </c>
      <c r="C1315" s="21">
        <f t="shared" si="24"/>
        <v>-8.5950000000000006</v>
      </c>
      <c r="Y1315" s="69">
        <v>-8.5950000000000006</v>
      </c>
    </row>
    <row r="1316" spans="1:242" x14ac:dyDescent="0.25">
      <c r="A1316" s="127">
        <v>44665</v>
      </c>
      <c r="B1316" s="24" t="s">
        <v>20</v>
      </c>
      <c r="C1316" s="21">
        <f t="shared" si="24"/>
        <v>-33.99</v>
      </c>
      <c r="AF1316" s="69">
        <v>-8.5749999999999993</v>
      </c>
      <c r="CC1316" s="126">
        <v>-8.51</v>
      </c>
      <c r="CF1316" s="69">
        <v>-8.4749999999999996</v>
      </c>
      <c r="CL1316" s="69">
        <v>-8.43</v>
      </c>
    </row>
    <row r="1317" spans="1:242" x14ac:dyDescent="0.25">
      <c r="A1317" s="127">
        <v>44665</v>
      </c>
      <c r="B1317" s="24" t="s">
        <v>45</v>
      </c>
      <c r="C1317" s="21">
        <f t="shared" si="24"/>
        <v>-39.93</v>
      </c>
      <c r="AZ1317" s="182">
        <v>-8.5</v>
      </c>
      <c r="BD1317" s="121">
        <v>-6.99</v>
      </c>
      <c r="BJ1317" s="121">
        <f>-8.01-7.83</f>
        <v>-15.84</v>
      </c>
      <c r="BR1317" s="182">
        <v>-8.6</v>
      </c>
    </row>
    <row r="1318" spans="1:242" x14ac:dyDescent="0.25">
      <c r="A1318" s="127">
        <v>44666</v>
      </c>
      <c r="B1318" s="24" t="s">
        <v>113</v>
      </c>
      <c r="C1318" s="21">
        <f t="shared" si="24"/>
        <v>1989.52</v>
      </c>
      <c r="AW1318" s="106">
        <v>321.27999999999997</v>
      </c>
      <c r="BC1318" s="106">
        <v>318.20999999999998</v>
      </c>
      <c r="BI1318" s="106">
        <v>322.31</v>
      </c>
      <c r="BO1318" s="106">
        <v>338.5</v>
      </c>
      <c r="CS1318" s="74">
        <v>338.47</v>
      </c>
      <c r="CY1318" s="106">
        <v>350.75</v>
      </c>
    </row>
    <row r="1319" spans="1:242" x14ac:dyDescent="0.25">
      <c r="A1319" s="127">
        <v>44666</v>
      </c>
      <c r="B1319" s="24" t="s">
        <v>25</v>
      </c>
      <c r="C1319" s="21">
        <f t="shared" si="24"/>
        <v>-25.524999999999999</v>
      </c>
      <c r="BO1319" s="106">
        <v>-8.5500000000000007</v>
      </c>
      <c r="CF1319" s="69">
        <v>-8.5</v>
      </c>
      <c r="CL1319" s="69">
        <v>-8.4749999999999996</v>
      </c>
    </row>
    <row r="1320" spans="1:242" x14ac:dyDescent="0.25">
      <c r="A1320" s="127">
        <v>44666</v>
      </c>
      <c r="B1320" s="24" t="s">
        <v>27</v>
      </c>
      <c r="C1320" s="21">
        <f t="shared" si="24"/>
        <v>-32.18</v>
      </c>
      <c r="AT1320" s="46">
        <v>-8.9499999999999993</v>
      </c>
      <c r="BC1320" s="106">
        <v>-7.09</v>
      </c>
      <c r="BG1320" s="42">
        <v>-7.71</v>
      </c>
      <c r="CC1320" s="126">
        <v>-8.43</v>
      </c>
    </row>
    <row r="1321" spans="1:242" x14ac:dyDescent="0.25">
      <c r="A1321" s="127">
        <v>44666</v>
      </c>
      <c r="B1321" s="24" t="s">
        <v>115</v>
      </c>
      <c r="C1321" s="21">
        <f t="shared" si="24"/>
        <v>-64.36</v>
      </c>
      <c r="IH1321" s="34">
        <v>-64.36</v>
      </c>
    </row>
    <row r="1322" spans="1:242" x14ac:dyDescent="0.25">
      <c r="A1322" s="127">
        <v>44666</v>
      </c>
      <c r="B1322" s="24" t="s">
        <v>80</v>
      </c>
      <c r="C1322" s="21">
        <f t="shared" si="24"/>
        <v>-25.35</v>
      </c>
      <c r="AW1322" s="106">
        <v>-25.35</v>
      </c>
    </row>
    <row r="1323" spans="1:242" x14ac:dyDescent="0.25">
      <c r="A1323" s="127">
        <v>44667</v>
      </c>
      <c r="B1323" s="24" t="s">
        <v>32</v>
      </c>
      <c r="C1323" s="21">
        <f t="shared" si="24"/>
        <v>-24.35</v>
      </c>
      <c r="CS1323" s="74">
        <v>-8.36</v>
      </c>
      <c r="CY1323" s="106">
        <v>-7.6</v>
      </c>
      <c r="DD1323" s="69">
        <v>-8.39</v>
      </c>
    </row>
    <row r="1324" spans="1:242" x14ac:dyDescent="0.25">
      <c r="A1324" s="127">
        <v>44667</v>
      </c>
      <c r="B1324" s="24" t="s">
        <v>25</v>
      </c>
      <c r="C1324" s="21">
        <f t="shared" si="24"/>
        <v>-25.54</v>
      </c>
      <c r="CL1324" s="69">
        <v>-8.4499999999999993</v>
      </c>
      <c r="CR1324" s="69">
        <v>-8.58</v>
      </c>
      <c r="CX1324" s="69">
        <v>-8.51</v>
      </c>
    </row>
    <row r="1325" spans="1:242" x14ac:dyDescent="0.25">
      <c r="A1325" s="127">
        <v>44667</v>
      </c>
      <c r="B1325" s="24" t="s">
        <v>78</v>
      </c>
      <c r="C1325" s="21">
        <f t="shared" si="24"/>
        <v>-153.255</v>
      </c>
      <c r="O1325" s="375">
        <v>-8.66</v>
      </c>
      <c r="U1325" s="69">
        <v>-8.5449999999999999</v>
      </c>
      <c r="Y1325" s="69">
        <f>-8.57-8.595</f>
        <v>-17.164999999999999</v>
      </c>
      <c r="AF1325" s="69">
        <v>-8.58</v>
      </c>
      <c r="AQ1325" s="69">
        <v>-8.49</v>
      </c>
      <c r="BC1325" s="106">
        <v>-8.41</v>
      </c>
      <c r="BI1325" s="106">
        <f>-8.28-8.67-8.29</f>
        <v>-25.24</v>
      </c>
      <c r="BO1325" s="106">
        <f>-8.55-8.55</f>
        <v>-17.100000000000001</v>
      </c>
      <c r="CL1325" s="69">
        <f>-8.49-8.48-8.445-8.485</f>
        <v>-33.9</v>
      </c>
      <c r="CR1325" s="69">
        <f>-8.59-8.575</f>
        <v>-17.164999999999999</v>
      </c>
    </row>
    <row r="1326" spans="1:242" x14ac:dyDescent="0.25">
      <c r="A1326" s="127">
        <v>44667</v>
      </c>
      <c r="B1326" s="24" t="s">
        <v>57</v>
      </c>
      <c r="C1326" s="21">
        <f t="shared" si="24"/>
        <v>-17.21</v>
      </c>
      <c r="AB1326" s="69">
        <v>-17.21</v>
      </c>
    </row>
    <row r="1327" spans="1:242" x14ac:dyDescent="0.25">
      <c r="A1327" s="127">
        <v>44667</v>
      </c>
      <c r="B1327" s="24" t="s">
        <v>37</v>
      </c>
      <c r="C1327" s="21">
        <f t="shared" si="24"/>
        <v>-32.53</v>
      </c>
      <c r="HK1327" s="50">
        <v>-32.53</v>
      </c>
    </row>
    <row r="1328" spans="1:242" x14ac:dyDescent="0.25">
      <c r="A1328" s="127">
        <v>44667</v>
      </c>
      <c r="B1328" s="24" t="s">
        <v>37</v>
      </c>
      <c r="C1328" s="21">
        <f t="shared" si="24"/>
        <v>-32.549999999999997</v>
      </c>
      <c r="HK1328" s="50">
        <v>-32.549999999999997</v>
      </c>
    </row>
    <row r="1329" spans="1:204" x14ac:dyDescent="0.25">
      <c r="A1329" s="127">
        <v>44667</v>
      </c>
      <c r="B1329" s="24" t="s">
        <v>25</v>
      </c>
      <c r="C1329" s="21">
        <f t="shared" si="24"/>
        <v>-25.19</v>
      </c>
      <c r="AW1329" s="106">
        <v>-8.42</v>
      </c>
      <c r="BC1329" s="106">
        <v>-8.34</v>
      </c>
      <c r="BT1329" s="69">
        <v>-8.43</v>
      </c>
    </row>
    <row r="1330" spans="1:204" x14ac:dyDescent="0.25">
      <c r="A1330" s="127">
        <v>44669</v>
      </c>
      <c r="B1330" s="24" t="s">
        <v>14</v>
      </c>
      <c r="C1330" s="21">
        <f t="shared" si="24"/>
        <v>-110.52</v>
      </c>
      <c r="AB1330" s="69">
        <v>-8.58</v>
      </c>
      <c r="AF1330" s="69">
        <v>-8.5250000000000004</v>
      </c>
      <c r="BI1330" s="106">
        <v>-33.869999999999997</v>
      </c>
      <c r="BO1330" s="106">
        <v>-34.15</v>
      </c>
      <c r="CL1330" s="69">
        <v>-25.395</v>
      </c>
    </row>
    <row r="1331" spans="1:204" x14ac:dyDescent="0.25">
      <c r="A1331" s="127">
        <v>44669</v>
      </c>
      <c r="B1331" s="24" t="s">
        <v>17</v>
      </c>
      <c r="C1331" s="21">
        <f t="shared" si="24"/>
        <v>-8.67</v>
      </c>
      <c r="O1331" s="375">
        <v>-8.67</v>
      </c>
    </row>
    <row r="1332" spans="1:204" x14ac:dyDescent="0.25">
      <c r="A1332" s="127">
        <v>44669</v>
      </c>
      <c r="B1332" s="24" t="s">
        <v>2</v>
      </c>
      <c r="C1332" s="21">
        <f t="shared" si="24"/>
        <v>8270.31</v>
      </c>
      <c r="AE1332" s="42">
        <v>33.479999999999997</v>
      </c>
      <c r="AL1332" s="42">
        <v>277.16000000000003</v>
      </c>
      <c r="AP1332" s="42">
        <v>473.83</v>
      </c>
      <c r="AU1332" s="42">
        <v>524.02</v>
      </c>
      <c r="BA1332" s="42">
        <v>515.48</v>
      </c>
      <c r="BG1332" s="42">
        <v>510.41</v>
      </c>
      <c r="BM1332" s="88">
        <v>520.61</v>
      </c>
      <c r="BS1332" s="42">
        <v>529.4</v>
      </c>
      <c r="BY1332" s="42">
        <v>533.79</v>
      </c>
      <c r="CE1332" s="42">
        <v>210.73</v>
      </c>
      <c r="CK1332" s="42">
        <v>509.69</v>
      </c>
      <c r="CQ1332" s="42">
        <v>515.9</v>
      </c>
      <c r="CW1332" s="42">
        <v>512.04</v>
      </c>
      <c r="DC1332" s="42">
        <v>516.98</v>
      </c>
      <c r="DI1332" s="42">
        <v>519.29999999999995</v>
      </c>
      <c r="DN1332" s="42">
        <v>516.24</v>
      </c>
      <c r="DS1332" s="42">
        <v>531.13</v>
      </c>
      <c r="DY1332" s="42">
        <v>520.12</v>
      </c>
    </row>
    <row r="1333" spans="1:204" x14ac:dyDescent="0.25">
      <c r="A1333" s="127">
        <v>44670</v>
      </c>
      <c r="B1333" s="24" t="s">
        <v>80</v>
      </c>
      <c r="C1333" s="21">
        <f t="shared" si="24"/>
        <v>-34.47</v>
      </c>
      <c r="AL1333" s="42">
        <v>-34.47</v>
      </c>
    </row>
    <row r="1334" spans="1:204" x14ac:dyDescent="0.25">
      <c r="A1334" s="127">
        <v>44670</v>
      </c>
      <c r="B1334" s="24" t="s">
        <v>32</v>
      </c>
      <c r="C1334" s="21">
        <f t="shared" si="24"/>
        <v>-357.03</v>
      </c>
      <c r="U1334" s="69">
        <v>-8.57</v>
      </c>
      <c r="Y1334" s="69">
        <v>-8.61</v>
      </c>
      <c r="AB1334" s="69">
        <v>-16.234999999999999</v>
      </c>
      <c r="AF1334" s="69">
        <v>-17.02</v>
      </c>
      <c r="AP1334" s="42">
        <v>-8.31</v>
      </c>
      <c r="AQ1334" s="69">
        <v>-17.010000000000002</v>
      </c>
      <c r="AW1334" s="106">
        <v>-34.01</v>
      </c>
      <c r="BC1334" s="106">
        <v>-42.19</v>
      </c>
      <c r="BI1334" s="106">
        <v>-33.049999999999997</v>
      </c>
      <c r="BO1334" s="106">
        <v>-67.5</v>
      </c>
      <c r="BS1334" s="42">
        <v>-17.04</v>
      </c>
      <c r="BY1334" s="42">
        <v>-36.880000000000003</v>
      </c>
      <c r="CL1334" s="69">
        <v>-33.770000000000003</v>
      </c>
      <c r="DD1334" s="69">
        <v>-8.3650000000000002</v>
      </c>
      <c r="EK1334" s="69">
        <v>-8.4700000000000006</v>
      </c>
    </row>
    <row r="1335" spans="1:204" x14ac:dyDescent="0.25">
      <c r="A1335" s="127">
        <v>44670</v>
      </c>
      <c r="B1335" s="24" t="s">
        <v>20</v>
      </c>
      <c r="C1335" s="21">
        <f t="shared" si="24"/>
        <v>-80.61</v>
      </c>
      <c r="AW1335" s="106">
        <v>-8.43</v>
      </c>
      <c r="BA1335" s="42">
        <v>-8.51</v>
      </c>
      <c r="BI1335" s="106">
        <v>-8.3000000000000007</v>
      </c>
      <c r="BM1335" s="88">
        <v>-8.65</v>
      </c>
      <c r="BS1335" s="42">
        <v>-8.92</v>
      </c>
      <c r="GV1335" s="42">
        <v>-37.799999999999997</v>
      </c>
    </row>
    <row r="1336" spans="1:204" x14ac:dyDescent="0.25">
      <c r="A1336" s="127">
        <v>44670</v>
      </c>
      <c r="B1336" s="24" t="s">
        <v>107</v>
      </c>
      <c r="C1336" s="21">
        <f t="shared" si="24"/>
        <v>-33.909999999999997</v>
      </c>
      <c r="BI1336" s="106">
        <v>-8.32</v>
      </c>
      <c r="BM1336" s="88">
        <v>-8.6999999999999993</v>
      </c>
      <c r="CE1336" s="42">
        <v>-8.51</v>
      </c>
      <c r="CK1336" s="42">
        <v>-8.3800000000000008</v>
      </c>
    </row>
    <row r="1337" spans="1:204" x14ac:dyDescent="0.25">
      <c r="A1337" s="127">
        <v>44670</v>
      </c>
      <c r="B1337" s="24" t="s">
        <v>54</v>
      </c>
      <c r="C1337" s="21">
        <f t="shared" si="24"/>
        <v>-242.47</v>
      </c>
      <c r="AW1337" s="106">
        <v>-33.880000000000003</v>
      </c>
      <c r="BC1337" s="106">
        <v>-33.619999999999997</v>
      </c>
      <c r="BY1337" s="42">
        <v>-106.8</v>
      </c>
      <c r="DC1337" s="42">
        <v>-68.17</v>
      </c>
    </row>
    <row r="1338" spans="1:204" x14ac:dyDescent="0.25">
      <c r="A1338" s="127">
        <v>44670</v>
      </c>
      <c r="B1338" s="24" t="s">
        <v>116</v>
      </c>
      <c r="C1338" s="21">
        <f t="shared" si="24"/>
        <v>-202.255</v>
      </c>
      <c r="AW1338" s="106">
        <v>-33.76</v>
      </c>
      <c r="BC1338" s="106">
        <v>-33.49</v>
      </c>
      <c r="BY1338" s="42">
        <v>-35.42</v>
      </c>
      <c r="DC1338" s="42">
        <v>-34.1</v>
      </c>
      <c r="DJ1338" s="69">
        <v>-33.784999999999997</v>
      </c>
      <c r="DN1338" s="42">
        <v>-31.7</v>
      </c>
    </row>
    <row r="1339" spans="1:204" x14ac:dyDescent="0.25">
      <c r="A1339" s="127">
        <v>44670</v>
      </c>
      <c r="B1339" s="24" t="s">
        <v>117</v>
      </c>
      <c r="C1339" s="21">
        <f t="shared" si="24"/>
        <v>-245.64</v>
      </c>
      <c r="BI1339" s="106">
        <v>-34.56</v>
      </c>
      <c r="BO1339" s="106">
        <v>-34.1</v>
      </c>
      <c r="BS1339" s="42">
        <v>-70.489999999999995</v>
      </c>
      <c r="BY1339" s="42">
        <v>-71.150000000000006</v>
      </c>
      <c r="CE1339" s="42">
        <v>-35.340000000000003</v>
      </c>
    </row>
    <row r="1340" spans="1:204" x14ac:dyDescent="0.25">
      <c r="A1340" s="127">
        <v>44670</v>
      </c>
      <c r="B1340" s="24" t="s">
        <v>118</v>
      </c>
      <c r="C1340" s="21">
        <f t="shared" si="24"/>
        <v>-69.724999999999994</v>
      </c>
      <c r="BY1340" s="42">
        <v>-35.81</v>
      </c>
      <c r="CL1340" s="69">
        <v>-33.914999999999999</v>
      </c>
    </row>
    <row r="1341" spans="1:204" x14ac:dyDescent="0.25">
      <c r="A1341" s="127">
        <v>44670</v>
      </c>
      <c r="B1341" s="24" t="s">
        <v>119</v>
      </c>
      <c r="C1341" s="21">
        <f t="shared" si="24"/>
        <v>-102.99</v>
      </c>
      <c r="AW1341" s="106">
        <v>-33.950000000000003</v>
      </c>
      <c r="BC1341" s="106">
        <v>-33.76</v>
      </c>
      <c r="CE1341" s="42">
        <v>-35.28</v>
      </c>
    </row>
    <row r="1342" spans="1:204" x14ac:dyDescent="0.25">
      <c r="A1342" s="127">
        <v>44670</v>
      </c>
      <c r="B1342" s="24" t="s">
        <v>62</v>
      </c>
      <c r="C1342" s="21">
        <f t="shared" si="24"/>
        <v>-102.89</v>
      </c>
      <c r="AW1342" s="106">
        <v>-33.68</v>
      </c>
      <c r="BC1342" s="106">
        <v>-33.479999999999997</v>
      </c>
      <c r="CE1342" s="42">
        <v>-35.729999999999997</v>
      </c>
    </row>
    <row r="1343" spans="1:204" x14ac:dyDescent="0.25">
      <c r="A1343" s="127">
        <v>44670</v>
      </c>
      <c r="B1343" s="24" t="s">
        <v>120</v>
      </c>
      <c r="C1343" s="21">
        <f t="shared" si="24"/>
        <v>-170.17</v>
      </c>
      <c r="AW1343" s="106">
        <v>-33.74</v>
      </c>
      <c r="BC1343" s="106">
        <v>-32.549999999999997</v>
      </c>
      <c r="BY1343" s="42">
        <v>-35.700000000000003</v>
      </c>
      <c r="CE1343" s="42">
        <v>-34.22</v>
      </c>
      <c r="CK1343" s="42">
        <v>-33.96</v>
      </c>
    </row>
    <row r="1344" spans="1:204" x14ac:dyDescent="0.25">
      <c r="A1344" s="127">
        <v>44670</v>
      </c>
      <c r="B1344" s="24" t="s">
        <v>78</v>
      </c>
      <c r="C1344" s="21">
        <f t="shared" si="24"/>
        <v>-75.989999999999995</v>
      </c>
      <c r="T1344" s="42">
        <v>-7.89</v>
      </c>
      <c r="AW1344" s="106">
        <v>-17</v>
      </c>
      <c r="BC1344" s="106">
        <v>-16.71</v>
      </c>
      <c r="BI1344" s="106">
        <v>-17.29</v>
      </c>
      <c r="BO1344" s="106">
        <v>-8.5500000000000007</v>
      </c>
      <c r="CK1344" s="42">
        <v>-8.5500000000000007</v>
      </c>
    </row>
    <row r="1345" spans="1:130" x14ac:dyDescent="0.25">
      <c r="A1345" s="127">
        <v>44670</v>
      </c>
      <c r="B1345" s="24" t="s">
        <v>95</v>
      </c>
      <c r="C1345" s="21">
        <f t="shared" si="24"/>
        <v>-929.66</v>
      </c>
      <c r="AU1345" s="42">
        <v>-105.19</v>
      </c>
      <c r="BA1345" s="42">
        <v>-103.17</v>
      </c>
      <c r="BG1345" s="42">
        <v>-102.61</v>
      </c>
      <c r="BM1345" s="88">
        <v>-103.9</v>
      </c>
      <c r="BS1345" s="42">
        <v>-106.06</v>
      </c>
      <c r="BY1345" s="42">
        <v>-106.57</v>
      </c>
      <c r="CK1345" s="42">
        <v>-102.03</v>
      </c>
      <c r="CS1345" s="74">
        <v>-95.75</v>
      </c>
      <c r="CW1345" s="42">
        <v>-104.38</v>
      </c>
    </row>
    <row r="1346" spans="1:130" x14ac:dyDescent="0.25">
      <c r="A1346" s="127">
        <v>44670</v>
      </c>
      <c r="B1346" s="24" t="s">
        <v>95</v>
      </c>
      <c r="C1346" s="21">
        <f t="shared" si="24"/>
        <v>-312.11</v>
      </c>
      <c r="AP1346" s="42">
        <v>-34.479999999999997</v>
      </c>
      <c r="AW1346" s="106">
        <v>-33.700000000000003</v>
      </c>
      <c r="BA1346" s="42">
        <v>-34.75</v>
      </c>
      <c r="BI1346" s="106">
        <v>-35.83</v>
      </c>
      <c r="BM1346" s="88">
        <v>-34.76</v>
      </c>
      <c r="BS1346" s="42">
        <v>-35.1</v>
      </c>
      <c r="BY1346" s="42">
        <v>-35.380000000000003</v>
      </c>
      <c r="CK1346" s="42">
        <v>-33.549999999999997</v>
      </c>
      <c r="CQ1346" s="42">
        <v>-34.56</v>
      </c>
    </row>
    <row r="1347" spans="1:130" x14ac:dyDescent="0.25">
      <c r="A1347" s="127">
        <v>44670</v>
      </c>
      <c r="B1347" s="24" t="s">
        <v>57</v>
      </c>
      <c r="C1347" s="21">
        <f t="shared" si="24"/>
        <v>-15.9</v>
      </c>
      <c r="AL1347" s="42">
        <v>-15.9</v>
      </c>
    </row>
    <row r="1348" spans="1:130" x14ac:dyDescent="0.25">
      <c r="A1348" s="127">
        <v>44670</v>
      </c>
      <c r="B1348" s="24" t="s">
        <v>121</v>
      </c>
      <c r="C1348" s="21">
        <f t="shared" si="24"/>
        <v>-173.36</v>
      </c>
      <c r="AW1348" s="106">
        <v>-16.88</v>
      </c>
      <c r="BC1348" s="106">
        <v>-16.829999999999998</v>
      </c>
      <c r="BY1348" s="42">
        <v>-35.58</v>
      </c>
      <c r="CE1348" s="42">
        <v>-35.200000000000003</v>
      </c>
      <c r="DI1348" s="42">
        <v>-34.47</v>
      </c>
      <c r="DN1348" s="42">
        <v>-34.4</v>
      </c>
    </row>
    <row r="1349" spans="1:130" x14ac:dyDescent="0.25">
      <c r="A1349" s="127">
        <v>44670</v>
      </c>
      <c r="B1349" s="24" t="s">
        <v>15</v>
      </c>
      <c r="C1349" s="21">
        <f t="shared" si="24"/>
        <v>-655.14</v>
      </c>
      <c r="AL1349" s="42">
        <v>-34.18</v>
      </c>
      <c r="AP1349" s="42">
        <v>-33.14</v>
      </c>
      <c r="AU1349" s="42">
        <v>-70.69</v>
      </c>
      <c r="BA1349" s="42">
        <v>-69.89</v>
      </c>
      <c r="BI1349" s="106">
        <v>-66.069999999999993</v>
      </c>
      <c r="BM1349" s="88">
        <v>-68.209999999999994</v>
      </c>
      <c r="BS1349" s="42">
        <v>-70.41</v>
      </c>
      <c r="CS1349" s="74">
        <v>-32.770000000000003</v>
      </c>
      <c r="CW1349" s="42">
        <v>-35.28</v>
      </c>
      <c r="DC1349" s="42">
        <v>-36.340000000000003</v>
      </c>
      <c r="DI1349" s="42">
        <v>-32.53</v>
      </c>
      <c r="DN1349" s="42">
        <v>-34.46</v>
      </c>
      <c r="DS1349" s="42">
        <v>-35.57</v>
      </c>
      <c r="DY1349" s="42">
        <v>-35.6</v>
      </c>
    </row>
    <row r="1350" spans="1:130" x14ac:dyDescent="0.25">
      <c r="A1350" s="127">
        <v>44670</v>
      </c>
      <c r="B1350" s="24" t="s">
        <v>78</v>
      </c>
      <c r="C1350" s="21">
        <f t="shared" si="24"/>
        <v>-51.29</v>
      </c>
      <c r="AP1350" s="42">
        <v>-8.43</v>
      </c>
      <c r="AW1350" s="106">
        <v>-8.48</v>
      </c>
      <c r="BC1350" s="106">
        <v>-8.4499999999999993</v>
      </c>
      <c r="BI1350" s="106">
        <v>-8.31</v>
      </c>
      <c r="BM1350" s="88">
        <v>-8.6999999999999993</v>
      </c>
      <c r="BS1350" s="42">
        <v>-8.92</v>
      </c>
    </row>
    <row r="1351" spans="1:130" x14ac:dyDescent="0.25">
      <c r="A1351" s="127">
        <v>44670</v>
      </c>
      <c r="B1351" s="24" t="s">
        <v>13</v>
      </c>
      <c r="C1351" s="21">
        <f t="shared" si="24"/>
        <v>-429.91500000000002</v>
      </c>
      <c r="T1351" s="42">
        <v>-7.89</v>
      </c>
      <c r="Y1351" s="69">
        <v>-8.6750000000000007</v>
      </c>
      <c r="BA1351" s="42">
        <v>-31.45</v>
      </c>
      <c r="BM1351" s="88">
        <v>-139.69999999999999</v>
      </c>
      <c r="CK1351" s="42">
        <v>-33.78</v>
      </c>
      <c r="DI1351" s="42">
        <v>-32.840000000000003</v>
      </c>
      <c r="DS1351" s="42">
        <v>-35.21</v>
      </c>
      <c r="DY1351" s="42">
        <v>-140.37</v>
      </c>
    </row>
    <row r="1352" spans="1:130" x14ac:dyDescent="0.25">
      <c r="A1352" s="127">
        <v>44670</v>
      </c>
      <c r="B1352" s="24" t="s">
        <v>25</v>
      </c>
      <c r="C1352" s="21">
        <f t="shared" ref="C1352:C1415" si="25">SUM(I1352:JT1352)</f>
        <v>-66.150000000000006</v>
      </c>
      <c r="CS1352" s="74">
        <v>-66.150000000000006</v>
      </c>
    </row>
    <row r="1353" spans="1:130" x14ac:dyDescent="0.25">
      <c r="A1353" s="127">
        <v>44671</v>
      </c>
      <c r="B1353" s="24" t="s">
        <v>32</v>
      </c>
      <c r="C1353" s="21">
        <f t="shared" si="25"/>
        <v>-439.95499999999998</v>
      </c>
      <c r="AL1353" s="42">
        <v>-16.059999999999999</v>
      </c>
      <c r="AP1353" s="42">
        <v>-34.44</v>
      </c>
      <c r="AU1353" s="42">
        <v>-34.47</v>
      </c>
      <c r="BA1353" s="42">
        <v>-34.369999999999997</v>
      </c>
      <c r="BG1353" s="42">
        <v>-35.049999999999997</v>
      </c>
      <c r="BM1353" s="88">
        <v>-35.06</v>
      </c>
      <c r="BS1353" s="42">
        <v>-34.94</v>
      </c>
      <c r="CK1353" s="42">
        <v>-34.44</v>
      </c>
      <c r="CQ1353" s="42">
        <v>-17.190000000000001</v>
      </c>
      <c r="CW1353" s="42">
        <v>-17.14</v>
      </c>
      <c r="DC1353" s="42">
        <v>-17.04</v>
      </c>
      <c r="DI1353" s="42">
        <v>-15.64</v>
      </c>
      <c r="DS1353" s="42">
        <v>-97.13</v>
      </c>
      <c r="DZ1353" s="69">
        <v>-16.984999999999999</v>
      </c>
    </row>
    <row r="1354" spans="1:130" x14ac:dyDescent="0.25">
      <c r="A1354" s="127">
        <v>44671</v>
      </c>
      <c r="B1354" s="24" t="s">
        <v>90</v>
      </c>
      <c r="C1354" s="21">
        <f t="shared" si="25"/>
        <v>-8.5399999999999991</v>
      </c>
      <c r="CK1354" s="42">
        <v>-8.5399999999999991</v>
      </c>
    </row>
    <row r="1355" spans="1:130" x14ac:dyDescent="0.25">
      <c r="A1355" s="127">
        <v>44671</v>
      </c>
      <c r="B1355" s="24" t="s">
        <v>15</v>
      </c>
      <c r="C1355" s="21">
        <f t="shared" si="25"/>
        <v>-654.61500000000001</v>
      </c>
      <c r="Y1355" s="69">
        <v>-17.274999999999999</v>
      </c>
      <c r="AF1355" s="69">
        <v>-8.5299999999999994</v>
      </c>
      <c r="AL1355" s="42">
        <v>-35.32</v>
      </c>
      <c r="AP1355" s="42">
        <v>-34.42</v>
      </c>
      <c r="AU1355" s="42">
        <v>-68.540000000000006</v>
      </c>
      <c r="BA1355" s="42">
        <v>-70.27</v>
      </c>
      <c r="BG1355" s="42">
        <v>-69.989999999999995</v>
      </c>
      <c r="BO1355" s="106">
        <v>-68.45</v>
      </c>
      <c r="BS1355" s="42">
        <v>-35.11</v>
      </c>
      <c r="CK1355" s="42">
        <v>-33.659999999999997</v>
      </c>
      <c r="CS1355" s="74">
        <v>-31.7</v>
      </c>
      <c r="CW1355" s="42">
        <v>-35.58</v>
      </c>
      <c r="DC1355" s="42">
        <v>-34.4</v>
      </c>
      <c r="DI1355" s="42">
        <v>-33.29</v>
      </c>
      <c r="DN1355" s="42">
        <v>-34.22</v>
      </c>
      <c r="DS1355" s="42">
        <v>-35.549999999999997</v>
      </c>
      <c r="DZ1355" s="69">
        <v>-8.31</v>
      </c>
    </row>
    <row r="1356" spans="1:130" x14ac:dyDescent="0.25">
      <c r="A1356" s="127">
        <v>44671</v>
      </c>
      <c r="B1356" s="24" t="s">
        <v>80</v>
      </c>
      <c r="C1356" s="21">
        <f t="shared" si="25"/>
        <v>-34.71</v>
      </c>
      <c r="AL1356" s="42">
        <v>-34.71</v>
      </c>
    </row>
    <row r="1357" spans="1:130" x14ac:dyDescent="0.25">
      <c r="A1357" s="127">
        <v>44671</v>
      </c>
      <c r="B1357" s="24" t="s">
        <v>117</v>
      </c>
      <c r="C1357" s="21">
        <f t="shared" si="25"/>
        <v>-33.96</v>
      </c>
      <c r="CK1357" s="42">
        <v>-33.96</v>
      </c>
    </row>
    <row r="1358" spans="1:130" x14ac:dyDescent="0.25">
      <c r="A1358" s="127">
        <v>44671</v>
      </c>
      <c r="B1358" s="24" t="s">
        <v>75</v>
      </c>
      <c r="C1358" s="21">
        <f t="shared" si="25"/>
        <v>-67.92</v>
      </c>
      <c r="BY1358" s="42">
        <v>-8.9499999999999993</v>
      </c>
      <c r="CE1358" s="42">
        <v>-8.81</v>
      </c>
      <c r="CK1358" s="42">
        <v>-8.56</v>
      </c>
      <c r="CQ1358" s="42">
        <v>-8.65</v>
      </c>
      <c r="DC1358" s="42">
        <v>-17.059999999999999</v>
      </c>
      <c r="DI1358" s="42">
        <v>-7.34</v>
      </c>
      <c r="DN1358" s="42">
        <v>-8.5500000000000007</v>
      </c>
    </row>
    <row r="1359" spans="1:130" x14ac:dyDescent="0.25">
      <c r="A1359" s="127">
        <v>44671</v>
      </c>
      <c r="B1359" s="24" t="s">
        <v>27</v>
      </c>
      <c r="C1359" s="21">
        <f t="shared" si="25"/>
        <v>-16.93</v>
      </c>
      <c r="AZ1359" s="182">
        <v>-8.19</v>
      </c>
      <c r="DG1359" s="126">
        <v>-8.74</v>
      </c>
    </row>
    <row r="1360" spans="1:130" x14ac:dyDescent="0.25">
      <c r="A1360" s="127">
        <v>44671</v>
      </c>
      <c r="B1360" s="24" t="s">
        <v>25</v>
      </c>
      <c r="C1360" s="21">
        <f t="shared" si="25"/>
        <v>-51.62</v>
      </c>
      <c r="AP1360" s="42">
        <v>-8.31</v>
      </c>
      <c r="BI1360" s="106">
        <v>-8.3000000000000007</v>
      </c>
      <c r="BS1360" s="42">
        <v>-8.89</v>
      </c>
      <c r="BY1360" s="42">
        <v>-8.86</v>
      </c>
      <c r="CE1360" s="42">
        <v>-8.83</v>
      </c>
      <c r="CK1360" s="42">
        <v>-8.43</v>
      </c>
    </row>
    <row r="1361" spans="1:241" x14ac:dyDescent="0.25">
      <c r="A1361" s="127">
        <v>44671</v>
      </c>
      <c r="B1361" s="24" t="s">
        <v>53</v>
      </c>
      <c r="C1361" s="21">
        <f t="shared" si="25"/>
        <v>-344.15</v>
      </c>
      <c r="DY1361" s="42">
        <v>-344.15</v>
      </c>
    </row>
    <row r="1362" spans="1:241" x14ac:dyDescent="0.25">
      <c r="A1362" s="127">
        <v>44671</v>
      </c>
      <c r="B1362" s="24" t="s">
        <v>122</v>
      </c>
      <c r="C1362" s="21">
        <f t="shared" si="25"/>
        <v>0</v>
      </c>
    </row>
    <row r="1363" spans="1:241" x14ac:dyDescent="0.25">
      <c r="A1363" s="127">
        <v>44672</v>
      </c>
      <c r="B1363" s="24" t="s">
        <v>14</v>
      </c>
      <c r="C1363" s="21">
        <f t="shared" si="25"/>
        <v>-164.44</v>
      </c>
      <c r="Y1363" s="69">
        <v>-8.59</v>
      </c>
      <c r="BC1363" s="106">
        <v>-33.4</v>
      </c>
      <c r="BI1363" s="106">
        <v>-34.909999999999997</v>
      </c>
      <c r="BO1363" s="106">
        <v>-33.549999999999997</v>
      </c>
      <c r="BS1363" s="42">
        <v>-36.299999999999997</v>
      </c>
      <c r="BY1363" s="42">
        <v>-17.690000000000001</v>
      </c>
    </row>
    <row r="1364" spans="1:241" x14ac:dyDescent="0.25">
      <c r="A1364" s="127">
        <v>44672</v>
      </c>
      <c r="B1364" s="24" t="s">
        <v>57</v>
      </c>
      <c r="C1364" s="21">
        <f t="shared" si="25"/>
        <v>-70.66</v>
      </c>
      <c r="AU1364" s="42">
        <v>-70.66</v>
      </c>
    </row>
    <row r="1365" spans="1:241" x14ac:dyDescent="0.25">
      <c r="A1365" s="127">
        <v>44672</v>
      </c>
      <c r="B1365" s="24" t="s">
        <v>31</v>
      </c>
      <c r="C1365" s="21">
        <f t="shared" si="25"/>
        <v>-7.99</v>
      </c>
      <c r="IG1365" s="38">
        <v>-7.99</v>
      </c>
    </row>
    <row r="1366" spans="1:241" x14ac:dyDescent="0.25">
      <c r="A1366" s="127">
        <v>44672</v>
      </c>
      <c r="B1366" s="24" t="s">
        <v>75</v>
      </c>
      <c r="C1366" s="21">
        <f t="shared" si="25"/>
        <v>-8.89</v>
      </c>
      <c r="CY1366" s="106">
        <v>-8.89</v>
      </c>
    </row>
    <row r="1367" spans="1:241" x14ac:dyDescent="0.25">
      <c r="A1367" s="127">
        <v>44672</v>
      </c>
      <c r="B1367" s="24" t="s">
        <v>39</v>
      </c>
      <c r="C1367" s="21">
        <f t="shared" si="25"/>
        <v>-68.92</v>
      </c>
      <c r="AE1367" s="42">
        <v>-8.33</v>
      </c>
      <c r="AL1367" s="42">
        <v>-8.89</v>
      </c>
      <c r="AP1367" s="42">
        <v>-8.5500000000000007</v>
      </c>
      <c r="BI1367" s="106">
        <v>-8.26</v>
      </c>
      <c r="BM1367" s="88">
        <v>-8.66</v>
      </c>
      <c r="BS1367" s="42">
        <v>-8.89</v>
      </c>
      <c r="CE1367" s="42">
        <v>-8.81</v>
      </c>
      <c r="CX1367" s="69">
        <v>-8.5299999999999994</v>
      </c>
    </row>
    <row r="1368" spans="1:241" x14ac:dyDescent="0.25">
      <c r="A1368" s="127">
        <v>44672</v>
      </c>
      <c r="B1368" s="24" t="s">
        <v>116</v>
      </c>
      <c r="C1368" s="21">
        <f t="shared" si="25"/>
        <v>-68.33</v>
      </c>
      <c r="CE1368" s="42">
        <v>-68.33</v>
      </c>
    </row>
    <row r="1369" spans="1:241" x14ac:dyDescent="0.25">
      <c r="A1369" s="127">
        <v>44672</v>
      </c>
      <c r="B1369" s="24" t="s">
        <v>2</v>
      </c>
      <c r="C1369" s="21">
        <f t="shared" si="25"/>
        <v>517.42999999999995</v>
      </c>
      <c r="CE1369" s="42">
        <v>517.42999999999995</v>
      </c>
    </row>
    <row r="1370" spans="1:241" x14ac:dyDescent="0.25">
      <c r="A1370" s="127">
        <v>44673</v>
      </c>
      <c r="B1370" s="24" t="s">
        <v>78</v>
      </c>
      <c r="C1370" s="21">
        <f t="shared" si="25"/>
        <v>-34.79</v>
      </c>
      <c r="AP1370" s="42">
        <v>-8.5399999999999991</v>
      </c>
      <c r="BA1370" s="42">
        <v>-8.67</v>
      </c>
      <c r="BG1370" s="42">
        <v>-8.81</v>
      </c>
      <c r="CE1370" s="42">
        <v>-8.77</v>
      </c>
    </row>
    <row r="1371" spans="1:241" x14ac:dyDescent="0.25">
      <c r="A1371" s="127">
        <v>44673</v>
      </c>
      <c r="B1371" s="24" t="s">
        <v>38</v>
      </c>
      <c r="C1371" s="21">
        <f t="shared" si="25"/>
        <v>-268.60500000000002</v>
      </c>
      <c r="AP1371" s="42">
        <v>-200.68</v>
      </c>
      <c r="EW1371" s="88">
        <v>-67.924999999999997</v>
      </c>
    </row>
    <row r="1372" spans="1:241" x14ac:dyDescent="0.25">
      <c r="A1372" s="127">
        <v>44673</v>
      </c>
      <c r="B1372" s="24" t="s">
        <v>108</v>
      </c>
      <c r="C1372" s="21">
        <f t="shared" si="25"/>
        <v>-8.6999999999999993</v>
      </c>
      <c r="BG1372" s="42">
        <v>-8.6999999999999993</v>
      </c>
    </row>
    <row r="1373" spans="1:241" x14ac:dyDescent="0.25">
      <c r="A1373" s="127">
        <v>44673</v>
      </c>
      <c r="B1373" s="24" t="s">
        <v>20</v>
      </c>
      <c r="C1373" s="21">
        <f t="shared" si="25"/>
        <v>-8.4649999999999999</v>
      </c>
      <c r="L1373" s="69">
        <v>-8.4649999999999999</v>
      </c>
    </row>
    <row r="1374" spans="1:241" x14ac:dyDescent="0.25">
      <c r="A1374" s="127">
        <v>44674</v>
      </c>
      <c r="B1374" s="24" t="s">
        <v>32</v>
      </c>
      <c r="C1374" s="21">
        <f t="shared" si="25"/>
        <v>-16.760000000000002</v>
      </c>
      <c r="CE1374" s="42">
        <v>-8.11</v>
      </c>
      <c r="CW1374" s="42">
        <v>-8.65</v>
      </c>
    </row>
    <row r="1375" spans="1:241" x14ac:dyDescent="0.25">
      <c r="A1375" s="127">
        <v>44674</v>
      </c>
      <c r="B1375" s="24" t="s">
        <v>108</v>
      </c>
      <c r="C1375" s="21">
        <f t="shared" si="25"/>
        <v>-26.53</v>
      </c>
      <c r="AL1375" s="42">
        <v>-8.89</v>
      </c>
      <c r="AU1375" s="42">
        <v>-8.75</v>
      </c>
      <c r="BS1375" s="42">
        <v>-8.89</v>
      </c>
    </row>
    <row r="1376" spans="1:241" x14ac:dyDescent="0.25">
      <c r="A1376" s="127">
        <v>44676</v>
      </c>
      <c r="B1376" s="24" t="s">
        <v>44</v>
      </c>
      <c r="C1376" s="21">
        <f t="shared" si="25"/>
        <v>-66.63</v>
      </c>
      <c r="GR1376" s="50">
        <f>-32.03-34.6</f>
        <v>-66.63</v>
      </c>
    </row>
    <row r="1377" spans="1:101" x14ac:dyDescent="0.25">
      <c r="A1377" s="127">
        <v>44676</v>
      </c>
      <c r="B1377" s="24" t="s">
        <v>2</v>
      </c>
      <c r="C1377" s="21">
        <f t="shared" si="25"/>
        <v>404.36</v>
      </c>
      <c r="AE1377" s="42">
        <v>163.41999999999999</v>
      </c>
      <c r="AL1377" s="42">
        <v>240.94</v>
      </c>
    </row>
    <row r="1378" spans="1:101" x14ac:dyDescent="0.25">
      <c r="A1378" s="127">
        <v>44677</v>
      </c>
      <c r="B1378" s="24" t="s">
        <v>17</v>
      </c>
      <c r="C1378" s="21">
        <f t="shared" si="25"/>
        <v>-33.880000000000003</v>
      </c>
      <c r="BG1378" s="42">
        <v>-33.880000000000003</v>
      </c>
    </row>
    <row r="1379" spans="1:101" x14ac:dyDescent="0.25">
      <c r="A1379" s="127">
        <v>44677</v>
      </c>
      <c r="B1379" s="24" t="s">
        <v>78</v>
      </c>
      <c r="C1379" s="21">
        <f t="shared" si="25"/>
        <v>0</v>
      </c>
    </row>
    <row r="1380" spans="1:101" x14ac:dyDescent="0.25">
      <c r="A1380" s="127">
        <v>44677</v>
      </c>
      <c r="B1380" s="24" t="s">
        <v>15</v>
      </c>
      <c r="C1380" s="21">
        <f t="shared" si="25"/>
        <v>-274.87</v>
      </c>
      <c r="AE1380" s="42">
        <v>-33.58</v>
      </c>
      <c r="BG1380" s="42">
        <v>-34.979999999999997</v>
      </c>
      <c r="BM1380" s="88">
        <v>-34.81</v>
      </c>
      <c r="BS1380" s="42">
        <v>-35.21</v>
      </c>
      <c r="CE1380" s="42">
        <v>-104.87</v>
      </c>
      <c r="CQ1380" s="42">
        <v>-31.42</v>
      </c>
    </row>
    <row r="1381" spans="1:101" x14ac:dyDescent="0.25">
      <c r="A1381" s="127">
        <v>44677</v>
      </c>
      <c r="B1381" s="24" t="s">
        <v>32</v>
      </c>
      <c r="C1381" s="21">
        <f t="shared" si="25"/>
        <v>-17.52</v>
      </c>
      <c r="CE1381" s="42">
        <v>-17.52</v>
      </c>
    </row>
    <row r="1382" spans="1:101" x14ac:dyDescent="0.25">
      <c r="A1382" s="127">
        <v>44677</v>
      </c>
      <c r="B1382" s="24" t="s">
        <v>78</v>
      </c>
      <c r="C1382" s="21">
        <f t="shared" si="25"/>
        <v>-32.69</v>
      </c>
      <c r="CE1382" s="42">
        <v>-15.91</v>
      </c>
      <c r="CK1382" s="42">
        <v>-16.78</v>
      </c>
    </row>
    <row r="1383" spans="1:101" x14ac:dyDescent="0.25">
      <c r="A1383" s="127">
        <v>44677</v>
      </c>
      <c r="B1383" s="24" t="s">
        <v>123</v>
      </c>
      <c r="C1383" s="21">
        <f t="shared" si="25"/>
        <v>0</v>
      </c>
    </row>
    <row r="1384" spans="1:101" x14ac:dyDescent="0.25">
      <c r="A1384" s="127">
        <v>44677</v>
      </c>
      <c r="B1384" s="24" t="s">
        <v>80</v>
      </c>
      <c r="C1384" s="21">
        <f t="shared" si="25"/>
        <v>-17.79</v>
      </c>
      <c r="AL1384" s="42">
        <v>-17.79</v>
      </c>
    </row>
    <row r="1385" spans="1:101" x14ac:dyDescent="0.25">
      <c r="A1385" s="127">
        <v>44677</v>
      </c>
      <c r="B1385" s="24" t="s">
        <v>33</v>
      </c>
      <c r="C1385" s="21">
        <f t="shared" si="25"/>
        <v>-17.350000000000001</v>
      </c>
      <c r="BG1385" s="42">
        <v>-8.8000000000000007</v>
      </c>
      <c r="BO1385" s="106">
        <v>-8.5500000000000007</v>
      </c>
    </row>
    <row r="1386" spans="1:101" x14ac:dyDescent="0.25">
      <c r="A1386" s="127">
        <v>44677</v>
      </c>
      <c r="B1386" s="24" t="s">
        <v>25</v>
      </c>
      <c r="C1386" s="21">
        <f t="shared" si="25"/>
        <v>-34.47</v>
      </c>
      <c r="BC1386" s="106">
        <v>-8.4700000000000006</v>
      </c>
      <c r="BG1386" s="42">
        <v>-8.73</v>
      </c>
      <c r="BO1386" s="106">
        <v>-8.5500000000000007</v>
      </c>
      <c r="BS1386" s="42">
        <v>-8.7200000000000006</v>
      </c>
    </row>
    <row r="1387" spans="1:101" x14ac:dyDescent="0.25">
      <c r="A1387" s="127">
        <v>44678</v>
      </c>
      <c r="B1387" s="24" t="s">
        <v>32</v>
      </c>
      <c r="C1387" s="21">
        <f t="shared" si="25"/>
        <v>-410.09</v>
      </c>
      <c r="T1387" s="42">
        <v>-31.62</v>
      </c>
      <c r="AE1387" s="42">
        <v>-33.14</v>
      </c>
      <c r="AL1387" s="42">
        <v>-35.36</v>
      </c>
      <c r="AP1387" s="42">
        <v>-34.659999999999997</v>
      </c>
      <c r="AU1387" s="42">
        <v>-68.790000000000006</v>
      </c>
      <c r="BG1387" s="42">
        <v>-70.040000000000006</v>
      </c>
      <c r="BO1387" s="106">
        <v>-33.75</v>
      </c>
      <c r="CK1387" s="42">
        <v>-34.090000000000003</v>
      </c>
      <c r="CQ1387" s="42">
        <v>-35.57</v>
      </c>
      <c r="CW1387" s="42">
        <v>-33.07</v>
      </c>
    </row>
    <row r="1388" spans="1:101" x14ac:dyDescent="0.25">
      <c r="A1388" s="127">
        <v>44679</v>
      </c>
      <c r="B1388" s="24" t="s">
        <v>20</v>
      </c>
      <c r="C1388" s="21">
        <f t="shared" si="25"/>
        <v>-17.45</v>
      </c>
      <c r="BS1388" s="42">
        <v>-8.77</v>
      </c>
      <c r="CQ1388" s="42">
        <v>-8.68</v>
      </c>
    </row>
    <row r="1389" spans="1:101" x14ac:dyDescent="0.25">
      <c r="A1389" s="127">
        <v>44679</v>
      </c>
      <c r="B1389" s="24" t="s">
        <v>32</v>
      </c>
      <c r="C1389" s="21">
        <f t="shared" si="25"/>
        <v>-25.745000000000001</v>
      </c>
      <c r="Y1389" s="69">
        <v>-25.745000000000001</v>
      </c>
    </row>
    <row r="1390" spans="1:101" x14ac:dyDescent="0.25">
      <c r="A1390" s="127">
        <v>44679</v>
      </c>
      <c r="B1390" s="24" t="s">
        <v>113</v>
      </c>
      <c r="C1390" s="21">
        <f t="shared" si="25"/>
        <v>1076.98</v>
      </c>
      <c r="BU1390" s="106">
        <v>353.75</v>
      </c>
      <c r="BZ1390" s="69">
        <v>376.75</v>
      </c>
      <c r="CG1390" s="106">
        <v>346.48</v>
      </c>
    </row>
    <row r="1391" spans="1:101" x14ac:dyDescent="0.25">
      <c r="A1391" s="127">
        <v>44680</v>
      </c>
      <c r="B1391" s="24" t="s">
        <v>33</v>
      </c>
      <c r="C1391" s="21">
        <f t="shared" si="25"/>
        <v>-19.7</v>
      </c>
      <c r="O1391" s="375">
        <v>-2.06</v>
      </c>
      <c r="AU1391" s="42">
        <v>-8.94</v>
      </c>
      <c r="BZ1391" s="69">
        <v>-8.6999999999999993</v>
      </c>
    </row>
    <row r="1392" spans="1:101" x14ac:dyDescent="0.25">
      <c r="A1392" s="127">
        <v>44680</v>
      </c>
      <c r="B1392" s="24" t="s">
        <v>20</v>
      </c>
      <c r="C1392" s="21">
        <f t="shared" si="25"/>
        <v>-8.6999999999999993</v>
      </c>
      <c r="BZ1392" s="69">
        <v>-8.6999999999999993</v>
      </c>
    </row>
    <row r="1393" spans="1:229" x14ac:dyDescent="0.25">
      <c r="A1393" s="127">
        <v>44680</v>
      </c>
      <c r="B1393" s="24" t="s">
        <v>40</v>
      </c>
      <c r="C1393" s="21">
        <f t="shared" si="25"/>
        <v>-144.44999999999999</v>
      </c>
      <c r="HU1393" s="42">
        <v>-144.44999999999999</v>
      </c>
    </row>
    <row r="1394" spans="1:229" x14ac:dyDescent="0.25">
      <c r="A1394" s="127">
        <v>44680</v>
      </c>
      <c r="B1394" s="24" t="s">
        <v>18</v>
      </c>
      <c r="C1394" s="21">
        <f t="shared" si="25"/>
        <v>-200.08</v>
      </c>
      <c r="BA1394" s="42">
        <v>-33.15</v>
      </c>
      <c r="BU1394" s="106">
        <v>-63.45</v>
      </c>
      <c r="BZ1394" s="69">
        <v>-33.799999999999997</v>
      </c>
      <c r="CQ1394" s="42">
        <v>-34.74</v>
      </c>
      <c r="CW1394" s="42">
        <v>-34.94</v>
      </c>
    </row>
    <row r="1395" spans="1:229" x14ac:dyDescent="0.25">
      <c r="A1395" s="127">
        <v>44680</v>
      </c>
      <c r="B1395" s="24" t="s">
        <v>15</v>
      </c>
      <c r="C1395" s="21">
        <f t="shared" si="25"/>
        <v>-68.650000000000006</v>
      </c>
      <c r="CK1395" s="42">
        <v>-34.15</v>
      </c>
      <c r="CQ1395" s="42">
        <v>-34.5</v>
      </c>
    </row>
    <row r="1396" spans="1:229" x14ac:dyDescent="0.25">
      <c r="A1396" s="127">
        <v>44686</v>
      </c>
      <c r="B1396" s="24" t="s">
        <v>78</v>
      </c>
      <c r="C1396" s="21">
        <f t="shared" si="25"/>
        <v>-99.56</v>
      </c>
      <c r="AU1396" s="42">
        <v>-17.850000000000001</v>
      </c>
      <c r="BA1396" s="42">
        <v>-8.7799999999999994</v>
      </c>
      <c r="BG1396" s="42">
        <v>-7.61</v>
      </c>
      <c r="BO1396" s="106">
        <v>-8.5500000000000007</v>
      </c>
      <c r="BS1396" s="42">
        <v>-9.0299999999999994</v>
      </c>
      <c r="BZ1396" s="69">
        <v>-8.85</v>
      </c>
      <c r="CE1396" s="42">
        <v>-8.7200000000000006</v>
      </c>
      <c r="CK1396" s="42">
        <v>-8.59</v>
      </c>
      <c r="FX1396" s="34">
        <v>-21.58</v>
      </c>
    </row>
    <row r="1397" spans="1:229" x14ac:dyDescent="0.25">
      <c r="A1397" s="127">
        <v>44686</v>
      </c>
      <c r="B1397" s="24" t="s">
        <v>15</v>
      </c>
      <c r="C1397" s="21">
        <f t="shared" si="25"/>
        <v>-103.6</v>
      </c>
      <c r="BZ1397" s="69">
        <v>-68.45</v>
      </c>
      <c r="DS1397" s="42">
        <v>-35.15</v>
      </c>
    </row>
    <row r="1398" spans="1:229" x14ac:dyDescent="0.25">
      <c r="A1398" s="127">
        <v>44686</v>
      </c>
      <c r="B1398" s="24" t="s">
        <v>57</v>
      </c>
      <c r="C1398" s="21">
        <f t="shared" si="25"/>
        <v>-154.19999999999999</v>
      </c>
      <c r="AE1398" s="42">
        <v>-8.41</v>
      </c>
      <c r="BA1398" s="42">
        <v>-8.67</v>
      </c>
      <c r="BG1398" s="42">
        <v>-26.59</v>
      </c>
      <c r="BM1398" s="88">
        <v>-26.01</v>
      </c>
      <c r="BU1398" s="106">
        <v>-24.57</v>
      </c>
      <c r="BZ1398" s="69">
        <v>-25.65</v>
      </c>
      <c r="CK1398" s="42">
        <v>-8.61</v>
      </c>
      <c r="DC1398" s="42">
        <v>-25.69</v>
      </c>
    </row>
    <row r="1399" spans="1:229" x14ac:dyDescent="0.25">
      <c r="A1399" s="127">
        <v>44686</v>
      </c>
      <c r="B1399" s="24" t="s">
        <v>78</v>
      </c>
      <c r="C1399" s="21">
        <f t="shared" si="25"/>
        <v>-25.86</v>
      </c>
      <c r="BG1399" s="42">
        <v>-17.309999999999999</v>
      </c>
      <c r="BO1399" s="106">
        <v>-8.5500000000000007</v>
      </c>
    </row>
    <row r="1400" spans="1:229" x14ac:dyDescent="0.25">
      <c r="A1400" s="127">
        <v>44686</v>
      </c>
      <c r="B1400" s="24" t="s">
        <v>78</v>
      </c>
      <c r="C1400" s="21">
        <f t="shared" si="25"/>
        <v>-59</v>
      </c>
      <c r="AU1400" s="42">
        <v>-9.73</v>
      </c>
      <c r="BA1400" s="42">
        <v>-8.68</v>
      </c>
      <c r="BG1400" s="42">
        <v>-14.93</v>
      </c>
      <c r="BU1400" s="106">
        <v>-8.3000000000000007</v>
      </c>
      <c r="BZ1400" s="69">
        <v>-8.6</v>
      </c>
      <c r="CE1400" s="42">
        <v>-8.76</v>
      </c>
    </row>
    <row r="1401" spans="1:229" x14ac:dyDescent="0.25">
      <c r="A1401" s="127">
        <v>44687</v>
      </c>
      <c r="B1401" s="24" t="s">
        <v>80</v>
      </c>
      <c r="C1401" s="21">
        <f t="shared" si="25"/>
        <v>-17.77</v>
      </c>
      <c r="AL1401" s="42">
        <v>-17.77</v>
      </c>
    </row>
    <row r="1402" spans="1:229" x14ac:dyDescent="0.25">
      <c r="A1402" s="127">
        <v>44687</v>
      </c>
      <c r="B1402" s="24" t="s">
        <v>15</v>
      </c>
      <c r="C1402" s="21">
        <f t="shared" si="25"/>
        <v>-67.819999999999993</v>
      </c>
      <c r="BU1402" s="106">
        <v>-32.799999999999997</v>
      </c>
      <c r="CE1402" s="42">
        <v>-35.020000000000003</v>
      </c>
    </row>
    <row r="1403" spans="1:229" x14ac:dyDescent="0.25">
      <c r="A1403" s="127">
        <v>44687</v>
      </c>
      <c r="B1403" s="24" t="s">
        <v>14</v>
      </c>
      <c r="C1403" s="21">
        <f t="shared" si="25"/>
        <v>-222.14</v>
      </c>
      <c r="BA1403" s="42">
        <v>-34.9</v>
      </c>
      <c r="BG1403" s="42">
        <v>-27.39</v>
      </c>
      <c r="BM1403" s="88">
        <v>-34.799999999999997</v>
      </c>
      <c r="BU1403" s="106">
        <v>-33</v>
      </c>
      <c r="BZ1403" s="69">
        <v>-34.25</v>
      </c>
      <c r="CG1403" s="106">
        <v>-32.090000000000003</v>
      </c>
      <c r="CK1403" s="42">
        <v>-25.71</v>
      </c>
    </row>
    <row r="1404" spans="1:229" x14ac:dyDescent="0.25">
      <c r="A1404" s="127">
        <v>44687</v>
      </c>
      <c r="B1404" s="24" t="s">
        <v>124</v>
      </c>
      <c r="C1404" s="21">
        <f t="shared" si="25"/>
        <v>-274.48</v>
      </c>
      <c r="BA1404" s="42">
        <f>-8.78-8.78</f>
        <v>-17.559999999999999</v>
      </c>
      <c r="BG1404" s="42">
        <v>-34.99</v>
      </c>
      <c r="BU1404" s="106">
        <v>-34.950000000000003</v>
      </c>
      <c r="BZ1404" s="69">
        <f>-8.8-8.55</f>
        <v>-17.350000000000001</v>
      </c>
      <c r="CG1404" s="106">
        <v>-31.28</v>
      </c>
      <c r="CK1404" s="42">
        <v>-34.11</v>
      </c>
      <c r="CQ1404" s="42">
        <v>-34.67</v>
      </c>
      <c r="CW1404" s="42">
        <v>-35.56</v>
      </c>
      <c r="DC1404" s="42">
        <v>-34.01</v>
      </c>
    </row>
    <row r="1405" spans="1:229" x14ac:dyDescent="0.25">
      <c r="A1405" s="127">
        <v>44687</v>
      </c>
      <c r="B1405" s="24" t="s">
        <v>17</v>
      </c>
      <c r="C1405" s="21">
        <f t="shared" si="25"/>
        <v>-34.9</v>
      </c>
      <c r="BU1405" s="106">
        <v>-34.9</v>
      </c>
    </row>
    <row r="1406" spans="1:229" x14ac:dyDescent="0.25">
      <c r="A1406" s="127">
        <v>44688</v>
      </c>
      <c r="B1406" s="24" t="s">
        <v>15</v>
      </c>
      <c r="C1406" s="21">
        <f t="shared" si="25"/>
        <v>-29.37</v>
      </c>
      <c r="DI1406" s="42">
        <v>-29.37</v>
      </c>
    </row>
    <row r="1407" spans="1:229" x14ac:dyDescent="0.25">
      <c r="A1407" s="127">
        <v>44688</v>
      </c>
      <c r="B1407" s="24" t="s">
        <v>78</v>
      </c>
      <c r="C1407" s="21">
        <f t="shared" si="25"/>
        <v>-32.99</v>
      </c>
      <c r="BA1407" s="42">
        <v>-15.93</v>
      </c>
      <c r="BZ1407" s="69">
        <v>-8.5</v>
      </c>
      <c r="CE1407" s="42">
        <v>-8.56</v>
      </c>
    </row>
    <row r="1408" spans="1:229" x14ac:dyDescent="0.25">
      <c r="A1408" s="127">
        <v>44690</v>
      </c>
      <c r="B1408" s="24" t="s">
        <v>68</v>
      </c>
      <c r="C1408" s="21">
        <f t="shared" si="25"/>
        <v>-68.13</v>
      </c>
      <c r="AP1408" s="42">
        <v>-34.450000000000003</v>
      </c>
      <c r="BJ1408" s="121">
        <v>-33.68</v>
      </c>
    </row>
    <row r="1409" spans="1:187" x14ac:dyDescent="0.25">
      <c r="A1409" s="127">
        <v>44690</v>
      </c>
      <c r="B1409" s="24" t="s">
        <v>95</v>
      </c>
      <c r="C1409" s="21">
        <f t="shared" si="25"/>
        <v>-127.72</v>
      </c>
      <c r="AU1409" s="42">
        <v>-34.619999999999997</v>
      </c>
      <c r="BA1409" s="42">
        <v>-26.18</v>
      </c>
      <c r="CG1409" s="106">
        <v>-31.96</v>
      </c>
      <c r="CW1409" s="42">
        <v>-34.96</v>
      </c>
    </row>
    <row r="1410" spans="1:187" x14ac:dyDescent="0.25">
      <c r="A1410" s="127">
        <v>44690</v>
      </c>
      <c r="B1410" s="24" t="s">
        <v>78</v>
      </c>
      <c r="C1410" s="21">
        <f t="shared" si="25"/>
        <v>-16.579999999999998</v>
      </c>
      <c r="CW1410" s="42">
        <v>-16.579999999999998</v>
      </c>
    </row>
    <row r="1411" spans="1:187" x14ac:dyDescent="0.25">
      <c r="A1411" s="127">
        <v>44690</v>
      </c>
      <c r="B1411" s="24" t="s">
        <v>78</v>
      </c>
      <c r="C1411" s="21">
        <f t="shared" si="25"/>
        <v>-7.9</v>
      </c>
      <c r="T1411" s="42">
        <v>-7.9</v>
      </c>
    </row>
    <row r="1412" spans="1:187" x14ac:dyDescent="0.25">
      <c r="A1412" s="127">
        <v>44691</v>
      </c>
      <c r="B1412" s="24" t="s">
        <v>27</v>
      </c>
      <c r="C1412" s="21">
        <f t="shared" si="25"/>
        <v>-18.25</v>
      </c>
      <c r="AT1412" s="46">
        <v>-9.2100000000000009</v>
      </c>
      <c r="AZ1412" s="182">
        <v>-9.0399999999999991</v>
      </c>
    </row>
    <row r="1413" spans="1:187" x14ac:dyDescent="0.25">
      <c r="A1413" s="127">
        <v>44691</v>
      </c>
      <c r="B1413" s="24" t="s">
        <v>75</v>
      </c>
      <c r="C1413" s="21">
        <f t="shared" si="25"/>
        <v>-8.5649999999999995</v>
      </c>
      <c r="U1413" s="69">
        <v>-8.5649999999999995</v>
      </c>
    </row>
    <row r="1414" spans="1:187" x14ac:dyDescent="0.25">
      <c r="A1414" s="127">
        <v>44691</v>
      </c>
      <c r="B1414" s="24" t="s">
        <v>25</v>
      </c>
      <c r="C1414" s="21">
        <f t="shared" si="25"/>
        <v>-81.19</v>
      </c>
      <c r="BJ1414" s="121">
        <v>-7.76</v>
      </c>
      <c r="BU1414" s="106">
        <v>-8.25</v>
      </c>
      <c r="BZ1414" s="69">
        <v>-8.65</v>
      </c>
      <c r="CG1414" s="106">
        <f>-7.71-8.6</f>
        <v>-16.309999999999999</v>
      </c>
      <c r="DI1414" s="42">
        <f>-32.88-7.34</f>
        <v>-40.22</v>
      </c>
    </row>
    <row r="1415" spans="1:187" x14ac:dyDescent="0.25">
      <c r="A1415" s="127">
        <v>44691</v>
      </c>
      <c r="B1415" s="24" t="s">
        <v>79</v>
      </c>
      <c r="C1415" s="21">
        <f t="shared" si="25"/>
        <v>-25.63</v>
      </c>
      <c r="BL1415" s="182">
        <v>-8.73</v>
      </c>
      <c r="BM1415" s="88">
        <v>-8.65</v>
      </c>
      <c r="BU1415" s="106">
        <v>-8.25</v>
      </c>
    </row>
    <row r="1416" spans="1:187" x14ac:dyDescent="0.25">
      <c r="A1416" s="127">
        <v>44691</v>
      </c>
      <c r="B1416" s="24" t="s">
        <v>84</v>
      </c>
      <c r="C1416" s="21">
        <f t="shared" ref="C1416:C1456" si="26">SUM(I1416:JT1416)</f>
        <v>-35.79</v>
      </c>
      <c r="AL1416" s="42">
        <v>-8.86</v>
      </c>
      <c r="AP1416" s="42">
        <v>-8.5399999999999991</v>
      </c>
      <c r="BL1416" s="182">
        <f>-9.19-9.2</f>
        <v>-18.39</v>
      </c>
    </row>
    <row r="1417" spans="1:187" x14ac:dyDescent="0.25">
      <c r="A1417" s="127">
        <v>44691</v>
      </c>
      <c r="B1417" s="24" t="s">
        <v>32</v>
      </c>
      <c r="C1417" s="21">
        <f t="shared" si="26"/>
        <v>-42.4</v>
      </c>
      <c r="BU1417" s="106">
        <v>-35</v>
      </c>
      <c r="BZ1417" s="69">
        <v>-7.4</v>
      </c>
    </row>
    <row r="1418" spans="1:187" x14ac:dyDescent="0.25">
      <c r="A1418" s="127">
        <v>44691</v>
      </c>
      <c r="B1418" s="24" t="s">
        <v>12</v>
      </c>
      <c r="C1418" s="21">
        <f t="shared" si="26"/>
        <v>-182.1</v>
      </c>
      <c r="AL1418" s="42">
        <v>-35.590000000000003</v>
      </c>
      <c r="BU1418" s="106">
        <v>-35.1</v>
      </c>
      <c r="BZ1418" s="69">
        <v>-68.75</v>
      </c>
      <c r="CQ1418" s="42">
        <v>-17.07</v>
      </c>
      <c r="DN1418" s="42">
        <v>-8.64</v>
      </c>
      <c r="EK1418" s="69">
        <v>-16.95</v>
      </c>
    </row>
    <row r="1419" spans="1:187" x14ac:dyDescent="0.25">
      <c r="A1419" s="127">
        <v>44691</v>
      </c>
      <c r="B1419" s="24" t="s">
        <v>15</v>
      </c>
      <c r="C1419" s="21">
        <f t="shared" si="26"/>
        <v>-211.255</v>
      </c>
      <c r="BZ1419" s="69">
        <v>-34.450000000000003</v>
      </c>
      <c r="CE1419" s="42">
        <v>-34.99</v>
      </c>
      <c r="CR1419" s="69">
        <v>-34.29</v>
      </c>
      <c r="FA1419" s="42">
        <v>-23.75</v>
      </c>
      <c r="FF1419" s="88">
        <v>-21.85</v>
      </c>
      <c r="FJ1419" s="69">
        <v>-19.350000000000001</v>
      </c>
      <c r="FX1419" s="34">
        <v>-21.41</v>
      </c>
      <c r="GE1419" s="88">
        <v>-21.164999999999999</v>
      </c>
    </row>
    <row r="1420" spans="1:187" x14ac:dyDescent="0.25">
      <c r="A1420" s="127">
        <v>44692</v>
      </c>
      <c r="B1420" s="24" t="s">
        <v>80</v>
      </c>
      <c r="C1420" s="21">
        <f t="shared" si="26"/>
        <v>-88.59</v>
      </c>
      <c r="AL1420" s="42">
        <v>-88.59</v>
      </c>
    </row>
    <row r="1421" spans="1:187" x14ac:dyDescent="0.25">
      <c r="A1421" s="127">
        <v>44692</v>
      </c>
      <c r="B1421" s="24" t="s">
        <v>53</v>
      </c>
      <c r="C1421" s="21">
        <f t="shared" si="26"/>
        <v>-481.32</v>
      </c>
      <c r="DI1421" s="42">
        <v>-267.64</v>
      </c>
      <c r="DS1421" s="42">
        <v>-213.68</v>
      </c>
    </row>
    <row r="1422" spans="1:187" x14ac:dyDescent="0.25">
      <c r="A1422" s="127">
        <v>44692</v>
      </c>
      <c r="B1422" s="24" t="s">
        <v>123</v>
      </c>
      <c r="C1422" s="21">
        <f t="shared" si="26"/>
        <v>0</v>
      </c>
    </row>
    <row r="1423" spans="1:187" x14ac:dyDescent="0.25">
      <c r="A1423" s="127">
        <v>44692</v>
      </c>
      <c r="B1423" s="24" t="s">
        <v>45</v>
      </c>
      <c r="C1423" s="21">
        <f t="shared" si="26"/>
        <v>-23.77</v>
      </c>
      <c r="O1423" s="375">
        <v>-6.63</v>
      </c>
      <c r="CE1423" s="42">
        <f>-8.57-8.57</f>
        <v>-17.14</v>
      </c>
    </row>
    <row r="1424" spans="1:187" x14ac:dyDescent="0.25">
      <c r="A1424" s="127">
        <v>44692</v>
      </c>
      <c r="B1424" s="24" t="s">
        <v>78</v>
      </c>
      <c r="C1424" s="21">
        <f t="shared" si="26"/>
        <v>-25.96</v>
      </c>
      <c r="DI1424" s="42">
        <v>-25.96</v>
      </c>
    </row>
    <row r="1425" spans="1:219" x14ac:dyDescent="0.25">
      <c r="A1425" s="127">
        <v>44693</v>
      </c>
      <c r="B1425" s="24" t="s">
        <v>12</v>
      </c>
      <c r="C1425" s="21">
        <f t="shared" si="26"/>
        <v>-43.31</v>
      </c>
      <c r="GA1425" s="88">
        <v>-43.31</v>
      </c>
    </row>
    <row r="1426" spans="1:219" x14ac:dyDescent="0.25">
      <c r="A1426" s="127">
        <v>44693</v>
      </c>
      <c r="B1426" s="23" t="s">
        <v>64</v>
      </c>
      <c r="C1426" s="21">
        <f t="shared" si="26"/>
        <v>39</v>
      </c>
      <c r="AU1426" s="42">
        <f>39+1.72</f>
        <v>40.72</v>
      </c>
      <c r="AV1426" s="69">
        <v>-1.72</v>
      </c>
    </row>
    <row r="1427" spans="1:219" x14ac:dyDescent="0.25">
      <c r="A1427" s="127">
        <v>44693</v>
      </c>
      <c r="B1427" s="24" t="s">
        <v>12</v>
      </c>
      <c r="C1427" s="21">
        <f t="shared" si="26"/>
        <v>-42.86</v>
      </c>
      <c r="GA1427" s="88">
        <v>-42.86</v>
      </c>
    </row>
    <row r="1428" spans="1:219" x14ac:dyDescent="0.25">
      <c r="A1428" s="127">
        <v>44693</v>
      </c>
      <c r="B1428" s="24" t="s">
        <v>15</v>
      </c>
      <c r="C1428" s="21">
        <f t="shared" si="26"/>
        <v>-67.77</v>
      </c>
      <c r="AU1428" s="42">
        <v>-33.22</v>
      </c>
      <c r="CQ1428" s="42">
        <v>-34.549999999999997</v>
      </c>
    </row>
    <row r="1429" spans="1:219" x14ac:dyDescent="0.25">
      <c r="A1429" s="127">
        <v>44693</v>
      </c>
      <c r="B1429" s="24" t="s">
        <v>78</v>
      </c>
      <c r="C1429" s="21">
        <f t="shared" si="26"/>
        <v>-43.4</v>
      </c>
      <c r="CQ1429" s="42">
        <v>-34.82</v>
      </c>
      <c r="CW1429" s="42">
        <v>-8.58</v>
      </c>
    </row>
    <row r="1430" spans="1:219" x14ac:dyDescent="0.25">
      <c r="A1430" s="127">
        <v>44693</v>
      </c>
      <c r="B1430" s="24" t="s">
        <v>123</v>
      </c>
      <c r="C1430" s="21">
        <f t="shared" si="26"/>
        <v>0</v>
      </c>
    </row>
    <row r="1431" spans="1:219" x14ac:dyDescent="0.25">
      <c r="A1431" s="127">
        <v>44694</v>
      </c>
      <c r="B1431" s="24" t="s">
        <v>32</v>
      </c>
      <c r="C1431" s="21">
        <f t="shared" si="26"/>
        <v>-25.815000000000001</v>
      </c>
      <c r="DN1431" s="42">
        <v>-8.4499999999999993</v>
      </c>
      <c r="DS1431" s="42">
        <v>-8.91</v>
      </c>
      <c r="DZ1431" s="69">
        <v>-8.4550000000000001</v>
      </c>
    </row>
    <row r="1432" spans="1:219" x14ac:dyDescent="0.25">
      <c r="A1432" s="127">
        <v>44694</v>
      </c>
      <c r="B1432" s="24" t="s">
        <v>59</v>
      </c>
      <c r="C1432" s="21">
        <f t="shared" si="26"/>
        <v>-17.29</v>
      </c>
      <c r="CS1432" s="74">
        <v>-8.18</v>
      </c>
      <c r="DG1432" s="126">
        <v>-9.11</v>
      </c>
    </row>
    <row r="1433" spans="1:219" x14ac:dyDescent="0.25">
      <c r="A1433" s="127">
        <v>44694</v>
      </c>
      <c r="B1433" s="24" t="s">
        <v>25</v>
      </c>
      <c r="C1433" s="21">
        <f t="shared" si="26"/>
        <v>-34.71</v>
      </c>
      <c r="BL1433" s="182">
        <v>-8.6</v>
      </c>
      <c r="BS1433" s="42">
        <v>-8.89</v>
      </c>
      <c r="BZ1433" s="69">
        <v>-8.65</v>
      </c>
      <c r="CE1433" s="42">
        <v>-8.57</v>
      </c>
    </row>
    <row r="1434" spans="1:219" x14ac:dyDescent="0.25">
      <c r="A1434" s="127">
        <v>44695</v>
      </c>
      <c r="B1434" s="24" t="s">
        <v>57</v>
      </c>
      <c r="C1434" s="21">
        <f t="shared" si="26"/>
        <v>-34.79</v>
      </c>
      <c r="DC1434" s="42">
        <v>-17.170000000000002</v>
      </c>
      <c r="DS1434" s="42">
        <v>-17.62</v>
      </c>
    </row>
    <row r="1435" spans="1:219" x14ac:dyDescent="0.25">
      <c r="A1435" s="127">
        <v>44695</v>
      </c>
      <c r="B1435" s="24" t="s">
        <v>78</v>
      </c>
      <c r="C1435" s="21">
        <f t="shared" si="26"/>
        <v>-8.52</v>
      </c>
      <c r="CQ1435" s="42">
        <v>-8.52</v>
      </c>
    </row>
    <row r="1436" spans="1:219" x14ac:dyDescent="0.25">
      <c r="A1436" s="127">
        <v>44695</v>
      </c>
      <c r="B1436" s="24" t="s">
        <v>40</v>
      </c>
      <c r="C1436" s="21">
        <f t="shared" si="26"/>
        <v>-262.8</v>
      </c>
      <c r="AL1436" s="42">
        <v>-67.959999999999994</v>
      </c>
      <c r="HK1436" s="50">
        <v>-194.84</v>
      </c>
    </row>
    <row r="1437" spans="1:219" x14ac:dyDescent="0.25">
      <c r="A1437" s="127">
        <v>44697</v>
      </c>
      <c r="B1437" s="24" t="s">
        <v>38</v>
      </c>
      <c r="C1437" s="21">
        <f t="shared" si="26"/>
        <v>-237.41</v>
      </c>
      <c r="CQ1437" s="42">
        <f>-33.34-34.72</f>
        <v>-68.06</v>
      </c>
      <c r="CS1437" s="74">
        <v>-32.43</v>
      </c>
      <c r="CW1437" s="42">
        <f>-35.58-34.57</f>
        <v>-70.150000000000006</v>
      </c>
      <c r="CY1437" s="106">
        <f>-32.22-34.55</f>
        <v>-66.77</v>
      </c>
    </row>
    <row r="1438" spans="1:219" x14ac:dyDescent="0.25">
      <c r="A1438" s="127">
        <v>44698</v>
      </c>
      <c r="B1438" s="24" t="s">
        <v>37</v>
      </c>
      <c r="C1438" s="21">
        <f t="shared" si="26"/>
        <v>-192.02</v>
      </c>
      <c r="GL1438" s="42">
        <v>-62.16</v>
      </c>
      <c r="HK1438" s="50">
        <v>-129.86000000000001</v>
      </c>
    </row>
    <row r="1439" spans="1:219" x14ac:dyDescent="0.25">
      <c r="A1439" s="127">
        <v>44698</v>
      </c>
      <c r="B1439" s="24" t="s">
        <v>38</v>
      </c>
      <c r="C1439" s="21">
        <f t="shared" si="26"/>
        <v>507.03</v>
      </c>
      <c r="Y1439" s="69">
        <v>67.290000000000006</v>
      </c>
      <c r="AB1439" s="69">
        <v>33.82</v>
      </c>
      <c r="AQ1439" s="69">
        <v>33.94</v>
      </c>
      <c r="AV1439" s="69">
        <v>68.385000000000005</v>
      </c>
      <c r="BB1439" s="69">
        <v>100.74</v>
      </c>
      <c r="BH1439" s="69">
        <v>101.955</v>
      </c>
      <c r="BN1439" s="69">
        <v>67.094999999999999</v>
      </c>
      <c r="BT1439" s="69">
        <v>33.805</v>
      </c>
    </row>
    <row r="1440" spans="1:219" x14ac:dyDescent="0.25">
      <c r="A1440" s="127">
        <v>44698</v>
      </c>
      <c r="B1440" s="24" t="s">
        <v>75</v>
      </c>
      <c r="C1440" s="21">
        <f t="shared" si="26"/>
        <v>-85.515000000000001</v>
      </c>
      <c r="AQ1440" s="69">
        <v>-8.49</v>
      </c>
      <c r="AU1440" s="42">
        <v>-8.59</v>
      </c>
      <c r="BB1440" s="69">
        <v>-8.41</v>
      </c>
      <c r="BH1440" s="69">
        <v>-8.4949999999999992</v>
      </c>
      <c r="BN1440" s="69">
        <v>-8.3949999999999996</v>
      </c>
      <c r="BT1440" s="69">
        <v>-8.4849999999999994</v>
      </c>
      <c r="BZ1440" s="69">
        <v>-8.8000000000000007</v>
      </c>
      <c r="CG1440" s="106">
        <v>-8.8000000000000007</v>
      </c>
      <c r="CS1440" s="74">
        <v>-8.2799999999999994</v>
      </c>
      <c r="CY1440" s="106">
        <v>-8.77</v>
      </c>
    </row>
    <row r="1441" spans="1:240" x14ac:dyDescent="0.25">
      <c r="A1441" s="127">
        <v>44698</v>
      </c>
      <c r="B1441" s="24" t="s">
        <v>27</v>
      </c>
      <c r="C1441" s="21">
        <f t="shared" si="26"/>
        <v>-25.225000000000001</v>
      </c>
      <c r="BB1441" s="69">
        <v>-8.4049999999999994</v>
      </c>
      <c r="BT1441" s="69">
        <v>-16.82</v>
      </c>
    </row>
    <row r="1442" spans="1:240" x14ac:dyDescent="0.25">
      <c r="A1442" s="127">
        <v>44698</v>
      </c>
      <c r="B1442" s="24" t="s">
        <v>33</v>
      </c>
      <c r="C1442" s="21">
        <f t="shared" si="26"/>
        <v>-8.4600000000000009</v>
      </c>
      <c r="AB1442" s="69">
        <v>-8.4600000000000009</v>
      </c>
    </row>
    <row r="1443" spans="1:240" x14ac:dyDescent="0.25">
      <c r="A1443" s="127">
        <v>44698</v>
      </c>
      <c r="B1443" s="24" t="s">
        <v>25</v>
      </c>
      <c r="C1443" s="21">
        <f t="shared" si="26"/>
        <v>-41.945</v>
      </c>
      <c r="BN1443" s="69">
        <v>-8.3849999999999998</v>
      </c>
      <c r="BT1443" s="69">
        <v>-8.5</v>
      </c>
      <c r="CQ1443" s="42">
        <v>-8.73</v>
      </c>
      <c r="CY1443" s="106">
        <v>-16.329999999999998</v>
      </c>
    </row>
    <row r="1444" spans="1:240" x14ac:dyDescent="0.25">
      <c r="A1444" s="127">
        <v>44698</v>
      </c>
      <c r="B1444" s="24" t="s">
        <v>84</v>
      </c>
      <c r="C1444" s="21">
        <f t="shared" si="26"/>
        <v>-33.685000000000002</v>
      </c>
      <c r="AE1444" s="42">
        <v>-8.35</v>
      </c>
      <c r="BB1444" s="69">
        <v>-25.335000000000001</v>
      </c>
    </row>
    <row r="1445" spans="1:240" x14ac:dyDescent="0.25">
      <c r="A1445" s="127">
        <v>44698</v>
      </c>
      <c r="B1445" s="24" t="s">
        <v>20</v>
      </c>
      <c r="C1445" s="21">
        <f t="shared" si="26"/>
        <v>-95.09</v>
      </c>
      <c r="Y1445" s="69">
        <v>-8.375</v>
      </c>
      <c r="BB1445" s="69">
        <v>-8.4</v>
      </c>
      <c r="BH1445" s="69">
        <v>-16.975000000000001</v>
      </c>
      <c r="BN1445" s="69">
        <v>-16.77</v>
      </c>
      <c r="BS1445" s="42">
        <v>-8.77</v>
      </c>
      <c r="BZ1445" s="69">
        <v>-8.65</v>
      </c>
      <c r="CW1445" s="42">
        <v>-8.0500000000000007</v>
      </c>
      <c r="GV1445" s="42">
        <v>-19.100000000000001</v>
      </c>
    </row>
    <row r="1446" spans="1:240" x14ac:dyDescent="0.25">
      <c r="A1446" s="127">
        <v>44698</v>
      </c>
      <c r="B1446" s="24" t="s">
        <v>81</v>
      </c>
      <c r="C1446" s="21">
        <f t="shared" si="26"/>
        <v>-63.43</v>
      </c>
      <c r="AU1446" s="42">
        <v>-8.4499999999999993</v>
      </c>
      <c r="BZ1446" s="69">
        <v>-8.5500000000000007</v>
      </c>
      <c r="CE1446" s="42">
        <v>-6.65</v>
      </c>
      <c r="CG1446" s="106">
        <f>-6.75-9.03</f>
        <v>-15.78</v>
      </c>
      <c r="CS1446" s="74">
        <f>-7.98-7.44</f>
        <v>-15.42</v>
      </c>
      <c r="DC1446" s="42">
        <v>-8.58</v>
      </c>
    </row>
    <row r="1447" spans="1:240" x14ac:dyDescent="0.25">
      <c r="A1447" s="127">
        <v>44698</v>
      </c>
      <c r="B1447" s="24" t="s">
        <v>68</v>
      </c>
      <c r="C1447" s="21">
        <f t="shared" si="26"/>
        <v>-33.545000000000002</v>
      </c>
      <c r="BN1447" s="69">
        <v>-33.545000000000002</v>
      </c>
    </row>
    <row r="1448" spans="1:240" x14ac:dyDescent="0.25">
      <c r="A1448" s="127">
        <v>44698</v>
      </c>
      <c r="B1448" s="24" t="s">
        <v>31</v>
      </c>
      <c r="C1448" s="21">
        <f t="shared" si="26"/>
        <v>-18.21</v>
      </c>
      <c r="GV1448" s="42">
        <v>-9.4499999999999993</v>
      </c>
      <c r="IF1448" s="50">
        <v>-8.76</v>
      </c>
    </row>
    <row r="1449" spans="1:240" x14ac:dyDescent="0.25">
      <c r="A1449" s="127">
        <v>44698</v>
      </c>
      <c r="B1449" s="24" t="s">
        <v>100</v>
      </c>
      <c r="C1449" s="21">
        <f t="shared" si="26"/>
        <v>-8.75</v>
      </c>
      <c r="BU1449" s="106">
        <v>-8.75</v>
      </c>
    </row>
    <row r="1450" spans="1:240" x14ac:dyDescent="0.25">
      <c r="A1450" s="127">
        <v>44699</v>
      </c>
      <c r="B1450" s="24" t="s">
        <v>80</v>
      </c>
      <c r="C1450" s="21">
        <f t="shared" si="26"/>
        <v>-8.75</v>
      </c>
      <c r="BU1450" s="106">
        <v>-8.75</v>
      </c>
    </row>
    <row r="1451" spans="1:240" x14ac:dyDescent="0.25">
      <c r="A1451" s="127">
        <v>44699</v>
      </c>
      <c r="B1451" s="24" t="s">
        <v>15</v>
      </c>
      <c r="C1451" s="21">
        <f t="shared" si="26"/>
        <v>-123.42</v>
      </c>
      <c r="AU1451" s="42">
        <v>-16.27</v>
      </c>
      <c r="DC1451" s="42">
        <f>-33.98-34.56</f>
        <v>-68.540000000000006</v>
      </c>
      <c r="DS1451" s="42">
        <v>-16.989999999999998</v>
      </c>
      <c r="FX1451" s="34">
        <v>-21.62</v>
      </c>
    </row>
    <row r="1452" spans="1:240" x14ac:dyDescent="0.25">
      <c r="A1452" s="127">
        <v>44699</v>
      </c>
      <c r="B1452" s="24" t="s">
        <v>20</v>
      </c>
      <c r="C1452" s="21">
        <f t="shared" si="26"/>
        <v>-17.309999999999999</v>
      </c>
      <c r="AQ1452" s="69">
        <v>-8.49</v>
      </c>
      <c r="CG1452" s="106">
        <v>-8.82</v>
      </c>
    </row>
    <row r="1453" spans="1:240" x14ac:dyDescent="0.25">
      <c r="A1453" s="127">
        <v>44699</v>
      </c>
      <c r="B1453" s="24" t="s">
        <v>94</v>
      </c>
      <c r="C1453" s="21">
        <f t="shared" si="26"/>
        <v>-59.344999999999999</v>
      </c>
      <c r="EK1453" s="69">
        <v>-59.344999999999999</v>
      </c>
    </row>
    <row r="1454" spans="1:240" x14ac:dyDescent="0.25">
      <c r="A1454" s="127">
        <v>44700</v>
      </c>
      <c r="B1454" s="24" t="s">
        <v>15</v>
      </c>
      <c r="C1454" s="21">
        <f t="shared" si="26"/>
        <v>-16.73</v>
      </c>
      <c r="BB1454" s="69">
        <v>-16.73</v>
      </c>
    </row>
    <row r="1455" spans="1:240" x14ac:dyDescent="0.25">
      <c r="A1455" s="127">
        <v>44700</v>
      </c>
      <c r="B1455" s="24" t="s">
        <v>59</v>
      </c>
      <c r="C1455" s="21">
        <f t="shared" si="26"/>
        <v>-16.34</v>
      </c>
      <c r="CC1455" s="126">
        <v>-7.77</v>
      </c>
      <c r="DC1455" s="42">
        <v>-8.57</v>
      </c>
    </row>
    <row r="1456" spans="1:240" x14ac:dyDescent="0.25">
      <c r="A1456" s="127">
        <v>44700</v>
      </c>
      <c r="B1456" s="24" t="s">
        <v>37</v>
      </c>
      <c r="C1456" s="21">
        <f t="shared" si="26"/>
        <v>-58.914999999999999</v>
      </c>
      <c r="Y1456" s="69">
        <v>-58.914999999999999</v>
      </c>
    </row>
    <row r="1457" spans="1:257" s="137" customFormat="1" x14ac:dyDescent="0.25">
      <c r="A1457" s="134">
        <v>44701</v>
      </c>
      <c r="B1457" s="135" t="s">
        <v>126</v>
      </c>
      <c r="C1457" s="136">
        <f t="shared" ref="C1457:C1520" si="27">SUM(D1457:JT1457)</f>
        <v>700.95</v>
      </c>
      <c r="D1457" s="386">
        <v>206.86</v>
      </c>
      <c r="E1457" s="386">
        <v>154.18</v>
      </c>
      <c r="F1457" s="145"/>
      <c r="G1457" s="187"/>
      <c r="J1457" s="187"/>
      <c r="K1457" s="139"/>
      <c r="L1457" s="69">
        <v>33.6</v>
      </c>
      <c r="M1457" s="92"/>
      <c r="N1457" s="42"/>
      <c r="O1457" s="375">
        <v>-7.4999999999999997E-2</v>
      </c>
      <c r="P1457" s="106"/>
      <c r="Q1457" s="140"/>
      <c r="R1457" s="115"/>
      <c r="S1457" s="74"/>
      <c r="T1457" s="139"/>
      <c r="U1457" s="69">
        <v>-0.11</v>
      </c>
      <c r="V1457" s="74"/>
      <c r="W1457" s="163"/>
      <c r="X1457" s="42"/>
      <c r="Y1457" s="69"/>
      <c r="Z1457" s="79"/>
      <c r="AA1457" s="139"/>
      <c r="AB1457" s="69"/>
      <c r="AC1457" s="106"/>
      <c r="AD1457" s="138"/>
      <c r="AE1457" s="139">
        <v>298.48</v>
      </c>
      <c r="AF1457" s="140"/>
      <c r="AG1457" s="106"/>
      <c r="AH1457" s="140"/>
      <c r="AI1457" s="126"/>
      <c r="AJ1457" s="163"/>
      <c r="AK1457" s="243"/>
      <c r="AL1457" s="139"/>
      <c r="AM1457" s="69"/>
      <c r="AN1457" s="106"/>
      <c r="AO1457" s="46"/>
      <c r="AP1457" s="139"/>
      <c r="AQ1457" s="69"/>
      <c r="AR1457" s="106"/>
      <c r="AS1457" s="140"/>
      <c r="AT1457" s="138"/>
      <c r="AU1457" s="139"/>
      <c r="AV1457" s="69"/>
      <c r="AW1457" s="106"/>
      <c r="AX1457" s="183"/>
      <c r="AY1457" s="126"/>
      <c r="AZ1457" s="182"/>
      <c r="BA1457" s="42"/>
      <c r="BB1457" s="69"/>
      <c r="BC1457" s="106"/>
      <c r="BD1457" s="140"/>
      <c r="BE1457" s="140"/>
      <c r="BF1457" s="182"/>
      <c r="BG1457" s="185"/>
      <c r="BH1457" s="69"/>
      <c r="BI1457" s="106"/>
      <c r="BJ1457" s="140"/>
      <c r="BK1457" s="140"/>
      <c r="BL1457" s="182"/>
      <c r="BM1457" s="88">
        <v>34</v>
      </c>
      <c r="BN1457" s="69"/>
      <c r="BO1457" s="106"/>
      <c r="BP1457" s="140"/>
      <c r="BQ1457" s="126"/>
      <c r="BR1457" s="182"/>
      <c r="BS1457" s="139"/>
      <c r="BT1457" s="69"/>
      <c r="BU1457" s="106"/>
      <c r="BV1457" s="140"/>
      <c r="BW1457" s="126"/>
      <c r="BX1457" s="182"/>
      <c r="BY1457" s="42"/>
      <c r="BZ1457" s="69"/>
      <c r="CA1457" s="106"/>
      <c r="CB1457" s="140"/>
      <c r="CC1457" s="140"/>
      <c r="CD1457" s="182"/>
      <c r="CE1457" s="42"/>
      <c r="CF1457" s="69"/>
      <c r="CG1457" s="106">
        <v>-11.43</v>
      </c>
      <c r="CH1457" s="140"/>
      <c r="CI1457" s="140"/>
      <c r="CJ1457" s="182"/>
      <c r="CK1457" s="42">
        <v>34.93</v>
      </c>
      <c r="CL1457" s="69"/>
      <c r="CM1457" s="106"/>
      <c r="CN1457" s="140"/>
      <c r="CO1457" s="126"/>
      <c r="CP1457" s="182"/>
      <c r="CQ1457" s="139">
        <v>-34.200000000000003</v>
      </c>
      <c r="CR1457" s="69"/>
      <c r="CS1457" s="74"/>
      <c r="CT1457" s="140"/>
      <c r="CU1457" s="126"/>
      <c r="CV1457" s="138"/>
      <c r="CW1457" s="42">
        <v>8.0500000000000007</v>
      </c>
      <c r="CX1457" s="69"/>
      <c r="CY1457" s="106">
        <v>-8.0500000000000007</v>
      </c>
      <c r="CZ1457" s="121"/>
      <c r="DA1457" s="126"/>
      <c r="DB1457" s="138"/>
      <c r="DC1457" s="139"/>
      <c r="DD1457" s="69"/>
      <c r="DE1457" s="74"/>
      <c r="DF1457" s="140"/>
      <c r="DG1457" s="126"/>
      <c r="DH1457" s="138"/>
      <c r="DI1457" s="139"/>
      <c r="DJ1457" s="69"/>
      <c r="DK1457" s="106"/>
      <c r="DL1457" s="121"/>
      <c r="DM1457" s="46"/>
      <c r="DN1457" s="139">
        <v>0.35</v>
      </c>
      <c r="DO1457" s="375"/>
      <c r="DP1457" s="74"/>
      <c r="DQ1457" s="140"/>
      <c r="DR1457" s="46"/>
      <c r="DS1457" s="42"/>
      <c r="DT1457" s="69"/>
      <c r="DU1457" s="106"/>
      <c r="DV1457" s="140"/>
      <c r="DW1457" s="126"/>
      <c r="DX1457" s="115"/>
      <c r="DY1457" s="42"/>
      <c r="DZ1457" s="69"/>
      <c r="EA1457" s="74"/>
      <c r="EB1457" s="140"/>
      <c r="EC1457" s="126"/>
      <c r="ED1457" s="115"/>
      <c r="EE1457" s="139"/>
      <c r="EF1457" s="183"/>
      <c r="EG1457" s="74"/>
      <c r="EH1457" s="194"/>
      <c r="EI1457" s="150"/>
      <c r="EJ1457" s="139"/>
      <c r="EK1457" s="69"/>
      <c r="EL1457" s="106"/>
      <c r="EM1457" s="150"/>
      <c r="EN1457" s="185"/>
      <c r="EO1457" s="69"/>
      <c r="EP1457" s="140"/>
      <c r="EQ1457" s="46"/>
      <c r="ER1457" s="42"/>
      <c r="ES1457" s="140"/>
      <c r="ET1457" s="106"/>
      <c r="EU1457" s="126"/>
      <c r="EW1457" s="139"/>
      <c r="EX1457" s="185"/>
      <c r="EY1457" s="139"/>
      <c r="EZ1457" s="138"/>
      <c r="FA1457" s="42"/>
      <c r="FB1457" s="140">
        <v>0.03</v>
      </c>
      <c r="FC1457" s="140"/>
      <c r="FD1457" s="126"/>
      <c r="FE1457" s="170"/>
      <c r="FF1457" s="139"/>
      <c r="FG1457" s="140"/>
      <c r="FH1457" s="184"/>
      <c r="FI1457" s="139"/>
      <c r="FJ1457" s="140">
        <v>6.5000000000000002E-2</v>
      </c>
      <c r="FK1457" s="140"/>
      <c r="FL1457" s="138"/>
      <c r="FM1457" s="42"/>
      <c r="FN1457" s="150"/>
      <c r="FO1457" s="210"/>
      <c r="FP1457" s="210"/>
      <c r="FQ1457" s="139"/>
      <c r="FR1457" s="140"/>
      <c r="FS1457" s="183"/>
      <c r="FT1457" s="138"/>
      <c r="FU1457" s="139"/>
      <c r="FV1457" s="140"/>
      <c r="FW1457" s="150"/>
      <c r="FX1457" s="34"/>
      <c r="FY1457" s="126"/>
      <c r="FZ1457" s="184"/>
      <c r="GA1457" s="139"/>
      <c r="GB1457" s="140"/>
      <c r="GC1457" s="157"/>
      <c r="GD1457" s="138"/>
      <c r="GE1457" s="139"/>
      <c r="GF1457" s="138"/>
      <c r="GG1457" s="187"/>
      <c r="GH1457" s="106"/>
      <c r="GI1457" s="251"/>
      <c r="GJ1457" s="204"/>
      <c r="GK1457" s="79"/>
      <c r="GL1457" s="139"/>
      <c r="GM1457" s="138"/>
      <c r="GO1457" s="110"/>
      <c r="GP1457" s="139"/>
      <c r="GQ1457" s="92"/>
      <c r="GS1457" s="110"/>
      <c r="GT1457" s="187"/>
      <c r="GU1457" s="110"/>
      <c r="GV1457" s="139"/>
      <c r="GW1457" s="184"/>
      <c r="GX1457" s="183"/>
      <c r="GY1457" s="139"/>
      <c r="GZ1457" s="106"/>
      <c r="HA1457" s="138"/>
      <c r="HB1457" s="277"/>
      <c r="HC1457" s="139"/>
      <c r="HD1457" s="92"/>
      <c r="HE1457" s="139"/>
      <c r="HF1457" s="92"/>
      <c r="HG1457" s="139"/>
      <c r="HH1457" s="106"/>
      <c r="HI1457" s="182"/>
      <c r="HJ1457" s="138"/>
      <c r="HL1457" s="139"/>
      <c r="HM1457" s="106"/>
      <c r="HN1457" s="115"/>
      <c r="HO1457" s="139"/>
      <c r="HP1457" s="184"/>
      <c r="HQ1457" s="139"/>
      <c r="HR1457" s="92"/>
      <c r="HU1457" s="42"/>
      <c r="HV1457" s="92"/>
      <c r="HW1457" s="185">
        <v>-7.64</v>
      </c>
      <c r="HX1457" s="138"/>
      <c r="HY1457" s="38"/>
      <c r="HZ1457" s="139">
        <v>-8.09</v>
      </c>
      <c r="IA1457" s="79"/>
      <c r="IB1457" s="42"/>
      <c r="IC1457" s="184"/>
      <c r="ID1457" s="185"/>
      <c r="IE1457" s="79"/>
      <c r="IH1457" s="139"/>
      <c r="II1457" s="283"/>
      <c r="IJ1457" s="268"/>
      <c r="IK1457" s="262"/>
      <c r="IL1457" s="262"/>
      <c r="IM1457" s="50"/>
      <c r="IN1457" s="42"/>
      <c r="IO1457" s="182"/>
      <c r="IP1457" s="262"/>
      <c r="IQ1457" s="262"/>
      <c r="IR1457" s="262"/>
      <c r="IS1457" s="262"/>
      <c r="IT1457" s="262"/>
      <c r="IU1457" s="262"/>
      <c r="IV1457" s="378"/>
      <c r="IW1457" s="262"/>
    </row>
    <row r="1458" spans="1:257" x14ac:dyDescent="0.25">
      <c r="A1458" s="127">
        <v>44701</v>
      </c>
      <c r="B1458" s="24" t="s">
        <v>125</v>
      </c>
      <c r="C1458" s="21">
        <f t="shared" si="27"/>
        <v>-66.385000000000005</v>
      </c>
      <c r="BH1458" s="69">
        <v>-8.5150000000000006</v>
      </c>
      <c r="BM1458" s="88">
        <v>-8.43</v>
      </c>
      <c r="CQ1458" s="42">
        <f>-8.72-8.72</f>
        <v>-17.440000000000001</v>
      </c>
      <c r="CS1458" s="74">
        <v>-32</v>
      </c>
    </row>
    <row r="1459" spans="1:257" x14ac:dyDescent="0.25">
      <c r="A1459" s="127">
        <v>44701</v>
      </c>
      <c r="B1459" s="24" t="s">
        <v>127</v>
      </c>
      <c r="C1459" s="21">
        <f t="shared" si="27"/>
        <v>-8.58</v>
      </c>
      <c r="DC1459" s="42">
        <v>-8.58</v>
      </c>
    </row>
    <row r="1460" spans="1:257" x14ac:dyDescent="0.25">
      <c r="A1460" s="127">
        <v>44701</v>
      </c>
      <c r="B1460" s="24" t="s">
        <v>14</v>
      </c>
      <c r="C1460" s="21">
        <f t="shared" si="27"/>
        <v>-171.785</v>
      </c>
      <c r="AE1460" s="42">
        <v>-8.39</v>
      </c>
      <c r="AL1460" s="42">
        <v>-17.739999999999998</v>
      </c>
      <c r="AP1460" s="42">
        <v>-8.57</v>
      </c>
      <c r="AQ1460" s="69">
        <f>-8.49-8.47</f>
        <v>-16.96</v>
      </c>
      <c r="AV1460" s="69">
        <v>-17.100000000000001</v>
      </c>
      <c r="BH1460" s="69">
        <v>-16.95</v>
      </c>
      <c r="BU1460" s="106">
        <v>-17.5</v>
      </c>
      <c r="DJ1460" s="69">
        <v>-8.4749999999999996</v>
      </c>
      <c r="DL1460" s="121">
        <f>-8.39-8.61-7.78</f>
        <v>-24.78</v>
      </c>
      <c r="DS1460" s="42">
        <v>-35.32</v>
      </c>
    </row>
    <row r="1461" spans="1:257" x14ac:dyDescent="0.25">
      <c r="A1461" s="127">
        <v>44701</v>
      </c>
      <c r="B1461" s="24" t="s">
        <v>20</v>
      </c>
      <c r="C1461" s="21">
        <f t="shared" si="27"/>
        <v>-37.6</v>
      </c>
      <c r="GV1461" s="42">
        <v>-37.6</v>
      </c>
    </row>
    <row r="1462" spans="1:257" x14ac:dyDescent="0.25">
      <c r="A1462" s="127">
        <v>44701</v>
      </c>
      <c r="B1462" s="24" t="s">
        <v>25</v>
      </c>
      <c r="C1462" s="21">
        <f t="shared" si="27"/>
        <v>-59.22</v>
      </c>
      <c r="CK1462" s="42">
        <v>-17.45</v>
      </c>
      <c r="CQ1462" s="42">
        <v>-17.37</v>
      </c>
      <c r="CS1462" s="74">
        <v>-7.43</v>
      </c>
      <c r="CT1462" s="121">
        <f>-8.7-8.27</f>
        <v>-16.97</v>
      </c>
    </row>
    <row r="1463" spans="1:257" x14ac:dyDescent="0.25">
      <c r="A1463" s="127">
        <v>44704</v>
      </c>
      <c r="B1463" s="24" t="s">
        <v>59</v>
      </c>
      <c r="C1463" s="21">
        <f t="shared" si="27"/>
        <v>-1.75</v>
      </c>
      <c r="AE1463" s="42">
        <v>-1.75</v>
      </c>
    </row>
    <row r="1464" spans="1:257" x14ac:dyDescent="0.25">
      <c r="A1464" s="127">
        <v>44705</v>
      </c>
      <c r="B1464" s="24" t="s">
        <v>20</v>
      </c>
      <c r="C1464" s="21">
        <f t="shared" si="27"/>
        <v>-24.59</v>
      </c>
      <c r="AV1464" s="69">
        <v>-8.5500000000000007</v>
      </c>
      <c r="BB1464" s="69">
        <v>-8.32</v>
      </c>
      <c r="CC1464" s="126">
        <v>-7.72</v>
      </c>
    </row>
    <row r="1465" spans="1:257" x14ac:dyDescent="0.25">
      <c r="A1465" s="127">
        <v>44705</v>
      </c>
      <c r="B1465" s="24" t="s">
        <v>79</v>
      </c>
      <c r="C1465" s="21">
        <f t="shared" si="27"/>
        <v>-25.164999999999999</v>
      </c>
      <c r="BB1465" s="69">
        <v>-8.3650000000000002</v>
      </c>
      <c r="BH1465" s="69">
        <v>-8.4600000000000009</v>
      </c>
      <c r="CC1465" s="126">
        <v>-8.34</v>
      </c>
    </row>
    <row r="1466" spans="1:257" x14ac:dyDescent="0.25">
      <c r="A1466" s="127">
        <v>44705</v>
      </c>
      <c r="B1466" s="24" t="s">
        <v>25</v>
      </c>
      <c r="C1466" s="21">
        <f t="shared" si="27"/>
        <v>-41.95</v>
      </c>
      <c r="BH1466" s="69">
        <v>-8.52</v>
      </c>
      <c r="BM1466" s="88">
        <v>-8.56</v>
      </c>
      <c r="CC1466" s="126">
        <v>-7.92</v>
      </c>
      <c r="CG1466" s="106">
        <v>-8.84</v>
      </c>
      <c r="CT1466" s="121">
        <v>-8.11</v>
      </c>
    </row>
    <row r="1467" spans="1:257" x14ac:dyDescent="0.25">
      <c r="A1467" s="127">
        <v>44705</v>
      </c>
      <c r="B1467" s="24" t="s">
        <v>27</v>
      </c>
      <c r="C1467" s="21">
        <f t="shared" si="27"/>
        <v>-42.92</v>
      </c>
      <c r="AL1467" s="42">
        <v>-8.89</v>
      </c>
      <c r="BH1467" s="69">
        <v>-17.02</v>
      </c>
      <c r="BM1467" s="88">
        <v>-17.010000000000002</v>
      </c>
    </row>
    <row r="1468" spans="1:257" x14ac:dyDescent="0.25">
      <c r="A1468" s="127">
        <v>44705</v>
      </c>
      <c r="B1468" s="24" t="s">
        <v>28</v>
      </c>
      <c r="C1468" s="21">
        <f t="shared" si="27"/>
        <v>-18.09</v>
      </c>
      <c r="AL1468" s="42">
        <v>-8.89</v>
      </c>
      <c r="AT1468" s="46">
        <v>-9.1999999999999993</v>
      </c>
    </row>
    <row r="1469" spans="1:257" x14ac:dyDescent="0.25">
      <c r="A1469" s="127">
        <v>44705</v>
      </c>
      <c r="B1469" s="24" t="s">
        <v>127</v>
      </c>
      <c r="C1469" s="21">
        <f t="shared" si="27"/>
        <v>-44.1</v>
      </c>
      <c r="CE1469" s="42">
        <v>-17.5</v>
      </c>
      <c r="CT1469" s="121">
        <v>-26.6</v>
      </c>
    </row>
    <row r="1470" spans="1:257" x14ac:dyDescent="0.25">
      <c r="A1470" s="127">
        <v>44705</v>
      </c>
      <c r="B1470" s="24" t="s">
        <v>68</v>
      </c>
      <c r="C1470" s="21">
        <f t="shared" si="27"/>
        <v>-34.164999999999999</v>
      </c>
      <c r="AV1470" s="69">
        <v>-8.5649999999999995</v>
      </c>
      <c r="BH1470" s="69">
        <v>-17.02</v>
      </c>
      <c r="CW1470" s="42">
        <v>-8.58</v>
      </c>
    </row>
    <row r="1471" spans="1:257" x14ac:dyDescent="0.25">
      <c r="A1471" s="127">
        <v>44705</v>
      </c>
      <c r="B1471" s="24" t="s">
        <v>57</v>
      </c>
      <c r="C1471" s="21">
        <f t="shared" si="27"/>
        <v>-42.744999999999997</v>
      </c>
      <c r="BB1471" s="69">
        <v>-16.774999999999999</v>
      </c>
      <c r="CK1471" s="42">
        <v>-8.75</v>
      </c>
      <c r="CT1471" s="121">
        <v>-8.06</v>
      </c>
      <c r="CW1471" s="42">
        <v>-9.16</v>
      </c>
    </row>
    <row r="1472" spans="1:257" x14ac:dyDescent="0.25">
      <c r="A1472" s="127">
        <v>44706</v>
      </c>
      <c r="B1472" s="24" t="s">
        <v>26</v>
      </c>
      <c r="C1472" s="21">
        <f t="shared" si="27"/>
        <v>-8.65</v>
      </c>
      <c r="O1472" s="375">
        <v>-8.65</v>
      </c>
    </row>
    <row r="1473" spans="1:239" x14ac:dyDescent="0.25">
      <c r="A1473" s="127">
        <v>44706</v>
      </c>
      <c r="B1473" s="24" t="s">
        <v>15</v>
      </c>
      <c r="C1473" s="21">
        <f t="shared" si="27"/>
        <v>-70</v>
      </c>
      <c r="DN1473" s="42">
        <v>-70</v>
      </c>
    </row>
    <row r="1474" spans="1:239" x14ac:dyDescent="0.25">
      <c r="A1474" s="127">
        <v>44706</v>
      </c>
      <c r="B1474" s="24" t="s">
        <v>38</v>
      </c>
      <c r="C1474" s="21">
        <f t="shared" si="27"/>
        <v>339.92</v>
      </c>
      <c r="Y1474" s="69">
        <v>136.375</v>
      </c>
      <c r="AB1474" s="69">
        <v>101.77500000000001</v>
      </c>
      <c r="AQ1474" s="69">
        <v>101.77</v>
      </c>
    </row>
    <row r="1475" spans="1:239" x14ac:dyDescent="0.25">
      <c r="A1475" s="127">
        <v>44707</v>
      </c>
      <c r="B1475" s="24" t="s">
        <v>113</v>
      </c>
      <c r="C1475" s="21">
        <f t="shared" si="27"/>
        <v>576.9</v>
      </c>
      <c r="S1475" s="74">
        <v>20.52</v>
      </c>
      <c r="V1475" s="74">
        <v>89.65</v>
      </c>
      <c r="AN1475" s="106">
        <v>66</v>
      </c>
      <c r="DU1475" s="106">
        <v>89.3</v>
      </c>
      <c r="EL1475" s="106">
        <v>45.39</v>
      </c>
      <c r="EZ1475" s="92">
        <v>31.75</v>
      </c>
      <c r="GB1475" s="106">
        <v>40.65</v>
      </c>
      <c r="GM1475" s="92">
        <v>8.77</v>
      </c>
      <c r="GQ1475" s="92">
        <v>60.35</v>
      </c>
      <c r="GS1475" s="110">
        <v>44.49</v>
      </c>
      <c r="HP1475" s="92">
        <v>32.47</v>
      </c>
      <c r="IE1475" s="79">
        <v>47.56</v>
      </c>
    </row>
    <row r="1476" spans="1:239" x14ac:dyDescent="0.25">
      <c r="A1476" s="127">
        <v>44707</v>
      </c>
      <c r="B1476" s="24" t="s">
        <v>113</v>
      </c>
      <c r="C1476" s="21">
        <f t="shared" si="27"/>
        <v>224.6</v>
      </c>
      <c r="AN1476" s="106">
        <v>30.8</v>
      </c>
      <c r="AR1476" s="106">
        <v>72.650000000000006</v>
      </c>
      <c r="AW1476" s="106">
        <v>59</v>
      </c>
      <c r="BO1476" s="106">
        <v>62.15</v>
      </c>
    </row>
    <row r="1477" spans="1:239" x14ac:dyDescent="0.25">
      <c r="A1477" s="127">
        <v>44707</v>
      </c>
      <c r="B1477" s="29" t="s">
        <v>15</v>
      </c>
      <c r="C1477" s="21">
        <f t="shared" si="27"/>
        <v>-41.42</v>
      </c>
      <c r="BO1477" s="106">
        <v>-7.85</v>
      </c>
      <c r="DB1477" s="115">
        <v>-33.57</v>
      </c>
    </row>
    <row r="1478" spans="1:239" x14ac:dyDescent="0.25">
      <c r="A1478" s="127">
        <v>44707</v>
      </c>
      <c r="B1478" s="29" t="s">
        <v>78</v>
      </c>
      <c r="C1478" s="21">
        <f t="shared" si="27"/>
        <v>-8.44</v>
      </c>
      <c r="CG1478" s="106">
        <v>-8.44</v>
      </c>
    </row>
    <row r="1479" spans="1:239" x14ac:dyDescent="0.25">
      <c r="A1479" s="127">
        <v>44707</v>
      </c>
      <c r="B1479" s="29" t="s">
        <v>44</v>
      </c>
      <c r="C1479" s="21">
        <f t="shared" si="27"/>
        <v>-60.35</v>
      </c>
      <c r="GQ1479" s="92">
        <v>-60.35</v>
      </c>
    </row>
    <row r="1480" spans="1:239" x14ac:dyDescent="0.25">
      <c r="A1480" s="127">
        <v>44707</v>
      </c>
      <c r="B1480" s="29" t="s">
        <v>59</v>
      </c>
      <c r="C1480" s="21">
        <f t="shared" si="27"/>
        <v>-1.1000000000000001</v>
      </c>
      <c r="AQ1480" s="69">
        <v>-1.1000000000000001</v>
      </c>
    </row>
    <row r="1481" spans="1:239" x14ac:dyDescent="0.25">
      <c r="A1481" s="127">
        <v>44708</v>
      </c>
      <c r="B1481" s="24" t="s">
        <v>32</v>
      </c>
      <c r="C1481" s="21">
        <f t="shared" si="27"/>
        <v>-31.05</v>
      </c>
      <c r="BO1481" s="106">
        <v>-31.05</v>
      </c>
    </row>
    <row r="1482" spans="1:239" x14ac:dyDescent="0.25">
      <c r="A1482" s="127">
        <v>44708</v>
      </c>
      <c r="B1482" s="24" t="s">
        <v>127</v>
      </c>
      <c r="C1482" s="21">
        <f t="shared" si="27"/>
        <v>-7.8</v>
      </c>
      <c r="BO1482" s="106">
        <v>-7.8</v>
      </c>
    </row>
    <row r="1483" spans="1:239" x14ac:dyDescent="0.25">
      <c r="A1483" s="127">
        <v>44711</v>
      </c>
      <c r="B1483" s="24" t="s">
        <v>130</v>
      </c>
      <c r="C1483" s="21">
        <f t="shared" si="27"/>
        <v>-10.15</v>
      </c>
      <c r="BH1483" s="69">
        <v>-1.36</v>
      </c>
      <c r="CE1483" s="42">
        <v>-8.7899999999999991</v>
      </c>
    </row>
    <row r="1484" spans="1:239" x14ac:dyDescent="0.25">
      <c r="A1484" s="127">
        <v>44711</v>
      </c>
      <c r="B1484" s="24" t="s">
        <v>2</v>
      </c>
      <c r="C1484" s="21">
        <f t="shared" si="27"/>
        <v>10560.52</v>
      </c>
      <c r="AU1484" s="42">
        <v>498.27</v>
      </c>
      <c r="BA1484" s="42">
        <v>501.93</v>
      </c>
      <c r="BG1484" s="42">
        <v>505.54</v>
      </c>
      <c r="BM1484" s="88">
        <v>501.24</v>
      </c>
      <c r="BS1484" s="42">
        <v>521.67999999999995</v>
      </c>
      <c r="BY1484" s="42">
        <v>522.36</v>
      </c>
      <c r="CE1484" s="42">
        <v>531.01</v>
      </c>
      <c r="CK1484" s="42">
        <v>511.88</v>
      </c>
      <c r="CQ1484" s="42">
        <v>525.53</v>
      </c>
      <c r="CW1484" s="42">
        <v>534.92999999999995</v>
      </c>
      <c r="DC1484" s="42">
        <v>502.21</v>
      </c>
      <c r="DI1484" s="42">
        <v>525.58000000000004</v>
      </c>
      <c r="DN1484" s="42">
        <v>512.38</v>
      </c>
      <c r="DS1484" s="42">
        <v>521.66999999999996</v>
      </c>
      <c r="DY1484" s="42">
        <v>526.44000000000005</v>
      </c>
      <c r="GP1484" s="42">
        <v>335.1</v>
      </c>
      <c r="GY1484" s="42">
        <v>364.1</v>
      </c>
      <c r="HE1484" s="42">
        <v>326.95</v>
      </c>
      <c r="HL1484" s="42">
        <v>500.25</v>
      </c>
      <c r="HO1484" s="42">
        <v>500.94</v>
      </c>
      <c r="HQ1484" s="42">
        <v>297.73</v>
      </c>
      <c r="HU1484" s="42">
        <v>492.8</v>
      </c>
    </row>
    <row r="1485" spans="1:239" x14ac:dyDescent="0.25">
      <c r="A1485" s="127">
        <v>44711</v>
      </c>
      <c r="B1485" s="24" t="s">
        <v>72</v>
      </c>
      <c r="C1485" s="21">
        <f t="shared" si="27"/>
        <v>-35.15</v>
      </c>
      <c r="DN1485" s="42">
        <v>-35.15</v>
      </c>
    </row>
    <row r="1486" spans="1:239" x14ac:dyDescent="0.25">
      <c r="A1486" s="127">
        <v>44711</v>
      </c>
      <c r="B1486" s="24" t="s">
        <v>131</v>
      </c>
      <c r="C1486" s="21">
        <f t="shared" si="27"/>
        <v>-91.89</v>
      </c>
      <c r="HL1486" s="42">
        <v>-91.89</v>
      </c>
    </row>
    <row r="1487" spans="1:239" x14ac:dyDescent="0.25">
      <c r="A1487" s="127">
        <v>44711</v>
      </c>
      <c r="B1487" s="24" t="s">
        <v>32</v>
      </c>
      <c r="C1487" s="21">
        <f t="shared" si="27"/>
        <v>-406.77499999999998</v>
      </c>
      <c r="Y1487" s="69">
        <v>-8.7349999999999994</v>
      </c>
      <c r="AR1487" s="106">
        <v>-28.95</v>
      </c>
      <c r="AU1487" s="42">
        <v>-32.979999999999997</v>
      </c>
      <c r="BA1487" s="42">
        <v>-32.89</v>
      </c>
      <c r="BG1487" s="42">
        <v>-66.64</v>
      </c>
      <c r="BM1487" s="88">
        <v>-87.04</v>
      </c>
      <c r="BS1487" s="42">
        <v>-69.62</v>
      </c>
      <c r="BY1487" s="42">
        <v>-53.36</v>
      </c>
      <c r="CE1487" s="42">
        <v>-26.56</v>
      </c>
    </row>
    <row r="1488" spans="1:239" x14ac:dyDescent="0.25">
      <c r="A1488" s="127">
        <v>44711</v>
      </c>
      <c r="B1488" s="24" t="s">
        <v>15</v>
      </c>
      <c r="C1488" s="21">
        <f t="shared" si="27"/>
        <v>-16.55</v>
      </c>
      <c r="CK1488" s="42">
        <v>-16.55</v>
      </c>
    </row>
    <row r="1489" spans="1:229" x14ac:dyDescent="0.25">
      <c r="A1489" s="127">
        <v>44712</v>
      </c>
      <c r="B1489" s="24" t="s">
        <v>75</v>
      </c>
      <c r="C1489" s="21">
        <f t="shared" si="27"/>
        <v>-17.34</v>
      </c>
      <c r="AU1489" s="42">
        <v>-8.2200000000000006</v>
      </c>
      <c r="BS1489" s="42">
        <v>-9.1199999999999992</v>
      </c>
    </row>
    <row r="1490" spans="1:229" x14ac:dyDescent="0.25">
      <c r="A1490" s="127">
        <v>44712</v>
      </c>
      <c r="B1490" s="24" t="s">
        <v>37</v>
      </c>
      <c r="C1490" s="21">
        <f t="shared" si="27"/>
        <v>-226.29</v>
      </c>
      <c r="HL1490" s="42">
        <v>-129.11000000000001</v>
      </c>
      <c r="HO1490" s="42">
        <v>-31.99</v>
      </c>
      <c r="HP1490" s="92">
        <f>-7.8-12.36-12.31</f>
        <v>-32.47</v>
      </c>
      <c r="HU1490" s="42">
        <v>-32.72</v>
      </c>
    </row>
    <row r="1491" spans="1:229" x14ac:dyDescent="0.25">
      <c r="A1491" s="127">
        <v>44712</v>
      </c>
      <c r="B1491" s="24" t="s">
        <v>20</v>
      </c>
      <c r="C1491" s="21">
        <f t="shared" si="27"/>
        <v>-104.12</v>
      </c>
      <c r="BA1491" s="42">
        <v>-8.42</v>
      </c>
      <c r="BG1491" s="42">
        <v>-8.8000000000000007</v>
      </c>
      <c r="BS1491" s="42">
        <v>-8.67</v>
      </c>
      <c r="CK1491" s="42">
        <v>-7.83</v>
      </c>
      <c r="GY1491" s="42">
        <v>-70.400000000000006</v>
      </c>
    </row>
    <row r="1492" spans="1:229" x14ac:dyDescent="0.25">
      <c r="A1492" s="127">
        <v>44712</v>
      </c>
      <c r="B1492" s="24" t="s">
        <v>40</v>
      </c>
      <c r="C1492" s="21">
        <f t="shared" si="27"/>
        <v>-445.98</v>
      </c>
      <c r="HL1492" s="42">
        <v>-219.2</v>
      </c>
      <c r="HU1492" s="42">
        <v>-226.78</v>
      </c>
    </row>
    <row r="1493" spans="1:229" x14ac:dyDescent="0.25">
      <c r="A1493" s="127">
        <v>44712</v>
      </c>
      <c r="B1493" s="24" t="s">
        <v>33</v>
      </c>
      <c r="C1493" s="21">
        <f t="shared" si="27"/>
        <v>-34.21</v>
      </c>
      <c r="BG1493" s="42">
        <v>-8.51</v>
      </c>
      <c r="BO1493" s="106">
        <v>-7.6</v>
      </c>
      <c r="BS1493" s="42">
        <v>-9.31</v>
      </c>
      <c r="BY1493" s="42">
        <v>-8.7899999999999991</v>
      </c>
    </row>
    <row r="1494" spans="1:229" x14ac:dyDescent="0.25">
      <c r="A1494" s="127">
        <v>44712</v>
      </c>
      <c r="B1494" s="24" t="s">
        <v>25</v>
      </c>
      <c r="C1494" s="21">
        <f t="shared" si="27"/>
        <v>-35.1</v>
      </c>
      <c r="CK1494" s="42">
        <v>-17.34</v>
      </c>
      <c r="CW1494" s="42">
        <v>-17.760000000000002</v>
      </c>
    </row>
    <row r="1495" spans="1:229" x14ac:dyDescent="0.25">
      <c r="A1495" s="127">
        <v>44712</v>
      </c>
      <c r="B1495" s="24" t="s">
        <v>84</v>
      </c>
      <c r="C1495" s="21">
        <f t="shared" si="27"/>
        <v>-8.4700000000000006</v>
      </c>
      <c r="AB1495" s="69">
        <v>-8.4700000000000006</v>
      </c>
    </row>
    <row r="1496" spans="1:229" x14ac:dyDescent="0.25">
      <c r="A1496" s="127">
        <v>44712</v>
      </c>
      <c r="B1496" s="24" t="s">
        <v>94</v>
      </c>
      <c r="C1496" s="21">
        <f t="shared" si="27"/>
        <v>-73.95</v>
      </c>
      <c r="CK1496" s="42">
        <v>-50.3</v>
      </c>
      <c r="EL1496" s="106">
        <v>-23.65</v>
      </c>
    </row>
    <row r="1497" spans="1:229" x14ac:dyDescent="0.25">
      <c r="A1497" s="127">
        <v>44712</v>
      </c>
      <c r="B1497" s="24" t="s">
        <v>127</v>
      </c>
      <c r="C1497" s="21">
        <f t="shared" si="27"/>
        <v>-25.6</v>
      </c>
      <c r="BG1497" s="42">
        <v>-8.18</v>
      </c>
      <c r="BM1497" s="88">
        <v>-8.7100000000000009</v>
      </c>
      <c r="BS1497" s="42">
        <v>-8.7100000000000009</v>
      </c>
    </row>
    <row r="1498" spans="1:229" x14ac:dyDescent="0.25">
      <c r="A1498" s="127">
        <v>44712</v>
      </c>
      <c r="B1498" s="24" t="s">
        <v>17</v>
      </c>
      <c r="C1498" s="21">
        <f t="shared" si="27"/>
        <v>-509.92</v>
      </c>
      <c r="BG1498" s="42">
        <v>-68.27</v>
      </c>
      <c r="BM1498" s="88">
        <v>-62.05</v>
      </c>
      <c r="BS1498" s="42">
        <v>-69.28</v>
      </c>
      <c r="BY1498" s="42">
        <v>-67.05</v>
      </c>
      <c r="CE1498" s="42">
        <v>-35.29</v>
      </c>
      <c r="CK1498" s="42">
        <v>-67.790000000000006</v>
      </c>
      <c r="CQ1498" s="42">
        <v>-35.32</v>
      </c>
      <c r="CW1498" s="42">
        <v>-36.01</v>
      </c>
      <c r="DC1498" s="42">
        <v>-33.950000000000003</v>
      </c>
      <c r="DI1498" s="42">
        <v>-34.909999999999997</v>
      </c>
    </row>
    <row r="1499" spans="1:229" x14ac:dyDescent="0.25">
      <c r="A1499" s="127">
        <v>44712</v>
      </c>
      <c r="B1499" s="24" t="s">
        <v>44</v>
      </c>
      <c r="C1499" s="21">
        <f t="shared" si="27"/>
        <v>-185.52</v>
      </c>
      <c r="GP1499" s="42">
        <v>-103.4</v>
      </c>
      <c r="GY1499" s="42">
        <v>-66</v>
      </c>
      <c r="HE1499" s="42">
        <v>-16.12</v>
      </c>
    </row>
    <row r="1500" spans="1:229" x14ac:dyDescent="0.25">
      <c r="A1500" s="127">
        <v>44712</v>
      </c>
      <c r="B1500" s="24" t="s">
        <v>88</v>
      </c>
      <c r="C1500" s="21">
        <f t="shared" si="27"/>
        <v>0</v>
      </c>
    </row>
    <row r="1501" spans="1:229" x14ac:dyDescent="0.25">
      <c r="A1501" s="127">
        <v>44712</v>
      </c>
      <c r="B1501" s="24" t="s">
        <v>29</v>
      </c>
      <c r="C1501" s="21">
        <f t="shared" si="27"/>
        <v>-42.16</v>
      </c>
      <c r="BA1501" s="42">
        <v>-8.5</v>
      </c>
      <c r="BG1501" s="42">
        <v>-8.3000000000000007</v>
      </c>
      <c r="BO1501" s="106">
        <v>-7.85</v>
      </c>
      <c r="BS1501" s="42">
        <v>-8.65</v>
      </c>
      <c r="CE1501" s="42">
        <v>-8.86</v>
      </c>
    </row>
    <row r="1502" spans="1:229" x14ac:dyDescent="0.25">
      <c r="A1502" s="127">
        <v>44712</v>
      </c>
      <c r="B1502" s="24" t="s">
        <v>121</v>
      </c>
      <c r="C1502" s="21">
        <f t="shared" si="27"/>
        <v>-184.48500000000001</v>
      </c>
      <c r="AE1502" s="42">
        <v>-8.42</v>
      </c>
      <c r="AL1502" s="42">
        <v>-8.8000000000000007</v>
      </c>
      <c r="AU1502" s="42">
        <v>-8.33</v>
      </c>
      <c r="BM1502" s="88">
        <v>-8.7100000000000009</v>
      </c>
      <c r="CE1502" s="42">
        <v>-17.2</v>
      </c>
      <c r="CK1502" s="42">
        <v>-17.329999999999998</v>
      </c>
      <c r="CQ1502" s="42">
        <v>-17.57</v>
      </c>
      <c r="CW1502" s="42">
        <v>-32.700000000000003</v>
      </c>
      <c r="DC1502" s="42">
        <v>-17.07</v>
      </c>
      <c r="DN1502" s="42">
        <v>-17.27</v>
      </c>
      <c r="DU1502" s="106">
        <v>-14.2</v>
      </c>
      <c r="DZ1502" s="69">
        <v>-16.885000000000002</v>
      </c>
    </row>
    <row r="1503" spans="1:229" x14ac:dyDescent="0.25">
      <c r="A1503" s="127">
        <v>44712</v>
      </c>
      <c r="B1503" s="24" t="s">
        <v>118</v>
      </c>
      <c r="C1503" s="21">
        <f t="shared" si="27"/>
        <v>-144.77000000000001</v>
      </c>
      <c r="AE1503" s="42">
        <v>-6.71</v>
      </c>
      <c r="AU1503" s="42">
        <v>-8.18</v>
      </c>
      <c r="BA1503" s="42">
        <v>-17.010000000000002</v>
      </c>
      <c r="BG1503" s="42">
        <v>-16.63</v>
      </c>
      <c r="BM1503" s="88">
        <v>-25.8</v>
      </c>
      <c r="BS1503" s="42">
        <v>-8.6999999999999993</v>
      </c>
      <c r="CE1503" s="42">
        <v>-26.64</v>
      </c>
      <c r="CQ1503" s="42">
        <v>-17.62</v>
      </c>
      <c r="CW1503" s="42">
        <v>-17.48</v>
      </c>
    </row>
    <row r="1504" spans="1:229" x14ac:dyDescent="0.25">
      <c r="A1504" s="127">
        <v>44712</v>
      </c>
      <c r="B1504" s="24" t="s">
        <v>132</v>
      </c>
      <c r="C1504" s="21">
        <f t="shared" si="27"/>
        <v>-203.34</v>
      </c>
      <c r="AU1504" s="42">
        <v>-33.03</v>
      </c>
      <c r="BA1504" s="42">
        <v>-33.61</v>
      </c>
      <c r="BG1504" s="42">
        <v>-32.76</v>
      </c>
      <c r="BM1504" s="88">
        <v>-34.020000000000003</v>
      </c>
      <c r="BS1504" s="42">
        <v>-34.58</v>
      </c>
      <c r="BY1504" s="42">
        <v>-35.340000000000003</v>
      </c>
    </row>
    <row r="1505" spans="1:240" x14ac:dyDescent="0.25">
      <c r="A1505" s="127">
        <v>44712</v>
      </c>
      <c r="B1505" s="24" t="s">
        <v>22</v>
      </c>
      <c r="C1505" s="21">
        <f t="shared" si="27"/>
        <v>-405.55</v>
      </c>
      <c r="BA1505" s="42">
        <v>-33.369999999999997</v>
      </c>
      <c r="BM1505" s="88">
        <v>-64.67</v>
      </c>
      <c r="BS1505" s="42">
        <v>-35.03</v>
      </c>
      <c r="BY1505" s="42">
        <v>-35.36</v>
      </c>
      <c r="CQ1505" s="42">
        <v>-35.130000000000003</v>
      </c>
      <c r="DC1505" s="42">
        <v>-33.880000000000003</v>
      </c>
      <c r="DI1505" s="42">
        <v>-70.02</v>
      </c>
      <c r="DN1505" s="42">
        <v>-34.229999999999997</v>
      </c>
      <c r="DS1505" s="42">
        <v>-35.119999999999997</v>
      </c>
      <c r="DU1505" s="106">
        <v>-28.74</v>
      </c>
    </row>
    <row r="1506" spans="1:240" x14ac:dyDescent="0.25">
      <c r="A1506" s="127">
        <v>44712</v>
      </c>
      <c r="B1506" s="24" t="s">
        <v>133</v>
      </c>
      <c r="C1506" s="21">
        <f t="shared" si="27"/>
        <v>-167.84</v>
      </c>
      <c r="AN1506" s="106">
        <v>-30.8</v>
      </c>
      <c r="AU1506" s="42">
        <v>-33.03</v>
      </c>
      <c r="BA1506" s="42">
        <v>-34.19</v>
      </c>
      <c r="BS1506" s="42">
        <v>-34.65</v>
      </c>
      <c r="BY1506" s="42">
        <v>-35.17</v>
      </c>
    </row>
    <row r="1507" spans="1:240" x14ac:dyDescent="0.25">
      <c r="A1507" s="127">
        <v>44712</v>
      </c>
      <c r="B1507" s="24" t="s">
        <v>80</v>
      </c>
      <c r="C1507" s="21">
        <f t="shared" si="27"/>
        <v>-66</v>
      </c>
      <c r="AN1507" s="106">
        <v>-66</v>
      </c>
    </row>
    <row r="1508" spans="1:240" x14ac:dyDescent="0.25">
      <c r="A1508" s="127">
        <v>44712</v>
      </c>
      <c r="B1508" s="24" t="s">
        <v>15</v>
      </c>
      <c r="C1508" s="21">
        <f t="shared" si="27"/>
        <v>-904.3</v>
      </c>
      <c r="AU1508" s="42">
        <v>-65.97</v>
      </c>
      <c r="BA1508" s="42">
        <v>-67.67</v>
      </c>
      <c r="BG1508" s="42">
        <v>-32.07</v>
      </c>
      <c r="BM1508" s="88">
        <v>-36.950000000000003</v>
      </c>
      <c r="BS1508" s="42">
        <v>-34.520000000000003</v>
      </c>
      <c r="BY1508" s="42">
        <v>-35.200000000000003</v>
      </c>
      <c r="CE1508" s="42">
        <v>-69.72</v>
      </c>
      <c r="CK1508" s="42">
        <v>-70.680000000000007</v>
      </c>
      <c r="CQ1508" s="42">
        <v>-70.37</v>
      </c>
      <c r="CW1508" s="42">
        <v>-71.89</v>
      </c>
      <c r="DC1508" s="42">
        <v>-68.69</v>
      </c>
      <c r="DI1508" s="42">
        <v>-70.11</v>
      </c>
      <c r="DN1508" s="42">
        <v>-67.87</v>
      </c>
      <c r="DS1508" s="42">
        <v>-63.06</v>
      </c>
      <c r="DY1508" s="42">
        <v>-70.819999999999993</v>
      </c>
      <c r="GS1508" s="110">
        <v>-8.7100000000000009</v>
      </c>
    </row>
    <row r="1509" spans="1:240" x14ac:dyDescent="0.25">
      <c r="A1509" s="127">
        <v>44712</v>
      </c>
      <c r="B1509" s="24" t="s">
        <v>131</v>
      </c>
      <c r="C1509" s="21">
        <f t="shared" si="27"/>
        <v>0</v>
      </c>
      <c r="HL1509" s="42">
        <v>6.86</v>
      </c>
      <c r="HQ1509" s="42">
        <v>-6.86</v>
      </c>
    </row>
    <row r="1510" spans="1:240" x14ac:dyDescent="0.25">
      <c r="A1510" s="127">
        <v>44712</v>
      </c>
      <c r="B1510" s="24" t="s">
        <v>32</v>
      </c>
      <c r="C1510" s="21">
        <f t="shared" si="27"/>
        <v>-337.94</v>
      </c>
      <c r="O1510" s="375">
        <v>-8.64</v>
      </c>
      <c r="U1510" s="69">
        <v>-8.56</v>
      </c>
      <c r="Y1510" s="69">
        <v>-8.7149999999999999</v>
      </c>
      <c r="AB1510" s="69">
        <v>-8.4350000000000005</v>
      </c>
      <c r="AE1510" s="42">
        <v>-8.4600000000000009</v>
      </c>
      <c r="AQ1510" s="69">
        <v>-15.84</v>
      </c>
      <c r="AU1510" s="42">
        <v>-25</v>
      </c>
      <c r="BA1510" s="42">
        <v>-33.04</v>
      </c>
      <c r="BG1510" s="42">
        <v>-31.6</v>
      </c>
      <c r="BM1510" s="88">
        <v>-32.83</v>
      </c>
      <c r="BS1510" s="42">
        <v>-34.700000000000003</v>
      </c>
      <c r="BY1510" s="42">
        <v>-35.270000000000003</v>
      </c>
      <c r="CE1510" s="42">
        <v>-35.56</v>
      </c>
      <c r="CK1510" s="42">
        <v>-32.86</v>
      </c>
      <c r="DS1510" s="42">
        <v>-9.27</v>
      </c>
      <c r="EE1510" s="42">
        <v>-9.16</v>
      </c>
    </row>
    <row r="1511" spans="1:240" x14ac:dyDescent="0.25">
      <c r="A1511" s="127">
        <v>44712</v>
      </c>
      <c r="B1511" s="24" t="s">
        <v>80</v>
      </c>
      <c r="C1511" s="21">
        <f t="shared" si="27"/>
        <v>0</v>
      </c>
    </row>
    <row r="1512" spans="1:240" x14ac:dyDescent="0.25">
      <c r="A1512" s="127">
        <v>44712</v>
      </c>
      <c r="B1512" s="24" t="s">
        <v>80</v>
      </c>
      <c r="C1512" s="21">
        <f t="shared" si="27"/>
        <v>-33.875</v>
      </c>
      <c r="AQ1512" s="69">
        <v>-33.875</v>
      </c>
    </row>
    <row r="1513" spans="1:240" x14ac:dyDescent="0.25">
      <c r="A1513" s="127">
        <v>44712</v>
      </c>
      <c r="B1513" s="24" t="s">
        <v>106</v>
      </c>
      <c r="C1513" s="21">
        <f t="shared" si="27"/>
        <v>-450.84</v>
      </c>
      <c r="FA1513" s="42">
        <v>-115.95</v>
      </c>
      <c r="FB1513" s="69">
        <v>-85.96</v>
      </c>
      <c r="HE1513" s="42">
        <v>-65.47</v>
      </c>
      <c r="HO1513" s="42">
        <v>-60.14</v>
      </c>
      <c r="HY1513" s="38">
        <v>-61.64</v>
      </c>
      <c r="IF1513" s="50">
        <v>-61.68</v>
      </c>
    </row>
    <row r="1514" spans="1:240" x14ac:dyDescent="0.25">
      <c r="A1514" s="127">
        <v>44712</v>
      </c>
      <c r="B1514" s="24" t="s">
        <v>29</v>
      </c>
      <c r="C1514" s="21">
        <f t="shared" si="27"/>
        <v>-8.2200000000000006</v>
      </c>
      <c r="AU1514" s="42">
        <v>-8.2200000000000006</v>
      </c>
    </row>
    <row r="1515" spans="1:240" x14ac:dyDescent="0.25">
      <c r="A1515" s="127">
        <v>44712</v>
      </c>
      <c r="B1515" s="24" t="s">
        <v>127</v>
      </c>
      <c r="C1515" s="21">
        <f t="shared" si="27"/>
        <v>-16.64</v>
      </c>
      <c r="BA1515" s="42">
        <v>-8.33</v>
      </c>
      <c r="BG1515" s="42">
        <v>-8.31</v>
      </c>
    </row>
    <row r="1516" spans="1:240" x14ac:dyDescent="0.25">
      <c r="A1516" s="127">
        <v>44712</v>
      </c>
      <c r="B1516" s="24" t="s">
        <v>95</v>
      </c>
      <c r="C1516" s="21">
        <f t="shared" si="27"/>
        <v>-141.65</v>
      </c>
      <c r="DY1516" s="42">
        <v>-141.65</v>
      </c>
    </row>
    <row r="1517" spans="1:240" x14ac:dyDescent="0.25">
      <c r="A1517" s="127">
        <v>44713</v>
      </c>
      <c r="B1517" s="24" t="s">
        <v>39</v>
      </c>
      <c r="C1517" s="21">
        <f t="shared" si="27"/>
        <v>-69.155000000000001</v>
      </c>
      <c r="AB1517" s="69">
        <v>-8.4550000000000001</v>
      </c>
      <c r="AL1517" s="42">
        <v>-8.8000000000000007</v>
      </c>
      <c r="BG1517" s="42">
        <v>-8.18</v>
      </c>
      <c r="BM1517" s="88">
        <v>-8.81</v>
      </c>
      <c r="BS1517" s="42">
        <v>-8.64</v>
      </c>
      <c r="BY1517" s="42">
        <v>-8.75</v>
      </c>
      <c r="CE1517" s="42">
        <v>-8.93</v>
      </c>
      <c r="CK1517" s="42">
        <v>-8.59</v>
      </c>
    </row>
    <row r="1518" spans="1:240" x14ac:dyDescent="0.25">
      <c r="A1518" s="127">
        <v>44714</v>
      </c>
      <c r="B1518" s="24" t="s">
        <v>50</v>
      </c>
      <c r="C1518" s="21">
        <f t="shared" si="27"/>
        <v>-304.94</v>
      </c>
      <c r="GL1518" s="42">
        <v>-15.42</v>
      </c>
      <c r="GM1518" s="92">
        <v>-8.77</v>
      </c>
      <c r="GS1518" s="110">
        <v>-28.75</v>
      </c>
      <c r="GY1518" s="42">
        <v>-142.4</v>
      </c>
      <c r="HC1518" s="42">
        <v>-62.04</v>
      </c>
      <c r="IE1518" s="79">
        <v>-47.56</v>
      </c>
    </row>
    <row r="1519" spans="1:240" x14ac:dyDescent="0.25">
      <c r="A1519" s="127">
        <v>44714</v>
      </c>
      <c r="B1519" s="24" t="s">
        <v>15</v>
      </c>
      <c r="C1519" s="21">
        <f t="shared" si="27"/>
        <v>-68.19</v>
      </c>
      <c r="BG1519" s="42">
        <v>-17.66</v>
      </c>
      <c r="BM1519" s="88">
        <v>-17.239999999999998</v>
      </c>
      <c r="BS1519" s="42">
        <v>-17.36</v>
      </c>
      <c r="BY1519" s="42">
        <v>-15.93</v>
      </c>
    </row>
    <row r="1520" spans="1:240" x14ac:dyDescent="0.25">
      <c r="A1520" s="127">
        <v>44715</v>
      </c>
      <c r="B1520" s="24" t="s">
        <v>57</v>
      </c>
      <c r="C1520" s="21">
        <f t="shared" si="27"/>
        <v>-170.58</v>
      </c>
      <c r="AQ1520" s="69">
        <v>-16.98</v>
      </c>
      <c r="AU1520" s="42">
        <v>-24.55</v>
      </c>
      <c r="BA1520" s="42">
        <v>-25.33</v>
      </c>
      <c r="BG1520" s="42">
        <v>-26.38</v>
      </c>
      <c r="BM1520" s="88">
        <v>-25.39</v>
      </c>
      <c r="BS1520" s="42">
        <v>-8.7200000000000006</v>
      </c>
      <c r="BY1520" s="42">
        <v>-8.75</v>
      </c>
      <c r="DI1520" s="42">
        <v>-17.36</v>
      </c>
      <c r="DN1520" s="42">
        <v>-17.12</v>
      </c>
    </row>
    <row r="1521" spans="1:228" x14ac:dyDescent="0.25">
      <c r="A1521" s="127">
        <v>44715</v>
      </c>
      <c r="B1521" s="24" t="s">
        <v>20</v>
      </c>
      <c r="C1521" s="21">
        <f t="shared" ref="C1521:C1584" si="28">SUM(D1521:JT1521)</f>
        <v>-26.44</v>
      </c>
      <c r="BM1521" s="88">
        <v>-8.81</v>
      </c>
      <c r="BS1521" s="42">
        <v>-8.6999999999999993</v>
      </c>
      <c r="CE1521" s="42">
        <v>-8.93</v>
      </c>
    </row>
    <row r="1522" spans="1:228" x14ac:dyDescent="0.25">
      <c r="A1522" s="127">
        <v>44715</v>
      </c>
      <c r="B1522" s="24" t="s">
        <v>127</v>
      </c>
      <c r="C1522" s="21">
        <f t="shared" si="28"/>
        <v>-5.8</v>
      </c>
      <c r="S1522" s="74">
        <v>-5.8</v>
      </c>
    </row>
    <row r="1523" spans="1:228" x14ac:dyDescent="0.25">
      <c r="A1523" s="127">
        <v>44716</v>
      </c>
      <c r="B1523" s="24" t="s">
        <v>15</v>
      </c>
      <c r="C1523" s="21">
        <f t="shared" si="28"/>
        <v>-533.16</v>
      </c>
      <c r="AU1523" s="42">
        <v>-67.62</v>
      </c>
      <c r="BA1523" s="42">
        <v>-32.86</v>
      </c>
      <c r="BM1523" s="88">
        <v>-9.1999999999999993</v>
      </c>
      <c r="BS1523" s="42">
        <v>-8.67</v>
      </c>
      <c r="BY1523" s="42">
        <v>-35.19</v>
      </c>
      <c r="CE1523" s="42">
        <v>-69.97</v>
      </c>
      <c r="CK1523" s="42">
        <v>-32</v>
      </c>
      <c r="CQ1523" s="42">
        <v>-35.049999999999997</v>
      </c>
      <c r="CW1523" s="42">
        <v>-36.03</v>
      </c>
      <c r="DC1523" s="42">
        <v>-34.11</v>
      </c>
      <c r="DI1523" s="42">
        <v>-34.32</v>
      </c>
      <c r="DN1523" s="42">
        <v>-68.760000000000005</v>
      </c>
      <c r="DS1523" s="42">
        <v>-69.38</v>
      </c>
    </row>
    <row r="1524" spans="1:228" x14ac:dyDescent="0.25">
      <c r="A1524" s="127">
        <v>44716</v>
      </c>
      <c r="B1524" s="24" t="s">
        <v>78</v>
      </c>
      <c r="C1524" s="21">
        <f t="shared" si="28"/>
        <v>-128.6</v>
      </c>
      <c r="AE1524" s="42">
        <v>-7.54</v>
      </c>
      <c r="AR1524" s="106">
        <v>-17.100000000000001</v>
      </c>
      <c r="BA1524" s="42">
        <v>-25.16</v>
      </c>
      <c r="BG1524" s="42">
        <v>-17.47</v>
      </c>
      <c r="BS1524" s="42">
        <v>-17.34</v>
      </c>
      <c r="BY1524" s="42">
        <v>-26.39</v>
      </c>
      <c r="CE1524" s="42">
        <v>-8.92</v>
      </c>
      <c r="CK1524" s="42">
        <v>-8.68</v>
      </c>
    </row>
    <row r="1525" spans="1:228" x14ac:dyDescent="0.25">
      <c r="A1525" s="127">
        <v>44716</v>
      </c>
      <c r="B1525" s="24" t="s">
        <v>59</v>
      </c>
      <c r="C1525" s="21">
        <f t="shared" si="28"/>
        <v>-1.52</v>
      </c>
      <c r="BG1525" s="42">
        <v>-1.52</v>
      </c>
    </row>
    <row r="1526" spans="1:228" x14ac:dyDescent="0.25">
      <c r="A1526" s="127">
        <v>44718</v>
      </c>
      <c r="B1526" s="24" t="s">
        <v>59</v>
      </c>
      <c r="C1526" s="21">
        <f t="shared" si="28"/>
        <v>-15.6</v>
      </c>
      <c r="BY1526" s="42">
        <v>-6.44</v>
      </c>
      <c r="CC1526" s="126">
        <v>-9.16</v>
      </c>
    </row>
    <row r="1527" spans="1:228" x14ac:dyDescent="0.25">
      <c r="A1527" s="127">
        <v>44718</v>
      </c>
      <c r="B1527" s="24" t="s">
        <v>134</v>
      </c>
      <c r="C1527" s="21">
        <f t="shared" si="28"/>
        <v>-25.7</v>
      </c>
      <c r="E1527" s="386">
        <v>-25.7</v>
      </c>
    </row>
    <row r="1528" spans="1:228" x14ac:dyDescent="0.25">
      <c r="A1528" s="127">
        <v>44718</v>
      </c>
      <c r="B1528" s="24" t="s">
        <v>20</v>
      </c>
      <c r="C1528" s="21">
        <f t="shared" si="28"/>
        <v>-23.12</v>
      </c>
      <c r="O1528" s="375">
        <v>-8.48</v>
      </c>
      <c r="V1528" s="74">
        <v>-5.84</v>
      </c>
      <c r="BY1528" s="42">
        <v>-8.8000000000000007</v>
      </c>
    </row>
    <row r="1529" spans="1:228" x14ac:dyDescent="0.25">
      <c r="A1529" s="127">
        <v>44718</v>
      </c>
      <c r="B1529" s="24" t="s">
        <v>135</v>
      </c>
      <c r="C1529" s="21">
        <f t="shared" si="28"/>
        <v>-53.03</v>
      </c>
      <c r="BS1529" s="42">
        <v>-17.34</v>
      </c>
      <c r="CE1529" s="42">
        <v>-35.69</v>
      </c>
    </row>
    <row r="1530" spans="1:228" x14ac:dyDescent="0.25">
      <c r="A1530" s="127">
        <v>44718</v>
      </c>
      <c r="B1530" s="24" t="s">
        <v>44</v>
      </c>
      <c r="C1530" s="21">
        <f t="shared" si="28"/>
        <v>-139.22999999999999</v>
      </c>
      <c r="GP1530" s="42">
        <v>-106.4</v>
      </c>
      <c r="HE1530" s="42">
        <v>-32.83</v>
      </c>
    </row>
    <row r="1531" spans="1:228" x14ac:dyDescent="0.25">
      <c r="A1531" s="127">
        <v>44718</v>
      </c>
      <c r="B1531" s="24" t="s">
        <v>44</v>
      </c>
      <c r="C1531" s="21">
        <f t="shared" si="28"/>
        <v>0</v>
      </c>
    </row>
    <row r="1532" spans="1:228" x14ac:dyDescent="0.25">
      <c r="A1532" s="127">
        <v>44719</v>
      </c>
      <c r="B1532" s="24" t="s">
        <v>113</v>
      </c>
      <c r="C1532" s="21">
        <f t="shared" si="28"/>
        <v>434.84</v>
      </c>
      <c r="FC1532" s="106">
        <v>30.84</v>
      </c>
      <c r="GQ1532" s="92">
        <v>40.950000000000003</v>
      </c>
      <c r="GU1532" s="110">
        <v>84.45</v>
      </c>
      <c r="HT1532" s="84">
        <v>278.60000000000002</v>
      </c>
    </row>
    <row r="1533" spans="1:228" x14ac:dyDescent="0.25">
      <c r="A1533" s="127">
        <v>44719</v>
      </c>
      <c r="B1533" s="24" t="s">
        <v>17</v>
      </c>
      <c r="C1533" s="21">
        <f t="shared" si="28"/>
        <v>-86</v>
      </c>
      <c r="Y1533" s="69">
        <v>-8.7100000000000009</v>
      </c>
      <c r="AU1533" s="42">
        <v>-16.52</v>
      </c>
      <c r="BY1533" s="42">
        <v>-26.55</v>
      </c>
      <c r="CE1533" s="42">
        <v>-17.41</v>
      </c>
      <c r="CK1533" s="42">
        <v>-16.809999999999999</v>
      </c>
    </row>
    <row r="1534" spans="1:228" x14ac:dyDescent="0.25">
      <c r="A1534" s="127">
        <v>44719</v>
      </c>
      <c r="B1534" s="24" t="s">
        <v>25</v>
      </c>
      <c r="C1534" s="21">
        <f t="shared" si="28"/>
        <v>-69.66</v>
      </c>
      <c r="AU1534" s="42">
        <v>-8.32</v>
      </c>
      <c r="BA1534" s="42">
        <v>-8.43</v>
      </c>
      <c r="BG1534" s="42">
        <v>-17.47</v>
      </c>
      <c r="BM1534" s="88">
        <v>-8.4499999999999993</v>
      </c>
      <c r="BS1534" s="42">
        <v>-8.6199999999999992</v>
      </c>
      <c r="BY1534" s="42">
        <v>-9.4499999999999993</v>
      </c>
      <c r="CE1534" s="42">
        <v>-8.92</v>
      </c>
    </row>
    <row r="1535" spans="1:228" x14ac:dyDescent="0.25">
      <c r="A1535" s="127">
        <v>44719</v>
      </c>
      <c r="B1535" s="24" t="s">
        <v>27</v>
      </c>
      <c r="C1535" s="21">
        <f t="shared" si="28"/>
        <v>-19.850000000000001</v>
      </c>
      <c r="AL1535" s="42">
        <v>-4.6399999999999997</v>
      </c>
      <c r="AR1535" s="106">
        <v>-6.95</v>
      </c>
      <c r="BA1535" s="42">
        <v>-8.26</v>
      </c>
    </row>
    <row r="1536" spans="1:228" x14ac:dyDescent="0.25">
      <c r="A1536" s="127">
        <v>44719</v>
      </c>
      <c r="B1536" s="24" t="s">
        <v>127</v>
      </c>
      <c r="C1536" s="21">
        <f t="shared" si="28"/>
        <v>-17.11</v>
      </c>
      <c r="AE1536" s="42">
        <v>-8.39</v>
      </c>
      <c r="BA1536" s="42">
        <v>-8.7200000000000006</v>
      </c>
    </row>
    <row r="1537" spans="1:228" x14ac:dyDescent="0.25">
      <c r="A1537" s="127">
        <v>44719</v>
      </c>
      <c r="B1537" s="24" t="s">
        <v>94</v>
      </c>
      <c r="C1537" s="21">
        <f t="shared" si="28"/>
        <v>0</v>
      </c>
    </row>
    <row r="1538" spans="1:228" x14ac:dyDescent="0.25">
      <c r="A1538" s="127">
        <v>44719</v>
      </c>
      <c r="B1538" s="24" t="s">
        <v>75</v>
      </c>
      <c r="C1538" s="21">
        <f t="shared" si="28"/>
        <v>-67.325000000000003</v>
      </c>
      <c r="U1538" s="69">
        <v>-8.5449999999999999</v>
      </c>
      <c r="Y1538" s="69">
        <v>-8.73</v>
      </c>
      <c r="AB1538" s="69">
        <v>-8.4749999999999996</v>
      </c>
      <c r="AQ1538" s="69">
        <v>-8.4949999999999992</v>
      </c>
      <c r="BA1538" s="42">
        <v>-8.36</v>
      </c>
      <c r="BG1538" s="42">
        <v>-7.58</v>
      </c>
      <c r="BM1538" s="88">
        <v>-8.4499999999999993</v>
      </c>
      <c r="BS1538" s="42">
        <v>-8.69</v>
      </c>
    </row>
    <row r="1539" spans="1:228" x14ac:dyDescent="0.25">
      <c r="A1539" s="127">
        <v>44719</v>
      </c>
      <c r="B1539" s="24" t="s">
        <v>88</v>
      </c>
      <c r="C1539" s="21">
        <f t="shared" si="28"/>
        <v>-91</v>
      </c>
      <c r="HT1539" s="84">
        <v>-91</v>
      </c>
    </row>
    <row r="1540" spans="1:228" x14ac:dyDescent="0.25">
      <c r="A1540" s="127">
        <v>44719</v>
      </c>
      <c r="B1540" s="24" t="s">
        <v>23</v>
      </c>
      <c r="C1540" s="21">
        <f t="shared" si="28"/>
        <v>-235.845</v>
      </c>
      <c r="FF1540" s="88">
        <v>-235.845</v>
      </c>
    </row>
    <row r="1541" spans="1:228" x14ac:dyDescent="0.25">
      <c r="A1541" s="127">
        <v>44719</v>
      </c>
      <c r="B1541" s="24" t="s">
        <v>15</v>
      </c>
      <c r="C1541" s="21">
        <f t="shared" si="28"/>
        <v>-29.78</v>
      </c>
      <c r="EW1541" s="88">
        <v>-8.2899999999999991</v>
      </c>
      <c r="FJ1541" s="69">
        <v>-21.49</v>
      </c>
    </row>
    <row r="1542" spans="1:228" x14ac:dyDescent="0.25">
      <c r="A1542" s="127">
        <v>44720</v>
      </c>
      <c r="B1542" s="24" t="s">
        <v>43</v>
      </c>
      <c r="C1542" s="21">
        <f t="shared" si="28"/>
        <v>-730.86</v>
      </c>
      <c r="AU1542" s="42">
        <v>-99.47</v>
      </c>
      <c r="BA1542" s="42">
        <v>-33.659999999999997</v>
      </c>
      <c r="BG1542" s="42">
        <v>-32</v>
      </c>
      <c r="CE1542" s="42">
        <v>-141.41</v>
      </c>
      <c r="CK1542" s="42">
        <v>-68.709999999999994</v>
      </c>
      <c r="CQ1542" s="42">
        <v>-70.48</v>
      </c>
      <c r="CW1542" s="42">
        <v>-71.98</v>
      </c>
      <c r="DS1542" s="42">
        <v>-68.650000000000006</v>
      </c>
      <c r="DY1542" s="42">
        <v>-108.56</v>
      </c>
      <c r="EE1542" s="42">
        <v>-35.94</v>
      </c>
    </row>
    <row r="1543" spans="1:228" x14ac:dyDescent="0.25">
      <c r="A1543" s="127">
        <v>44720</v>
      </c>
      <c r="B1543" s="24" t="s">
        <v>17</v>
      </c>
      <c r="C1543" s="21">
        <f t="shared" si="28"/>
        <v>-70.06</v>
      </c>
      <c r="DN1543" s="42">
        <v>-70.06</v>
      </c>
    </row>
    <row r="1544" spans="1:228" x14ac:dyDescent="0.25">
      <c r="A1544" s="127">
        <v>44720</v>
      </c>
      <c r="B1544" s="24" t="s">
        <v>14</v>
      </c>
      <c r="C1544" s="21">
        <f t="shared" si="28"/>
        <v>-227</v>
      </c>
      <c r="AB1544" s="69">
        <v>-8.4600000000000009</v>
      </c>
      <c r="AQ1544" s="69">
        <v>-8.4949999999999992</v>
      </c>
      <c r="AR1544" s="106">
        <f>-5.3-5.65-5.2</f>
        <v>-16.149999999999999</v>
      </c>
      <c r="BM1544" s="88">
        <v>-35.380000000000003</v>
      </c>
      <c r="BY1544" s="42">
        <v>-35.32</v>
      </c>
      <c r="CE1544" s="42">
        <v>-35.869999999999997</v>
      </c>
      <c r="CK1544" s="42">
        <v>-35.770000000000003</v>
      </c>
      <c r="CW1544" s="42">
        <v>-17.45</v>
      </c>
      <c r="DS1544" s="42">
        <v>-17.46</v>
      </c>
      <c r="DZ1544" s="69">
        <v>-16.645</v>
      </c>
    </row>
    <row r="1545" spans="1:228" x14ac:dyDescent="0.25">
      <c r="A1545" s="127">
        <v>44720</v>
      </c>
      <c r="B1545" s="24" t="s">
        <v>37</v>
      </c>
      <c r="C1545" s="21">
        <f t="shared" si="28"/>
        <v>-511.04</v>
      </c>
      <c r="HE1545" s="42">
        <v>-97.79</v>
      </c>
      <c r="HL1545" s="42">
        <v>-66.91</v>
      </c>
      <c r="HO1545" s="42">
        <v>-346.34</v>
      </c>
    </row>
    <row r="1546" spans="1:228" x14ac:dyDescent="0.25">
      <c r="A1546" s="127">
        <v>44720</v>
      </c>
      <c r="B1546" s="24" t="s">
        <v>133</v>
      </c>
      <c r="C1546" s="21">
        <f t="shared" si="28"/>
        <v>-65.33</v>
      </c>
      <c r="DC1546" s="42">
        <v>-65.33</v>
      </c>
    </row>
    <row r="1547" spans="1:228" x14ac:dyDescent="0.25">
      <c r="A1547" s="127">
        <v>44720</v>
      </c>
      <c r="B1547" s="24" t="s">
        <v>136</v>
      </c>
      <c r="C1547" s="21">
        <f t="shared" si="28"/>
        <v>-34.21</v>
      </c>
      <c r="AQ1547" s="69">
        <v>-8.49</v>
      </c>
      <c r="BA1547" s="42">
        <v>-8.42</v>
      </c>
      <c r="BG1547" s="42">
        <v>-8.75</v>
      </c>
      <c r="BM1547" s="88">
        <v>-8.5500000000000007</v>
      </c>
    </row>
    <row r="1548" spans="1:228" x14ac:dyDescent="0.25">
      <c r="A1548" s="127">
        <v>44720</v>
      </c>
      <c r="B1548" s="24" t="s">
        <v>136</v>
      </c>
      <c r="C1548" s="21">
        <f t="shared" si="28"/>
        <v>-26.39</v>
      </c>
      <c r="BY1548" s="42">
        <v>-17.649999999999999</v>
      </c>
      <c r="CK1548" s="42">
        <v>-8.74</v>
      </c>
    </row>
    <row r="1549" spans="1:228" x14ac:dyDescent="0.25">
      <c r="A1549" s="127">
        <v>44721</v>
      </c>
      <c r="B1549" s="24" t="s">
        <v>64</v>
      </c>
      <c r="C1549" s="21">
        <f t="shared" si="28"/>
        <v>40.1</v>
      </c>
      <c r="AL1549" s="42">
        <v>40.1</v>
      </c>
    </row>
    <row r="1550" spans="1:228" x14ac:dyDescent="0.25">
      <c r="A1550" s="127">
        <v>44721</v>
      </c>
      <c r="B1550" s="24" t="s">
        <v>133</v>
      </c>
      <c r="C1550" s="21">
        <f t="shared" si="28"/>
        <v>-61.05</v>
      </c>
      <c r="DI1550" s="42">
        <v>-61.05</v>
      </c>
    </row>
    <row r="1551" spans="1:228" x14ac:dyDescent="0.25">
      <c r="A1551" s="127">
        <v>44721</v>
      </c>
      <c r="B1551" s="24" t="s">
        <v>33</v>
      </c>
      <c r="C1551" s="21">
        <f t="shared" si="28"/>
        <v>-7.22</v>
      </c>
      <c r="BA1551" s="42">
        <v>-7.22</v>
      </c>
    </row>
    <row r="1552" spans="1:228" x14ac:dyDescent="0.25">
      <c r="A1552" s="127">
        <v>44722</v>
      </c>
      <c r="B1552" s="24" t="s">
        <v>127</v>
      </c>
      <c r="C1552" s="21">
        <f t="shared" si="28"/>
        <v>-8.15</v>
      </c>
      <c r="AU1552" s="42">
        <v>-8.15</v>
      </c>
    </row>
    <row r="1553" spans="1:186" x14ac:dyDescent="0.25">
      <c r="A1553" s="127">
        <v>44722</v>
      </c>
      <c r="B1553" s="24" t="s">
        <v>75</v>
      </c>
      <c r="C1553" s="21">
        <f t="shared" si="28"/>
        <v>-104.2</v>
      </c>
      <c r="AL1553" s="42">
        <v>-7.9</v>
      </c>
      <c r="AU1553" s="42">
        <v>-8.58</v>
      </c>
      <c r="BA1553" s="42">
        <v>-8.5</v>
      </c>
      <c r="BG1553" s="42">
        <v>-8.7200000000000006</v>
      </c>
      <c r="BM1553" s="88">
        <v>-9.68</v>
      </c>
      <c r="BS1553" s="42">
        <v>-8.61</v>
      </c>
      <c r="CE1553" s="42">
        <v>-8.94</v>
      </c>
      <c r="CK1553" s="42">
        <v>-8.65</v>
      </c>
      <c r="CQ1553" s="42">
        <v>-8.77</v>
      </c>
      <c r="CW1553" s="42">
        <v>-17.38</v>
      </c>
      <c r="DC1553" s="42">
        <v>-8.4700000000000006</v>
      </c>
    </row>
    <row r="1554" spans="1:186" x14ac:dyDescent="0.25">
      <c r="A1554" s="127">
        <v>44723</v>
      </c>
      <c r="B1554" s="24" t="s">
        <v>156</v>
      </c>
      <c r="C1554" s="21">
        <f t="shared" si="28"/>
        <v>0</v>
      </c>
    </row>
    <row r="1555" spans="1:186" x14ac:dyDescent="0.25">
      <c r="A1555" s="127">
        <v>44725</v>
      </c>
      <c r="B1555" s="24" t="s">
        <v>80</v>
      </c>
      <c r="C1555" s="21">
        <f t="shared" si="28"/>
        <v>-16.21</v>
      </c>
      <c r="AL1555" s="42">
        <v>-16.21</v>
      </c>
    </row>
    <row r="1556" spans="1:186" x14ac:dyDescent="0.25">
      <c r="A1556" s="127">
        <v>44725</v>
      </c>
      <c r="B1556" s="24" t="s">
        <v>15</v>
      </c>
      <c r="C1556" s="21">
        <f t="shared" si="28"/>
        <v>-33.729999999999997</v>
      </c>
      <c r="CG1556" s="106">
        <v>-33.729999999999997</v>
      </c>
    </row>
    <row r="1557" spans="1:186" x14ac:dyDescent="0.25">
      <c r="A1557" s="127">
        <v>44725</v>
      </c>
      <c r="B1557" s="24" t="s">
        <v>133</v>
      </c>
      <c r="C1557" s="21">
        <f t="shared" si="28"/>
        <v>-60.33</v>
      </c>
      <c r="BG1557" s="42">
        <v>-26.2</v>
      </c>
      <c r="CG1557" s="106">
        <v>-34.130000000000003</v>
      </c>
    </row>
    <row r="1558" spans="1:186" x14ac:dyDescent="0.25">
      <c r="A1558" s="127">
        <v>44725</v>
      </c>
      <c r="B1558" s="24" t="s">
        <v>78</v>
      </c>
      <c r="C1558" s="21">
        <f t="shared" si="28"/>
        <v>-8.74</v>
      </c>
      <c r="CK1558" s="42">
        <v>-8.74</v>
      </c>
    </row>
    <row r="1559" spans="1:186" x14ac:dyDescent="0.25">
      <c r="A1559" s="127">
        <v>44725</v>
      </c>
      <c r="B1559" s="24" t="s">
        <v>78</v>
      </c>
      <c r="C1559" s="21">
        <f t="shared" si="28"/>
        <v>0</v>
      </c>
    </row>
    <row r="1560" spans="1:186" x14ac:dyDescent="0.25">
      <c r="A1560" s="127">
        <v>44726</v>
      </c>
      <c r="B1560" s="24" t="s">
        <v>84</v>
      </c>
      <c r="C1560" s="21">
        <f t="shared" si="28"/>
        <v>-33.880000000000003</v>
      </c>
      <c r="AU1560" s="42">
        <v>-17.190000000000001</v>
      </c>
      <c r="BA1560" s="42">
        <v>-8.35</v>
      </c>
      <c r="CC1560" s="126">
        <v>-8.34</v>
      </c>
    </row>
    <row r="1561" spans="1:186" x14ac:dyDescent="0.25">
      <c r="A1561" s="127">
        <v>44726</v>
      </c>
      <c r="B1561" s="24" t="s">
        <v>26</v>
      </c>
      <c r="C1561" s="21">
        <f t="shared" si="28"/>
        <v>-173.23</v>
      </c>
      <c r="AU1561" s="42">
        <v>-8.67</v>
      </c>
      <c r="BA1561" s="42">
        <v>-8.51</v>
      </c>
      <c r="BG1561" s="42">
        <v>-8.75</v>
      </c>
      <c r="BS1561" s="42">
        <v>-8.6999999999999993</v>
      </c>
      <c r="BY1561" s="42">
        <v>-17.600000000000001</v>
      </c>
      <c r="CE1561" s="42">
        <v>-17.89</v>
      </c>
      <c r="CK1561" s="42">
        <v>-17.39</v>
      </c>
      <c r="CQ1561" s="42">
        <v>-17.64</v>
      </c>
      <c r="CW1561" s="42">
        <v>-18.010000000000002</v>
      </c>
      <c r="DN1561" s="42">
        <v>-16.05</v>
      </c>
      <c r="DS1561" s="42">
        <v>-17.350000000000001</v>
      </c>
      <c r="DY1561" s="42">
        <v>-16.670000000000002</v>
      </c>
    </row>
    <row r="1562" spans="1:186" x14ac:dyDescent="0.25">
      <c r="A1562" s="127">
        <v>44726</v>
      </c>
      <c r="B1562" s="24" t="s">
        <v>27</v>
      </c>
      <c r="C1562" s="21">
        <f t="shared" si="28"/>
        <v>-60.46</v>
      </c>
      <c r="Y1562" s="69">
        <v>-8.7349999999999994</v>
      </c>
      <c r="AQ1562" s="69">
        <v>-8.4949999999999992</v>
      </c>
      <c r="AU1562" s="42">
        <v>-8.32</v>
      </c>
      <c r="BG1562" s="42">
        <v>-17.66</v>
      </c>
      <c r="CK1562" s="42">
        <v>-8.52</v>
      </c>
      <c r="CQ1562" s="42">
        <v>-8.73</v>
      </c>
    </row>
    <row r="1563" spans="1:186" x14ac:dyDescent="0.25">
      <c r="A1563" s="127">
        <v>44726</v>
      </c>
      <c r="B1563" s="24" t="s">
        <v>75</v>
      </c>
      <c r="C1563" s="21">
        <f t="shared" si="28"/>
        <v>-26.37</v>
      </c>
      <c r="BG1563" s="42">
        <v>-8.65</v>
      </c>
      <c r="BS1563" s="42">
        <v>-8.6999999999999993</v>
      </c>
      <c r="CE1563" s="42">
        <v>-9.02</v>
      </c>
    </row>
    <row r="1564" spans="1:186" x14ac:dyDescent="0.25">
      <c r="A1564" s="127">
        <v>44727</v>
      </c>
      <c r="B1564" s="24" t="s">
        <v>80</v>
      </c>
      <c r="C1564" s="21">
        <f t="shared" si="28"/>
        <v>0</v>
      </c>
    </row>
    <row r="1565" spans="1:186" x14ac:dyDescent="0.25">
      <c r="A1565" s="127">
        <v>44727</v>
      </c>
      <c r="B1565" s="23" t="s">
        <v>15</v>
      </c>
      <c r="C1565" s="21">
        <f t="shared" si="28"/>
        <v>-8.4350000000000005</v>
      </c>
      <c r="L1565" s="69">
        <v>-8.4350000000000005</v>
      </c>
    </row>
    <row r="1566" spans="1:186" x14ac:dyDescent="0.25">
      <c r="A1566" s="127">
        <v>44728</v>
      </c>
      <c r="B1566" s="24" t="s">
        <v>50</v>
      </c>
      <c r="C1566" s="21">
        <f t="shared" si="28"/>
        <v>-101.58499999999999</v>
      </c>
      <c r="EW1566" s="88">
        <v>-101.58499999999999</v>
      </c>
    </row>
    <row r="1567" spans="1:186" x14ac:dyDescent="0.25">
      <c r="A1567" s="127">
        <v>44728</v>
      </c>
      <c r="B1567" s="24" t="s">
        <v>127</v>
      </c>
      <c r="C1567" s="21">
        <f t="shared" si="28"/>
        <v>-8.27</v>
      </c>
      <c r="AU1567" s="42">
        <v>-8.27</v>
      </c>
    </row>
    <row r="1568" spans="1:186" x14ac:dyDescent="0.25">
      <c r="A1568" s="127">
        <v>44728</v>
      </c>
      <c r="B1568" s="24" t="s">
        <v>113</v>
      </c>
      <c r="C1568" s="21">
        <f t="shared" si="28"/>
        <v>856.49</v>
      </c>
      <c r="AR1568" s="106">
        <v>102.37</v>
      </c>
      <c r="BC1568" s="106">
        <v>94.6</v>
      </c>
      <c r="BI1568" s="106">
        <v>162.35</v>
      </c>
      <c r="BO1568" s="106">
        <v>158.4</v>
      </c>
      <c r="BU1568" s="106">
        <v>154.05000000000001</v>
      </c>
      <c r="CA1568" s="106">
        <v>165.25</v>
      </c>
      <c r="GD1568" s="115">
        <v>19.47</v>
      </c>
    </row>
    <row r="1569" spans="1:223" x14ac:dyDescent="0.25">
      <c r="A1569" s="127">
        <v>44728</v>
      </c>
      <c r="B1569" s="24" t="s">
        <v>20</v>
      </c>
      <c r="C1569" s="21">
        <f t="shared" si="28"/>
        <v>-77.13</v>
      </c>
      <c r="AE1569" s="42">
        <v>-8.39</v>
      </c>
      <c r="AW1569" s="106">
        <v>-8.0500000000000007</v>
      </c>
      <c r="BA1569" s="42">
        <v>-8.85</v>
      </c>
      <c r="BG1569" s="42">
        <v>-8.83</v>
      </c>
      <c r="BO1569" s="106">
        <v>-8.15</v>
      </c>
      <c r="BS1569" s="42">
        <v>-8.6300000000000008</v>
      </c>
      <c r="CA1569" s="106">
        <v>-8.4499999999999993</v>
      </c>
      <c r="CE1569" s="42">
        <v>-8.93</v>
      </c>
      <c r="CQ1569" s="42">
        <v>-8.85</v>
      </c>
    </row>
    <row r="1570" spans="1:223" x14ac:dyDescent="0.25">
      <c r="A1570" s="127">
        <v>44728</v>
      </c>
      <c r="B1570" s="24" t="s">
        <v>84</v>
      </c>
      <c r="C1570" s="21">
        <f t="shared" si="28"/>
        <v>-59.11</v>
      </c>
      <c r="AR1570" s="106">
        <v>-8.51</v>
      </c>
      <c r="BO1570" s="106">
        <v>-16.3</v>
      </c>
      <c r="BU1570" s="106">
        <v>-34.299999999999997</v>
      </c>
    </row>
    <row r="1571" spans="1:223" x14ac:dyDescent="0.25">
      <c r="A1571" s="127">
        <v>44729</v>
      </c>
      <c r="B1571" s="24" t="s">
        <v>26</v>
      </c>
      <c r="C1571" s="21">
        <f t="shared" si="28"/>
        <v>-8.15</v>
      </c>
      <c r="BO1571" s="106">
        <v>-8.15</v>
      </c>
    </row>
    <row r="1572" spans="1:223" x14ac:dyDescent="0.25">
      <c r="A1572" s="127">
        <v>44729</v>
      </c>
      <c r="B1572" s="24" t="s">
        <v>31</v>
      </c>
      <c r="C1572" s="21">
        <f t="shared" si="28"/>
        <v>-8.5299999999999994</v>
      </c>
      <c r="U1572" s="69">
        <v>-8.5299999999999994</v>
      </c>
    </row>
    <row r="1573" spans="1:223" x14ac:dyDescent="0.25">
      <c r="A1573" s="127">
        <v>44729</v>
      </c>
      <c r="B1573" s="24" t="s">
        <v>133</v>
      </c>
      <c r="C1573" s="21">
        <f t="shared" si="28"/>
        <v>-132.1</v>
      </c>
      <c r="BC1573" s="106">
        <v>-31.05</v>
      </c>
      <c r="BI1573" s="106">
        <v>-35.85</v>
      </c>
      <c r="CA1573" s="106">
        <v>-31.96</v>
      </c>
      <c r="CG1573" s="106">
        <v>-33.24</v>
      </c>
    </row>
    <row r="1574" spans="1:223" x14ac:dyDescent="0.25">
      <c r="A1574" s="127">
        <v>44729</v>
      </c>
      <c r="B1574" s="24" t="s">
        <v>135</v>
      </c>
      <c r="C1574" s="21">
        <f t="shared" si="28"/>
        <v>-17.309999999999999</v>
      </c>
      <c r="BO1574" s="106">
        <v>-8.3000000000000007</v>
      </c>
      <c r="CE1574" s="42">
        <v>-9.01</v>
      </c>
    </row>
    <row r="1575" spans="1:223" x14ac:dyDescent="0.25">
      <c r="A1575" s="127">
        <v>44729</v>
      </c>
      <c r="B1575" s="24" t="s">
        <v>32</v>
      </c>
      <c r="C1575" s="21">
        <f t="shared" si="28"/>
        <v>-295.06</v>
      </c>
      <c r="AE1575" s="42">
        <v>-8.42</v>
      </c>
      <c r="BC1575" s="106">
        <v>-32.4</v>
      </c>
      <c r="BI1575" s="106">
        <v>-62.35</v>
      </c>
      <c r="BO1575" s="106">
        <v>-31.25</v>
      </c>
      <c r="BU1575" s="106">
        <v>-34.65</v>
      </c>
      <c r="CA1575" s="106">
        <v>-33.75</v>
      </c>
      <c r="CG1575" s="106">
        <v>-65.69</v>
      </c>
      <c r="CW1575" s="42">
        <v>-17.93</v>
      </c>
      <c r="DC1575" s="42">
        <v>-8.6199999999999992</v>
      </c>
    </row>
    <row r="1576" spans="1:223" x14ac:dyDescent="0.25">
      <c r="A1576" s="127">
        <v>44729</v>
      </c>
      <c r="B1576" s="24" t="s">
        <v>78</v>
      </c>
      <c r="C1576" s="21">
        <f t="shared" si="28"/>
        <v>0</v>
      </c>
    </row>
    <row r="1577" spans="1:223" x14ac:dyDescent="0.25">
      <c r="A1577" s="127">
        <v>44729</v>
      </c>
      <c r="B1577" s="24" t="s">
        <v>38</v>
      </c>
      <c r="C1577" s="21">
        <f t="shared" si="28"/>
        <v>-1039.49</v>
      </c>
      <c r="CQ1577" s="42">
        <v>-103.2</v>
      </c>
      <c r="CW1577" s="42">
        <v>-179.35</v>
      </c>
      <c r="CY1577" s="106">
        <v>-66.28</v>
      </c>
      <c r="DC1577" s="42">
        <v>-240.71</v>
      </c>
      <c r="DI1577" s="42">
        <v>-175.86</v>
      </c>
      <c r="DN1577" s="42">
        <v>-274.08999999999997</v>
      </c>
    </row>
    <row r="1578" spans="1:223" x14ac:dyDescent="0.25">
      <c r="A1578" s="127">
        <v>44729</v>
      </c>
      <c r="B1578" s="24" t="s">
        <v>78</v>
      </c>
      <c r="C1578" s="21">
        <f t="shared" si="28"/>
        <v>-41.75</v>
      </c>
      <c r="BC1578" s="106">
        <v>-17.149999999999999</v>
      </c>
      <c r="BI1578" s="106">
        <v>-16.100000000000001</v>
      </c>
      <c r="BO1578" s="106">
        <v>-8.5</v>
      </c>
    </row>
    <row r="1579" spans="1:223" x14ac:dyDescent="0.25">
      <c r="A1579" s="127">
        <v>44730</v>
      </c>
      <c r="B1579" s="24" t="s">
        <v>78</v>
      </c>
      <c r="C1579" s="21">
        <f t="shared" si="28"/>
        <v>-15.99</v>
      </c>
      <c r="AW1579" s="106">
        <v>-7.25</v>
      </c>
      <c r="CK1579" s="42">
        <v>-8.74</v>
      </c>
    </row>
    <row r="1580" spans="1:223" x14ac:dyDescent="0.25">
      <c r="A1580" s="127">
        <v>44730</v>
      </c>
      <c r="B1580" s="24" t="s">
        <v>111</v>
      </c>
      <c r="C1580" s="21">
        <f t="shared" si="28"/>
        <v>-34.65</v>
      </c>
      <c r="BS1580" s="42">
        <v>-17.420000000000002</v>
      </c>
      <c r="DC1580" s="42">
        <v>-17.23</v>
      </c>
    </row>
    <row r="1581" spans="1:223" x14ac:dyDescent="0.25">
      <c r="A1581" s="127">
        <v>44732</v>
      </c>
      <c r="B1581" s="24" t="s">
        <v>37</v>
      </c>
      <c r="C1581" s="21">
        <f t="shared" si="28"/>
        <v>-127.37</v>
      </c>
      <c r="HE1581" s="42">
        <v>-64.900000000000006</v>
      </c>
      <c r="HO1581" s="42">
        <v>-62.47</v>
      </c>
    </row>
    <row r="1582" spans="1:223" x14ac:dyDescent="0.25">
      <c r="A1582" s="127">
        <v>44732</v>
      </c>
      <c r="B1582" s="24" t="s">
        <v>80</v>
      </c>
      <c r="C1582" s="21">
        <f t="shared" si="28"/>
        <v>-16.95</v>
      </c>
      <c r="AR1582" s="106">
        <v>-16.95</v>
      </c>
    </row>
    <row r="1583" spans="1:223" x14ac:dyDescent="0.25">
      <c r="A1583" s="127">
        <v>44732</v>
      </c>
      <c r="B1583" s="24" t="s">
        <v>44</v>
      </c>
      <c r="C1583" s="21">
        <f t="shared" si="28"/>
        <v>-100.15</v>
      </c>
      <c r="GP1583" s="42">
        <v>-100.15</v>
      </c>
    </row>
    <row r="1584" spans="1:223" x14ac:dyDescent="0.25">
      <c r="A1584" s="127">
        <v>44732</v>
      </c>
      <c r="B1584" s="24" t="s">
        <v>133</v>
      </c>
      <c r="C1584" s="21">
        <f t="shared" si="28"/>
        <v>-94.64</v>
      </c>
      <c r="AE1584" s="42">
        <v>-16.850000000000001</v>
      </c>
      <c r="AL1584" s="42">
        <v>-7.9</v>
      </c>
      <c r="CE1584" s="42">
        <v>-17.12</v>
      </c>
      <c r="CQ1584" s="42">
        <v>-17.57</v>
      </c>
      <c r="CY1584" s="106">
        <v>-18.18</v>
      </c>
      <c r="DC1584" s="42">
        <v>-17.02</v>
      </c>
    </row>
    <row r="1585" spans="1:207" x14ac:dyDescent="0.25">
      <c r="A1585" s="127">
        <v>44732</v>
      </c>
      <c r="B1585" s="24" t="s">
        <v>12</v>
      </c>
      <c r="C1585" s="21">
        <f t="shared" ref="C1585:C1648" si="29">SUM(D1585:JT1585)</f>
        <v>-30.84</v>
      </c>
      <c r="FC1585" s="106">
        <v>-30.84</v>
      </c>
    </row>
    <row r="1586" spans="1:207" x14ac:dyDescent="0.25">
      <c r="A1586" s="127">
        <v>44732</v>
      </c>
      <c r="B1586" s="24" t="s">
        <v>68</v>
      </c>
      <c r="C1586" s="21">
        <f t="shared" si="29"/>
        <v>-35.159999999999997</v>
      </c>
      <c r="CQ1586" s="42">
        <v>-35.159999999999997</v>
      </c>
    </row>
    <row r="1587" spans="1:207" x14ac:dyDescent="0.25">
      <c r="A1587" s="127">
        <v>44733</v>
      </c>
      <c r="B1587" s="24" t="s">
        <v>37</v>
      </c>
      <c r="C1587" s="21">
        <f t="shared" si="29"/>
        <v>-34.225000000000001</v>
      </c>
      <c r="U1587" s="69">
        <v>-34.225000000000001</v>
      </c>
    </row>
    <row r="1588" spans="1:207" x14ac:dyDescent="0.25">
      <c r="A1588" s="127">
        <v>44733</v>
      </c>
      <c r="B1588" s="24" t="s">
        <v>15</v>
      </c>
      <c r="C1588" s="21">
        <f t="shared" si="29"/>
        <v>-17.434999999999999</v>
      </c>
      <c r="Y1588" s="69">
        <v>-17.434999999999999</v>
      </c>
    </row>
    <row r="1589" spans="1:207" x14ac:dyDescent="0.25">
      <c r="A1589" s="127">
        <v>44733</v>
      </c>
      <c r="B1589" s="24" t="s">
        <v>32</v>
      </c>
      <c r="C1589" s="21">
        <f t="shared" si="29"/>
        <v>-44.23</v>
      </c>
      <c r="BC1589" s="106">
        <v>-8.3000000000000007</v>
      </c>
      <c r="CW1589" s="42">
        <v>-35.93</v>
      </c>
    </row>
    <row r="1590" spans="1:207" x14ac:dyDescent="0.25">
      <c r="A1590" s="127">
        <v>44733</v>
      </c>
      <c r="B1590" s="24" t="s">
        <v>110</v>
      </c>
      <c r="C1590" s="21">
        <f t="shared" si="29"/>
        <v>-104.85</v>
      </c>
      <c r="DS1590" s="42">
        <v>-104.85</v>
      </c>
    </row>
    <row r="1591" spans="1:207" x14ac:dyDescent="0.25">
      <c r="A1591" s="127">
        <v>44733</v>
      </c>
      <c r="B1591" s="24" t="s">
        <v>20</v>
      </c>
      <c r="C1591" s="21">
        <f t="shared" si="29"/>
        <v>-104.72</v>
      </c>
      <c r="AB1591" s="69">
        <v>-8.4499999999999993</v>
      </c>
      <c r="CA1591" s="106">
        <v>-9.0500000000000007</v>
      </c>
      <c r="CE1591" s="42">
        <v>-8.57</v>
      </c>
      <c r="CQ1591" s="42">
        <v>-8.85</v>
      </c>
      <c r="GY1591" s="42">
        <v>-69.8</v>
      </c>
    </row>
    <row r="1592" spans="1:207" x14ac:dyDescent="0.25">
      <c r="A1592" s="127">
        <v>44733</v>
      </c>
      <c r="B1592" s="24" t="s">
        <v>25</v>
      </c>
      <c r="C1592" s="21">
        <f t="shared" si="29"/>
        <v>-53.68</v>
      </c>
      <c r="AB1592" s="69">
        <v>-8.48</v>
      </c>
      <c r="AW1592" s="106">
        <v>-7.1</v>
      </c>
      <c r="BC1592" s="106">
        <v>-6.55</v>
      </c>
      <c r="BI1592" s="106">
        <v>-8.25</v>
      </c>
      <c r="BO1592" s="106">
        <v>-8.4</v>
      </c>
      <c r="BU1592" s="106">
        <v>-7.85</v>
      </c>
      <c r="CA1592" s="106">
        <v>-7.05</v>
      </c>
    </row>
    <row r="1593" spans="1:207" x14ac:dyDescent="0.25">
      <c r="A1593" s="127">
        <v>44733</v>
      </c>
      <c r="B1593" s="24" t="s">
        <v>75</v>
      </c>
      <c r="C1593" s="21">
        <f t="shared" si="29"/>
        <v>-16.350000000000001</v>
      </c>
      <c r="BU1593" s="106">
        <v>-8</v>
      </c>
      <c r="CA1593" s="106">
        <v>-8.35</v>
      </c>
    </row>
    <row r="1594" spans="1:207" x14ac:dyDescent="0.25">
      <c r="A1594" s="127">
        <v>44733</v>
      </c>
      <c r="B1594" s="24" t="s">
        <v>138</v>
      </c>
      <c r="C1594" s="21">
        <f t="shared" si="29"/>
        <v>-25.09</v>
      </c>
      <c r="AB1594" s="69">
        <v>-8.48</v>
      </c>
      <c r="AL1594" s="42">
        <v>-8.0500000000000007</v>
      </c>
      <c r="AR1594" s="106">
        <v>-8.56</v>
      </c>
    </row>
    <row r="1595" spans="1:207" x14ac:dyDescent="0.25">
      <c r="A1595" s="127">
        <v>44733</v>
      </c>
      <c r="B1595" s="24" t="s">
        <v>137</v>
      </c>
      <c r="C1595" s="21">
        <f t="shared" si="29"/>
        <v>-32.18</v>
      </c>
      <c r="AW1595" s="106">
        <v>-7.6</v>
      </c>
      <c r="BI1595" s="106">
        <v>-7.2</v>
      </c>
      <c r="BO1595" s="106">
        <v>-8.65</v>
      </c>
      <c r="CE1595" s="42">
        <v>-8.73</v>
      </c>
    </row>
    <row r="1596" spans="1:207" x14ac:dyDescent="0.25">
      <c r="A1596" s="127">
        <v>44733</v>
      </c>
      <c r="B1596" s="24" t="s">
        <v>127</v>
      </c>
      <c r="C1596" s="21">
        <f t="shared" si="29"/>
        <v>-22.63</v>
      </c>
      <c r="Y1596" s="69">
        <v>-5.5149999999999997</v>
      </c>
      <c r="AB1596" s="69">
        <v>-8.4649999999999999</v>
      </c>
      <c r="BU1596" s="106">
        <v>-8.65</v>
      </c>
    </row>
    <row r="1597" spans="1:207" x14ac:dyDescent="0.25">
      <c r="A1597" s="127">
        <v>44733</v>
      </c>
      <c r="B1597" s="24" t="s">
        <v>58</v>
      </c>
      <c r="C1597" s="21">
        <f t="shared" si="29"/>
        <v>0</v>
      </c>
    </row>
    <row r="1598" spans="1:207" x14ac:dyDescent="0.25">
      <c r="A1598" s="127">
        <v>44733</v>
      </c>
      <c r="B1598" s="24" t="s">
        <v>136</v>
      </c>
      <c r="C1598" s="21">
        <f t="shared" si="29"/>
        <v>-8.59</v>
      </c>
      <c r="CK1598" s="42">
        <v>-8.59</v>
      </c>
    </row>
    <row r="1599" spans="1:207" x14ac:dyDescent="0.25">
      <c r="A1599" s="127">
        <v>44733</v>
      </c>
      <c r="B1599" s="24" t="s">
        <v>37</v>
      </c>
      <c r="C1599" s="21">
        <f t="shared" si="29"/>
        <v>-68.754999999999995</v>
      </c>
      <c r="U1599" s="69">
        <v>-68.754999999999995</v>
      </c>
    </row>
    <row r="1600" spans="1:207" x14ac:dyDescent="0.25">
      <c r="A1600" s="127">
        <v>44734</v>
      </c>
      <c r="B1600" s="24" t="s">
        <v>57</v>
      </c>
      <c r="C1600" s="21">
        <f t="shared" si="29"/>
        <v>-35.119999999999997</v>
      </c>
      <c r="BU1600" s="106">
        <v>-17.25</v>
      </c>
      <c r="CY1600" s="106">
        <v>-9.17</v>
      </c>
      <c r="DI1600" s="42">
        <v>-8.6999999999999993</v>
      </c>
    </row>
    <row r="1601" spans="1:238" x14ac:dyDescent="0.25">
      <c r="A1601" s="127">
        <v>44734</v>
      </c>
      <c r="B1601" s="24" t="s">
        <v>15</v>
      </c>
      <c r="C1601" s="21">
        <f t="shared" si="29"/>
        <v>-153.24</v>
      </c>
      <c r="L1601" s="69">
        <v>-33.6</v>
      </c>
      <c r="U1601" s="69">
        <v>-34.299999999999997</v>
      </c>
      <c r="AE1601" s="42">
        <v>-32.39</v>
      </c>
      <c r="DI1601" s="42">
        <v>-17.36</v>
      </c>
      <c r="DY1601" s="42">
        <v>-35.590000000000003</v>
      </c>
    </row>
    <row r="1602" spans="1:238" x14ac:dyDescent="0.25">
      <c r="A1602" s="127">
        <v>44734</v>
      </c>
      <c r="B1602" s="24" t="s">
        <v>14</v>
      </c>
      <c r="C1602" s="21">
        <f t="shared" si="29"/>
        <v>-76.290000000000006</v>
      </c>
      <c r="O1602" s="375">
        <v>-8.4949999999999992</v>
      </c>
      <c r="Y1602" s="69">
        <v>-8.7449999999999992</v>
      </c>
      <c r="AQ1602" s="69">
        <v>-8.4700000000000006</v>
      </c>
      <c r="BA1602" s="42">
        <v>-25.12</v>
      </c>
      <c r="BH1602" s="69">
        <v>-16.945</v>
      </c>
      <c r="BN1602" s="69">
        <v>-8.5150000000000006</v>
      </c>
    </row>
    <row r="1603" spans="1:238" x14ac:dyDescent="0.25">
      <c r="A1603" s="127">
        <v>44734</v>
      </c>
      <c r="B1603" s="24" t="s">
        <v>12</v>
      </c>
      <c r="C1603" s="21">
        <f t="shared" si="29"/>
        <v>-61.46</v>
      </c>
      <c r="HW1603" s="42">
        <v>-61.46</v>
      </c>
    </row>
    <row r="1604" spans="1:238" x14ac:dyDescent="0.25">
      <c r="A1604" s="127">
        <v>44734</v>
      </c>
      <c r="B1604" s="24" t="s">
        <v>80</v>
      </c>
      <c r="C1604" s="21">
        <f t="shared" si="29"/>
        <v>-23.85</v>
      </c>
      <c r="AW1604" s="106">
        <v>-15.2</v>
      </c>
      <c r="BU1604" s="106">
        <v>-8.65</v>
      </c>
    </row>
    <row r="1605" spans="1:238" x14ac:dyDescent="0.25">
      <c r="A1605" s="127">
        <v>44734</v>
      </c>
      <c r="B1605" s="24" t="s">
        <v>40</v>
      </c>
      <c r="C1605" s="21">
        <f t="shared" si="29"/>
        <v>-61.055</v>
      </c>
      <c r="Y1605" s="69">
        <v>-61.055</v>
      </c>
    </row>
    <row r="1606" spans="1:238" x14ac:dyDescent="0.25">
      <c r="A1606" s="127">
        <v>44734</v>
      </c>
      <c r="B1606" s="24" t="s">
        <v>12</v>
      </c>
      <c r="C1606" s="21">
        <f t="shared" si="29"/>
        <v>67.924999999999997</v>
      </c>
      <c r="AM1606" s="69">
        <v>8.4450000000000003</v>
      </c>
      <c r="AQ1606" s="69">
        <v>8.4700000000000006</v>
      </c>
      <c r="BH1606" s="69">
        <v>16.945</v>
      </c>
      <c r="BN1606" s="69">
        <v>8.5150000000000006</v>
      </c>
      <c r="CA1606" s="106">
        <v>17.2</v>
      </c>
      <c r="CL1606" s="69">
        <v>8.35</v>
      </c>
    </row>
    <row r="1607" spans="1:238" x14ac:dyDescent="0.25">
      <c r="A1607" s="127">
        <v>44735</v>
      </c>
      <c r="B1607" s="23" t="s">
        <v>17</v>
      </c>
      <c r="C1607" s="21">
        <f t="shared" si="29"/>
        <v>-8.4849999999999994</v>
      </c>
      <c r="EW1607" s="88">
        <v>-8.4849999999999994</v>
      </c>
    </row>
    <row r="1608" spans="1:238" x14ac:dyDescent="0.25">
      <c r="A1608" s="127">
        <v>44737</v>
      </c>
      <c r="B1608" s="24" t="s">
        <v>37</v>
      </c>
      <c r="C1608" s="21">
        <f t="shared" si="29"/>
        <v>-65.900000000000006</v>
      </c>
      <c r="HU1608" s="42">
        <v>-65.900000000000006</v>
      </c>
    </row>
    <row r="1609" spans="1:238" x14ac:dyDescent="0.25">
      <c r="A1609" s="127">
        <v>44737</v>
      </c>
      <c r="B1609" s="24" t="s">
        <v>25</v>
      </c>
      <c r="C1609" s="21">
        <f t="shared" si="29"/>
        <v>-34.69</v>
      </c>
      <c r="DN1609" s="42">
        <v>-17.309999999999999</v>
      </c>
      <c r="DS1609" s="42">
        <v>-17.38</v>
      </c>
    </row>
    <row r="1610" spans="1:238" x14ac:dyDescent="0.25">
      <c r="A1610" s="127">
        <v>44737</v>
      </c>
      <c r="B1610" s="24" t="s">
        <v>20</v>
      </c>
      <c r="C1610" s="21">
        <f t="shared" si="29"/>
        <v>-34.36</v>
      </c>
      <c r="BU1610" s="106">
        <v>-8.65</v>
      </c>
      <c r="CA1610" s="106">
        <v>-8.6</v>
      </c>
      <c r="CE1610" s="42">
        <v>-8.76</v>
      </c>
      <c r="CL1610" s="69">
        <v>-8.35</v>
      </c>
    </row>
    <row r="1611" spans="1:238" x14ac:dyDescent="0.25">
      <c r="A1611" s="127">
        <v>44737</v>
      </c>
      <c r="B1611" s="24" t="s">
        <v>113</v>
      </c>
      <c r="C1611" s="21">
        <f t="shared" si="29"/>
        <v>151.65</v>
      </c>
      <c r="DK1611" s="106">
        <v>84.65</v>
      </c>
      <c r="DP1611" s="74">
        <v>67</v>
      </c>
    </row>
    <row r="1612" spans="1:238" x14ac:dyDescent="0.25">
      <c r="A1612" s="127">
        <v>44739</v>
      </c>
      <c r="B1612" s="24" t="s">
        <v>12</v>
      </c>
      <c r="C1612" s="21">
        <f t="shared" si="29"/>
        <v>-207.755</v>
      </c>
      <c r="EW1612" s="88">
        <v>-102.17</v>
      </c>
      <c r="GE1612" s="180">
        <v>-105.58499999999999</v>
      </c>
    </row>
    <row r="1613" spans="1:238" x14ac:dyDescent="0.25">
      <c r="A1613" s="127">
        <v>44740</v>
      </c>
      <c r="B1613" s="24" t="s">
        <v>2</v>
      </c>
      <c r="C1613" s="21">
        <f t="shared" si="29"/>
        <v>7428.37</v>
      </c>
      <c r="AU1613" s="42">
        <v>501.55</v>
      </c>
      <c r="BA1613" s="42">
        <v>506.75</v>
      </c>
      <c r="BG1613" s="42">
        <v>495.44</v>
      </c>
      <c r="BM1613" s="88">
        <v>506.7</v>
      </c>
      <c r="BS1613" s="42">
        <v>515.29</v>
      </c>
      <c r="BY1613" s="42">
        <v>516.54</v>
      </c>
      <c r="CE1613" s="42">
        <v>532.01</v>
      </c>
      <c r="CK1613" s="42">
        <v>517.13</v>
      </c>
      <c r="CQ1613" s="42">
        <v>516.59</v>
      </c>
      <c r="CW1613" s="42">
        <v>524.83000000000004</v>
      </c>
      <c r="GJ1613" s="202">
        <v>101.18</v>
      </c>
      <c r="GY1613" s="42">
        <v>244.4</v>
      </c>
      <c r="HE1613" s="42">
        <v>310.2</v>
      </c>
      <c r="HK1613" s="50">
        <v>531.78</v>
      </c>
      <c r="HL1613" s="42">
        <v>491.8</v>
      </c>
      <c r="IB1613" s="42">
        <v>306.83999999999997</v>
      </c>
      <c r="ID1613" s="42">
        <v>309.33999999999997</v>
      </c>
    </row>
    <row r="1614" spans="1:238" x14ac:dyDescent="0.25">
      <c r="A1614" s="127">
        <v>44740</v>
      </c>
      <c r="B1614" s="24" t="s">
        <v>50</v>
      </c>
      <c r="C1614" s="21">
        <f t="shared" si="29"/>
        <v>-155.02000000000001</v>
      </c>
      <c r="EZ1614" s="92">
        <v>-31.75</v>
      </c>
      <c r="ID1614" s="42">
        <v>-123.27</v>
      </c>
    </row>
    <row r="1615" spans="1:238" x14ac:dyDescent="0.25">
      <c r="A1615" s="127">
        <v>44740</v>
      </c>
      <c r="B1615" s="24" t="s">
        <v>27</v>
      </c>
      <c r="C1615" s="21">
        <f t="shared" si="29"/>
        <v>-17.010000000000002</v>
      </c>
      <c r="BA1615" s="42">
        <v>-8.4600000000000009</v>
      </c>
      <c r="BO1615" s="106">
        <v>-8.5500000000000007</v>
      </c>
    </row>
    <row r="1616" spans="1:238" x14ac:dyDescent="0.25">
      <c r="A1616" s="127">
        <v>44740</v>
      </c>
      <c r="B1616" s="24" t="s">
        <v>123</v>
      </c>
      <c r="C1616" s="21">
        <f t="shared" si="29"/>
        <v>-15.39</v>
      </c>
      <c r="HE1616" s="42">
        <v>-15.39</v>
      </c>
    </row>
    <row r="1617" spans="1:225" x14ac:dyDescent="0.25">
      <c r="A1617" s="127">
        <v>44740</v>
      </c>
      <c r="B1617" s="24" t="s">
        <v>75</v>
      </c>
      <c r="C1617" s="21">
        <f t="shared" si="29"/>
        <v>-39.92</v>
      </c>
      <c r="BI1617" s="106">
        <v>-7.65</v>
      </c>
      <c r="BO1617" s="106">
        <v>-6.4</v>
      </c>
      <c r="BU1617" s="106">
        <v>-8.6999999999999993</v>
      </c>
      <c r="CA1617" s="106">
        <v>-8.4499999999999993</v>
      </c>
      <c r="CE1617" s="42">
        <v>-8.7200000000000006</v>
      </c>
    </row>
    <row r="1618" spans="1:225" x14ac:dyDescent="0.25">
      <c r="A1618" s="127">
        <v>44740</v>
      </c>
      <c r="B1618" s="24" t="s">
        <v>25</v>
      </c>
      <c r="C1618" s="21">
        <f t="shared" si="29"/>
        <v>-47.454999999999998</v>
      </c>
      <c r="AE1618" s="42">
        <v>-8.39</v>
      </c>
      <c r="AM1618" s="69">
        <v>-8.4450000000000003</v>
      </c>
      <c r="AW1618" s="106">
        <v>-7.6</v>
      </c>
      <c r="BI1618" s="106">
        <v>-7.9</v>
      </c>
      <c r="BO1618" s="106">
        <v>-6.55</v>
      </c>
      <c r="CE1618" s="42">
        <v>-8.57</v>
      </c>
    </row>
    <row r="1619" spans="1:225" x14ac:dyDescent="0.25">
      <c r="A1619" s="127">
        <v>44740</v>
      </c>
      <c r="B1619" s="24" t="s">
        <v>40</v>
      </c>
      <c r="C1619" s="21">
        <f t="shared" si="29"/>
        <v>-294.39999999999998</v>
      </c>
      <c r="HL1619" s="42">
        <v>-294.39999999999998</v>
      </c>
    </row>
    <row r="1620" spans="1:225" x14ac:dyDescent="0.25">
      <c r="A1620" s="127">
        <v>44740</v>
      </c>
      <c r="B1620" s="24" t="s">
        <v>95</v>
      </c>
      <c r="C1620" s="21">
        <f t="shared" si="29"/>
        <v>-1138.4100000000001</v>
      </c>
      <c r="AR1620" s="106">
        <v>-34.08</v>
      </c>
      <c r="AU1620" s="42">
        <v>-33.92</v>
      </c>
      <c r="BA1620" s="42">
        <v>-34.14</v>
      </c>
      <c r="BG1620" s="42">
        <v>-66.510000000000005</v>
      </c>
      <c r="BM1620" s="88">
        <v>-68.040000000000006</v>
      </c>
      <c r="BS1620" s="42">
        <v>-104.5</v>
      </c>
      <c r="BY1620" s="42">
        <v>-102.17</v>
      </c>
      <c r="CE1620" s="42">
        <v>-107.2</v>
      </c>
      <c r="CK1620" s="42">
        <v>-69.78</v>
      </c>
      <c r="CQ1620" s="42">
        <v>-69.260000000000005</v>
      </c>
      <c r="CW1620" s="42">
        <v>-104.21</v>
      </c>
      <c r="DC1620" s="42">
        <v>-69.98</v>
      </c>
      <c r="DK1620" s="106">
        <v>-32.700000000000003</v>
      </c>
      <c r="DN1620" s="42">
        <v>-68.66</v>
      </c>
      <c r="DS1620" s="42">
        <v>-104.36</v>
      </c>
      <c r="DY1620" s="42">
        <v>-68.900000000000006</v>
      </c>
    </row>
    <row r="1621" spans="1:225" x14ac:dyDescent="0.25">
      <c r="A1621" s="127">
        <v>44740</v>
      </c>
      <c r="B1621" s="24" t="s">
        <v>127</v>
      </c>
      <c r="C1621" s="21">
        <f t="shared" si="29"/>
        <v>-8.5500000000000007</v>
      </c>
      <c r="AR1621" s="106">
        <v>-8.5500000000000007</v>
      </c>
    </row>
    <row r="1622" spans="1:225" x14ac:dyDescent="0.25">
      <c r="A1622" s="127">
        <v>44740</v>
      </c>
      <c r="B1622" s="24" t="s">
        <v>2</v>
      </c>
      <c r="C1622" s="21">
        <f t="shared" si="29"/>
        <v>-16.829999999999998</v>
      </c>
      <c r="HE1622" s="42">
        <v>-16.829999999999998</v>
      </c>
    </row>
    <row r="1623" spans="1:225" x14ac:dyDescent="0.25">
      <c r="A1623" s="127">
        <v>44740</v>
      </c>
      <c r="B1623" s="24" t="s">
        <v>37</v>
      </c>
      <c r="C1623" s="21">
        <f t="shared" si="29"/>
        <v>-770.82</v>
      </c>
      <c r="GY1623" s="42">
        <v>-35</v>
      </c>
      <c r="HE1623" s="42">
        <v>-33.020000000000003</v>
      </c>
      <c r="HK1623" s="50">
        <v>-331.59</v>
      </c>
      <c r="HL1623" s="42">
        <v>-164.67</v>
      </c>
      <c r="HQ1623" s="42">
        <v>-206.54</v>
      </c>
    </row>
    <row r="1624" spans="1:225" x14ac:dyDescent="0.25">
      <c r="A1624" s="127">
        <v>44740</v>
      </c>
      <c r="B1624" s="24" t="s">
        <v>17</v>
      </c>
      <c r="C1624" s="21">
        <f t="shared" si="29"/>
        <v>-207.65</v>
      </c>
      <c r="BA1624" s="42">
        <v>-33.96</v>
      </c>
      <c r="BS1624" s="42">
        <f>-34.71-34.59-34.67</f>
        <v>-103.97</v>
      </c>
      <c r="BU1624" s="106">
        <f>-8.65-8.7</f>
        <v>-17.350000000000001</v>
      </c>
      <c r="CA1624" s="106">
        <v>-17.149999999999999</v>
      </c>
      <c r="CQ1624" s="42">
        <v>-35.22</v>
      </c>
    </row>
    <row r="1625" spans="1:225" x14ac:dyDescent="0.25">
      <c r="A1625" s="127">
        <v>44740</v>
      </c>
      <c r="B1625" s="24" t="s">
        <v>139</v>
      </c>
      <c r="C1625" s="21">
        <f t="shared" si="29"/>
        <v>-77.03</v>
      </c>
      <c r="O1625" s="375">
        <v>-8.64</v>
      </c>
      <c r="AE1625" s="42">
        <v>-8.39</v>
      </c>
      <c r="BA1625" s="42">
        <v>-8.58</v>
      </c>
      <c r="BG1625" s="42">
        <v>-8.2899999999999991</v>
      </c>
      <c r="BM1625" s="88">
        <v>-8.4600000000000009</v>
      </c>
      <c r="BS1625" s="42">
        <v>-8.74</v>
      </c>
      <c r="CE1625" s="42">
        <v>-8.65</v>
      </c>
      <c r="CK1625" s="42">
        <v>-8.67</v>
      </c>
      <c r="CQ1625" s="42">
        <v>-8.61</v>
      </c>
    </row>
    <row r="1626" spans="1:225" x14ac:dyDescent="0.25">
      <c r="A1626" s="127">
        <v>44740</v>
      </c>
      <c r="B1626" s="24" t="s">
        <v>84</v>
      </c>
      <c r="C1626" s="21">
        <f t="shared" si="29"/>
        <v>-25.6</v>
      </c>
      <c r="AR1626" s="106">
        <v>-8.5500000000000007</v>
      </c>
      <c r="BI1626" s="106">
        <v>-17.05</v>
      </c>
    </row>
    <row r="1627" spans="1:225" x14ac:dyDescent="0.25">
      <c r="A1627" s="127">
        <v>44740</v>
      </c>
      <c r="B1627" s="24" t="s">
        <v>110</v>
      </c>
      <c r="C1627" s="21">
        <f t="shared" si="29"/>
        <v>-65.72</v>
      </c>
      <c r="BG1627" s="42">
        <v>-32.090000000000003</v>
      </c>
      <c r="BS1627" s="42">
        <v>-33.630000000000003</v>
      </c>
    </row>
    <row r="1628" spans="1:225" x14ac:dyDescent="0.25">
      <c r="A1628" s="127">
        <v>44740</v>
      </c>
      <c r="B1628" s="24" t="s">
        <v>133</v>
      </c>
      <c r="C1628" s="21">
        <f t="shared" si="29"/>
        <v>-327.33</v>
      </c>
      <c r="AU1628" s="42">
        <v>-34.200000000000003</v>
      </c>
      <c r="BA1628" s="42">
        <v>-33.24</v>
      </c>
      <c r="BG1628" s="42">
        <v>-33.380000000000003</v>
      </c>
      <c r="BM1628" s="88">
        <v>-33.92</v>
      </c>
      <c r="BS1628" s="42">
        <v>-34.5</v>
      </c>
      <c r="BY1628" s="42">
        <v>-34.97</v>
      </c>
      <c r="CE1628" s="42">
        <v>-35.25</v>
      </c>
      <c r="CK1628" s="42">
        <v>-34.72</v>
      </c>
      <c r="CQ1628" s="42">
        <v>-34.86</v>
      </c>
      <c r="DI1628" s="42">
        <v>-18.29</v>
      </c>
    </row>
    <row r="1629" spans="1:225" x14ac:dyDescent="0.25">
      <c r="A1629" s="127">
        <v>44741</v>
      </c>
      <c r="B1629" s="24" t="s">
        <v>15</v>
      </c>
      <c r="C1629" s="21">
        <f t="shared" si="29"/>
        <v>-51.24</v>
      </c>
      <c r="BM1629" s="88">
        <v>-33.76</v>
      </c>
      <c r="BS1629" s="42">
        <v>-17.48</v>
      </c>
    </row>
    <row r="1630" spans="1:225" x14ac:dyDescent="0.25">
      <c r="A1630" s="127">
        <v>44741</v>
      </c>
      <c r="B1630" s="24" t="s">
        <v>59</v>
      </c>
      <c r="C1630" s="21">
        <f t="shared" si="29"/>
        <v>-12.16</v>
      </c>
      <c r="CW1630" s="42">
        <f>-10.35-1.81</f>
        <v>-12.16</v>
      </c>
    </row>
    <row r="1631" spans="1:225" x14ac:dyDescent="0.25">
      <c r="A1631" s="127">
        <v>44741</v>
      </c>
      <c r="B1631" s="24" t="s">
        <v>14</v>
      </c>
      <c r="C1631" s="21">
        <f t="shared" si="29"/>
        <v>-272.52999999999997</v>
      </c>
      <c r="AU1631" s="42">
        <v>-32.86</v>
      </c>
      <c r="BA1631" s="42">
        <v>-33.869999999999997</v>
      </c>
      <c r="BG1631" s="42">
        <v>-67.599999999999994</v>
      </c>
      <c r="BM1631" s="88">
        <v>-33.68</v>
      </c>
      <c r="BS1631" s="42">
        <v>-34.799999999999997</v>
      </c>
      <c r="BY1631" s="42">
        <v>-33.68</v>
      </c>
      <c r="CW1631" s="42">
        <v>-36.04</v>
      </c>
    </row>
    <row r="1632" spans="1:225" x14ac:dyDescent="0.25">
      <c r="A1632" s="127">
        <v>44741</v>
      </c>
      <c r="B1632" s="24" t="s">
        <v>13</v>
      </c>
      <c r="C1632" s="21">
        <f t="shared" si="29"/>
        <v>-322.82499999999999</v>
      </c>
      <c r="L1632" s="69">
        <v>-8.44</v>
      </c>
      <c r="U1632" s="69">
        <v>-8.5649999999999995</v>
      </c>
      <c r="AB1632" s="69">
        <v>-16.96</v>
      </c>
      <c r="AE1632" s="42">
        <v>-16.82</v>
      </c>
      <c r="AU1632" s="42">
        <v>-32.85</v>
      </c>
      <c r="BA1632" s="42">
        <v>-33.99</v>
      </c>
      <c r="BG1632" s="42">
        <v>-31.82</v>
      </c>
      <c r="BS1632" s="42">
        <v>-34.43</v>
      </c>
      <c r="BY1632" s="42">
        <v>-34.94</v>
      </c>
      <c r="CK1632" s="42">
        <v>-34.51</v>
      </c>
      <c r="DN1632" s="42">
        <v>-34.39</v>
      </c>
      <c r="DY1632" s="42">
        <v>-35.11</v>
      </c>
    </row>
    <row r="1633" spans="1:198" x14ac:dyDescent="0.25">
      <c r="A1633" s="127">
        <v>44741</v>
      </c>
      <c r="B1633" s="24" t="s">
        <v>19</v>
      </c>
      <c r="C1633" s="21">
        <f t="shared" si="29"/>
        <v>153.22999999999999</v>
      </c>
      <c r="BD1633" s="121">
        <v>27.57</v>
      </c>
      <c r="BL1633" s="182">
        <v>33.83</v>
      </c>
      <c r="BR1633" s="182">
        <v>25.95</v>
      </c>
      <c r="BV1633" s="121">
        <v>32.75</v>
      </c>
      <c r="CN1633" s="121">
        <v>33.130000000000003</v>
      </c>
    </row>
    <row r="1634" spans="1:198" x14ac:dyDescent="0.25">
      <c r="A1634" s="127">
        <v>44741</v>
      </c>
      <c r="B1634" s="24" t="s">
        <v>14</v>
      </c>
      <c r="C1634" s="21">
        <f t="shared" si="29"/>
        <v>34.6</v>
      </c>
      <c r="CA1634" s="106">
        <f>8.55+8.6</f>
        <v>17.149999999999999</v>
      </c>
      <c r="CY1634" s="106">
        <f>8.73+8.72</f>
        <v>17.45</v>
      </c>
    </row>
    <row r="1635" spans="1:198" x14ac:dyDescent="0.25">
      <c r="A1635" s="127">
        <v>44742</v>
      </c>
      <c r="B1635" s="24" t="s">
        <v>2</v>
      </c>
      <c r="C1635" s="21">
        <f t="shared" si="29"/>
        <v>504.25</v>
      </c>
      <c r="GP1635" s="42">
        <v>504.25</v>
      </c>
    </row>
    <row r="1636" spans="1:198" x14ac:dyDescent="0.25">
      <c r="A1636" s="127">
        <v>44742</v>
      </c>
      <c r="B1636" s="24" t="s">
        <v>95</v>
      </c>
      <c r="C1636" s="21">
        <f t="shared" si="29"/>
        <v>-311.47000000000003</v>
      </c>
      <c r="BY1636" s="42">
        <v>-70.989999999999995</v>
      </c>
      <c r="CE1636" s="42">
        <v>-69.569999999999993</v>
      </c>
      <c r="CK1636" s="42">
        <v>-68.540000000000006</v>
      </c>
      <c r="CQ1636" s="42">
        <v>-102.37</v>
      </c>
    </row>
    <row r="1637" spans="1:198" x14ac:dyDescent="0.25">
      <c r="A1637" s="127">
        <v>44742</v>
      </c>
      <c r="B1637" s="24" t="s">
        <v>15</v>
      </c>
      <c r="C1637" s="21">
        <f t="shared" si="29"/>
        <v>-169.49</v>
      </c>
      <c r="BG1637" s="42">
        <v>-32.79</v>
      </c>
      <c r="BM1637" s="88">
        <v>-34.21</v>
      </c>
      <c r="BY1637" s="42">
        <v>-33.159999999999997</v>
      </c>
      <c r="CE1637" s="42">
        <v>-35.43</v>
      </c>
      <c r="CK1637" s="42">
        <v>-33.9</v>
      </c>
    </row>
    <row r="1638" spans="1:198" x14ac:dyDescent="0.25">
      <c r="A1638" s="127">
        <v>44742</v>
      </c>
      <c r="B1638" s="24" t="s">
        <v>222</v>
      </c>
      <c r="C1638" s="21">
        <f t="shared" si="29"/>
        <v>-16.739999999999998</v>
      </c>
      <c r="AU1638" s="42">
        <v>-8.2799999999999994</v>
      </c>
      <c r="BA1638" s="42">
        <v>-8.4600000000000009</v>
      </c>
    </row>
    <row r="1639" spans="1:198" x14ac:dyDescent="0.25">
      <c r="A1639" s="127">
        <v>44742</v>
      </c>
      <c r="B1639" s="24" t="s">
        <v>133</v>
      </c>
      <c r="C1639" s="21">
        <f t="shared" si="29"/>
        <v>-188.18</v>
      </c>
      <c r="BM1639" s="88">
        <v>-67.67</v>
      </c>
      <c r="BS1639" s="42">
        <v>-16.93</v>
      </c>
      <c r="CK1639" s="42">
        <v>-35.130000000000003</v>
      </c>
      <c r="CQ1639" s="42">
        <v>-34.29</v>
      </c>
      <c r="CY1639" s="106">
        <v>-34.159999999999997</v>
      </c>
    </row>
    <row r="1640" spans="1:198" x14ac:dyDescent="0.25">
      <c r="A1640" s="127">
        <v>44742</v>
      </c>
      <c r="B1640" s="24" t="s">
        <v>32</v>
      </c>
      <c r="C1640" s="21">
        <f t="shared" si="29"/>
        <v>-134.96</v>
      </c>
      <c r="AU1640" s="42">
        <v>-16.12</v>
      </c>
      <c r="BA1640" s="42">
        <v>-16.84</v>
      </c>
      <c r="BG1640" s="42">
        <v>-16.440000000000001</v>
      </c>
      <c r="BM1640" s="88">
        <v>-16.899999999999999</v>
      </c>
      <c r="BS1640" s="42">
        <v>-16.3</v>
      </c>
      <c r="CA1640" s="106">
        <v>-17</v>
      </c>
      <c r="CE1640" s="42">
        <v>-17.989999999999998</v>
      </c>
      <c r="CK1640" s="42">
        <v>-17.37</v>
      </c>
    </row>
    <row r="1641" spans="1:198" x14ac:dyDescent="0.25">
      <c r="A1641" s="127">
        <v>44742</v>
      </c>
      <c r="B1641" s="24" t="s">
        <v>78</v>
      </c>
      <c r="C1641" s="21">
        <f t="shared" si="29"/>
        <v>-25.37</v>
      </c>
      <c r="U1641" s="69">
        <v>-8.5500000000000007</v>
      </c>
      <c r="AE1641" s="42">
        <f>-8.41-8.41</f>
        <v>-16.82</v>
      </c>
    </row>
    <row r="1642" spans="1:198" x14ac:dyDescent="0.25">
      <c r="A1642" s="127">
        <v>44742</v>
      </c>
      <c r="B1642" s="24" t="s">
        <v>140</v>
      </c>
      <c r="C1642" s="21">
        <f t="shared" si="29"/>
        <v>-25.76</v>
      </c>
      <c r="D1642" s="386">
        <v>-25.76</v>
      </c>
    </row>
    <row r="1643" spans="1:198" x14ac:dyDescent="0.25">
      <c r="A1643" s="127">
        <v>44743</v>
      </c>
      <c r="B1643" s="24" t="s">
        <v>20</v>
      </c>
      <c r="C1643" s="21">
        <f t="shared" si="29"/>
        <v>-17.75</v>
      </c>
      <c r="CE1643" s="42">
        <v>-9.07</v>
      </c>
      <c r="CK1643" s="42">
        <v>-8.68</v>
      </c>
    </row>
    <row r="1644" spans="1:198" x14ac:dyDescent="0.25">
      <c r="A1644" s="127">
        <v>44743</v>
      </c>
      <c r="B1644" s="24" t="s">
        <v>15</v>
      </c>
      <c r="C1644" s="21">
        <f t="shared" si="29"/>
        <v>-14.77</v>
      </c>
      <c r="BM1644" s="88">
        <v>-8.42</v>
      </c>
      <c r="BO1644" s="106">
        <v>-6.35</v>
      </c>
    </row>
    <row r="1645" spans="1:198" x14ac:dyDescent="0.25">
      <c r="A1645" s="127">
        <v>44743</v>
      </c>
      <c r="B1645" s="24" t="s">
        <v>95</v>
      </c>
      <c r="C1645" s="21">
        <f t="shared" si="29"/>
        <v>-383.04500000000002</v>
      </c>
      <c r="AR1645" s="106">
        <v>-17.170000000000002</v>
      </c>
      <c r="BG1645" s="42">
        <v>-33.409999999999997</v>
      </c>
      <c r="BM1645" s="88">
        <v>-33.53</v>
      </c>
      <c r="CE1645" s="42">
        <v>-34.97</v>
      </c>
      <c r="CW1645" s="42">
        <v>-35.130000000000003</v>
      </c>
      <c r="DN1645" s="42">
        <v>-34.340000000000003</v>
      </c>
      <c r="DP1645" s="74">
        <f>-34.55-32.45</f>
        <v>-67</v>
      </c>
      <c r="DS1645" s="42">
        <f>-8.72-34.35</f>
        <v>-43.07</v>
      </c>
      <c r="DU1645" s="106">
        <f>-7.78-10.12</f>
        <v>-17.899999999999999</v>
      </c>
      <c r="DY1645" s="42">
        <f>-5.69-7.97-35.48</f>
        <v>-49.14</v>
      </c>
      <c r="DZ1645" s="69">
        <v>-8.3949999999999996</v>
      </c>
      <c r="EE1645" s="42">
        <v>-8.99</v>
      </c>
    </row>
    <row r="1646" spans="1:198" x14ac:dyDescent="0.25">
      <c r="A1646" s="127">
        <v>44743</v>
      </c>
      <c r="B1646" s="24" t="s">
        <v>135</v>
      </c>
      <c r="C1646" s="21">
        <f t="shared" si="29"/>
        <v>-50.69</v>
      </c>
      <c r="AE1646" s="42">
        <v>-8.3699999999999992</v>
      </c>
      <c r="BM1646" s="88">
        <v>-8.42</v>
      </c>
      <c r="BS1646" s="42">
        <v>-8.19</v>
      </c>
      <c r="CA1646" s="106">
        <v>-8.5</v>
      </c>
      <c r="CE1646" s="42">
        <v>-9.0299999999999994</v>
      </c>
      <c r="CK1646" s="42">
        <v>-8.18</v>
      </c>
    </row>
    <row r="1647" spans="1:198" x14ac:dyDescent="0.25">
      <c r="A1647" s="127">
        <v>44743</v>
      </c>
      <c r="B1647" s="24" t="s">
        <v>138</v>
      </c>
      <c r="C1647" s="21">
        <f t="shared" si="29"/>
        <v>-8.36</v>
      </c>
      <c r="CK1647" s="42">
        <v>-8.36</v>
      </c>
    </row>
    <row r="1648" spans="1:198" x14ac:dyDescent="0.25">
      <c r="A1648" s="127">
        <v>44743</v>
      </c>
      <c r="B1648" s="24" t="s">
        <v>27</v>
      </c>
      <c r="C1648" s="21">
        <f t="shared" si="29"/>
        <v>-17.350000000000001</v>
      </c>
      <c r="AU1648" s="42">
        <v>-8.75</v>
      </c>
      <c r="CA1648" s="106">
        <v>-8.6</v>
      </c>
    </row>
    <row r="1649" spans="1:231" x14ac:dyDescent="0.25">
      <c r="A1649" s="127">
        <v>44744</v>
      </c>
      <c r="B1649" s="24" t="s">
        <v>72</v>
      </c>
      <c r="C1649" s="21">
        <f t="shared" ref="C1649:C1712" si="30">SUM(D1649:JT1649)</f>
        <v>-17.510000000000002</v>
      </c>
      <c r="CK1649" s="42">
        <v>-8.82</v>
      </c>
      <c r="CQ1649" s="42">
        <v>-8.69</v>
      </c>
    </row>
    <row r="1650" spans="1:231" x14ac:dyDescent="0.25">
      <c r="A1650" s="127">
        <v>44744</v>
      </c>
      <c r="B1650" s="24" t="s">
        <v>64</v>
      </c>
      <c r="C1650" s="21">
        <f t="shared" si="30"/>
        <v>102.48</v>
      </c>
      <c r="ET1650" s="106">
        <v>102.48</v>
      </c>
    </row>
    <row r="1651" spans="1:231" x14ac:dyDescent="0.25">
      <c r="A1651" s="133">
        <v>44744</v>
      </c>
      <c r="B1651" s="64" t="s">
        <v>96</v>
      </c>
      <c r="C1651" s="21">
        <f t="shared" si="30"/>
        <v>-25.9</v>
      </c>
      <c r="DK1651" s="106">
        <v>-25.9</v>
      </c>
    </row>
    <row r="1652" spans="1:231" x14ac:dyDescent="0.25">
      <c r="A1652" s="133">
        <v>44746</v>
      </c>
      <c r="B1652" s="30" t="s">
        <v>48</v>
      </c>
      <c r="C1652" s="21">
        <f t="shared" si="30"/>
        <v>-76.510000000000005</v>
      </c>
      <c r="BG1652" s="42">
        <v>-33.47</v>
      </c>
      <c r="BM1652" s="88">
        <f>-8.43-8.42</f>
        <v>-16.850000000000001</v>
      </c>
      <c r="BS1652" s="42">
        <v>-8.74</v>
      </c>
      <c r="CW1652" s="42">
        <f>-8.72-8.73</f>
        <v>-17.45</v>
      </c>
    </row>
    <row r="1653" spans="1:231" x14ac:dyDescent="0.25">
      <c r="A1653" s="133">
        <v>44746</v>
      </c>
      <c r="B1653" s="64" t="s">
        <v>19</v>
      </c>
      <c r="C1653" s="21">
        <f t="shared" si="30"/>
        <v>376.32</v>
      </c>
      <c r="BD1653" s="121">
        <v>27.34</v>
      </c>
      <c r="BR1653" s="182">
        <v>75.709999999999994</v>
      </c>
      <c r="BV1653" s="121">
        <v>34.31</v>
      </c>
      <c r="CC1653" s="126">
        <v>68.239999999999995</v>
      </c>
      <c r="CH1653" s="121">
        <v>33.020000000000003</v>
      </c>
      <c r="CP1653" s="182">
        <v>33.369999999999997</v>
      </c>
      <c r="CV1653" s="115">
        <v>34.630000000000003</v>
      </c>
      <c r="DF1653" s="121">
        <v>34.14</v>
      </c>
      <c r="DL1653" s="121">
        <v>35.56</v>
      </c>
    </row>
    <row r="1654" spans="1:231" x14ac:dyDescent="0.25">
      <c r="A1654" s="133">
        <v>44746</v>
      </c>
      <c r="B1654" s="64" t="s">
        <v>111</v>
      </c>
      <c r="C1654" s="21">
        <f t="shared" si="30"/>
        <v>-17.48</v>
      </c>
      <c r="BS1654" s="42">
        <v>-17.48</v>
      </c>
    </row>
    <row r="1655" spans="1:231" x14ac:dyDescent="0.25">
      <c r="A1655" s="127">
        <v>44746</v>
      </c>
      <c r="B1655" s="24" t="s">
        <v>139</v>
      </c>
      <c r="C1655" s="21">
        <f t="shared" si="30"/>
        <v>-34.409999999999997</v>
      </c>
      <c r="BY1655" s="42">
        <v>-8.86</v>
      </c>
      <c r="CE1655" s="42">
        <v>-9.01</v>
      </c>
      <c r="CW1655" s="42">
        <v>-16.54</v>
      </c>
    </row>
    <row r="1656" spans="1:231" x14ac:dyDescent="0.25">
      <c r="A1656" s="127">
        <v>44747</v>
      </c>
      <c r="B1656" s="24" t="s">
        <v>80</v>
      </c>
      <c r="C1656" s="21">
        <f t="shared" si="30"/>
        <v>-16.399999999999999</v>
      </c>
      <c r="AU1656" s="42">
        <v>-16.399999999999999</v>
      </c>
    </row>
    <row r="1657" spans="1:231" x14ac:dyDescent="0.25">
      <c r="A1657" s="127">
        <v>44747</v>
      </c>
      <c r="B1657" s="24" t="s">
        <v>20</v>
      </c>
      <c r="C1657" s="21">
        <f t="shared" si="30"/>
        <v>0</v>
      </c>
    </row>
    <row r="1658" spans="1:231" x14ac:dyDescent="0.25">
      <c r="A1658" s="127">
        <v>44747</v>
      </c>
      <c r="B1658" s="24" t="s">
        <v>44</v>
      </c>
      <c r="C1658" s="21">
        <f t="shared" si="30"/>
        <v>-104.55</v>
      </c>
      <c r="GP1658" s="42">
        <v>-104.55</v>
      </c>
    </row>
    <row r="1659" spans="1:231" x14ac:dyDescent="0.25">
      <c r="A1659" s="127">
        <v>44747</v>
      </c>
      <c r="B1659" s="24" t="s">
        <v>138</v>
      </c>
      <c r="C1659" s="21">
        <f t="shared" si="30"/>
        <v>-8.3699999999999992</v>
      </c>
      <c r="BG1659" s="42">
        <v>-8.3699999999999992</v>
      </c>
    </row>
    <row r="1660" spans="1:231" x14ac:dyDescent="0.25">
      <c r="A1660" s="127">
        <v>44747</v>
      </c>
      <c r="B1660" s="24" t="s">
        <v>75</v>
      </c>
      <c r="C1660" s="21">
        <f t="shared" si="30"/>
        <v>-33.83</v>
      </c>
      <c r="BG1660" s="42">
        <v>-8.33</v>
      </c>
      <c r="BM1660" s="88">
        <v>-8.49</v>
      </c>
      <c r="BS1660" s="42">
        <v>-8.27</v>
      </c>
      <c r="BY1660" s="42">
        <v>-8.74</v>
      </c>
    </row>
    <row r="1661" spans="1:231" x14ac:dyDescent="0.25">
      <c r="A1661" s="127">
        <v>44747</v>
      </c>
      <c r="B1661" s="24" t="s">
        <v>17</v>
      </c>
      <c r="C1661" s="21">
        <f t="shared" si="30"/>
        <v>-16.55</v>
      </c>
      <c r="BG1661" s="42">
        <v>-8.3000000000000007</v>
      </c>
      <c r="BS1661" s="42">
        <v>-8.25</v>
      </c>
    </row>
    <row r="1662" spans="1:231" x14ac:dyDescent="0.25">
      <c r="A1662" s="127">
        <v>44748</v>
      </c>
      <c r="B1662" s="23" t="s">
        <v>15</v>
      </c>
      <c r="C1662" s="21">
        <f t="shared" si="30"/>
        <v>-286.24</v>
      </c>
      <c r="BA1662" s="42">
        <v>-8.5500000000000007</v>
      </c>
      <c r="BG1662" s="42">
        <v>-16.600000000000001</v>
      </c>
      <c r="BM1662" s="88">
        <v>-50.08</v>
      </c>
      <c r="BY1662" s="42">
        <v>-69.16</v>
      </c>
      <c r="CE1662" s="42">
        <v>-80.400000000000006</v>
      </c>
      <c r="CK1662" s="42">
        <v>-26.41</v>
      </c>
      <c r="CW1662" s="42">
        <v>-35.04</v>
      </c>
    </row>
    <row r="1663" spans="1:231" x14ac:dyDescent="0.25">
      <c r="A1663" s="127">
        <v>44748</v>
      </c>
      <c r="B1663" s="23" t="s">
        <v>17</v>
      </c>
      <c r="C1663" s="21">
        <f t="shared" si="30"/>
        <v>-51.27</v>
      </c>
      <c r="BA1663" s="42">
        <v>-8.4499999999999993</v>
      </c>
      <c r="BG1663" s="42">
        <v>-8.35</v>
      </c>
      <c r="BM1663" s="88">
        <v>-8.4499999999999993</v>
      </c>
      <c r="BS1663" s="42">
        <v>-8.25</v>
      </c>
      <c r="BY1663" s="42">
        <v>-8.74</v>
      </c>
      <c r="CE1663" s="42">
        <v>-9.0299999999999994</v>
      </c>
    </row>
    <row r="1664" spans="1:231" x14ac:dyDescent="0.25">
      <c r="A1664" s="127">
        <v>44749</v>
      </c>
      <c r="B1664" s="24" t="s">
        <v>113</v>
      </c>
      <c r="C1664" s="21">
        <f t="shared" si="30"/>
        <v>354.05</v>
      </c>
      <c r="CY1664" s="106">
        <v>63.1</v>
      </c>
      <c r="FZ1664" s="115">
        <v>110.85</v>
      </c>
      <c r="HW1664" s="42">
        <v>180.1</v>
      </c>
    </row>
    <row r="1665" spans="1:242" x14ac:dyDescent="0.25">
      <c r="A1665" s="133">
        <v>44760</v>
      </c>
      <c r="B1665" s="64" t="s">
        <v>80</v>
      </c>
      <c r="C1665" s="21">
        <f t="shared" si="30"/>
        <v>0</v>
      </c>
    </row>
    <row r="1666" spans="1:242" x14ac:dyDescent="0.25">
      <c r="A1666" s="133">
        <v>44760</v>
      </c>
      <c r="B1666" s="64" t="s">
        <v>68</v>
      </c>
      <c r="C1666" s="21">
        <f t="shared" si="30"/>
        <v>-69.97</v>
      </c>
      <c r="BS1666" s="42">
        <v>-34.99</v>
      </c>
      <c r="BY1666" s="42">
        <v>-34.979999999999997</v>
      </c>
    </row>
    <row r="1667" spans="1:242" x14ac:dyDescent="0.25">
      <c r="A1667" s="133">
        <v>44760</v>
      </c>
      <c r="B1667" s="64" t="s">
        <v>48</v>
      </c>
      <c r="C1667" s="21">
        <f t="shared" si="30"/>
        <v>-78.099999999999994</v>
      </c>
      <c r="BA1667" s="42">
        <v>-42.41</v>
      </c>
      <c r="CE1667" s="42">
        <v>-17.98</v>
      </c>
      <c r="CQ1667" s="42">
        <v>-17.71</v>
      </c>
    </row>
    <row r="1668" spans="1:242" x14ac:dyDescent="0.25">
      <c r="A1668" s="133">
        <v>44760</v>
      </c>
      <c r="B1668" s="64" t="s">
        <v>125</v>
      </c>
      <c r="C1668" s="21">
        <f t="shared" si="30"/>
        <v>-103.06</v>
      </c>
      <c r="CQ1668" s="42">
        <v>-103.06</v>
      </c>
    </row>
    <row r="1669" spans="1:242" x14ac:dyDescent="0.25">
      <c r="A1669" s="133">
        <v>44760</v>
      </c>
      <c r="B1669" s="64" t="s">
        <v>133</v>
      </c>
      <c r="C1669" s="21">
        <f t="shared" si="30"/>
        <v>-185.83</v>
      </c>
      <c r="AB1669" s="69">
        <v>-17</v>
      </c>
      <c r="AU1669" s="42">
        <v>-16.43</v>
      </c>
      <c r="BA1669" s="42">
        <v>-33.97</v>
      </c>
      <c r="BG1669" s="42">
        <v>-16.57</v>
      </c>
      <c r="BM1669" s="88">
        <v>-16.899999999999999</v>
      </c>
      <c r="CA1669" s="106">
        <v>-32.700000000000003</v>
      </c>
      <c r="CE1669" s="42">
        <v>-34.97</v>
      </c>
      <c r="CQ1669" s="42">
        <v>-17.29</v>
      </c>
    </row>
    <row r="1670" spans="1:242" x14ac:dyDescent="0.25">
      <c r="A1670" s="133">
        <v>44760</v>
      </c>
      <c r="B1670" s="64" t="s">
        <v>95</v>
      </c>
      <c r="C1670" s="21">
        <f t="shared" si="30"/>
        <v>0</v>
      </c>
    </row>
    <row r="1671" spans="1:242" x14ac:dyDescent="0.25">
      <c r="A1671" s="133">
        <v>44761</v>
      </c>
      <c r="B1671" s="19" t="s">
        <v>15</v>
      </c>
      <c r="C1671" s="21">
        <f t="shared" si="30"/>
        <v>-8.5500000000000007</v>
      </c>
      <c r="CQ1671" s="42">
        <v>-8.5500000000000007</v>
      </c>
    </row>
    <row r="1672" spans="1:242" x14ac:dyDescent="0.25">
      <c r="A1672" s="133">
        <v>44761</v>
      </c>
      <c r="B1672" s="64" t="s">
        <v>79</v>
      </c>
      <c r="C1672" s="21">
        <f t="shared" si="30"/>
        <v>-43.15</v>
      </c>
      <c r="BA1672" s="42">
        <v>-8.48</v>
      </c>
      <c r="BG1672" s="42">
        <v>-8.34</v>
      </c>
      <c r="BM1672" s="88">
        <v>-8.48</v>
      </c>
      <c r="CE1672" s="42">
        <v>-9.07</v>
      </c>
      <c r="CK1672" s="42">
        <v>-8.7799999999999994</v>
      </c>
    </row>
    <row r="1673" spans="1:242" x14ac:dyDescent="0.25">
      <c r="A1673" s="133">
        <v>44761</v>
      </c>
      <c r="B1673" s="64" t="s">
        <v>20</v>
      </c>
      <c r="C1673" s="21">
        <f t="shared" si="30"/>
        <v>-46.63</v>
      </c>
      <c r="AW1673" s="106">
        <v>-6.2</v>
      </c>
      <c r="BG1673" s="42">
        <v>-7.9</v>
      </c>
      <c r="BS1673" s="42">
        <v>-7.65</v>
      </c>
      <c r="BY1673" s="42">
        <v>-8.6</v>
      </c>
      <c r="CE1673" s="42">
        <v>-8.3800000000000008</v>
      </c>
      <c r="CY1673" s="106">
        <v>-7.9</v>
      </c>
    </row>
    <row r="1674" spans="1:242" x14ac:dyDescent="0.25">
      <c r="A1674" s="133">
        <v>44761</v>
      </c>
      <c r="B1674" s="64" t="s">
        <v>127</v>
      </c>
      <c r="C1674" s="21">
        <f t="shared" si="30"/>
        <v>-24.77</v>
      </c>
      <c r="BG1674" s="42">
        <v>-8.31</v>
      </c>
      <c r="CH1674" s="121">
        <v>-16.46</v>
      </c>
    </row>
    <row r="1675" spans="1:242" x14ac:dyDescent="0.25">
      <c r="A1675" s="133">
        <v>44761</v>
      </c>
      <c r="B1675" s="64" t="s">
        <v>139</v>
      </c>
      <c r="C1675" s="21">
        <f t="shared" si="30"/>
        <v>-77.81</v>
      </c>
      <c r="BG1675" s="42">
        <v>-8.32</v>
      </c>
      <c r="BM1675" s="88">
        <v>-8.4499999999999993</v>
      </c>
      <c r="BV1675" s="121">
        <v>-8.0399999999999991</v>
      </c>
      <c r="BY1675" s="42">
        <v>-17.559999999999999</v>
      </c>
      <c r="CK1675" s="42">
        <v>-18.07</v>
      </c>
      <c r="CQ1675" s="42">
        <v>-17.37</v>
      </c>
    </row>
    <row r="1676" spans="1:242" x14ac:dyDescent="0.25">
      <c r="A1676" s="133">
        <v>44761</v>
      </c>
      <c r="B1676" s="64" t="s">
        <v>32</v>
      </c>
      <c r="C1676" s="21">
        <f t="shared" si="30"/>
        <v>-17.45</v>
      </c>
      <c r="CQ1676" s="42">
        <v>-17.45</v>
      </c>
    </row>
    <row r="1677" spans="1:242" x14ac:dyDescent="0.25">
      <c r="A1677" s="133">
        <v>44761</v>
      </c>
      <c r="B1677" s="64" t="s">
        <v>136</v>
      </c>
      <c r="C1677" s="21">
        <f t="shared" si="30"/>
        <v>-34.11</v>
      </c>
      <c r="AV1677" s="69">
        <v>-8.52</v>
      </c>
      <c r="BM1677" s="88">
        <v>-8.4499999999999993</v>
      </c>
      <c r="BS1677" s="42">
        <v>-8.19</v>
      </c>
      <c r="CE1677" s="42">
        <v>-8.9499999999999993</v>
      </c>
    </row>
    <row r="1678" spans="1:242" x14ac:dyDescent="0.25">
      <c r="A1678" s="133">
        <v>44761</v>
      </c>
      <c r="B1678" s="64" t="s">
        <v>123</v>
      </c>
      <c r="C1678" s="21">
        <f t="shared" si="30"/>
        <v>-142.26</v>
      </c>
      <c r="HC1678" s="42">
        <v>-22.85</v>
      </c>
      <c r="HL1678" s="42">
        <v>-16.510000000000002</v>
      </c>
      <c r="HQ1678" s="42">
        <v>-7.56</v>
      </c>
      <c r="HU1678" s="42">
        <v>-16.52</v>
      </c>
      <c r="HW1678" s="42">
        <v>-7.5</v>
      </c>
      <c r="ID1678" s="42">
        <v>-31.28</v>
      </c>
      <c r="IH1678" s="34">
        <v>-40.04</v>
      </c>
    </row>
    <row r="1679" spans="1:242" x14ac:dyDescent="0.25">
      <c r="A1679" s="133">
        <v>44761</v>
      </c>
      <c r="B1679" s="64" t="s">
        <v>96</v>
      </c>
      <c r="C1679" s="21">
        <f t="shared" si="30"/>
        <v>-16.61</v>
      </c>
      <c r="BG1679" s="42">
        <v>-8.2100000000000009</v>
      </c>
      <c r="BM1679" s="88">
        <v>-8.4</v>
      </c>
    </row>
    <row r="1680" spans="1:242" x14ac:dyDescent="0.25">
      <c r="A1680" s="133">
        <v>44761</v>
      </c>
      <c r="B1680" s="64" t="s">
        <v>27</v>
      </c>
      <c r="C1680" s="21">
        <f t="shared" si="30"/>
        <v>-16.59</v>
      </c>
      <c r="BG1680" s="42">
        <v>-16.59</v>
      </c>
    </row>
    <row r="1681" spans="1:238" x14ac:dyDescent="0.25">
      <c r="A1681" s="133">
        <v>44761</v>
      </c>
      <c r="B1681" s="64" t="s">
        <v>137</v>
      </c>
      <c r="C1681" s="21">
        <f t="shared" si="30"/>
        <v>-51.445</v>
      </c>
      <c r="AV1681" s="69">
        <v>-8.5549999999999997</v>
      </c>
      <c r="BA1681" s="42">
        <v>-8.48</v>
      </c>
      <c r="BG1681" s="42">
        <v>-8.2799999999999994</v>
      </c>
      <c r="BM1681" s="88">
        <v>-8.4499999999999993</v>
      </c>
      <c r="BY1681" s="42">
        <v>-8.7799999999999994</v>
      </c>
      <c r="CE1681" s="42">
        <v>-8.9</v>
      </c>
    </row>
    <row r="1682" spans="1:238" x14ac:dyDescent="0.25">
      <c r="A1682" s="133">
        <v>44761</v>
      </c>
      <c r="B1682" s="64" t="s">
        <v>140</v>
      </c>
      <c r="C1682" s="21">
        <f t="shared" si="30"/>
        <v>-25.62</v>
      </c>
      <c r="D1682" s="386">
        <v>-25.62</v>
      </c>
    </row>
    <row r="1683" spans="1:238" x14ac:dyDescent="0.25">
      <c r="A1683" s="133">
        <v>44761</v>
      </c>
      <c r="B1683" s="64" t="s">
        <v>75</v>
      </c>
      <c r="C1683" s="21">
        <f t="shared" si="30"/>
        <v>-33.369999999999997</v>
      </c>
      <c r="AB1683" s="69">
        <v>-8.5</v>
      </c>
      <c r="AM1683" s="69">
        <v>-8.2899999999999991</v>
      </c>
      <c r="BG1683" s="42">
        <v>-8.17</v>
      </c>
      <c r="BM1683" s="88">
        <v>-8.41</v>
      </c>
    </row>
    <row r="1684" spans="1:238" x14ac:dyDescent="0.25">
      <c r="A1684" s="133">
        <v>44762</v>
      </c>
      <c r="B1684" s="64" t="s">
        <v>222</v>
      </c>
      <c r="C1684" s="21">
        <f t="shared" si="30"/>
        <v>-19.46</v>
      </c>
      <c r="T1684" s="42">
        <v>-3.38</v>
      </c>
      <c r="BL1684" s="182">
        <v>-7.8</v>
      </c>
      <c r="BM1684" s="88">
        <v>-8.2799999999999994</v>
      </c>
    </row>
    <row r="1685" spans="1:238" x14ac:dyDescent="0.25">
      <c r="A1685" s="133">
        <v>44762</v>
      </c>
      <c r="B1685" s="64" t="s">
        <v>75</v>
      </c>
      <c r="C1685" s="21">
        <f t="shared" si="30"/>
        <v>-8.5449999999999999</v>
      </c>
      <c r="U1685" s="69">
        <v>-8.5449999999999999</v>
      </c>
    </row>
    <row r="1686" spans="1:238" x14ac:dyDescent="0.25">
      <c r="A1686" s="133">
        <v>44762</v>
      </c>
      <c r="B1686" s="64" t="s">
        <v>20</v>
      </c>
      <c r="C1686" s="21">
        <f t="shared" si="30"/>
        <v>-69.8</v>
      </c>
      <c r="GY1686" s="42">
        <v>-69.8</v>
      </c>
    </row>
    <row r="1687" spans="1:238" x14ac:dyDescent="0.25">
      <c r="A1687" s="133">
        <v>44762</v>
      </c>
      <c r="B1687" s="64" t="s">
        <v>25</v>
      </c>
      <c r="C1687" s="21">
        <f t="shared" si="30"/>
        <v>-49.36</v>
      </c>
      <c r="BA1687" s="42">
        <v>-8.49</v>
      </c>
      <c r="BL1687" s="182">
        <v>-8.9700000000000006</v>
      </c>
      <c r="BO1687" s="106">
        <v>-8.15</v>
      </c>
      <c r="BV1687" s="121">
        <v>-8.24</v>
      </c>
      <c r="BY1687" s="42">
        <v>-6.61</v>
      </c>
      <c r="CE1687" s="42">
        <v>-8.9</v>
      </c>
    </row>
    <row r="1688" spans="1:238" x14ac:dyDescent="0.25">
      <c r="A1688" s="133">
        <v>44762</v>
      </c>
      <c r="B1688" s="19" t="s">
        <v>37</v>
      </c>
      <c r="C1688" s="21">
        <f t="shared" si="30"/>
        <v>-23.94</v>
      </c>
      <c r="HS1688" s="38">
        <v>-23.94</v>
      </c>
    </row>
    <row r="1689" spans="1:238" x14ac:dyDescent="0.25">
      <c r="A1689" s="133">
        <v>44762</v>
      </c>
      <c r="B1689" s="19" t="s">
        <v>144</v>
      </c>
      <c r="C1689" s="21">
        <f t="shared" si="30"/>
        <v>-64.959999999999994</v>
      </c>
      <c r="GY1689" s="42">
        <v>-34</v>
      </c>
      <c r="HE1689" s="42">
        <v>-30.96</v>
      </c>
    </row>
    <row r="1690" spans="1:238" x14ac:dyDescent="0.25">
      <c r="A1690" s="133">
        <v>44763</v>
      </c>
      <c r="B1690" s="19" t="s">
        <v>15</v>
      </c>
      <c r="C1690" s="21">
        <f t="shared" si="30"/>
        <v>-51.87</v>
      </c>
      <c r="DN1690" s="42">
        <v>-42.9</v>
      </c>
      <c r="DQ1690" s="121">
        <v>-8.9700000000000006</v>
      </c>
    </row>
    <row r="1691" spans="1:238" x14ac:dyDescent="0.25">
      <c r="A1691" s="133">
        <v>44763</v>
      </c>
      <c r="B1691" s="64" t="s">
        <v>133</v>
      </c>
      <c r="C1691" s="21">
        <f t="shared" si="30"/>
        <v>-34.79</v>
      </c>
      <c r="AU1691" s="42">
        <v>-34.79</v>
      </c>
    </row>
    <row r="1692" spans="1:238" x14ac:dyDescent="0.25">
      <c r="A1692" s="133">
        <v>44763</v>
      </c>
      <c r="B1692" s="64" t="s">
        <v>123</v>
      </c>
      <c r="C1692" s="21">
        <f t="shared" si="30"/>
        <v>-24.07</v>
      </c>
      <c r="BO1692" s="106">
        <v>-8.1</v>
      </c>
      <c r="HL1692" s="42">
        <v>-8.18</v>
      </c>
      <c r="ID1692" s="42">
        <v>-7.79</v>
      </c>
    </row>
    <row r="1693" spans="1:238" x14ac:dyDescent="0.25">
      <c r="A1693" s="133">
        <v>44763</v>
      </c>
      <c r="B1693" s="64" t="s">
        <v>95</v>
      </c>
      <c r="C1693" s="21">
        <f t="shared" si="30"/>
        <v>-170.22</v>
      </c>
      <c r="CK1693" s="42">
        <v>-69.53</v>
      </c>
      <c r="CQ1693" s="42">
        <v>-34.42</v>
      </c>
      <c r="CY1693" s="106">
        <v>-66.27</v>
      </c>
    </row>
    <row r="1694" spans="1:238" x14ac:dyDescent="0.25">
      <c r="A1694" s="133">
        <v>44763</v>
      </c>
      <c r="B1694" s="19" t="s">
        <v>145</v>
      </c>
      <c r="C1694" s="21">
        <f t="shared" si="30"/>
        <v>-727.87</v>
      </c>
      <c r="HQ1694" s="42">
        <f>-30.87-30.64-7.58-7.71</f>
        <v>-76.8</v>
      </c>
      <c r="HS1694" s="38">
        <v>-651.07000000000005</v>
      </c>
    </row>
    <row r="1695" spans="1:238" x14ac:dyDescent="0.25">
      <c r="A1695" s="133">
        <v>44763</v>
      </c>
      <c r="B1695" s="64" t="s">
        <v>141</v>
      </c>
      <c r="C1695" s="21">
        <f t="shared" si="30"/>
        <v>-17.41</v>
      </c>
      <c r="AV1695" s="69">
        <v>-8.5500000000000007</v>
      </c>
      <c r="BY1695" s="42">
        <v>-8.86</v>
      </c>
    </row>
    <row r="1696" spans="1:238" x14ac:dyDescent="0.25">
      <c r="A1696" s="133">
        <v>44763</v>
      </c>
      <c r="B1696" s="64" t="s">
        <v>44</v>
      </c>
      <c r="C1696" s="21">
        <f t="shared" si="30"/>
        <v>-322.62</v>
      </c>
      <c r="GP1696" s="42">
        <v>-111.35</v>
      </c>
      <c r="GV1696" s="42">
        <v>-74.8</v>
      </c>
      <c r="GY1696" s="42">
        <v>-34.799999999999997</v>
      </c>
      <c r="HE1696" s="42">
        <v>-31.63</v>
      </c>
      <c r="HW1696" s="42">
        <v>-8.0500000000000007</v>
      </c>
      <c r="IB1696" s="42">
        <v>-61.99</v>
      </c>
    </row>
    <row r="1697" spans="1:122" x14ac:dyDescent="0.25">
      <c r="A1697" s="133">
        <v>44763</v>
      </c>
      <c r="B1697" s="64" t="s">
        <v>146</v>
      </c>
      <c r="C1697" s="21">
        <f t="shared" si="30"/>
        <v>1012.15</v>
      </c>
      <c r="AM1697" s="69">
        <v>134.38</v>
      </c>
      <c r="AQ1697" s="69">
        <v>134.22</v>
      </c>
      <c r="BH1697" s="69">
        <v>135.69999999999999</v>
      </c>
      <c r="BN1697" s="69">
        <v>133.535</v>
      </c>
      <c r="BT1697" s="69">
        <v>168.76499999999999</v>
      </c>
      <c r="BZ1697" s="69">
        <v>169.74</v>
      </c>
      <c r="CF1697" s="69">
        <v>135.81</v>
      </c>
    </row>
    <row r="1698" spans="1:122" x14ac:dyDescent="0.25">
      <c r="A1698" s="133">
        <v>44763</v>
      </c>
      <c r="B1698" s="64" t="s">
        <v>25</v>
      </c>
      <c r="C1698" s="21">
        <f t="shared" si="30"/>
        <v>-17.079999999999998</v>
      </c>
      <c r="AQ1698" s="69">
        <v>-8.41</v>
      </c>
      <c r="CQ1698" s="42">
        <v>-8.67</v>
      </c>
    </row>
    <row r="1699" spans="1:122" x14ac:dyDescent="0.25">
      <c r="A1699" s="133">
        <v>44764</v>
      </c>
      <c r="B1699" s="64" t="s">
        <v>14</v>
      </c>
      <c r="C1699" s="21">
        <f t="shared" si="30"/>
        <v>-371.98</v>
      </c>
      <c r="AQ1699" s="69">
        <v>-33.6</v>
      </c>
      <c r="AU1699" s="42">
        <v>-34.36</v>
      </c>
      <c r="BA1699" s="42">
        <v>-68.11</v>
      </c>
      <c r="BH1699" s="69">
        <v>-67.81</v>
      </c>
      <c r="BN1699" s="69">
        <v>-66.704999999999998</v>
      </c>
      <c r="BT1699" s="69">
        <v>-67.495000000000005</v>
      </c>
      <c r="BZ1699" s="69">
        <v>-33.9</v>
      </c>
    </row>
    <row r="1700" spans="1:122" x14ac:dyDescent="0.25">
      <c r="A1700" s="133">
        <v>44764</v>
      </c>
      <c r="B1700" s="64" t="s">
        <v>133</v>
      </c>
      <c r="C1700" s="21">
        <f t="shared" si="30"/>
        <v>-67.400000000000006</v>
      </c>
      <c r="BN1700" s="69">
        <v>-33.42</v>
      </c>
      <c r="BZ1700" s="69">
        <v>-33.979999999999997</v>
      </c>
    </row>
    <row r="1701" spans="1:122" x14ac:dyDescent="0.25">
      <c r="A1701" s="133">
        <v>44764</v>
      </c>
      <c r="B1701" s="64" t="s">
        <v>17</v>
      </c>
      <c r="C1701" s="21">
        <f t="shared" si="30"/>
        <v>-82.795000000000002</v>
      </c>
      <c r="BA1701" s="42">
        <v>-32.4</v>
      </c>
      <c r="BH1701" s="69">
        <v>-33.92</v>
      </c>
      <c r="BT1701" s="69">
        <v>-8.4250000000000007</v>
      </c>
      <c r="CK1701" s="42">
        <v>-8.0500000000000007</v>
      </c>
    </row>
    <row r="1702" spans="1:122" x14ac:dyDescent="0.25">
      <c r="A1702" s="133">
        <v>44764</v>
      </c>
      <c r="B1702" s="64" t="s">
        <v>15</v>
      </c>
      <c r="C1702" s="21">
        <f t="shared" si="30"/>
        <v>-101.035</v>
      </c>
      <c r="AM1702" s="69">
        <v>-33.58</v>
      </c>
      <c r="AQ1702" s="69">
        <v>-33.53</v>
      </c>
      <c r="BZ1702" s="69">
        <v>-33.924999999999997</v>
      </c>
    </row>
    <row r="1703" spans="1:122" x14ac:dyDescent="0.25">
      <c r="A1703" s="133">
        <v>44764</v>
      </c>
      <c r="B1703" s="64" t="s">
        <v>133</v>
      </c>
      <c r="C1703" s="21">
        <f t="shared" si="30"/>
        <v>-16.579999999999998</v>
      </c>
      <c r="AE1703" s="42">
        <v>-16.579999999999998</v>
      </c>
    </row>
    <row r="1704" spans="1:122" x14ac:dyDescent="0.25">
      <c r="A1704" s="133">
        <v>44764</v>
      </c>
      <c r="B1704" s="64" t="s">
        <v>15</v>
      </c>
      <c r="C1704" s="21">
        <f t="shared" si="30"/>
        <v>-49.854999999999997</v>
      </c>
      <c r="AU1704" s="42">
        <v>-32.979999999999997</v>
      </c>
      <c r="BT1704" s="69">
        <f>-8.435-8.44</f>
        <v>-16.875</v>
      </c>
    </row>
    <row r="1705" spans="1:122" x14ac:dyDescent="0.25">
      <c r="A1705" s="133">
        <v>44764</v>
      </c>
      <c r="B1705" s="19" t="s">
        <v>29</v>
      </c>
      <c r="C1705" s="21">
        <f t="shared" si="30"/>
        <v>-76.989999999999995</v>
      </c>
      <c r="AM1705" s="69">
        <v>-8.375</v>
      </c>
      <c r="AQ1705" s="69">
        <v>-8.4</v>
      </c>
      <c r="AV1705" s="69">
        <v>-8.5449999999999999</v>
      </c>
      <c r="BA1705" s="42">
        <v>-8.5500000000000007</v>
      </c>
      <c r="BH1705" s="69">
        <v>-8.5</v>
      </c>
      <c r="BO1705" s="106">
        <v>-8.15</v>
      </c>
      <c r="BT1705" s="69">
        <v>-8.43</v>
      </c>
      <c r="BY1705" s="42">
        <f>-9.26-8.78</f>
        <v>-18.04</v>
      </c>
    </row>
    <row r="1706" spans="1:122" x14ac:dyDescent="0.25">
      <c r="A1706" s="133">
        <v>44762</v>
      </c>
      <c r="B1706" s="64" t="s">
        <v>59</v>
      </c>
      <c r="C1706" s="21">
        <f t="shared" si="30"/>
        <v>-8.36</v>
      </c>
      <c r="DB1706" s="115">
        <v>-8.36</v>
      </c>
    </row>
    <row r="1707" spans="1:122" x14ac:dyDescent="0.25">
      <c r="A1707" s="133">
        <v>44764</v>
      </c>
      <c r="B1707" s="64" t="s">
        <v>58</v>
      </c>
      <c r="C1707" s="21">
        <f t="shared" si="30"/>
        <v>-8.5500000000000007</v>
      </c>
      <c r="CQ1707" s="42">
        <v>-8.5500000000000007</v>
      </c>
    </row>
    <row r="1708" spans="1:122" x14ac:dyDescent="0.25">
      <c r="A1708" s="133">
        <v>44764</v>
      </c>
      <c r="B1708" s="64" t="s">
        <v>113</v>
      </c>
      <c r="C1708" s="21">
        <f t="shared" si="30"/>
        <v>0</v>
      </c>
    </row>
    <row r="1709" spans="1:122" x14ac:dyDescent="0.25">
      <c r="A1709" s="127">
        <v>44764</v>
      </c>
      <c r="B1709" s="24" t="s">
        <v>59</v>
      </c>
      <c r="C1709" s="21">
        <f t="shared" si="30"/>
        <v>-3.02</v>
      </c>
      <c r="BY1709" s="42">
        <v>-3.02</v>
      </c>
    </row>
    <row r="1710" spans="1:122" x14ac:dyDescent="0.25">
      <c r="A1710" s="127">
        <v>44765</v>
      </c>
      <c r="B1710" s="24" t="s">
        <v>78</v>
      </c>
      <c r="C1710" s="21">
        <f t="shared" si="30"/>
        <v>-16.7</v>
      </c>
      <c r="BH1710" s="69">
        <v>-8.49</v>
      </c>
      <c r="BL1710" s="182">
        <v>-8.2100000000000009</v>
      </c>
    </row>
    <row r="1711" spans="1:122" x14ac:dyDescent="0.25">
      <c r="A1711" s="127">
        <v>44767</v>
      </c>
      <c r="B1711" s="24" t="s">
        <v>17</v>
      </c>
      <c r="C1711" s="21">
        <f t="shared" si="30"/>
        <v>-16.875</v>
      </c>
      <c r="BO1711" s="106">
        <v>-8.4499999999999993</v>
      </c>
      <c r="BT1711" s="69">
        <v>-8.4250000000000007</v>
      </c>
    </row>
    <row r="1712" spans="1:122" x14ac:dyDescent="0.25">
      <c r="A1712" s="127">
        <v>44767</v>
      </c>
      <c r="B1712" s="24" t="s">
        <v>146</v>
      </c>
      <c r="C1712" s="21">
        <f t="shared" si="30"/>
        <v>-370.79</v>
      </c>
      <c r="AU1712" s="42">
        <v>-131.69</v>
      </c>
      <c r="CF1712" s="69">
        <v>-33.97</v>
      </c>
      <c r="CW1712" s="42">
        <v>-139.66999999999999</v>
      </c>
      <c r="CY1712" s="106">
        <v>-31.85</v>
      </c>
      <c r="DR1712" s="46">
        <v>-33.61</v>
      </c>
    </row>
    <row r="1713" spans="1:229" x14ac:dyDescent="0.25">
      <c r="A1713" s="127">
        <v>44767</v>
      </c>
      <c r="B1713" s="24" t="s">
        <v>72</v>
      </c>
      <c r="C1713" s="21">
        <f t="shared" ref="C1713:C1776" si="31">SUM(D1713:JT1713)</f>
        <v>-15.1</v>
      </c>
      <c r="CY1713" s="106">
        <v>-15.1</v>
      </c>
    </row>
    <row r="1714" spans="1:229" x14ac:dyDescent="0.25">
      <c r="A1714" s="127">
        <v>44767</v>
      </c>
      <c r="B1714" s="24" t="s">
        <v>123</v>
      </c>
      <c r="C1714" s="21">
        <f t="shared" si="31"/>
        <v>63.44</v>
      </c>
      <c r="HC1714" s="42">
        <v>22.85</v>
      </c>
      <c r="HL1714" s="42">
        <v>16.510000000000002</v>
      </c>
      <c r="HQ1714" s="42">
        <v>7.56</v>
      </c>
      <c r="HU1714" s="42">
        <v>16.52</v>
      </c>
    </row>
    <row r="1715" spans="1:229" x14ac:dyDescent="0.25">
      <c r="A1715" s="127">
        <v>44768</v>
      </c>
      <c r="B1715" s="24" t="s">
        <v>32</v>
      </c>
      <c r="C1715" s="21">
        <f t="shared" si="31"/>
        <v>-67.25</v>
      </c>
      <c r="BH1715" s="69">
        <v>-8.4949999999999992</v>
      </c>
      <c r="BN1715" s="69">
        <v>-8.27</v>
      </c>
      <c r="BT1715" s="69">
        <v>-33.744999999999997</v>
      </c>
      <c r="BZ1715" s="69">
        <v>-8.49</v>
      </c>
      <c r="CY1715" s="106">
        <v>-8.25</v>
      </c>
    </row>
    <row r="1716" spans="1:229" x14ac:dyDescent="0.25">
      <c r="A1716" s="127">
        <v>44768</v>
      </c>
      <c r="B1716" s="24" t="s">
        <v>79</v>
      </c>
      <c r="C1716" s="21">
        <f t="shared" si="31"/>
        <v>-50.164999999999999</v>
      </c>
      <c r="AQ1716" s="69">
        <v>-8.39</v>
      </c>
      <c r="BA1716" s="42">
        <v>-8.4700000000000006</v>
      </c>
      <c r="BT1716" s="69">
        <v>-8.4649999999999999</v>
      </c>
      <c r="BZ1716" s="69">
        <v>-8.5</v>
      </c>
      <c r="CK1716" s="42">
        <v>-8.27</v>
      </c>
      <c r="CQ1716" s="42">
        <v>-8.07</v>
      </c>
    </row>
    <row r="1717" spans="1:229" x14ac:dyDescent="0.25">
      <c r="A1717" s="127">
        <v>44768</v>
      </c>
      <c r="B1717" s="24" t="s">
        <v>27</v>
      </c>
      <c r="C1717" s="21">
        <f t="shared" si="31"/>
        <v>-17.32</v>
      </c>
      <c r="BA1717" s="42">
        <v>-8.4700000000000006</v>
      </c>
      <c r="BL1717" s="182">
        <v>-8.85</v>
      </c>
    </row>
    <row r="1718" spans="1:229" x14ac:dyDescent="0.25">
      <c r="A1718" s="127">
        <v>44768</v>
      </c>
      <c r="B1718" s="24" t="s">
        <v>138</v>
      </c>
      <c r="C1718" s="21">
        <f t="shared" si="31"/>
        <v>-8.34</v>
      </c>
      <c r="AQ1718" s="69">
        <v>-8.34</v>
      </c>
    </row>
    <row r="1719" spans="1:229" x14ac:dyDescent="0.25">
      <c r="A1719" s="127">
        <v>44768</v>
      </c>
      <c r="B1719" s="24" t="s">
        <v>20</v>
      </c>
      <c r="C1719" s="21">
        <f t="shared" si="31"/>
        <v>-25.42</v>
      </c>
      <c r="AQ1719" s="69">
        <v>-8.3849999999999998</v>
      </c>
      <c r="BZ1719" s="69">
        <v>-8.5050000000000008</v>
      </c>
      <c r="CY1719" s="106">
        <v>-8.5299999999999994</v>
      </c>
    </row>
    <row r="1720" spans="1:229" x14ac:dyDescent="0.25">
      <c r="A1720" s="127">
        <v>44768</v>
      </c>
      <c r="B1720" s="24" t="s">
        <v>25</v>
      </c>
      <c r="C1720" s="21">
        <f t="shared" si="31"/>
        <v>-43.58</v>
      </c>
      <c r="BT1720" s="69">
        <v>-8.48</v>
      </c>
      <c r="BZ1720" s="69">
        <v>-8.49</v>
      </c>
      <c r="CE1720" s="42">
        <v>-17.91</v>
      </c>
      <c r="CQ1720" s="42">
        <v>-8.6999999999999993</v>
      </c>
    </row>
    <row r="1721" spans="1:229" x14ac:dyDescent="0.25">
      <c r="A1721" s="127">
        <v>44768</v>
      </c>
      <c r="B1721" s="24" t="s">
        <v>127</v>
      </c>
      <c r="C1721" s="21">
        <f t="shared" si="31"/>
        <v>-25.164999999999999</v>
      </c>
      <c r="AU1721" s="42">
        <v>-8.27</v>
      </c>
      <c r="BA1721" s="42">
        <v>-8.4700000000000006</v>
      </c>
      <c r="BT1721" s="69">
        <v>-8.4250000000000007</v>
      </c>
    </row>
    <row r="1722" spans="1:229" x14ac:dyDescent="0.25">
      <c r="A1722" s="127">
        <v>44768</v>
      </c>
      <c r="B1722" s="24" t="s">
        <v>20</v>
      </c>
      <c r="C1722" s="21">
        <f t="shared" si="31"/>
        <v>-17.175000000000001</v>
      </c>
      <c r="Y1722" s="69">
        <v>-8.6750000000000007</v>
      </c>
      <c r="AB1722" s="69">
        <v>-8.5</v>
      </c>
    </row>
    <row r="1723" spans="1:229" x14ac:dyDescent="0.25">
      <c r="A1723" s="127">
        <v>44768</v>
      </c>
      <c r="B1723" s="24" t="s">
        <v>84</v>
      </c>
      <c r="C1723" s="21">
        <f t="shared" si="31"/>
        <v>-67.575000000000003</v>
      </c>
      <c r="AU1723" s="42">
        <v>-16.829999999999998</v>
      </c>
      <c r="BA1723" s="42">
        <v>-17.03</v>
      </c>
      <c r="BH1723" s="69">
        <v>-16.97</v>
      </c>
      <c r="BN1723" s="69">
        <v>-16.745000000000001</v>
      </c>
    </row>
    <row r="1724" spans="1:229" x14ac:dyDescent="0.25">
      <c r="A1724" s="127">
        <v>44768</v>
      </c>
      <c r="B1724" s="24" t="s">
        <v>139</v>
      </c>
      <c r="C1724" s="21">
        <f t="shared" si="31"/>
        <v>-16.885000000000002</v>
      </c>
      <c r="BH1724" s="69">
        <v>-8.49</v>
      </c>
      <c r="BN1724" s="69">
        <v>-8.3949999999999996</v>
      </c>
    </row>
    <row r="1725" spans="1:229" x14ac:dyDescent="0.25">
      <c r="A1725" s="127">
        <v>44768</v>
      </c>
      <c r="B1725" s="24" t="s">
        <v>146</v>
      </c>
      <c r="C1725" s="21">
        <f t="shared" si="31"/>
        <v>339.15</v>
      </c>
      <c r="Y1725" s="69">
        <v>33.86</v>
      </c>
      <c r="AB1725" s="69">
        <v>68</v>
      </c>
      <c r="BH1725" s="69">
        <v>237.29</v>
      </c>
    </row>
    <row r="1726" spans="1:229" x14ac:dyDescent="0.25">
      <c r="A1726" s="127">
        <v>44769</v>
      </c>
      <c r="B1726" s="24" t="s">
        <v>37</v>
      </c>
      <c r="C1726" s="21">
        <f t="shared" si="31"/>
        <v>-31.26</v>
      </c>
      <c r="HE1726" s="42">
        <v>-31.26</v>
      </c>
    </row>
    <row r="1727" spans="1:229" x14ac:dyDescent="0.25">
      <c r="A1727" s="127">
        <v>44769</v>
      </c>
      <c r="B1727" s="24" t="s">
        <v>32</v>
      </c>
      <c r="C1727" s="21">
        <f t="shared" si="31"/>
        <v>-8.4499999999999993</v>
      </c>
      <c r="CW1727" s="42">
        <v>-8.4499999999999993</v>
      </c>
    </row>
    <row r="1728" spans="1:229" x14ac:dyDescent="0.25">
      <c r="A1728" s="127">
        <v>44769</v>
      </c>
      <c r="B1728" s="24" t="s">
        <v>135</v>
      </c>
      <c r="C1728" s="21">
        <f t="shared" si="31"/>
        <v>-132.4</v>
      </c>
      <c r="AB1728" s="69">
        <v>-8.4749999999999996</v>
      </c>
      <c r="AQ1728" s="69">
        <v>-8.3650000000000002</v>
      </c>
      <c r="AU1728" s="42">
        <v>-8.26</v>
      </c>
      <c r="BA1728" s="42">
        <v>-7.99</v>
      </c>
      <c r="BH1728" s="69">
        <v>-8.49</v>
      </c>
      <c r="BR1728" s="182">
        <v>-9.73</v>
      </c>
      <c r="BV1728" s="121">
        <v>-8.73</v>
      </c>
      <c r="CQ1728" s="42">
        <v>-8.67</v>
      </c>
      <c r="DC1728" s="42">
        <v>-8.86</v>
      </c>
      <c r="DR1728" s="46">
        <v>-7.66</v>
      </c>
      <c r="EC1728" s="126">
        <v>-8.52</v>
      </c>
      <c r="EL1728" s="106">
        <v>-8.26</v>
      </c>
      <c r="ET1728" s="106">
        <v>-8.92</v>
      </c>
      <c r="FX1728" s="34">
        <v>-21.47</v>
      </c>
    </row>
    <row r="1729" spans="1:238" x14ac:dyDescent="0.25">
      <c r="A1729" s="127">
        <v>44769</v>
      </c>
      <c r="B1729" s="24" t="s">
        <v>17</v>
      </c>
      <c r="C1729" s="21">
        <f t="shared" si="31"/>
        <v>-102.12</v>
      </c>
      <c r="AB1729" s="69">
        <v>-8.52</v>
      </c>
      <c r="AU1729" s="42">
        <v>-17.010000000000002</v>
      </c>
      <c r="BA1729" s="42">
        <v>-16.89</v>
      </c>
      <c r="BH1729" s="69">
        <v>-25.434999999999999</v>
      </c>
      <c r="CF1729" s="69">
        <v>-8.5250000000000004</v>
      </c>
      <c r="CW1729" s="42">
        <v>-17.170000000000002</v>
      </c>
      <c r="DC1729" s="42">
        <v>-8.57</v>
      </c>
    </row>
    <row r="1730" spans="1:238" x14ac:dyDescent="0.25">
      <c r="A1730" s="127">
        <v>44769</v>
      </c>
      <c r="B1730" s="24" t="s">
        <v>138</v>
      </c>
      <c r="C1730" s="21">
        <f t="shared" si="31"/>
        <v>-7.79</v>
      </c>
      <c r="Y1730" s="69">
        <v>-7.79</v>
      </c>
    </row>
    <row r="1731" spans="1:238" x14ac:dyDescent="0.25">
      <c r="A1731" s="127">
        <v>44769</v>
      </c>
      <c r="B1731" s="24" t="s">
        <v>25</v>
      </c>
      <c r="C1731" s="21">
        <f t="shared" si="31"/>
        <v>-8.7050000000000001</v>
      </c>
      <c r="Y1731" s="69">
        <v>-8.7050000000000001</v>
      </c>
    </row>
    <row r="1732" spans="1:238" x14ac:dyDescent="0.25">
      <c r="A1732" s="127">
        <v>44770</v>
      </c>
      <c r="B1732" s="24" t="s">
        <v>133</v>
      </c>
      <c r="C1732" s="21">
        <f t="shared" si="31"/>
        <v>-103.035</v>
      </c>
      <c r="BH1732" s="69">
        <v>-33.93</v>
      </c>
      <c r="CF1732" s="69">
        <v>-33.994999999999997</v>
      </c>
      <c r="CW1732" s="42">
        <v>-35.11</v>
      </c>
    </row>
    <row r="1733" spans="1:238" x14ac:dyDescent="0.25">
      <c r="A1733" s="127">
        <v>44770</v>
      </c>
      <c r="B1733" s="23" t="s">
        <v>139</v>
      </c>
      <c r="C1733" s="21">
        <f t="shared" si="31"/>
        <v>-8.5350000000000001</v>
      </c>
      <c r="CF1733" s="69">
        <v>-8.5350000000000001</v>
      </c>
    </row>
    <row r="1734" spans="1:238" x14ac:dyDescent="0.25">
      <c r="A1734" s="127">
        <v>44770</v>
      </c>
      <c r="B1734" s="23" t="s">
        <v>29</v>
      </c>
      <c r="C1734" s="21">
        <f t="shared" si="31"/>
        <v>-17.809999999999999</v>
      </c>
      <c r="DF1734" s="121">
        <v>-17.809999999999999</v>
      </c>
    </row>
    <row r="1735" spans="1:238" x14ac:dyDescent="0.25">
      <c r="A1735" s="127">
        <v>44770</v>
      </c>
      <c r="B1735" s="23" t="s">
        <v>144</v>
      </c>
      <c r="C1735" s="21">
        <f t="shared" si="31"/>
        <v>-287.26</v>
      </c>
      <c r="GY1735" s="42">
        <v>-86.3</v>
      </c>
      <c r="HE1735" s="42">
        <v>-200.96</v>
      </c>
    </row>
    <row r="1736" spans="1:238" x14ac:dyDescent="0.25">
      <c r="A1736" s="127">
        <v>44770</v>
      </c>
      <c r="B1736" s="24" t="s">
        <v>84</v>
      </c>
      <c r="C1736" s="21">
        <f t="shared" si="31"/>
        <v>-33.049999999999997</v>
      </c>
      <c r="CK1736" s="42">
        <v>-33.049999999999997</v>
      </c>
    </row>
    <row r="1737" spans="1:238" x14ac:dyDescent="0.25">
      <c r="A1737" s="127">
        <v>44771</v>
      </c>
      <c r="B1737" s="24" t="s">
        <v>123</v>
      </c>
      <c r="C1737" s="21">
        <f t="shared" si="31"/>
        <v>-32.43</v>
      </c>
      <c r="DR1737" s="46">
        <v>-16.98</v>
      </c>
      <c r="HW1737" s="42">
        <v>-15.45</v>
      </c>
    </row>
    <row r="1738" spans="1:238" x14ac:dyDescent="0.25">
      <c r="A1738" s="127">
        <v>44771</v>
      </c>
      <c r="B1738" s="24" t="s">
        <v>20</v>
      </c>
      <c r="C1738" s="21">
        <f t="shared" si="31"/>
        <v>-49.905000000000001</v>
      </c>
      <c r="U1738" s="69">
        <v>-8.56</v>
      </c>
      <c r="BD1738" s="121">
        <v>-6.79</v>
      </c>
      <c r="BH1738" s="69">
        <v>-8.4350000000000005</v>
      </c>
      <c r="BR1738" s="182">
        <v>-9.67</v>
      </c>
      <c r="BV1738" s="121">
        <v>-8.18</v>
      </c>
      <c r="CK1738" s="42">
        <v>-8.27</v>
      </c>
    </row>
    <row r="1739" spans="1:238" x14ac:dyDescent="0.25">
      <c r="A1739" s="127">
        <v>44772</v>
      </c>
      <c r="B1739" s="24" t="s">
        <v>146</v>
      </c>
      <c r="C1739" s="21">
        <f t="shared" si="31"/>
        <v>611.75</v>
      </c>
      <c r="AM1739" s="69">
        <v>68.319999999999993</v>
      </c>
      <c r="AQ1739" s="69">
        <v>102.08</v>
      </c>
      <c r="AV1739" s="69">
        <v>101.58</v>
      </c>
      <c r="CR1739" s="69">
        <v>339.77</v>
      </c>
    </row>
    <row r="1740" spans="1:238" x14ac:dyDescent="0.25">
      <c r="A1740" s="127">
        <v>44775</v>
      </c>
      <c r="B1740" s="24" t="s">
        <v>2</v>
      </c>
      <c r="C1740" s="21">
        <f t="shared" si="31"/>
        <v>1021.14</v>
      </c>
      <c r="IB1740" s="42">
        <v>523.44000000000005</v>
      </c>
      <c r="ID1740" s="42">
        <v>497.7</v>
      </c>
    </row>
    <row r="1741" spans="1:238" x14ac:dyDescent="0.25">
      <c r="A1741" s="127">
        <v>44775</v>
      </c>
      <c r="B1741" s="24" t="s">
        <v>25</v>
      </c>
      <c r="C1741" s="21">
        <f t="shared" si="31"/>
        <v>-68.48</v>
      </c>
      <c r="DC1741" s="42">
        <v>-8.4499999999999993</v>
      </c>
      <c r="DF1741" s="121">
        <v>-16.329999999999998</v>
      </c>
      <c r="DI1741" s="42">
        <f>-8.88-8.72</f>
        <v>-17.600000000000001</v>
      </c>
      <c r="DK1741" s="106">
        <f>-8.9-8.6-8.6</f>
        <v>-26.1</v>
      </c>
    </row>
    <row r="1742" spans="1:238" x14ac:dyDescent="0.25">
      <c r="A1742" s="127">
        <v>44775</v>
      </c>
      <c r="B1742" s="24" t="s">
        <v>17</v>
      </c>
      <c r="C1742" s="21">
        <f t="shared" si="31"/>
        <v>-50.475000000000001</v>
      </c>
      <c r="AM1742" s="69">
        <v>-8.375</v>
      </c>
      <c r="AQ1742" s="69">
        <v>-8.3849999999999998</v>
      </c>
      <c r="AU1742" s="42">
        <v>-8.2799999999999994</v>
      </c>
      <c r="BH1742" s="69">
        <v>-8.4749999999999996</v>
      </c>
      <c r="BZ1742" s="69">
        <v>-8.4949999999999992</v>
      </c>
      <c r="CF1742" s="69">
        <v>-8.4649999999999999</v>
      </c>
    </row>
    <row r="1743" spans="1:238" x14ac:dyDescent="0.25">
      <c r="A1743" s="127">
        <v>44775</v>
      </c>
      <c r="B1743" s="24" t="s">
        <v>123</v>
      </c>
      <c r="C1743" s="21">
        <f t="shared" si="31"/>
        <v>0</v>
      </c>
    </row>
    <row r="1744" spans="1:238" x14ac:dyDescent="0.25">
      <c r="A1744" s="127">
        <v>44775</v>
      </c>
      <c r="B1744" s="24" t="s">
        <v>75</v>
      </c>
      <c r="C1744" s="21">
        <f t="shared" si="31"/>
        <v>-76.495000000000005</v>
      </c>
      <c r="AB1744" s="69">
        <v>-8.5</v>
      </c>
      <c r="AM1744" s="69">
        <v>-8.5500000000000007</v>
      </c>
      <c r="AQ1744" s="69">
        <v>-8.5350000000000001</v>
      </c>
      <c r="AU1744" s="42">
        <v>-8.27</v>
      </c>
      <c r="BD1744" s="121">
        <v>-6.93</v>
      </c>
      <c r="BH1744" s="69">
        <v>-8.5050000000000008</v>
      </c>
      <c r="BR1744" s="182">
        <v>-9.42</v>
      </c>
      <c r="BV1744" s="121">
        <v>-9.3000000000000007</v>
      </c>
      <c r="BZ1744" s="69">
        <v>-8.4849999999999994</v>
      </c>
    </row>
    <row r="1745" spans="1:240" x14ac:dyDescent="0.25">
      <c r="A1745" s="127">
        <v>44775</v>
      </c>
      <c r="B1745" s="24" t="s">
        <v>15</v>
      </c>
      <c r="C1745" s="21">
        <f t="shared" si="31"/>
        <v>-25.94</v>
      </c>
      <c r="Y1745" s="69">
        <v>-8.69</v>
      </c>
      <c r="BH1745" s="69">
        <v>-8.5</v>
      </c>
      <c r="CW1745" s="42">
        <v>-8.75</v>
      </c>
    </row>
    <row r="1746" spans="1:240" x14ac:dyDescent="0.25">
      <c r="A1746" s="127">
        <v>44775</v>
      </c>
      <c r="B1746" s="24" t="s">
        <v>147</v>
      </c>
      <c r="C1746" s="21">
        <f t="shared" si="31"/>
        <v>-49.92</v>
      </c>
      <c r="AM1746" s="69">
        <v>-8.4</v>
      </c>
      <c r="AV1746" s="69">
        <v>-8.4499999999999993</v>
      </c>
      <c r="BR1746" s="182">
        <v>-8.23</v>
      </c>
      <c r="BV1746" s="121">
        <v>-7.94</v>
      </c>
      <c r="BZ1746" s="69">
        <v>-8.49</v>
      </c>
      <c r="CF1746" s="69">
        <v>-8.41</v>
      </c>
    </row>
    <row r="1747" spans="1:240" x14ac:dyDescent="0.25">
      <c r="A1747" s="127">
        <v>44775</v>
      </c>
      <c r="B1747" s="24" t="s">
        <v>103</v>
      </c>
      <c r="C1747" s="21">
        <f t="shared" si="31"/>
        <v>-78.174999999999997</v>
      </c>
      <c r="AQ1747" s="69">
        <v>-16.93</v>
      </c>
      <c r="AV1747" s="69">
        <v>-25.405000000000001</v>
      </c>
      <c r="BD1747" s="121">
        <v>-27.34</v>
      </c>
      <c r="BH1747" s="69">
        <v>-8.5</v>
      </c>
    </row>
    <row r="1748" spans="1:240" x14ac:dyDescent="0.25">
      <c r="A1748" s="127">
        <v>44775</v>
      </c>
      <c r="B1748" s="24" t="s">
        <v>78</v>
      </c>
      <c r="C1748" s="21">
        <f t="shared" si="31"/>
        <v>0</v>
      </c>
    </row>
    <row r="1749" spans="1:240" x14ac:dyDescent="0.25">
      <c r="A1749" s="127">
        <v>44775</v>
      </c>
      <c r="B1749" s="24" t="s">
        <v>72</v>
      </c>
      <c r="C1749" s="21">
        <f t="shared" si="31"/>
        <v>-17.03</v>
      </c>
      <c r="AQ1749" s="69">
        <v>-17.03</v>
      </c>
    </row>
    <row r="1750" spans="1:240" x14ac:dyDescent="0.25">
      <c r="A1750" s="127">
        <v>44775</v>
      </c>
      <c r="B1750" s="24" t="s">
        <v>140</v>
      </c>
      <c r="C1750" s="21">
        <f t="shared" si="31"/>
        <v>-29.88</v>
      </c>
      <c r="D1750" s="386">
        <v>-25.73</v>
      </c>
      <c r="E1750" s="386">
        <v>-4.1500000000000004</v>
      </c>
    </row>
    <row r="1751" spans="1:240" x14ac:dyDescent="0.25">
      <c r="A1751" s="127">
        <v>44775</v>
      </c>
      <c r="B1751" s="24" t="s">
        <v>37</v>
      </c>
      <c r="C1751" s="21">
        <f t="shared" si="31"/>
        <v>-34.005000000000003</v>
      </c>
      <c r="AB1751" s="69">
        <v>-34.005000000000003</v>
      </c>
    </row>
    <row r="1752" spans="1:240" x14ac:dyDescent="0.25">
      <c r="A1752" s="127">
        <v>44776</v>
      </c>
      <c r="B1752" s="24" t="s">
        <v>59</v>
      </c>
      <c r="C1752" s="21">
        <f t="shared" si="31"/>
        <v>-8.1199999999999992</v>
      </c>
      <c r="BV1752" s="121">
        <v>-8.1199999999999992</v>
      </c>
    </row>
    <row r="1753" spans="1:240" x14ac:dyDescent="0.25">
      <c r="A1753" s="127">
        <v>44776</v>
      </c>
      <c r="B1753" s="24" t="s">
        <v>113</v>
      </c>
      <c r="C1753" s="21">
        <f t="shared" si="31"/>
        <v>2362.09</v>
      </c>
      <c r="AN1753" s="106">
        <v>378.85</v>
      </c>
      <c r="AR1753" s="106">
        <v>335.58</v>
      </c>
      <c r="AW1753" s="106">
        <v>264.27999999999997</v>
      </c>
      <c r="BI1753" s="106">
        <v>538.54999999999995</v>
      </c>
      <c r="CA1753" s="106">
        <v>161.4</v>
      </c>
      <c r="CG1753" s="106">
        <v>341.53</v>
      </c>
      <c r="DE1753" s="74">
        <v>170.36</v>
      </c>
      <c r="DP1753" s="74">
        <v>171.54</v>
      </c>
    </row>
    <row r="1754" spans="1:240" x14ac:dyDescent="0.25">
      <c r="A1754" s="127">
        <v>44776</v>
      </c>
      <c r="B1754" s="24" t="s">
        <v>17</v>
      </c>
      <c r="C1754" s="21">
        <f t="shared" si="31"/>
        <v>-590.995</v>
      </c>
      <c r="AN1754" s="106">
        <v>-98.7</v>
      </c>
      <c r="AR1754" s="106">
        <v>-104.84</v>
      </c>
      <c r="AW1754" s="106">
        <v>-99.71</v>
      </c>
      <c r="BI1754" s="106">
        <v>-121.8</v>
      </c>
      <c r="CA1754" s="106">
        <v>-33.549999999999997</v>
      </c>
      <c r="CG1754" s="106">
        <v>-62.71</v>
      </c>
      <c r="CR1754" s="69">
        <v>-34.335000000000001</v>
      </c>
      <c r="CW1754" s="42">
        <v>-35.35</v>
      </c>
    </row>
    <row r="1755" spans="1:240" x14ac:dyDescent="0.25">
      <c r="A1755" s="127">
        <v>44776</v>
      </c>
      <c r="B1755" s="24" t="s">
        <v>133</v>
      </c>
      <c r="C1755" s="21">
        <f t="shared" si="31"/>
        <v>-201.77500000000001</v>
      </c>
      <c r="AQ1755" s="69">
        <v>-34.04</v>
      </c>
      <c r="AV1755" s="69">
        <v>-34.865000000000002</v>
      </c>
      <c r="BH1755" s="69">
        <v>-33.784999999999997</v>
      </c>
      <c r="CA1755" s="106">
        <v>-30.8</v>
      </c>
      <c r="CF1755" s="69">
        <v>-33.924999999999997</v>
      </c>
      <c r="CR1755" s="69">
        <v>-34.36</v>
      </c>
    </row>
    <row r="1756" spans="1:240" x14ac:dyDescent="0.25">
      <c r="A1756" s="127">
        <v>44776</v>
      </c>
      <c r="B1756" s="24" t="s">
        <v>15</v>
      </c>
      <c r="C1756" s="21">
        <f t="shared" si="31"/>
        <v>-34.645000000000003</v>
      </c>
      <c r="AU1756" s="42">
        <v>-1</v>
      </c>
      <c r="CR1756" s="69">
        <v>-33.645000000000003</v>
      </c>
    </row>
    <row r="1757" spans="1:240" x14ac:dyDescent="0.25">
      <c r="A1757" s="127">
        <v>44776</v>
      </c>
      <c r="B1757" s="24" t="s">
        <v>89</v>
      </c>
      <c r="C1757" s="21">
        <f t="shared" si="31"/>
        <v>-474.065</v>
      </c>
      <c r="AE1757" s="42">
        <v>-33.76</v>
      </c>
      <c r="BH1757" s="69">
        <v>-67.805000000000007</v>
      </c>
      <c r="CA1757" s="106">
        <v>-67</v>
      </c>
      <c r="CG1757" s="106">
        <v>-66.7</v>
      </c>
      <c r="CR1757" s="69">
        <v>-67.900000000000006</v>
      </c>
      <c r="DE1757" s="74">
        <v>-68.28</v>
      </c>
      <c r="DP1757" s="74">
        <v>-102.62</v>
      </c>
    </row>
    <row r="1758" spans="1:240" x14ac:dyDescent="0.25">
      <c r="A1758" s="127">
        <v>44776</v>
      </c>
      <c r="B1758" s="24" t="s">
        <v>79</v>
      </c>
      <c r="C1758" s="21">
        <f t="shared" si="31"/>
        <v>-42.47</v>
      </c>
      <c r="DP1758" s="74">
        <v>-42.47</v>
      </c>
    </row>
    <row r="1759" spans="1:240" x14ac:dyDescent="0.25">
      <c r="A1759" s="127">
        <v>44776</v>
      </c>
      <c r="B1759" s="24" t="s">
        <v>20</v>
      </c>
      <c r="C1759" s="21">
        <f t="shared" si="31"/>
        <v>-17.21</v>
      </c>
      <c r="BI1759" s="106">
        <v>-8.6999999999999993</v>
      </c>
      <c r="CG1759" s="106">
        <v>-8.51</v>
      </c>
    </row>
    <row r="1760" spans="1:240" x14ac:dyDescent="0.25">
      <c r="A1760" s="127">
        <v>44776</v>
      </c>
      <c r="B1760" s="24" t="s">
        <v>31</v>
      </c>
      <c r="C1760" s="21">
        <f t="shared" si="31"/>
        <v>-8.75</v>
      </c>
      <c r="IF1760" s="50">
        <v>-8.75</v>
      </c>
    </row>
    <row r="1761" spans="1:238" x14ac:dyDescent="0.25">
      <c r="A1761" s="127">
        <v>44777</v>
      </c>
      <c r="B1761" s="24" t="s">
        <v>59</v>
      </c>
      <c r="C1761" s="21">
        <f t="shared" si="31"/>
        <v>-6.14</v>
      </c>
      <c r="BH1761" s="69">
        <v>-1.46</v>
      </c>
      <c r="BY1761" s="42">
        <v>-4.68</v>
      </c>
    </row>
    <row r="1762" spans="1:238" x14ac:dyDescent="0.25">
      <c r="A1762" s="127">
        <v>44777</v>
      </c>
      <c r="B1762" s="24" t="s">
        <v>14</v>
      </c>
      <c r="C1762" s="21">
        <f t="shared" si="31"/>
        <v>-76.594999999999999</v>
      </c>
      <c r="AM1762" s="69">
        <v>-34.15</v>
      </c>
      <c r="AQ1762" s="69">
        <v>-17.004999999999999</v>
      </c>
      <c r="CH1762" s="121">
        <v>-16.559999999999999</v>
      </c>
      <c r="CJ1762" s="182">
        <v>-8.8800000000000008</v>
      </c>
    </row>
    <row r="1763" spans="1:238" x14ac:dyDescent="0.25">
      <c r="A1763" s="127">
        <v>44777</v>
      </c>
      <c r="B1763" s="24" t="s">
        <v>148</v>
      </c>
      <c r="C1763" s="21">
        <f t="shared" si="31"/>
        <v>-34.85</v>
      </c>
      <c r="BI1763" s="106">
        <v>-34.85</v>
      </c>
    </row>
    <row r="1764" spans="1:238" x14ac:dyDescent="0.25">
      <c r="A1764" s="127">
        <v>44778</v>
      </c>
      <c r="B1764" s="24" t="s">
        <v>113</v>
      </c>
      <c r="C1764" s="21">
        <f t="shared" si="31"/>
        <v>1094.67</v>
      </c>
      <c r="BO1764" s="106">
        <v>165.22</v>
      </c>
      <c r="CA1764" s="106">
        <v>169.8</v>
      </c>
      <c r="CM1764" s="106">
        <v>367.8</v>
      </c>
      <c r="DE1764" s="74">
        <v>175.92</v>
      </c>
      <c r="GZ1764" s="106">
        <v>215.93</v>
      </c>
    </row>
    <row r="1765" spans="1:238" x14ac:dyDescent="0.25">
      <c r="A1765" s="127">
        <v>44778</v>
      </c>
      <c r="B1765" s="29" t="s">
        <v>138</v>
      </c>
      <c r="C1765" s="21">
        <f t="shared" si="31"/>
        <v>-142.37</v>
      </c>
      <c r="AW1765" s="106">
        <v>-16.63</v>
      </c>
      <c r="BI1765" s="106">
        <v>-18.25</v>
      </c>
      <c r="BO1765" s="106">
        <v>-14.58</v>
      </c>
      <c r="CA1765" s="106">
        <v>-16.899999999999999</v>
      </c>
      <c r="CG1765" s="106">
        <v>-15.38</v>
      </c>
      <c r="CM1765" s="106">
        <v>-16.75</v>
      </c>
      <c r="CR1765" s="69">
        <v>-8.57</v>
      </c>
      <c r="CW1765" s="42">
        <v>-17.59</v>
      </c>
      <c r="DE1765" s="74">
        <v>-8.75</v>
      </c>
      <c r="DP1765" s="74">
        <v>-8.9700000000000006</v>
      </c>
    </row>
    <row r="1766" spans="1:238" x14ac:dyDescent="0.25">
      <c r="A1766" s="127">
        <v>44778</v>
      </c>
      <c r="B1766" s="29" t="s">
        <v>50</v>
      </c>
      <c r="C1766" s="21">
        <f t="shared" si="31"/>
        <v>-336.82</v>
      </c>
      <c r="EL1766" s="106">
        <v>-13.57</v>
      </c>
      <c r="GZ1766" s="106">
        <v>-133.25</v>
      </c>
      <c r="HU1766" s="42">
        <v>-66.900000000000006</v>
      </c>
      <c r="ID1766" s="42">
        <v>-123.1</v>
      </c>
    </row>
    <row r="1767" spans="1:238" x14ac:dyDescent="0.25">
      <c r="A1767" s="127">
        <v>44778</v>
      </c>
      <c r="B1767" s="29" t="s">
        <v>149</v>
      </c>
      <c r="C1767" s="21">
        <f t="shared" si="31"/>
        <v>-15.81</v>
      </c>
      <c r="BO1767" s="106">
        <v>-7.3</v>
      </c>
      <c r="BV1767" s="121">
        <v>-8.51</v>
      </c>
    </row>
    <row r="1768" spans="1:238" x14ac:dyDescent="0.25">
      <c r="A1768" s="127">
        <v>44779</v>
      </c>
      <c r="B1768" s="24" t="s">
        <v>12</v>
      </c>
      <c r="C1768" s="21">
        <f t="shared" si="31"/>
        <v>-193.095</v>
      </c>
      <c r="BZ1768" s="69">
        <v>-8.4949999999999992</v>
      </c>
      <c r="CM1768" s="106">
        <v>-16.7</v>
      </c>
      <c r="DP1768" s="74">
        <v>-17.48</v>
      </c>
      <c r="GA1768" s="88">
        <v>-150.41999999999999</v>
      </c>
    </row>
    <row r="1769" spans="1:238" x14ac:dyDescent="0.25">
      <c r="A1769" s="127">
        <v>44779</v>
      </c>
      <c r="B1769" s="24" t="s">
        <v>78</v>
      </c>
      <c r="C1769" s="21">
        <f t="shared" si="31"/>
        <v>-200.21</v>
      </c>
      <c r="T1769" s="42">
        <v>-7.91</v>
      </c>
      <c r="AE1769" s="42">
        <v>-7.85</v>
      </c>
      <c r="AM1769" s="69">
        <v>-8.5500000000000007</v>
      </c>
      <c r="BI1769" s="106">
        <v>-60.9</v>
      </c>
      <c r="BO1769" s="106">
        <v>-32.65</v>
      </c>
      <c r="CA1769" s="106">
        <v>-34.35</v>
      </c>
      <c r="CG1769" s="106">
        <v>-48</v>
      </c>
    </row>
    <row r="1770" spans="1:238" x14ac:dyDescent="0.25">
      <c r="A1770" s="127">
        <v>44781</v>
      </c>
      <c r="B1770" s="24" t="s">
        <v>59</v>
      </c>
      <c r="C1770" s="21">
        <f t="shared" si="31"/>
        <v>-1.29</v>
      </c>
      <c r="T1770" s="42">
        <v>-1.29</v>
      </c>
    </row>
    <row r="1771" spans="1:238" x14ac:dyDescent="0.25">
      <c r="A1771" s="127">
        <v>44781</v>
      </c>
      <c r="B1771" s="24" t="s">
        <v>131</v>
      </c>
      <c r="C1771" s="21">
        <f t="shared" si="31"/>
        <v>-24.55</v>
      </c>
      <c r="HL1771" s="42">
        <v>-24.55</v>
      </c>
    </row>
    <row r="1772" spans="1:238" x14ac:dyDescent="0.25">
      <c r="A1772" s="127">
        <v>44781</v>
      </c>
      <c r="B1772" s="24" t="s">
        <v>37</v>
      </c>
      <c r="C1772" s="21">
        <f t="shared" si="31"/>
        <v>-63.57</v>
      </c>
      <c r="HK1772" s="50">
        <v>-63.57</v>
      </c>
    </row>
    <row r="1773" spans="1:238" x14ac:dyDescent="0.25">
      <c r="A1773" s="127">
        <v>44781</v>
      </c>
      <c r="B1773" s="24" t="s">
        <v>95</v>
      </c>
      <c r="C1773" s="21">
        <f t="shared" si="31"/>
        <v>-304.54000000000002</v>
      </c>
      <c r="BI1773" s="106">
        <v>-103.4</v>
      </c>
      <c r="CG1773" s="106">
        <v>-66.37</v>
      </c>
      <c r="CM1773" s="106">
        <v>-66.95</v>
      </c>
      <c r="CR1773" s="69">
        <v>-67.819999999999993</v>
      </c>
    </row>
    <row r="1774" spans="1:238" x14ac:dyDescent="0.25">
      <c r="A1774" s="127">
        <v>44781</v>
      </c>
      <c r="B1774" s="24" t="s">
        <v>57</v>
      </c>
      <c r="C1774" s="21">
        <f t="shared" si="31"/>
        <v>-171.06</v>
      </c>
      <c r="AN1774" s="106">
        <v>-17.29</v>
      </c>
      <c r="AQ1774" s="69">
        <v>-8.4700000000000006</v>
      </c>
      <c r="AW1774" s="106">
        <v>-16.5</v>
      </c>
      <c r="BI1774" s="106">
        <v>-34.6</v>
      </c>
      <c r="BO1774" s="106">
        <v>-27.3</v>
      </c>
      <c r="CA1774" s="106">
        <v>-25.55</v>
      </c>
      <c r="CG1774" s="106">
        <v>-24.55</v>
      </c>
      <c r="CM1774" s="106">
        <v>-16.8</v>
      </c>
    </row>
    <row r="1775" spans="1:238" x14ac:dyDescent="0.25">
      <c r="A1775" s="127">
        <v>44781</v>
      </c>
      <c r="B1775" s="24" t="s">
        <v>113</v>
      </c>
      <c r="C1775" s="21">
        <f t="shared" si="31"/>
        <v>176.45</v>
      </c>
      <c r="DU1775" s="106">
        <v>176.45</v>
      </c>
    </row>
    <row r="1776" spans="1:238" x14ac:dyDescent="0.25">
      <c r="A1776" s="127">
        <v>44782</v>
      </c>
      <c r="B1776" s="24" t="s">
        <v>127</v>
      </c>
      <c r="C1776" s="21">
        <f t="shared" si="31"/>
        <v>-15.7</v>
      </c>
      <c r="BI1776" s="106">
        <v>-8.6999999999999993</v>
      </c>
      <c r="BO1776" s="106">
        <v>-7</v>
      </c>
    </row>
    <row r="1777" spans="1:208" x14ac:dyDescent="0.25">
      <c r="A1777" s="127">
        <v>44782</v>
      </c>
      <c r="B1777" s="24" t="s">
        <v>50</v>
      </c>
      <c r="C1777" s="21">
        <f t="shared" ref="C1777:C1840" si="32">SUM(D1777:JT1777)</f>
        <v>0</v>
      </c>
    </row>
    <row r="1778" spans="1:208" x14ac:dyDescent="0.25">
      <c r="A1778" s="127">
        <v>44782</v>
      </c>
      <c r="B1778" s="24" t="s">
        <v>31</v>
      </c>
      <c r="C1778" s="21">
        <f t="shared" si="32"/>
        <v>-62.55</v>
      </c>
      <c r="GV1778" s="42">
        <v>-62.55</v>
      </c>
    </row>
    <row r="1779" spans="1:208" x14ac:dyDescent="0.25">
      <c r="A1779" s="127">
        <v>44782</v>
      </c>
      <c r="B1779" s="24" t="s">
        <v>26</v>
      </c>
      <c r="C1779" s="21">
        <f t="shared" si="32"/>
        <v>-66.355000000000004</v>
      </c>
      <c r="BI1779" s="106">
        <v>-8.6999999999999993</v>
      </c>
      <c r="BO1779" s="106">
        <v>-6.75</v>
      </c>
      <c r="CG1779" s="106">
        <v>-8.1999999999999993</v>
      </c>
      <c r="CM1779" s="106">
        <v>-8.35</v>
      </c>
      <c r="CR1779" s="69">
        <v>-8.5850000000000009</v>
      </c>
      <c r="CW1779" s="42">
        <v>-8.6999999999999993</v>
      </c>
      <c r="DE1779" s="74">
        <v>-8.77</v>
      </c>
      <c r="DU1779" s="106">
        <v>-8.3000000000000007</v>
      </c>
    </row>
    <row r="1780" spans="1:208" x14ac:dyDescent="0.25">
      <c r="A1780" s="127">
        <v>44782</v>
      </c>
      <c r="B1780" s="24" t="s">
        <v>138</v>
      </c>
      <c r="C1780" s="21">
        <f t="shared" si="32"/>
        <v>-15.95</v>
      </c>
      <c r="DU1780" s="106">
        <v>-15.95</v>
      </c>
    </row>
    <row r="1781" spans="1:208" x14ac:dyDescent="0.25">
      <c r="A1781" s="127">
        <v>44782</v>
      </c>
      <c r="B1781" s="24" t="s">
        <v>20</v>
      </c>
      <c r="C1781" s="21">
        <f t="shared" si="32"/>
        <v>-74.680000000000007</v>
      </c>
      <c r="AV1781" s="69">
        <v>-8.4700000000000006</v>
      </c>
      <c r="GZ1781" s="106">
        <v>-66.209999999999994</v>
      </c>
    </row>
    <row r="1782" spans="1:208" x14ac:dyDescent="0.25">
      <c r="A1782" s="127">
        <v>44784</v>
      </c>
      <c r="B1782" s="24" t="s">
        <v>59</v>
      </c>
      <c r="C1782" s="21">
        <f t="shared" si="32"/>
        <v>-8.51</v>
      </c>
      <c r="CG1782" s="106">
        <v>-8.51</v>
      </c>
    </row>
    <row r="1783" spans="1:208" x14ac:dyDescent="0.25">
      <c r="A1783" s="127">
        <v>44784</v>
      </c>
      <c r="B1783" s="24" t="s">
        <v>32</v>
      </c>
      <c r="C1783" s="21">
        <f t="shared" si="32"/>
        <v>-34.68</v>
      </c>
      <c r="BI1783" s="106">
        <v>-26.1</v>
      </c>
      <c r="CR1783" s="69">
        <v>-8.58</v>
      </c>
    </row>
    <row r="1784" spans="1:208" x14ac:dyDescent="0.25">
      <c r="A1784" s="127">
        <v>44784</v>
      </c>
      <c r="B1784" s="24" t="s">
        <v>113</v>
      </c>
      <c r="C1784" s="21">
        <f t="shared" si="32"/>
        <v>2508.86</v>
      </c>
      <c r="BC1784" s="106">
        <v>507.8</v>
      </c>
      <c r="CA1784" s="106">
        <v>560.98</v>
      </c>
      <c r="CM1784" s="106">
        <v>166.4</v>
      </c>
      <c r="DK1784" s="106">
        <v>532.98</v>
      </c>
      <c r="DU1784" s="106">
        <v>740.7</v>
      </c>
    </row>
    <row r="1785" spans="1:208" x14ac:dyDescent="0.25">
      <c r="A1785" s="127">
        <v>44784</v>
      </c>
      <c r="B1785" s="24" t="s">
        <v>113</v>
      </c>
      <c r="C1785" s="21">
        <f t="shared" si="32"/>
        <v>356.65</v>
      </c>
      <c r="CM1785" s="106">
        <v>175.05</v>
      </c>
      <c r="DK1785" s="106">
        <v>181.6</v>
      </c>
    </row>
    <row r="1786" spans="1:208" x14ac:dyDescent="0.25">
      <c r="A1786" s="127">
        <v>44784</v>
      </c>
      <c r="B1786" s="24" t="s">
        <v>89</v>
      </c>
      <c r="C1786" s="21">
        <f t="shared" si="32"/>
        <v>-356.16</v>
      </c>
      <c r="BC1786" s="106">
        <v>-63.8</v>
      </c>
      <c r="BO1786" s="106">
        <v>-62.54</v>
      </c>
      <c r="CM1786" s="106">
        <v>-66.900000000000006</v>
      </c>
      <c r="DK1786" s="106">
        <v>-65.52</v>
      </c>
      <c r="DU1786" s="106">
        <v>-97.4</v>
      </c>
    </row>
    <row r="1787" spans="1:208" x14ac:dyDescent="0.25">
      <c r="A1787" s="127">
        <v>44784</v>
      </c>
      <c r="B1787" s="24" t="s">
        <v>44</v>
      </c>
      <c r="C1787" s="21">
        <f t="shared" si="32"/>
        <v>-114.25</v>
      </c>
      <c r="GP1787" s="42">
        <f>-114.25+28.35</f>
        <v>-85.9</v>
      </c>
      <c r="GQ1787" s="92">
        <v>-28.35</v>
      </c>
    </row>
    <row r="1788" spans="1:208" x14ac:dyDescent="0.25">
      <c r="A1788" s="127">
        <v>44784</v>
      </c>
      <c r="B1788" s="24" t="s">
        <v>20</v>
      </c>
      <c r="C1788" s="21">
        <f t="shared" si="32"/>
        <v>-25.5</v>
      </c>
      <c r="L1788" s="69">
        <v>-8.48</v>
      </c>
      <c r="AM1788" s="69">
        <v>-8.5500000000000007</v>
      </c>
      <c r="AW1788" s="106">
        <v>-8.4700000000000006</v>
      </c>
    </row>
    <row r="1789" spans="1:208" x14ac:dyDescent="0.25">
      <c r="A1789" s="127">
        <v>44784</v>
      </c>
      <c r="B1789" s="24" t="s">
        <v>138</v>
      </c>
      <c r="C1789" s="21">
        <f t="shared" si="32"/>
        <v>-7.72</v>
      </c>
      <c r="T1789" s="42">
        <v>-7.72</v>
      </c>
    </row>
    <row r="1790" spans="1:208" x14ac:dyDescent="0.25">
      <c r="A1790" s="127">
        <v>44784</v>
      </c>
      <c r="B1790" s="24" t="s">
        <v>29</v>
      </c>
      <c r="C1790" s="21">
        <f t="shared" si="32"/>
        <v>-7.72</v>
      </c>
      <c r="T1790" s="42">
        <v>-7.72</v>
      </c>
    </row>
    <row r="1791" spans="1:208" x14ac:dyDescent="0.25">
      <c r="A1791" s="127">
        <v>44784</v>
      </c>
      <c r="B1791" s="24" t="s">
        <v>123</v>
      </c>
      <c r="C1791" s="21">
        <f t="shared" si="32"/>
        <v>0</v>
      </c>
    </row>
    <row r="1792" spans="1:208" x14ac:dyDescent="0.25">
      <c r="A1792" s="127">
        <v>44785</v>
      </c>
      <c r="B1792" s="24" t="s">
        <v>20</v>
      </c>
      <c r="C1792" s="21">
        <f t="shared" si="32"/>
        <v>-8.0500000000000007</v>
      </c>
      <c r="BC1792" s="106">
        <v>-8.0500000000000007</v>
      </c>
    </row>
    <row r="1793" spans="1:229" x14ac:dyDescent="0.25">
      <c r="A1793" s="127">
        <v>44785</v>
      </c>
      <c r="B1793" s="24" t="s">
        <v>150</v>
      </c>
      <c r="C1793" s="21">
        <f t="shared" si="32"/>
        <v>-34.215000000000003</v>
      </c>
      <c r="AV1793" s="69">
        <v>-8.4649999999999999</v>
      </c>
      <c r="BI1793" s="106">
        <v>-8.6999999999999993</v>
      </c>
      <c r="CA1793" s="106">
        <v>-17.05</v>
      </c>
    </row>
    <row r="1794" spans="1:229" x14ac:dyDescent="0.25">
      <c r="A1794" s="127">
        <v>44785</v>
      </c>
      <c r="B1794" s="24" t="s">
        <v>40</v>
      </c>
      <c r="C1794" s="21">
        <f t="shared" si="32"/>
        <v>-131.61000000000001</v>
      </c>
      <c r="HK1794" s="50">
        <v>-64.62</v>
      </c>
      <c r="HU1794" s="42">
        <v>-66.989999999999995</v>
      </c>
    </row>
    <row r="1795" spans="1:229" x14ac:dyDescent="0.25">
      <c r="A1795" s="127">
        <v>44785</v>
      </c>
      <c r="B1795" s="24" t="s">
        <v>151</v>
      </c>
      <c r="C1795" s="21">
        <f t="shared" si="32"/>
        <v>0</v>
      </c>
    </row>
    <row r="1796" spans="1:229" x14ac:dyDescent="0.25">
      <c r="A1796" s="127">
        <v>44785</v>
      </c>
      <c r="B1796" s="24" t="s">
        <v>17</v>
      </c>
      <c r="C1796" s="21">
        <f t="shared" si="32"/>
        <v>-203.8</v>
      </c>
      <c r="AN1796" s="106">
        <v>-32.299999999999997</v>
      </c>
      <c r="BC1796" s="106">
        <v>-95.2</v>
      </c>
      <c r="BI1796" s="106">
        <v>-34.450000000000003</v>
      </c>
      <c r="CA1796" s="106">
        <v>-33.25</v>
      </c>
      <c r="DR1796" s="46">
        <v>-8.6</v>
      </c>
    </row>
    <row r="1797" spans="1:229" x14ac:dyDescent="0.25">
      <c r="A1797" s="127">
        <v>44788</v>
      </c>
      <c r="B1797" s="24" t="s">
        <v>59</v>
      </c>
      <c r="C1797" s="21">
        <f t="shared" si="32"/>
        <v>-13.86</v>
      </c>
      <c r="AW1797" s="106">
        <v>-0.94</v>
      </c>
      <c r="CR1797" s="69">
        <v>-3.03</v>
      </c>
      <c r="CV1797" s="115">
        <v>-9.89</v>
      </c>
    </row>
    <row r="1798" spans="1:229" x14ac:dyDescent="0.25">
      <c r="A1798" s="127">
        <v>44788</v>
      </c>
      <c r="B1798" s="24" t="s">
        <v>65</v>
      </c>
      <c r="C1798" s="21">
        <f t="shared" si="32"/>
        <v>-50.89</v>
      </c>
      <c r="AN1798" s="106">
        <v>-15.4</v>
      </c>
      <c r="AR1798" s="106">
        <v>-35.49</v>
      </c>
    </row>
    <row r="1799" spans="1:229" x14ac:dyDescent="0.25">
      <c r="A1799" s="127">
        <v>44788</v>
      </c>
      <c r="B1799" s="24" t="s">
        <v>32</v>
      </c>
      <c r="C1799" s="21">
        <f t="shared" si="32"/>
        <v>-152.065</v>
      </c>
      <c r="S1799" s="74">
        <v>-14.72</v>
      </c>
      <c r="AQ1799" s="69">
        <v>-8.5</v>
      </c>
      <c r="AV1799" s="69">
        <v>-16.940000000000001</v>
      </c>
      <c r="BC1799" s="106">
        <v>-15.95</v>
      </c>
      <c r="BI1799" s="106">
        <v>-8.6999999999999993</v>
      </c>
      <c r="CA1799" s="106">
        <v>-16.48</v>
      </c>
      <c r="CG1799" s="106">
        <v>-16.3</v>
      </c>
      <c r="CR1799" s="69">
        <v>-16.87</v>
      </c>
      <c r="DU1799" s="106">
        <v>-7.95</v>
      </c>
      <c r="ET1799" s="106">
        <v>-8.65</v>
      </c>
      <c r="FX1799" s="34">
        <v>-21.004999999999999</v>
      </c>
    </row>
    <row r="1800" spans="1:229" x14ac:dyDescent="0.25">
      <c r="A1800" s="127">
        <v>44788</v>
      </c>
      <c r="B1800" s="24" t="s">
        <v>95</v>
      </c>
      <c r="C1800" s="21">
        <f t="shared" si="32"/>
        <v>-832.44</v>
      </c>
      <c r="AN1800" s="106">
        <v>-103.67</v>
      </c>
      <c r="AR1800" s="106">
        <v>-106.43</v>
      </c>
      <c r="AW1800" s="106">
        <v>-65.37</v>
      </c>
      <c r="BC1800" s="106">
        <v>-128</v>
      </c>
      <c r="CA1800" s="106">
        <v>-128.88999999999999</v>
      </c>
      <c r="CM1800" s="106">
        <v>-66.900000000000006</v>
      </c>
      <c r="DE1800" s="74">
        <v>-70.28</v>
      </c>
      <c r="DU1800" s="106">
        <v>-162.9</v>
      </c>
    </row>
    <row r="1801" spans="1:229" x14ac:dyDescent="0.25">
      <c r="A1801" s="127">
        <v>44788</v>
      </c>
      <c r="B1801" s="24" t="s">
        <v>133</v>
      </c>
      <c r="C1801" s="21">
        <f t="shared" si="32"/>
        <v>-202.72</v>
      </c>
      <c r="AN1801" s="106">
        <v>-32.25</v>
      </c>
      <c r="AR1801" s="106">
        <v>-35.54</v>
      </c>
      <c r="AW1801" s="106">
        <v>-33.130000000000003</v>
      </c>
      <c r="BC1801" s="106">
        <v>-31.9</v>
      </c>
      <c r="CA1801" s="106">
        <v>-34.25</v>
      </c>
      <c r="CM1801" s="106">
        <v>-35.65</v>
      </c>
    </row>
    <row r="1802" spans="1:229" x14ac:dyDescent="0.25">
      <c r="A1802" s="127">
        <v>44788</v>
      </c>
      <c r="B1802" s="24" t="s">
        <v>37</v>
      </c>
      <c r="C1802" s="21">
        <f t="shared" si="32"/>
        <v>-72</v>
      </c>
      <c r="HK1802" s="50">
        <v>-72</v>
      </c>
    </row>
    <row r="1803" spans="1:229" x14ac:dyDescent="0.25">
      <c r="A1803" s="127">
        <v>44789</v>
      </c>
      <c r="B1803" s="24" t="s">
        <v>147</v>
      </c>
      <c r="C1803" s="21">
        <f t="shared" si="32"/>
        <v>-16.52</v>
      </c>
      <c r="CA1803" s="106">
        <v>-8.15</v>
      </c>
      <c r="CR1803" s="69">
        <v>-8.3699999999999992</v>
      </c>
    </row>
    <row r="1804" spans="1:229" x14ac:dyDescent="0.25">
      <c r="A1804" s="127">
        <v>44789</v>
      </c>
      <c r="B1804" s="24" t="s">
        <v>150</v>
      </c>
      <c r="C1804" s="21">
        <f t="shared" si="32"/>
        <v>-32.1</v>
      </c>
      <c r="AW1804" s="106">
        <v>-8.16</v>
      </c>
      <c r="BI1804" s="106">
        <v>-8.65</v>
      </c>
      <c r="BO1804" s="106">
        <v>-7</v>
      </c>
      <c r="CA1804" s="106">
        <v>-8.2899999999999991</v>
      </c>
    </row>
    <row r="1805" spans="1:229" x14ac:dyDescent="0.25">
      <c r="A1805" s="127">
        <v>44789</v>
      </c>
      <c r="B1805" s="24" t="s">
        <v>139</v>
      </c>
      <c r="C1805" s="21">
        <f t="shared" si="32"/>
        <v>-33.655000000000001</v>
      </c>
      <c r="AW1805" s="106">
        <v>-8.2899999999999991</v>
      </c>
      <c r="CA1805" s="106">
        <v>-8.4499999999999993</v>
      </c>
      <c r="CG1805" s="106">
        <v>-8.15</v>
      </c>
      <c r="CR1805" s="69">
        <v>-8.7650000000000006</v>
      </c>
    </row>
    <row r="1806" spans="1:229" x14ac:dyDescent="0.25">
      <c r="A1806" s="127">
        <v>44789</v>
      </c>
      <c r="B1806" s="24" t="s">
        <v>127</v>
      </c>
      <c r="C1806" s="21">
        <f t="shared" si="32"/>
        <v>-17.04</v>
      </c>
      <c r="BI1806" s="106">
        <v>-8.65</v>
      </c>
      <c r="BR1806" s="182">
        <v>-8.39</v>
      </c>
    </row>
    <row r="1807" spans="1:229" x14ac:dyDescent="0.25">
      <c r="A1807" s="127">
        <v>44789</v>
      </c>
      <c r="B1807" s="24" t="s">
        <v>75</v>
      </c>
      <c r="C1807" s="21">
        <f t="shared" si="32"/>
        <v>-8.0500000000000007</v>
      </c>
      <c r="BC1807" s="106">
        <v>-8.0500000000000007</v>
      </c>
    </row>
    <row r="1808" spans="1:229" x14ac:dyDescent="0.25">
      <c r="A1808" s="127">
        <v>44789</v>
      </c>
      <c r="B1808" s="24" t="s">
        <v>32</v>
      </c>
      <c r="C1808" s="21">
        <f t="shared" si="32"/>
        <v>-17.62</v>
      </c>
      <c r="CW1808" s="42">
        <v>-17.62</v>
      </c>
    </row>
    <row r="1809" spans="1:226" x14ac:dyDescent="0.25">
      <c r="A1809" s="127">
        <v>44789</v>
      </c>
      <c r="B1809" s="24" t="s">
        <v>26</v>
      </c>
      <c r="C1809" s="21">
        <f t="shared" si="32"/>
        <v>-33.704999999999998</v>
      </c>
      <c r="BC1809" s="106">
        <v>-8</v>
      </c>
      <c r="CA1809" s="106">
        <v>-8.1300000000000008</v>
      </c>
      <c r="CR1809" s="69">
        <v>-8.4849999999999994</v>
      </c>
      <c r="DE1809" s="74">
        <v>-9.09</v>
      </c>
    </row>
    <row r="1810" spans="1:226" x14ac:dyDescent="0.25">
      <c r="A1810" s="127">
        <v>44789</v>
      </c>
      <c r="B1810" s="24" t="s">
        <v>20</v>
      </c>
      <c r="C1810" s="21">
        <f t="shared" si="32"/>
        <v>-9.33</v>
      </c>
      <c r="BR1810" s="182">
        <v>-9.33</v>
      </c>
    </row>
    <row r="1811" spans="1:226" x14ac:dyDescent="0.25">
      <c r="A1811" s="127">
        <v>44789</v>
      </c>
      <c r="B1811" s="24" t="s">
        <v>147</v>
      </c>
      <c r="C1811" s="21">
        <f t="shared" si="32"/>
        <v>-16.52</v>
      </c>
      <c r="CA1811" s="106">
        <v>-8.15</v>
      </c>
      <c r="CR1811" s="69">
        <v>-8.3699999999999992</v>
      </c>
    </row>
    <row r="1812" spans="1:226" x14ac:dyDescent="0.25">
      <c r="A1812" s="127">
        <v>44789</v>
      </c>
      <c r="B1812" s="24" t="s">
        <v>65</v>
      </c>
      <c r="C1812" s="21">
        <f t="shared" si="32"/>
        <v>-8.14</v>
      </c>
      <c r="AW1812" s="106">
        <v>-8.14</v>
      </c>
    </row>
    <row r="1813" spans="1:226" x14ac:dyDescent="0.25">
      <c r="A1813" s="127">
        <v>44789</v>
      </c>
      <c r="B1813" s="24" t="s">
        <v>2</v>
      </c>
      <c r="C1813" s="21">
        <f t="shared" si="32"/>
        <v>0</v>
      </c>
    </row>
    <row r="1814" spans="1:226" x14ac:dyDescent="0.25">
      <c r="A1814" s="127">
        <v>44790</v>
      </c>
      <c r="B1814" s="24" t="s">
        <v>113</v>
      </c>
      <c r="C1814" s="21">
        <f t="shared" si="32"/>
        <v>3814.23</v>
      </c>
      <c r="BO1814" s="106">
        <v>716.1</v>
      </c>
      <c r="BU1814" s="106">
        <v>783.15</v>
      </c>
      <c r="CS1814" s="74">
        <v>512.67999999999995</v>
      </c>
      <c r="CY1814" s="106">
        <v>508.62</v>
      </c>
      <c r="DE1814" s="74">
        <v>400.48</v>
      </c>
      <c r="DP1814" s="74">
        <v>380.88</v>
      </c>
      <c r="EA1814" s="74">
        <v>512.32000000000005</v>
      </c>
    </row>
    <row r="1815" spans="1:226" x14ac:dyDescent="0.25">
      <c r="A1815" s="127">
        <v>44790</v>
      </c>
      <c r="B1815" s="24" t="s">
        <v>113</v>
      </c>
      <c r="C1815" s="21">
        <f t="shared" si="32"/>
        <v>3286.66</v>
      </c>
      <c r="BC1815" s="106">
        <v>338.25</v>
      </c>
      <c r="BI1815" s="106">
        <v>337.26</v>
      </c>
      <c r="BO1815" s="106">
        <v>345.8</v>
      </c>
      <c r="BU1815" s="106">
        <v>351.88</v>
      </c>
      <c r="CM1815" s="106">
        <v>350.45</v>
      </c>
      <c r="EA1815" s="74">
        <v>174.76</v>
      </c>
      <c r="GZ1815" s="106">
        <v>320.70999999999998</v>
      </c>
      <c r="HR1815" s="92">
        <v>1067.55</v>
      </c>
    </row>
    <row r="1816" spans="1:226" x14ac:dyDescent="0.25">
      <c r="A1816" s="127">
        <v>44790</v>
      </c>
      <c r="B1816" s="24" t="s">
        <v>139</v>
      </c>
      <c r="C1816" s="21">
        <f t="shared" si="32"/>
        <v>-10.050000000000001</v>
      </c>
      <c r="CW1816" s="42">
        <v>-10.050000000000001</v>
      </c>
    </row>
    <row r="1817" spans="1:226" x14ac:dyDescent="0.25">
      <c r="A1817" s="127">
        <v>44790</v>
      </c>
      <c r="B1817" s="24" t="s">
        <v>32</v>
      </c>
      <c r="C1817" s="21">
        <f t="shared" si="32"/>
        <v>-87.795000000000002</v>
      </c>
      <c r="AM1817" s="69">
        <v>-16.895</v>
      </c>
      <c r="EA1817" s="74">
        <v>-70.900000000000006</v>
      </c>
    </row>
    <row r="1818" spans="1:226" x14ac:dyDescent="0.25">
      <c r="A1818" s="127">
        <v>44790</v>
      </c>
      <c r="B1818" s="24" t="s">
        <v>78</v>
      </c>
      <c r="C1818" s="21">
        <f t="shared" si="32"/>
        <v>-67.52</v>
      </c>
      <c r="CM1818" s="106">
        <v>-32.5</v>
      </c>
      <c r="DP1818" s="74">
        <v>-17.920000000000002</v>
      </c>
      <c r="DU1818" s="106">
        <v>-17.100000000000001</v>
      </c>
    </row>
    <row r="1819" spans="1:226" x14ac:dyDescent="0.25">
      <c r="A1819" s="127">
        <v>44790</v>
      </c>
      <c r="B1819" s="24" t="s">
        <v>89</v>
      </c>
      <c r="C1819" s="21">
        <f t="shared" si="32"/>
        <v>-365.62</v>
      </c>
      <c r="BC1819" s="106">
        <v>-34.5</v>
      </c>
      <c r="BI1819" s="106">
        <v>-32.159999999999997</v>
      </c>
      <c r="BO1819" s="106">
        <v>-33.1</v>
      </c>
      <c r="BU1819" s="106">
        <v>-100.08</v>
      </c>
      <c r="CA1819" s="106">
        <v>-32.619999999999997</v>
      </c>
      <c r="CM1819" s="106">
        <v>-30.5</v>
      </c>
      <c r="EA1819" s="74">
        <v>-102.66</v>
      </c>
    </row>
    <row r="1820" spans="1:226" x14ac:dyDescent="0.25">
      <c r="A1820" s="127">
        <v>44790</v>
      </c>
      <c r="B1820" s="24" t="s">
        <v>133</v>
      </c>
      <c r="C1820" s="21">
        <f t="shared" si="32"/>
        <v>-134.05000000000001</v>
      </c>
      <c r="AE1820" s="42">
        <v>-16.329999999999998</v>
      </c>
      <c r="BO1820" s="106">
        <v>-33.1</v>
      </c>
      <c r="CS1820" s="74">
        <v>-16.46</v>
      </c>
      <c r="DE1820" s="74">
        <v>-16.32</v>
      </c>
      <c r="EA1820" s="74">
        <v>-51.84</v>
      </c>
    </row>
    <row r="1821" spans="1:226" x14ac:dyDescent="0.25">
      <c r="A1821" s="127">
        <v>44790</v>
      </c>
      <c r="B1821" s="24" t="s">
        <v>95</v>
      </c>
      <c r="C1821" s="21">
        <f t="shared" si="32"/>
        <v>-205.86</v>
      </c>
      <c r="CY1821" s="106">
        <v>-205.86</v>
      </c>
    </row>
    <row r="1822" spans="1:226" x14ac:dyDescent="0.25">
      <c r="A1822" s="127">
        <v>44790</v>
      </c>
      <c r="B1822" s="24" t="s">
        <v>15</v>
      </c>
      <c r="C1822" s="21">
        <f t="shared" si="32"/>
        <v>-331.5</v>
      </c>
      <c r="CM1822" s="106">
        <v>-65.25</v>
      </c>
      <c r="CS1822" s="74">
        <v>-30.28</v>
      </c>
      <c r="CY1822" s="106">
        <v>-34.14</v>
      </c>
      <c r="DE1822" s="74">
        <v>-65.84</v>
      </c>
      <c r="DK1822" s="106">
        <v>-66.62</v>
      </c>
      <c r="DP1822" s="74">
        <v>-35.32</v>
      </c>
      <c r="DU1822" s="106">
        <v>-34.049999999999997</v>
      </c>
    </row>
    <row r="1823" spans="1:226" x14ac:dyDescent="0.25">
      <c r="A1823" s="127">
        <v>44790</v>
      </c>
      <c r="B1823" s="24" t="s">
        <v>17</v>
      </c>
      <c r="C1823" s="21">
        <f t="shared" si="32"/>
        <v>-299.86</v>
      </c>
      <c r="BO1823" s="106">
        <v>-97.9</v>
      </c>
      <c r="BU1823" s="106">
        <v>-102.34</v>
      </c>
      <c r="CA1823" s="106">
        <v>-65.92</v>
      </c>
      <c r="CM1823" s="106">
        <v>-33.700000000000003</v>
      </c>
    </row>
    <row r="1824" spans="1:226" x14ac:dyDescent="0.25">
      <c r="A1824" s="127">
        <v>44790</v>
      </c>
      <c r="B1824" s="24" t="s">
        <v>103</v>
      </c>
      <c r="C1824" s="21">
        <f t="shared" si="32"/>
        <v>50.835000000000001</v>
      </c>
      <c r="AQ1824" s="69">
        <v>16.93</v>
      </c>
      <c r="AV1824" s="69">
        <v>25.405000000000001</v>
      </c>
      <c r="BH1824" s="69">
        <v>8.5</v>
      </c>
    </row>
    <row r="1825" spans="1:226" x14ac:dyDescent="0.25">
      <c r="A1825" s="127">
        <v>44791</v>
      </c>
      <c r="B1825" s="24" t="s">
        <v>122</v>
      </c>
      <c r="C1825" s="21">
        <f t="shared" si="32"/>
        <v>-8.42</v>
      </c>
      <c r="AQ1825" s="69">
        <v>-8.42</v>
      </c>
    </row>
    <row r="1826" spans="1:226" x14ac:dyDescent="0.25">
      <c r="A1826" s="127">
        <v>44791</v>
      </c>
      <c r="B1826" s="24" t="s">
        <v>146</v>
      </c>
      <c r="C1826" s="21">
        <f t="shared" si="32"/>
        <v>-783.15</v>
      </c>
      <c r="AE1826" s="42">
        <v>-65.66</v>
      </c>
      <c r="AM1826" s="69">
        <v>-33.79</v>
      </c>
      <c r="CM1826" s="106">
        <v>-193.3</v>
      </c>
      <c r="CS1826" s="74">
        <v>-119.4</v>
      </c>
      <c r="CY1826" s="106">
        <v>-100.78</v>
      </c>
      <c r="DK1826" s="106">
        <v>-166.98</v>
      </c>
      <c r="DP1826" s="74">
        <v>-103.24</v>
      </c>
    </row>
    <row r="1827" spans="1:226" x14ac:dyDescent="0.25">
      <c r="A1827" s="127">
        <v>44791</v>
      </c>
      <c r="B1827" s="24" t="s">
        <v>17</v>
      </c>
      <c r="C1827" s="21">
        <f t="shared" si="32"/>
        <v>-114.51</v>
      </c>
      <c r="AM1827" s="69">
        <v>-8.3699999999999992</v>
      </c>
      <c r="AR1827" s="106">
        <v>-8.91</v>
      </c>
      <c r="BC1827" s="106">
        <v>-15.9</v>
      </c>
      <c r="BI1827" s="106">
        <v>-16.02</v>
      </c>
      <c r="BO1827" s="106">
        <v>-8.3000000000000007</v>
      </c>
      <c r="BU1827" s="106">
        <v>-8.4700000000000006</v>
      </c>
      <c r="CA1827" s="106">
        <v>-16.46</v>
      </c>
      <c r="CM1827" s="106">
        <v>-16.3</v>
      </c>
      <c r="CS1827" s="74">
        <v>-15.78</v>
      </c>
    </row>
    <row r="1828" spans="1:226" x14ac:dyDescent="0.25">
      <c r="A1828" s="127">
        <v>44791</v>
      </c>
      <c r="B1828" s="24" t="s">
        <v>37</v>
      </c>
      <c r="C1828" s="21">
        <f t="shared" si="32"/>
        <v>-403.65</v>
      </c>
      <c r="HR1828" s="92">
        <v>-403.65</v>
      </c>
    </row>
    <row r="1829" spans="1:226" x14ac:dyDescent="0.25">
      <c r="A1829" s="127">
        <v>44791</v>
      </c>
      <c r="B1829" s="24" t="s">
        <v>17</v>
      </c>
      <c r="C1829" s="21">
        <f t="shared" si="32"/>
        <v>-396.59</v>
      </c>
      <c r="BI1829" s="106">
        <v>-67.23</v>
      </c>
      <c r="BO1829" s="106">
        <v>-69.959999999999994</v>
      </c>
      <c r="BU1829" s="106">
        <v>-64.94</v>
      </c>
      <c r="CA1829" s="106">
        <v>-66.28</v>
      </c>
      <c r="CM1829" s="106">
        <v>-64.3</v>
      </c>
      <c r="CS1829" s="74">
        <v>-63.88</v>
      </c>
    </row>
    <row r="1830" spans="1:226" x14ac:dyDescent="0.25">
      <c r="A1830" s="127">
        <v>44791</v>
      </c>
      <c r="B1830" s="24" t="s">
        <v>15</v>
      </c>
      <c r="C1830" s="21">
        <f t="shared" si="32"/>
        <v>-160.30000000000001</v>
      </c>
      <c r="CM1830" s="106">
        <v>-69.5</v>
      </c>
      <c r="CS1830" s="74">
        <v>-56.78</v>
      </c>
      <c r="CY1830" s="106">
        <v>-34.020000000000003</v>
      </c>
    </row>
    <row r="1831" spans="1:226" x14ac:dyDescent="0.25">
      <c r="A1831" s="127">
        <v>44791</v>
      </c>
      <c r="B1831" s="24" t="s">
        <v>18</v>
      </c>
      <c r="C1831" s="21">
        <f t="shared" si="32"/>
        <v>-703.36</v>
      </c>
      <c r="BC1831" s="106">
        <v>-101.46</v>
      </c>
      <c r="BI1831" s="106">
        <v>-61.1</v>
      </c>
      <c r="BO1831" s="106">
        <v>-166.63</v>
      </c>
      <c r="BU1831" s="106">
        <v>-70.05</v>
      </c>
      <c r="CA1831" s="106">
        <v>-98.2</v>
      </c>
      <c r="CM1831" s="106">
        <v>-66.8</v>
      </c>
      <c r="CY1831" s="106">
        <v>-68.7</v>
      </c>
      <c r="DE1831" s="74">
        <v>-70.42</v>
      </c>
    </row>
    <row r="1832" spans="1:226" x14ac:dyDescent="0.25">
      <c r="A1832" s="127">
        <v>44791</v>
      </c>
      <c r="B1832" s="24" t="s">
        <v>29</v>
      </c>
      <c r="C1832" s="21">
        <f t="shared" si="32"/>
        <v>-16.5</v>
      </c>
      <c r="BI1832" s="106">
        <v>-8.65</v>
      </c>
      <c r="BO1832" s="106">
        <v>-7.85</v>
      </c>
    </row>
    <row r="1833" spans="1:226" x14ac:dyDescent="0.25">
      <c r="A1833" s="127">
        <v>44791</v>
      </c>
      <c r="B1833" s="24" t="s">
        <v>17</v>
      </c>
      <c r="C1833" s="21">
        <f t="shared" si="32"/>
        <v>-135.27000000000001</v>
      </c>
      <c r="AE1833" s="42">
        <v>-15.12</v>
      </c>
      <c r="AR1833" s="106">
        <v>-17.73</v>
      </c>
      <c r="BC1833" s="106">
        <v>-33.520000000000003</v>
      </c>
      <c r="BO1833" s="106">
        <v>-35.24</v>
      </c>
      <c r="BU1833" s="106">
        <v>-33.659999999999997</v>
      </c>
    </row>
    <row r="1834" spans="1:226" x14ac:dyDescent="0.25">
      <c r="A1834" s="127">
        <v>44791</v>
      </c>
      <c r="B1834" s="24" t="s">
        <v>18</v>
      </c>
      <c r="C1834" s="21">
        <f t="shared" si="32"/>
        <v>-171.32</v>
      </c>
      <c r="BI1834" s="106">
        <v>-31.8</v>
      </c>
      <c r="BO1834" s="106">
        <v>-70.52</v>
      </c>
      <c r="BU1834" s="106">
        <v>-69</v>
      </c>
    </row>
    <row r="1835" spans="1:226" x14ac:dyDescent="0.25">
      <c r="A1835" s="127">
        <v>44791</v>
      </c>
      <c r="B1835" s="24" t="s">
        <v>59</v>
      </c>
      <c r="C1835" s="21">
        <f t="shared" si="32"/>
        <v>-13.35</v>
      </c>
      <c r="CM1835" s="106">
        <v>-7.8</v>
      </c>
      <c r="CR1835" s="69">
        <v>-5.55</v>
      </c>
    </row>
    <row r="1836" spans="1:226" x14ac:dyDescent="0.25">
      <c r="A1836" s="127">
        <v>44792</v>
      </c>
      <c r="B1836" s="24" t="s">
        <v>68</v>
      </c>
      <c r="C1836" s="21">
        <f t="shared" si="32"/>
        <v>-135.38999999999999</v>
      </c>
      <c r="AN1836" s="106">
        <v>-34.54</v>
      </c>
      <c r="AQ1836" s="69">
        <v>-8.51</v>
      </c>
      <c r="AR1836" s="106">
        <f>-8.81-8.93-8.9</f>
        <v>-26.64</v>
      </c>
      <c r="BC1836" s="106">
        <v>-33.9</v>
      </c>
      <c r="BI1836" s="106">
        <v>-31.8</v>
      </c>
    </row>
    <row r="1837" spans="1:226" x14ac:dyDescent="0.25">
      <c r="A1837" s="127">
        <v>44792</v>
      </c>
      <c r="B1837" s="24" t="s">
        <v>18</v>
      </c>
      <c r="C1837" s="21">
        <f t="shared" si="32"/>
        <v>-7.93</v>
      </c>
      <c r="T1837" s="42">
        <v>-7.93</v>
      </c>
    </row>
    <row r="1838" spans="1:226" x14ac:dyDescent="0.25">
      <c r="A1838" s="127">
        <v>44792</v>
      </c>
      <c r="B1838" s="24" t="s">
        <v>15</v>
      </c>
      <c r="C1838" s="21">
        <f t="shared" si="32"/>
        <v>-16.350000000000001</v>
      </c>
      <c r="CM1838" s="106">
        <v>-16.350000000000001</v>
      </c>
    </row>
    <row r="1839" spans="1:226" x14ac:dyDescent="0.25">
      <c r="A1839" s="127">
        <v>44792</v>
      </c>
      <c r="B1839" s="24" t="s">
        <v>144</v>
      </c>
      <c r="C1839" s="21">
        <f t="shared" si="32"/>
        <v>-320.70999999999998</v>
      </c>
      <c r="GZ1839" s="106">
        <v>-320.70999999999998</v>
      </c>
    </row>
    <row r="1840" spans="1:226" x14ac:dyDescent="0.25">
      <c r="A1840" s="127">
        <v>44792</v>
      </c>
      <c r="B1840" s="24" t="s">
        <v>20</v>
      </c>
      <c r="C1840" s="21">
        <f t="shared" si="32"/>
        <v>-74.19</v>
      </c>
      <c r="BC1840" s="106">
        <v>-8</v>
      </c>
      <c r="BH1840" s="69">
        <v>-7</v>
      </c>
      <c r="BO1840" s="106">
        <v>-9.19</v>
      </c>
      <c r="BU1840" s="106">
        <v>-8.59</v>
      </c>
      <c r="CA1840" s="106">
        <v>-8.74</v>
      </c>
      <c r="CG1840" s="106">
        <v>-8.15</v>
      </c>
      <c r="CM1840" s="106">
        <v>-7.95</v>
      </c>
      <c r="GZ1840" s="106">
        <v>-16.57</v>
      </c>
    </row>
    <row r="1841" spans="1:178" x14ac:dyDescent="0.25">
      <c r="A1841" s="127">
        <v>44792</v>
      </c>
      <c r="B1841" s="24" t="s">
        <v>25</v>
      </c>
      <c r="C1841" s="21">
        <f t="shared" ref="C1841:C1904" si="33">SUM(D1841:JT1841)</f>
        <v>-33.590000000000003</v>
      </c>
      <c r="DB1841" s="115">
        <v>-24.7</v>
      </c>
      <c r="DE1841" s="74">
        <v>-8.89</v>
      </c>
    </row>
    <row r="1842" spans="1:178" x14ac:dyDescent="0.25">
      <c r="A1842" s="127">
        <v>44793</v>
      </c>
      <c r="B1842" s="24" t="s">
        <v>113</v>
      </c>
      <c r="C1842" s="21">
        <f t="shared" si="33"/>
        <v>1743.04</v>
      </c>
      <c r="Z1842" s="79">
        <v>353.61</v>
      </c>
      <c r="AC1842" s="106">
        <v>349.3</v>
      </c>
      <c r="AW1842" s="106">
        <v>350.28</v>
      </c>
      <c r="CG1842" s="106">
        <v>361.5</v>
      </c>
      <c r="FV1842" s="106">
        <v>328.35</v>
      </c>
    </row>
    <row r="1843" spans="1:178" x14ac:dyDescent="0.25">
      <c r="A1843" s="127">
        <v>44793</v>
      </c>
      <c r="B1843" s="24" t="s">
        <v>150</v>
      </c>
      <c r="C1843" s="21">
        <f t="shared" si="33"/>
        <v>-35.08</v>
      </c>
      <c r="Z1843" s="79">
        <v>-18.09</v>
      </c>
      <c r="BC1843" s="106">
        <v>-8.49</v>
      </c>
      <c r="BH1843" s="69">
        <v>-8.5</v>
      </c>
    </row>
    <row r="1844" spans="1:178" x14ac:dyDescent="0.25">
      <c r="A1844" s="127">
        <v>44793</v>
      </c>
      <c r="B1844" s="24" t="s">
        <v>32</v>
      </c>
      <c r="C1844" s="21">
        <f t="shared" si="33"/>
        <v>-483.01</v>
      </c>
      <c r="AE1844" s="42">
        <v>-16.7</v>
      </c>
      <c r="BC1844" s="106">
        <v>-67.45</v>
      </c>
      <c r="BI1844" s="106">
        <v>-66.34</v>
      </c>
      <c r="BO1844" s="106">
        <v>-66.739999999999995</v>
      </c>
      <c r="BU1844" s="106">
        <v>-68.95</v>
      </c>
      <c r="CA1844" s="106">
        <v>-33.56</v>
      </c>
      <c r="CG1844" s="106">
        <v>-32.25</v>
      </c>
      <c r="CM1844" s="106">
        <v>-34.6</v>
      </c>
      <c r="CS1844" s="74">
        <v>-28.78</v>
      </c>
      <c r="CY1844" s="106">
        <v>-17.72</v>
      </c>
      <c r="DE1844" s="74">
        <v>-16.54</v>
      </c>
      <c r="DK1844" s="106">
        <v>-15.76</v>
      </c>
      <c r="DP1844" s="74">
        <v>-17.62</v>
      </c>
    </row>
    <row r="1845" spans="1:178" x14ac:dyDescent="0.25">
      <c r="A1845" s="127">
        <v>44795</v>
      </c>
      <c r="B1845" s="24" t="s">
        <v>95</v>
      </c>
      <c r="C1845" s="21">
        <f t="shared" si="33"/>
        <v>-775.37</v>
      </c>
      <c r="Z1845" s="79">
        <v>-35.590000000000003</v>
      </c>
      <c r="AC1845" s="106">
        <v>-64.25</v>
      </c>
      <c r="BC1845" s="106">
        <v>-33.479999999999997</v>
      </c>
      <c r="BO1845" s="106">
        <v>-103.44</v>
      </c>
      <c r="BU1845" s="106">
        <v>-207.7</v>
      </c>
      <c r="CG1845" s="106">
        <v>-130.15</v>
      </c>
      <c r="CM1845" s="106">
        <v>-33.450000000000003</v>
      </c>
      <c r="DU1845" s="106">
        <v>-67.05</v>
      </c>
      <c r="EA1845" s="74">
        <v>-100.26</v>
      </c>
    </row>
    <row r="1846" spans="1:178" x14ac:dyDescent="0.25">
      <c r="A1846" s="127">
        <v>44795</v>
      </c>
      <c r="B1846" s="24" t="s">
        <v>15</v>
      </c>
      <c r="C1846" s="21">
        <f t="shared" si="33"/>
        <v>-100.12</v>
      </c>
      <c r="AC1846" s="106">
        <v>-31.85</v>
      </c>
      <c r="AW1846" s="106">
        <v>-33.39</v>
      </c>
      <c r="BO1846" s="106">
        <v>-34.880000000000003</v>
      </c>
    </row>
    <row r="1847" spans="1:178" x14ac:dyDescent="0.25">
      <c r="A1847" s="127">
        <v>44795</v>
      </c>
      <c r="B1847" s="29" t="s">
        <v>18</v>
      </c>
      <c r="C1847" s="21">
        <f t="shared" si="33"/>
        <v>5</v>
      </c>
      <c r="CY1847" s="106">
        <v>2</v>
      </c>
      <c r="DE1847" s="74">
        <v>3</v>
      </c>
    </row>
    <row r="1848" spans="1:178" x14ac:dyDescent="0.25">
      <c r="A1848" s="127">
        <v>44795</v>
      </c>
      <c r="B1848" s="24" t="s">
        <v>133</v>
      </c>
      <c r="C1848" s="21">
        <f t="shared" si="33"/>
        <v>-124.13</v>
      </c>
      <c r="BO1848" s="106">
        <v>-34.880000000000003</v>
      </c>
      <c r="BU1848" s="106">
        <v>-34.6</v>
      </c>
      <c r="CA1848" s="106">
        <v>-25.09</v>
      </c>
      <c r="CS1848" s="74">
        <v>-29.56</v>
      </c>
    </row>
    <row r="1849" spans="1:178" x14ac:dyDescent="0.25">
      <c r="A1849" s="127">
        <v>44795</v>
      </c>
      <c r="B1849" s="24" t="s">
        <v>72</v>
      </c>
      <c r="C1849" s="21">
        <f t="shared" si="33"/>
        <v>-17.62</v>
      </c>
      <c r="DP1849" s="74">
        <v>-17.62</v>
      </c>
    </row>
    <row r="1850" spans="1:178" x14ac:dyDescent="0.25">
      <c r="A1850" s="127">
        <v>44795</v>
      </c>
      <c r="B1850" s="24" t="s">
        <v>59</v>
      </c>
      <c r="C1850" s="21">
        <f t="shared" si="33"/>
        <v>-9.52</v>
      </c>
      <c r="Z1850" s="79">
        <v>-1.31</v>
      </c>
      <c r="CG1850" s="106">
        <v>-8.2100000000000009</v>
      </c>
    </row>
    <row r="1851" spans="1:178" x14ac:dyDescent="0.25">
      <c r="A1851" s="127">
        <v>44796</v>
      </c>
      <c r="B1851" s="24" t="s">
        <v>20</v>
      </c>
      <c r="C1851" s="21">
        <f t="shared" si="33"/>
        <v>-16.489999999999998</v>
      </c>
      <c r="CA1851" s="106">
        <v>-8.19</v>
      </c>
      <c r="CG1851" s="106">
        <v>-8.3000000000000007</v>
      </c>
    </row>
    <row r="1852" spans="1:178" x14ac:dyDescent="0.25">
      <c r="A1852" s="127">
        <v>44796</v>
      </c>
      <c r="B1852" s="24" t="s">
        <v>84</v>
      </c>
      <c r="C1852" s="21">
        <f t="shared" si="33"/>
        <v>-43.25</v>
      </c>
      <c r="Z1852" s="79">
        <v>-8.9700000000000006</v>
      </c>
      <c r="BC1852" s="106">
        <v>-16.920000000000002</v>
      </c>
      <c r="BI1852" s="106">
        <v>-8.51</v>
      </c>
      <c r="BO1852" s="106">
        <v>-8.85</v>
      </c>
    </row>
    <row r="1853" spans="1:178" x14ac:dyDescent="0.25">
      <c r="A1853" s="127">
        <v>44796</v>
      </c>
      <c r="B1853" s="24" t="s">
        <v>134</v>
      </c>
      <c r="C1853" s="21">
        <f t="shared" si="33"/>
        <v>-21.42</v>
      </c>
      <c r="E1853" s="386">
        <v>-21.42</v>
      </c>
    </row>
    <row r="1854" spans="1:178" x14ac:dyDescent="0.25">
      <c r="A1854" s="127">
        <v>44796</v>
      </c>
      <c r="B1854" s="24" t="s">
        <v>26</v>
      </c>
      <c r="C1854" s="21">
        <f t="shared" si="33"/>
        <v>-24.33</v>
      </c>
      <c r="CS1854" s="74">
        <v>-7.99</v>
      </c>
      <c r="DP1854" s="74">
        <v>-16.34</v>
      </c>
    </row>
    <row r="1855" spans="1:178" x14ac:dyDescent="0.25">
      <c r="A1855" s="127">
        <v>44796</v>
      </c>
      <c r="B1855" s="24" t="s">
        <v>75</v>
      </c>
      <c r="C1855" s="21">
        <f t="shared" si="33"/>
        <v>-41.52</v>
      </c>
      <c r="BI1855" s="106">
        <v>-7.77</v>
      </c>
      <c r="BO1855" s="106">
        <v>-8.67</v>
      </c>
      <c r="BU1855" s="106">
        <v>-8.35</v>
      </c>
      <c r="CR1855" s="69">
        <v>-8.44</v>
      </c>
      <c r="CW1855" s="42">
        <v>-8.2899999999999991</v>
      </c>
    </row>
    <row r="1856" spans="1:178" x14ac:dyDescent="0.25">
      <c r="A1856" s="127">
        <v>44796</v>
      </c>
      <c r="B1856" s="24" t="s">
        <v>139</v>
      </c>
      <c r="C1856" s="21">
        <f t="shared" si="33"/>
        <v>-42.77</v>
      </c>
      <c r="BO1856" s="106">
        <v>-9.0500000000000007</v>
      </c>
      <c r="BU1856" s="106">
        <v>-8.65</v>
      </c>
      <c r="CA1856" s="106">
        <v>-8.17</v>
      </c>
      <c r="CG1856" s="106">
        <v>-8.25</v>
      </c>
      <c r="CM1856" s="106">
        <v>-8.65</v>
      </c>
    </row>
    <row r="1857" spans="1:199" x14ac:dyDescent="0.25">
      <c r="A1857" s="127">
        <v>44796</v>
      </c>
      <c r="B1857" s="24" t="s">
        <v>50</v>
      </c>
      <c r="C1857" s="21">
        <f t="shared" si="33"/>
        <v>0</v>
      </c>
    </row>
    <row r="1858" spans="1:199" x14ac:dyDescent="0.25">
      <c r="A1858" s="127">
        <v>44796</v>
      </c>
      <c r="B1858" s="24" t="s">
        <v>95</v>
      </c>
      <c r="C1858" s="21">
        <f t="shared" si="33"/>
        <v>-299.73</v>
      </c>
      <c r="BC1858" s="106">
        <v>-28.85</v>
      </c>
      <c r="BO1858" s="106">
        <v>-35.299999999999997</v>
      </c>
      <c r="BU1858" s="106">
        <v>-34.6</v>
      </c>
      <c r="CA1858" s="106">
        <v>-33.520000000000003</v>
      </c>
      <c r="CM1858" s="106">
        <v>-33.299999999999997</v>
      </c>
      <c r="DE1858" s="74">
        <v>-68.680000000000007</v>
      </c>
      <c r="DK1858" s="106">
        <v>-65.48</v>
      </c>
    </row>
    <row r="1859" spans="1:199" x14ac:dyDescent="0.25">
      <c r="A1859" s="127">
        <v>44796</v>
      </c>
      <c r="B1859" s="24" t="s">
        <v>147</v>
      </c>
      <c r="C1859" s="21">
        <f t="shared" si="33"/>
        <v>-25.94</v>
      </c>
      <c r="BC1859" s="106">
        <v>-8.5299999999999994</v>
      </c>
      <c r="BI1859" s="106">
        <v>-8.64</v>
      </c>
      <c r="BO1859" s="106">
        <v>-8.77</v>
      </c>
    </row>
    <row r="1860" spans="1:199" x14ac:dyDescent="0.25">
      <c r="A1860" s="127">
        <v>44796</v>
      </c>
      <c r="B1860" s="24" t="s">
        <v>151</v>
      </c>
      <c r="C1860" s="21">
        <f t="shared" si="33"/>
        <v>-59.93</v>
      </c>
      <c r="DK1860" s="106">
        <v>-59.93</v>
      </c>
    </row>
    <row r="1861" spans="1:199" x14ac:dyDescent="0.25">
      <c r="A1861" s="127">
        <v>44797</v>
      </c>
      <c r="B1861" s="24" t="s">
        <v>44</v>
      </c>
      <c r="C1861" s="21">
        <f t="shared" si="33"/>
        <v>-156.69999999999999</v>
      </c>
      <c r="GJ1861" s="202">
        <v>-30.8</v>
      </c>
      <c r="GP1861" s="42">
        <v>-113.3</v>
      </c>
      <c r="GQ1861" s="92">
        <v>-12.6</v>
      </c>
    </row>
    <row r="1862" spans="1:199" x14ac:dyDescent="0.25">
      <c r="A1862" s="127">
        <v>44797</v>
      </c>
      <c r="B1862" s="24" t="s">
        <v>95</v>
      </c>
      <c r="C1862" s="21">
        <f t="shared" si="33"/>
        <v>-169.45</v>
      </c>
      <c r="CG1862" s="106">
        <v>-33.15</v>
      </c>
      <c r="DU1862" s="106">
        <v>-136.30000000000001</v>
      </c>
    </row>
    <row r="1863" spans="1:199" x14ac:dyDescent="0.25">
      <c r="A1863" s="127">
        <v>44797</v>
      </c>
      <c r="B1863" s="24" t="s">
        <v>12</v>
      </c>
      <c r="C1863" s="21">
        <f t="shared" si="33"/>
        <v>-132.32</v>
      </c>
      <c r="O1863" s="375">
        <v>-8.49</v>
      </c>
      <c r="CA1863" s="106">
        <v>-8.11</v>
      </c>
      <c r="CG1863" s="106">
        <v>-32.700000000000003</v>
      </c>
      <c r="CN1863" s="121">
        <v>-16.78</v>
      </c>
      <c r="CY1863" s="106">
        <v>-49.4</v>
      </c>
      <c r="DE1863" s="74">
        <v>-16.84</v>
      </c>
    </row>
    <row r="1864" spans="1:199" x14ac:dyDescent="0.25">
      <c r="A1864" s="127">
        <v>44797</v>
      </c>
      <c r="B1864" s="24" t="s">
        <v>20</v>
      </c>
      <c r="C1864" s="21">
        <f t="shared" si="33"/>
        <v>-25.96</v>
      </c>
      <c r="BO1864" s="106">
        <v>-8.81</v>
      </c>
      <c r="BU1864" s="106">
        <v>-8.6999999999999993</v>
      </c>
      <c r="CS1864" s="74">
        <v>-8.4499999999999993</v>
      </c>
    </row>
    <row r="1865" spans="1:199" x14ac:dyDescent="0.25">
      <c r="A1865" s="127">
        <v>44797</v>
      </c>
      <c r="B1865" s="24" t="s">
        <v>127</v>
      </c>
      <c r="C1865" s="21">
        <f t="shared" si="33"/>
        <v>-16.715</v>
      </c>
      <c r="AV1865" s="69">
        <v>-8.4649999999999999</v>
      </c>
      <c r="CC1865" s="126">
        <v>-8.25</v>
      </c>
    </row>
    <row r="1866" spans="1:199" x14ac:dyDescent="0.25">
      <c r="A1866" s="127">
        <v>44797</v>
      </c>
      <c r="B1866" s="24" t="s">
        <v>33</v>
      </c>
      <c r="C1866" s="21">
        <f t="shared" si="33"/>
        <v>-33.78</v>
      </c>
      <c r="AN1866" s="106">
        <v>-8.4</v>
      </c>
      <c r="BI1866" s="106">
        <v>-16.54</v>
      </c>
      <c r="CC1866" s="126">
        <v>-8.84</v>
      </c>
    </row>
    <row r="1867" spans="1:199" x14ac:dyDescent="0.25">
      <c r="A1867" s="127">
        <v>44797</v>
      </c>
      <c r="B1867" s="24" t="s">
        <v>139</v>
      </c>
      <c r="C1867" s="21">
        <f t="shared" si="33"/>
        <v>-25.16</v>
      </c>
      <c r="CC1867" s="126">
        <v>-8.2100000000000009</v>
      </c>
      <c r="CG1867" s="106">
        <v>-8.25</v>
      </c>
      <c r="CM1867" s="106">
        <v>-8.6999999999999993</v>
      </c>
    </row>
    <row r="1868" spans="1:199" x14ac:dyDescent="0.25">
      <c r="A1868" s="127">
        <v>44797</v>
      </c>
      <c r="B1868" s="24" t="s">
        <v>78</v>
      </c>
      <c r="C1868" s="21">
        <f t="shared" si="33"/>
        <v>-102.72</v>
      </c>
      <c r="EA1868" s="74">
        <v>-102.72</v>
      </c>
    </row>
    <row r="1869" spans="1:199" x14ac:dyDescent="0.25">
      <c r="A1869" s="127">
        <v>44797</v>
      </c>
      <c r="B1869" s="24" t="s">
        <v>59</v>
      </c>
      <c r="C1869" s="21">
        <f t="shared" si="33"/>
        <v>-5.34</v>
      </c>
      <c r="BU1869" s="106">
        <v>-2.1800000000000002</v>
      </c>
      <c r="CA1869" s="106">
        <v>-3.16</v>
      </c>
    </row>
    <row r="1870" spans="1:199" x14ac:dyDescent="0.25">
      <c r="A1870" s="127">
        <v>44797</v>
      </c>
      <c r="B1870" s="24" t="s">
        <v>65</v>
      </c>
      <c r="C1870" s="21">
        <f t="shared" si="33"/>
        <v>0</v>
      </c>
    </row>
    <row r="1871" spans="1:199" x14ac:dyDescent="0.25">
      <c r="A1871" s="127">
        <v>44798</v>
      </c>
      <c r="B1871" s="24" t="s">
        <v>68</v>
      </c>
      <c r="C1871" s="21">
        <f t="shared" si="33"/>
        <v>-101.92</v>
      </c>
      <c r="BC1871" s="106">
        <v>-32.049999999999997</v>
      </c>
      <c r="BO1871" s="106">
        <v>-35.32</v>
      </c>
      <c r="BU1871" s="106">
        <v>-34.549999999999997</v>
      </c>
    </row>
    <row r="1872" spans="1:199" x14ac:dyDescent="0.25">
      <c r="A1872" s="127">
        <v>44798</v>
      </c>
      <c r="B1872" s="24" t="s">
        <v>152</v>
      </c>
      <c r="C1872" s="21">
        <f t="shared" si="33"/>
        <v>-880.89</v>
      </c>
      <c r="AE1872" s="42">
        <v>-32.549999999999997</v>
      </c>
      <c r="AN1872" s="106">
        <v>-32.299999999999997</v>
      </c>
      <c r="AW1872" s="106">
        <v>-33.53</v>
      </c>
      <c r="BC1872" s="106">
        <v>-64.05</v>
      </c>
      <c r="BO1872" s="106">
        <v>-105.78</v>
      </c>
      <c r="BU1872" s="106">
        <v>-69.05</v>
      </c>
      <c r="CG1872" s="106">
        <v>-66.900000000000006</v>
      </c>
      <c r="CM1872" s="106">
        <v>-33.35</v>
      </c>
      <c r="CW1872" s="42">
        <v>-35.17</v>
      </c>
      <c r="DU1872" s="106">
        <v>-202.55</v>
      </c>
      <c r="EA1872" s="74">
        <v>-205.66</v>
      </c>
    </row>
    <row r="1873" spans="1:226" x14ac:dyDescent="0.25">
      <c r="A1873" s="127">
        <v>44798</v>
      </c>
      <c r="B1873" s="24" t="s">
        <v>138</v>
      </c>
      <c r="C1873" s="21">
        <f t="shared" si="33"/>
        <v>-31.87</v>
      </c>
      <c r="BD1873" s="121">
        <v>-6.88</v>
      </c>
      <c r="BI1873" s="106">
        <v>-8.2899999999999991</v>
      </c>
      <c r="BU1873" s="106">
        <v>-8.0500000000000007</v>
      </c>
      <c r="CM1873" s="106">
        <v>-8.65</v>
      </c>
    </row>
    <row r="1874" spans="1:226" x14ac:dyDescent="0.25">
      <c r="A1874" s="127">
        <v>44798</v>
      </c>
      <c r="B1874" s="24" t="s">
        <v>113</v>
      </c>
      <c r="C1874" s="21">
        <f t="shared" si="33"/>
        <v>1632.11</v>
      </c>
      <c r="BC1874" s="106">
        <v>64.099999999999994</v>
      </c>
      <c r="CG1874" s="106">
        <v>98.4</v>
      </c>
      <c r="EG1874" s="74">
        <v>239.4</v>
      </c>
      <c r="EL1874" s="106">
        <v>202.5</v>
      </c>
      <c r="ET1874" s="106">
        <v>179.66</v>
      </c>
      <c r="HF1874" s="92">
        <v>323.3</v>
      </c>
      <c r="HM1874" s="106">
        <v>524.75</v>
      </c>
    </row>
    <row r="1875" spans="1:226" x14ac:dyDescent="0.25">
      <c r="A1875" s="127">
        <v>44799</v>
      </c>
      <c r="B1875" s="29" t="s">
        <v>15</v>
      </c>
      <c r="C1875" s="21">
        <f t="shared" si="33"/>
        <v>-102.15</v>
      </c>
      <c r="EG1875" s="74">
        <v>-68.150000000000006</v>
      </c>
      <c r="EL1875" s="106">
        <v>-34</v>
      </c>
    </row>
    <row r="1876" spans="1:226" x14ac:dyDescent="0.25">
      <c r="A1876" s="127">
        <v>44799</v>
      </c>
      <c r="B1876" s="29" t="s">
        <v>26</v>
      </c>
      <c r="C1876" s="21">
        <f t="shared" si="33"/>
        <v>-84.77</v>
      </c>
      <c r="CS1876" s="74">
        <v>-7.47</v>
      </c>
      <c r="EE1876" s="42">
        <v>-7.34</v>
      </c>
      <c r="EG1876" s="74">
        <v>-69.959999999999994</v>
      </c>
    </row>
    <row r="1877" spans="1:226" x14ac:dyDescent="0.25">
      <c r="A1877" s="127">
        <v>44799</v>
      </c>
      <c r="B1877" s="29" t="s">
        <v>131</v>
      </c>
      <c r="C1877" s="21">
        <f t="shared" si="33"/>
        <v>-97.8</v>
      </c>
      <c r="HM1877" s="106">
        <v>-97.8</v>
      </c>
    </row>
    <row r="1878" spans="1:226" x14ac:dyDescent="0.25">
      <c r="A1878" s="127">
        <v>44799</v>
      </c>
      <c r="B1878" s="24" t="s">
        <v>40</v>
      </c>
      <c r="C1878" s="21">
        <f t="shared" si="33"/>
        <v>-328</v>
      </c>
      <c r="HM1878" s="106">
        <v>-328</v>
      </c>
    </row>
    <row r="1879" spans="1:226" x14ac:dyDescent="0.25">
      <c r="A1879" s="127">
        <v>44799</v>
      </c>
      <c r="B1879" s="24" t="s">
        <v>20</v>
      </c>
      <c r="C1879" s="21">
        <f t="shared" si="33"/>
        <v>-7.87</v>
      </c>
      <c r="BI1879" s="106">
        <v>-7.87</v>
      </c>
    </row>
    <row r="1880" spans="1:226" x14ac:dyDescent="0.25">
      <c r="A1880" s="127">
        <v>44799</v>
      </c>
      <c r="B1880" s="24" t="s">
        <v>37</v>
      </c>
      <c r="C1880" s="21">
        <f t="shared" si="33"/>
        <v>-260.64999999999998</v>
      </c>
      <c r="HM1880" s="106">
        <v>-98.95</v>
      </c>
      <c r="HR1880" s="92">
        <v>-161.69999999999999</v>
      </c>
    </row>
    <row r="1881" spans="1:226" x14ac:dyDescent="0.25">
      <c r="A1881" s="127">
        <v>44799</v>
      </c>
      <c r="B1881" s="24" t="s">
        <v>59</v>
      </c>
      <c r="C1881" s="21">
        <f t="shared" si="33"/>
        <v>-1.78</v>
      </c>
      <c r="CG1881" s="106">
        <v>-1.78</v>
      </c>
    </row>
    <row r="1882" spans="1:226" x14ac:dyDescent="0.25">
      <c r="A1882" s="127">
        <v>44799</v>
      </c>
      <c r="B1882" s="24" t="s">
        <v>153</v>
      </c>
      <c r="C1882" s="21">
        <f t="shared" si="33"/>
        <v>0</v>
      </c>
    </row>
    <row r="1883" spans="1:226" x14ac:dyDescent="0.25">
      <c r="A1883" s="127">
        <v>44799</v>
      </c>
      <c r="B1883" s="24" t="s">
        <v>64</v>
      </c>
      <c r="C1883" s="21">
        <f t="shared" si="33"/>
        <v>101.3</v>
      </c>
      <c r="ET1883" s="106">
        <v>101.3</v>
      </c>
    </row>
    <row r="1884" spans="1:226" x14ac:dyDescent="0.25">
      <c r="A1884" s="127">
        <v>44800</v>
      </c>
      <c r="B1884" s="24" t="s">
        <v>133</v>
      </c>
      <c r="C1884" s="21">
        <f t="shared" si="33"/>
        <v>-134.9</v>
      </c>
      <c r="AW1884" s="106">
        <v>-33.47</v>
      </c>
      <c r="BO1884" s="106">
        <v>-33.979999999999997</v>
      </c>
      <c r="CG1884" s="106">
        <v>-32.75</v>
      </c>
      <c r="DE1884" s="74">
        <v>-34.700000000000003</v>
      </c>
    </row>
    <row r="1885" spans="1:226" x14ac:dyDescent="0.25">
      <c r="A1885" s="127">
        <v>44802</v>
      </c>
      <c r="B1885" s="24" t="s">
        <v>89</v>
      </c>
      <c r="C1885" s="21">
        <f t="shared" si="33"/>
        <v>-201.65</v>
      </c>
      <c r="BU1885" s="106">
        <v>-64.400000000000006</v>
      </c>
      <c r="EA1885" s="74">
        <v>-53.04</v>
      </c>
      <c r="EC1885" s="126">
        <v>-16.559999999999999</v>
      </c>
      <c r="EG1885" s="74">
        <v>-67.650000000000006</v>
      </c>
    </row>
    <row r="1886" spans="1:226" x14ac:dyDescent="0.25">
      <c r="A1886" s="127">
        <v>44802</v>
      </c>
      <c r="B1886" s="24" t="s">
        <v>65</v>
      </c>
      <c r="C1886" s="21">
        <f t="shared" si="33"/>
        <v>-17.8</v>
      </c>
      <c r="Z1886" s="79">
        <v>-17.8</v>
      </c>
    </row>
    <row r="1887" spans="1:226" x14ac:dyDescent="0.25">
      <c r="A1887" s="127">
        <v>44802</v>
      </c>
      <c r="B1887" s="24" t="s">
        <v>115</v>
      </c>
      <c r="C1887" s="21">
        <f t="shared" si="33"/>
        <v>130.85499999999999</v>
      </c>
      <c r="HL1887" s="42">
        <v>130.85499999999999</v>
      </c>
    </row>
    <row r="1888" spans="1:226" x14ac:dyDescent="0.25">
      <c r="A1888" s="127">
        <v>44802</v>
      </c>
      <c r="B1888" s="24" t="s">
        <v>115</v>
      </c>
      <c r="C1888" s="21">
        <f t="shared" si="33"/>
        <v>0</v>
      </c>
    </row>
    <row r="1889" spans="1:220" x14ac:dyDescent="0.25">
      <c r="A1889" s="127">
        <v>44802</v>
      </c>
      <c r="B1889" s="24" t="s">
        <v>53</v>
      </c>
      <c r="C1889" s="21">
        <f t="shared" si="33"/>
        <v>-497.83</v>
      </c>
      <c r="EL1889" s="106">
        <v>-134.6</v>
      </c>
      <c r="ET1889" s="106">
        <f>-183.57-179.66</f>
        <v>-363.23</v>
      </c>
    </row>
    <row r="1890" spans="1:220" x14ac:dyDescent="0.25">
      <c r="A1890" s="127">
        <v>44803</v>
      </c>
      <c r="B1890" s="24" t="s">
        <v>136</v>
      </c>
      <c r="C1890" s="21">
        <f t="shared" si="33"/>
        <v>-33.75</v>
      </c>
      <c r="BO1890" s="106">
        <v>-8.89</v>
      </c>
      <c r="BU1890" s="106">
        <v>-8.0500000000000007</v>
      </c>
      <c r="CC1890" s="126">
        <v>-8.61</v>
      </c>
      <c r="CG1890" s="106">
        <v>-8.1999999999999993</v>
      </c>
    </row>
    <row r="1891" spans="1:220" x14ac:dyDescent="0.25">
      <c r="A1891" s="127">
        <v>44803</v>
      </c>
      <c r="B1891" s="24" t="s">
        <v>139</v>
      </c>
      <c r="C1891" s="21">
        <f t="shared" si="33"/>
        <v>-8.68</v>
      </c>
      <c r="O1891" s="375">
        <v>-8.68</v>
      </c>
    </row>
    <row r="1892" spans="1:220" x14ac:dyDescent="0.25">
      <c r="A1892" s="127">
        <v>44803</v>
      </c>
      <c r="B1892" s="24" t="s">
        <v>127</v>
      </c>
      <c r="C1892" s="21">
        <f t="shared" si="33"/>
        <v>-8.4700000000000006</v>
      </c>
      <c r="AV1892" s="69">
        <v>-8.4700000000000006</v>
      </c>
    </row>
    <row r="1893" spans="1:220" x14ac:dyDescent="0.25">
      <c r="A1893" s="127">
        <v>44803</v>
      </c>
      <c r="B1893" s="24" t="s">
        <v>58</v>
      </c>
      <c r="C1893" s="21">
        <f t="shared" si="33"/>
        <v>0</v>
      </c>
    </row>
    <row r="1894" spans="1:220" x14ac:dyDescent="0.25">
      <c r="A1894" s="127">
        <v>44803</v>
      </c>
      <c r="B1894" s="24" t="s">
        <v>75</v>
      </c>
      <c r="C1894" s="21">
        <f t="shared" si="33"/>
        <v>-22.45</v>
      </c>
      <c r="AV1894" s="69">
        <v>-7.12</v>
      </c>
      <c r="CN1894" s="121">
        <v>-7.96</v>
      </c>
      <c r="CS1894" s="74">
        <v>-7.37</v>
      </c>
    </row>
    <row r="1895" spans="1:220" x14ac:dyDescent="0.25">
      <c r="A1895" s="127">
        <v>44803</v>
      </c>
      <c r="B1895" s="24" t="s">
        <v>138</v>
      </c>
      <c r="C1895" s="21">
        <f t="shared" si="33"/>
        <v>-204.06</v>
      </c>
      <c r="AW1895" s="106">
        <v>-16.68</v>
      </c>
      <c r="BC1895" s="106">
        <v>-8.35</v>
      </c>
      <c r="BI1895" s="106">
        <v>-8.19</v>
      </c>
      <c r="BR1895" s="182">
        <v>-28.32</v>
      </c>
      <c r="BU1895" s="106">
        <v>-17.350000000000001</v>
      </c>
      <c r="CC1895" s="126">
        <v>-25.58</v>
      </c>
      <c r="CG1895" s="106">
        <v>-24.65</v>
      </c>
      <c r="CP1895" s="182">
        <v>-16.59</v>
      </c>
      <c r="CV1895" s="115">
        <v>-16.43</v>
      </c>
      <c r="DE1895" s="74">
        <v>-16.68</v>
      </c>
      <c r="DM1895" s="46">
        <v>-16.690000000000001</v>
      </c>
      <c r="DU1895" s="106">
        <v>-8.5500000000000007</v>
      </c>
    </row>
    <row r="1896" spans="1:220" x14ac:dyDescent="0.25">
      <c r="A1896" s="127">
        <v>44803</v>
      </c>
      <c r="B1896" s="24" t="s">
        <v>26</v>
      </c>
      <c r="C1896" s="21">
        <f t="shared" si="33"/>
        <v>-8.41</v>
      </c>
      <c r="DP1896" s="74">
        <v>-8.41</v>
      </c>
    </row>
    <row r="1897" spans="1:220" x14ac:dyDescent="0.25">
      <c r="A1897" s="127">
        <v>44803</v>
      </c>
      <c r="B1897" s="24" t="s">
        <v>20</v>
      </c>
      <c r="C1897" s="21">
        <f t="shared" si="33"/>
        <v>-16.914999999999999</v>
      </c>
      <c r="CN1897" s="121">
        <v>-8.48</v>
      </c>
      <c r="CR1897" s="69">
        <v>-8.4350000000000005</v>
      </c>
    </row>
    <row r="1898" spans="1:220" x14ac:dyDescent="0.25">
      <c r="A1898" s="127">
        <v>44803</v>
      </c>
      <c r="B1898" s="24" t="s">
        <v>37</v>
      </c>
      <c r="C1898" s="21">
        <f t="shared" si="33"/>
        <v>-52.354999999999997</v>
      </c>
      <c r="HL1898" s="42">
        <v>-52.354999999999997</v>
      </c>
    </row>
    <row r="1899" spans="1:220" x14ac:dyDescent="0.25">
      <c r="A1899" s="127">
        <v>44803</v>
      </c>
      <c r="B1899" s="24" t="s">
        <v>82</v>
      </c>
      <c r="C1899" s="21">
        <f t="shared" si="33"/>
        <v>-52.29</v>
      </c>
      <c r="HL1899" s="42">
        <v>-52.29</v>
      </c>
    </row>
    <row r="1900" spans="1:220" x14ac:dyDescent="0.25">
      <c r="A1900" s="127">
        <v>44803</v>
      </c>
      <c r="B1900" s="24" t="s">
        <v>59</v>
      </c>
      <c r="C1900" s="21">
        <f t="shared" si="33"/>
        <v>-3.52</v>
      </c>
      <c r="AM1900" s="69">
        <v>-0.22</v>
      </c>
      <c r="AV1900" s="69">
        <v>-0.9</v>
      </c>
      <c r="BC1900" s="106">
        <v>-2.4</v>
      </c>
    </row>
    <row r="1901" spans="1:220" x14ac:dyDescent="0.25">
      <c r="A1901" s="127">
        <v>44804</v>
      </c>
      <c r="B1901" s="24" t="s">
        <v>154</v>
      </c>
      <c r="C1901" s="21">
        <f t="shared" si="33"/>
        <v>-42.09</v>
      </c>
      <c r="BU1901" s="106">
        <v>-8.6999999999999993</v>
      </c>
      <c r="CC1901" s="126">
        <v>-8.75</v>
      </c>
      <c r="CG1901" s="106">
        <v>-8.3000000000000007</v>
      </c>
      <c r="CP1901" s="182">
        <v>-8.0299999999999994</v>
      </c>
      <c r="CV1901" s="115">
        <v>-8.31</v>
      </c>
    </row>
    <row r="1902" spans="1:220" x14ac:dyDescent="0.25">
      <c r="A1902" s="127">
        <v>44804</v>
      </c>
      <c r="B1902" s="24" t="s">
        <v>25</v>
      </c>
      <c r="C1902" s="21">
        <f t="shared" si="33"/>
        <v>-25.355</v>
      </c>
      <c r="Z1902" s="79">
        <v>-8.9600000000000009</v>
      </c>
      <c r="AC1902" s="106">
        <v>-7.85</v>
      </c>
      <c r="BH1902" s="69">
        <v>-8.5449999999999999</v>
      </c>
    </row>
    <row r="1903" spans="1:220" x14ac:dyDescent="0.25">
      <c r="A1903" s="127">
        <v>44804</v>
      </c>
      <c r="B1903" s="24" t="s">
        <v>37</v>
      </c>
      <c r="C1903" s="21">
        <f t="shared" si="33"/>
        <v>-26.21</v>
      </c>
      <c r="HL1903" s="42">
        <v>-26.21</v>
      </c>
    </row>
    <row r="1904" spans="1:220" x14ac:dyDescent="0.25">
      <c r="A1904" s="127">
        <v>44804</v>
      </c>
      <c r="B1904" s="24" t="s">
        <v>72</v>
      </c>
      <c r="C1904" s="21">
        <f t="shared" si="33"/>
        <v>-64.900000000000006</v>
      </c>
      <c r="DU1904" s="106">
        <v>-25.25</v>
      </c>
      <c r="EA1904" s="74">
        <v>-39.65</v>
      </c>
    </row>
    <row r="1905" spans="1:214" x14ac:dyDescent="0.25">
      <c r="A1905" s="127">
        <v>44804</v>
      </c>
      <c r="B1905" s="24" t="s">
        <v>113</v>
      </c>
      <c r="C1905" s="21">
        <f t="shared" ref="C1905:C1968" si="34">SUM(D1905:JT1905)</f>
        <v>2714.9</v>
      </c>
      <c r="V1905" s="74">
        <v>209.2</v>
      </c>
      <c r="BO1905" s="106">
        <v>354.28</v>
      </c>
      <c r="BU1905" s="106">
        <v>347.31</v>
      </c>
      <c r="CS1905" s="74">
        <v>344.12</v>
      </c>
      <c r="CY1905" s="106">
        <v>377.75</v>
      </c>
      <c r="DP1905" s="74">
        <v>379.14</v>
      </c>
      <c r="EA1905" s="74">
        <v>346.2</v>
      </c>
      <c r="EG1905" s="74">
        <v>356.9</v>
      </c>
    </row>
    <row r="1906" spans="1:214" x14ac:dyDescent="0.25">
      <c r="A1906" s="127">
        <v>44804</v>
      </c>
      <c r="B1906" s="24" t="s">
        <v>161</v>
      </c>
      <c r="C1906" s="21">
        <f t="shared" si="34"/>
        <v>-1.53</v>
      </c>
      <c r="Y1906" s="69">
        <v>-8.57</v>
      </c>
      <c r="Z1906" s="79">
        <v>7.04</v>
      </c>
    </row>
    <row r="1907" spans="1:214" x14ac:dyDescent="0.25">
      <c r="A1907" s="127">
        <v>44804</v>
      </c>
      <c r="B1907" s="24" t="s">
        <v>155</v>
      </c>
      <c r="C1907" s="21">
        <f t="shared" si="34"/>
        <v>6.41</v>
      </c>
      <c r="Y1907" s="69">
        <v>8.57</v>
      </c>
      <c r="Z1907" s="79">
        <v>-8.9499999999999993</v>
      </c>
      <c r="BH1907" s="69">
        <f>17.095+8.555</f>
        <v>25.65</v>
      </c>
      <c r="BT1907" s="69">
        <f>33.79+33.905</f>
        <v>67.694999999999993</v>
      </c>
      <c r="BU1907" s="106">
        <v>-70.760000000000005</v>
      </c>
      <c r="CX1907" s="69">
        <v>17.145</v>
      </c>
      <c r="DK1907" s="106">
        <f>-7.41-8.25</f>
        <v>-15.66</v>
      </c>
      <c r="DP1907" s="74">
        <f>-8.53-8.75</f>
        <v>-17.28</v>
      </c>
    </row>
    <row r="1908" spans="1:214" x14ac:dyDescent="0.25">
      <c r="A1908" s="127">
        <v>44804</v>
      </c>
      <c r="B1908" s="24" t="s">
        <v>152</v>
      </c>
      <c r="C1908" s="21">
        <f t="shared" si="34"/>
        <v>-496.82</v>
      </c>
      <c r="AC1908" s="106">
        <v>-31.55</v>
      </c>
      <c r="AW1908" s="106">
        <v>-66.900000000000006</v>
      </c>
      <c r="BO1908" s="106">
        <v>-67.94</v>
      </c>
      <c r="BU1908" s="106">
        <v>-34</v>
      </c>
      <c r="CY1908" s="106">
        <v>-69.099999999999994</v>
      </c>
      <c r="DE1908" s="74">
        <v>-31.02</v>
      </c>
      <c r="DK1908" s="106">
        <v>-32.5</v>
      </c>
      <c r="DP1908" s="74">
        <v>-34.76</v>
      </c>
      <c r="DU1908" s="106">
        <v>-67.150000000000006</v>
      </c>
      <c r="EA1908" s="74">
        <v>-61.9</v>
      </c>
    </row>
    <row r="1909" spans="1:214" x14ac:dyDescent="0.25">
      <c r="A1909" s="127">
        <v>44804</v>
      </c>
      <c r="B1909" s="24" t="s">
        <v>133</v>
      </c>
      <c r="C1909" s="21">
        <f t="shared" si="34"/>
        <v>-192.95</v>
      </c>
      <c r="AW1909" s="106">
        <v>-33.24</v>
      </c>
      <c r="BO1909" s="106">
        <v>-34.299999999999997</v>
      </c>
      <c r="BU1909" s="106">
        <v>-34</v>
      </c>
      <c r="CG1909" s="106">
        <v>-22.72</v>
      </c>
      <c r="CS1909" s="74">
        <v>-34.479999999999997</v>
      </c>
      <c r="CY1909" s="106">
        <v>-17.149999999999999</v>
      </c>
      <c r="DE1909" s="74">
        <v>-17.059999999999999</v>
      </c>
    </row>
    <row r="1910" spans="1:214" x14ac:dyDescent="0.25">
      <c r="A1910" s="127">
        <v>44804</v>
      </c>
      <c r="B1910" s="24" t="s">
        <v>15</v>
      </c>
      <c r="C1910" s="21">
        <f t="shared" si="34"/>
        <v>-207.42</v>
      </c>
      <c r="CY1910" s="106">
        <v>-69</v>
      </c>
      <c r="DE1910" s="74">
        <v>-70.7</v>
      </c>
      <c r="DK1910" s="106">
        <v>-32.799999999999997</v>
      </c>
      <c r="DP1910" s="74">
        <v>-34.92</v>
      </c>
    </row>
    <row r="1911" spans="1:214" x14ac:dyDescent="0.25">
      <c r="A1911" s="127">
        <v>44804</v>
      </c>
      <c r="B1911" s="24" t="s">
        <v>152</v>
      </c>
      <c r="C1911" s="21">
        <f t="shared" si="34"/>
        <v>-304.11</v>
      </c>
      <c r="AW1911" s="106">
        <v>-66.55</v>
      </c>
      <c r="BU1911" s="106">
        <v>-70.790000000000006</v>
      </c>
      <c r="CS1911" s="74">
        <v>-64.22</v>
      </c>
      <c r="CY1911" s="106">
        <v>-102.55</v>
      </c>
    </row>
    <row r="1912" spans="1:214" x14ac:dyDescent="0.25">
      <c r="A1912" s="127">
        <v>44806</v>
      </c>
      <c r="B1912" s="24" t="s">
        <v>144</v>
      </c>
      <c r="C1912" s="21">
        <f t="shared" si="34"/>
        <v>-251.49</v>
      </c>
      <c r="HF1912" s="92">
        <v>-251.49</v>
      </c>
    </row>
    <row r="1913" spans="1:214" x14ac:dyDescent="0.25">
      <c r="A1913" s="127">
        <v>44806</v>
      </c>
      <c r="B1913" s="24" t="s">
        <v>95</v>
      </c>
      <c r="C1913" s="21">
        <f t="shared" si="34"/>
        <v>-171.86500000000001</v>
      </c>
      <c r="O1913" s="375">
        <v>-34.625</v>
      </c>
      <c r="V1913" s="74">
        <v>-34.950000000000003</v>
      </c>
      <c r="Z1913" s="79">
        <v>-33.69</v>
      </c>
      <c r="CY1913" s="106">
        <v>-68.599999999999994</v>
      </c>
    </row>
    <row r="1914" spans="1:214" x14ac:dyDescent="0.25">
      <c r="A1914" s="127">
        <v>44806</v>
      </c>
      <c r="B1914" s="24" t="s">
        <v>20</v>
      </c>
      <c r="C1914" s="21">
        <f t="shared" si="34"/>
        <v>-49.8</v>
      </c>
      <c r="AW1914" s="106">
        <v>-7.41</v>
      </c>
      <c r="BC1914" s="106">
        <v>-8</v>
      </c>
      <c r="BH1914" s="69">
        <v>-8.5500000000000007</v>
      </c>
      <c r="BO1914" s="106">
        <v>-9.09</v>
      </c>
      <c r="BU1914" s="106">
        <v>-8.4499999999999993</v>
      </c>
      <c r="CG1914" s="106">
        <v>-8.3000000000000007</v>
      </c>
    </row>
    <row r="1915" spans="1:214" x14ac:dyDescent="0.25">
      <c r="A1915" s="127">
        <v>44806</v>
      </c>
      <c r="B1915" s="24" t="s">
        <v>138</v>
      </c>
      <c r="C1915" s="21">
        <f t="shared" si="34"/>
        <v>-17.145</v>
      </c>
      <c r="CX1915" s="69">
        <v>-17.145</v>
      </c>
    </row>
    <row r="1916" spans="1:214" x14ac:dyDescent="0.25">
      <c r="A1916" s="127">
        <v>44806</v>
      </c>
      <c r="B1916" s="24" t="s">
        <v>17</v>
      </c>
      <c r="C1916" s="21">
        <f t="shared" si="34"/>
        <v>-149.6</v>
      </c>
      <c r="AN1916" s="106">
        <v>-16.100000000000001</v>
      </c>
      <c r="AW1916" s="106">
        <v>-33.18</v>
      </c>
      <c r="BO1916" s="106">
        <v>-33.32</v>
      </c>
      <c r="BU1916" s="106">
        <v>-35.54</v>
      </c>
      <c r="CS1916" s="74">
        <v>-31.46</v>
      </c>
    </row>
    <row r="1917" spans="1:214" x14ac:dyDescent="0.25">
      <c r="A1917" s="127">
        <v>44806</v>
      </c>
      <c r="B1917" s="24" t="s">
        <v>127</v>
      </c>
      <c r="C1917" s="21">
        <f t="shared" si="34"/>
        <v>-8.5549999999999997</v>
      </c>
      <c r="BH1917" s="69">
        <v>-8.5549999999999997</v>
      </c>
    </row>
    <row r="1918" spans="1:214" x14ac:dyDescent="0.25">
      <c r="A1918" s="127">
        <v>44806</v>
      </c>
      <c r="B1918" s="24" t="s">
        <v>25</v>
      </c>
      <c r="C1918" s="21">
        <f t="shared" si="34"/>
        <v>-10.96</v>
      </c>
      <c r="O1918" s="375">
        <v>-2.12</v>
      </c>
      <c r="V1918" s="74">
        <v>-8.84</v>
      </c>
    </row>
    <row r="1919" spans="1:214" x14ac:dyDescent="0.25">
      <c r="A1919" s="127">
        <v>44807</v>
      </c>
      <c r="B1919" s="24" t="s">
        <v>65</v>
      </c>
      <c r="C1919" s="21">
        <f t="shared" si="34"/>
        <v>0</v>
      </c>
    </row>
    <row r="1920" spans="1:214" x14ac:dyDescent="0.25">
      <c r="A1920" s="127">
        <v>44807</v>
      </c>
      <c r="B1920" s="24" t="s">
        <v>113</v>
      </c>
      <c r="C1920" s="21">
        <f t="shared" si="34"/>
        <v>629</v>
      </c>
      <c r="GH1920" s="106">
        <v>629</v>
      </c>
    </row>
    <row r="1921" spans="1:227" x14ac:dyDescent="0.25">
      <c r="A1921" s="127">
        <v>44809</v>
      </c>
      <c r="B1921" s="24" t="s">
        <v>37</v>
      </c>
      <c r="C1921" s="21">
        <f t="shared" si="34"/>
        <v>-68.91</v>
      </c>
      <c r="V1921" s="74">
        <v>-34.659999999999997</v>
      </c>
      <c r="HF1921" s="92">
        <v>-34.25</v>
      </c>
    </row>
    <row r="1922" spans="1:227" x14ac:dyDescent="0.25">
      <c r="A1922" s="127">
        <v>44809</v>
      </c>
      <c r="B1922" s="24" t="s">
        <v>89</v>
      </c>
      <c r="C1922" s="21">
        <f t="shared" si="34"/>
        <v>-264.72000000000003</v>
      </c>
      <c r="BO1922" s="106">
        <v>-67.66</v>
      </c>
      <c r="BU1922" s="106">
        <v>-68.97</v>
      </c>
      <c r="CS1922" s="74">
        <v>-32.44</v>
      </c>
      <c r="EA1922" s="74">
        <v>-95.65</v>
      </c>
    </row>
    <row r="1923" spans="1:227" x14ac:dyDescent="0.25">
      <c r="A1923" s="127">
        <v>44809</v>
      </c>
      <c r="B1923" s="24" t="s">
        <v>44</v>
      </c>
      <c r="C1923" s="21">
        <f t="shared" si="34"/>
        <v>-151.86000000000001</v>
      </c>
      <c r="GP1923" s="42">
        <v>-114.3</v>
      </c>
      <c r="HF1923" s="92">
        <v>-37.56</v>
      </c>
    </row>
    <row r="1924" spans="1:227" x14ac:dyDescent="0.25">
      <c r="A1924" s="127">
        <v>44809</v>
      </c>
      <c r="B1924" s="24" t="s">
        <v>153</v>
      </c>
      <c r="C1924" s="21">
        <f t="shared" si="34"/>
        <v>1692.69</v>
      </c>
      <c r="HK1924" s="50">
        <v>252.2</v>
      </c>
      <c r="HL1924" s="42">
        <v>506.29</v>
      </c>
      <c r="HO1924" s="42">
        <v>313.73</v>
      </c>
      <c r="HQ1924" s="42">
        <v>312.68</v>
      </c>
      <c r="HS1924" s="38">
        <v>307.79000000000002</v>
      </c>
    </row>
    <row r="1925" spans="1:227" x14ac:dyDescent="0.25">
      <c r="A1925" s="127">
        <v>44810</v>
      </c>
      <c r="B1925" s="24" t="s">
        <v>37</v>
      </c>
      <c r="C1925" s="21">
        <f t="shared" si="34"/>
        <v>-755.6</v>
      </c>
      <c r="HK1925" s="50">
        <v>-252.2</v>
      </c>
      <c r="HL1925" s="42">
        <v>-96.19</v>
      </c>
      <c r="HO1925" s="42">
        <v>-313.73</v>
      </c>
      <c r="HQ1925" s="42">
        <v>-93.48</v>
      </c>
    </row>
    <row r="1926" spans="1:227" x14ac:dyDescent="0.25">
      <c r="A1926" s="127">
        <v>44810</v>
      </c>
      <c r="B1926" s="24" t="s">
        <v>32</v>
      </c>
      <c r="C1926" s="21">
        <f t="shared" si="34"/>
        <v>-84.23</v>
      </c>
      <c r="Z1926" s="79">
        <v>-9.06</v>
      </c>
      <c r="BO1926" s="106">
        <v>-33.22</v>
      </c>
      <c r="BU1926" s="106">
        <v>-33.4</v>
      </c>
      <c r="CY1926" s="106">
        <v>-8.5500000000000007</v>
      </c>
    </row>
    <row r="1927" spans="1:227" x14ac:dyDescent="0.25">
      <c r="A1927" s="127">
        <v>44810</v>
      </c>
      <c r="B1927" s="24" t="s">
        <v>113</v>
      </c>
      <c r="C1927" s="21">
        <f t="shared" si="34"/>
        <v>1223.52</v>
      </c>
      <c r="AN1927" s="106">
        <v>487.1</v>
      </c>
      <c r="BC1927" s="106">
        <v>358.32</v>
      </c>
      <c r="CA1927" s="106">
        <v>378.1</v>
      </c>
    </row>
    <row r="1928" spans="1:227" x14ac:dyDescent="0.25">
      <c r="A1928" s="127">
        <v>44810</v>
      </c>
      <c r="B1928" s="24" t="s">
        <v>65</v>
      </c>
      <c r="C1928" s="21">
        <f t="shared" si="34"/>
        <v>0</v>
      </c>
    </row>
    <row r="1929" spans="1:227" x14ac:dyDescent="0.25">
      <c r="A1929" s="127">
        <v>44810</v>
      </c>
      <c r="B1929" s="24" t="s">
        <v>68</v>
      </c>
      <c r="C1929" s="21">
        <f t="shared" si="34"/>
        <v>-67.349999999999994</v>
      </c>
      <c r="AN1929" s="106">
        <v>-32.450000000000003</v>
      </c>
      <c r="CA1929" s="106">
        <v>-34.9</v>
      </c>
    </row>
    <row r="1930" spans="1:227" x14ac:dyDescent="0.25">
      <c r="A1930" s="127">
        <v>44810</v>
      </c>
      <c r="B1930" s="24" t="s">
        <v>59</v>
      </c>
      <c r="C1930" s="21">
        <f t="shared" si="34"/>
        <v>-7.52</v>
      </c>
      <c r="CP1930" s="182">
        <v>-3.64</v>
      </c>
      <c r="CY1930" s="106">
        <v>-3.88</v>
      </c>
    </row>
    <row r="1931" spans="1:227" x14ac:dyDescent="0.25">
      <c r="A1931" s="127">
        <v>44811</v>
      </c>
      <c r="B1931" s="24" t="s">
        <v>111</v>
      </c>
      <c r="C1931" s="21">
        <f t="shared" si="34"/>
        <v>-34.1</v>
      </c>
      <c r="CA1931" s="106">
        <v>-17.45</v>
      </c>
      <c r="CG1931" s="106">
        <v>-16.649999999999999</v>
      </c>
    </row>
    <row r="1932" spans="1:227" x14ac:dyDescent="0.25">
      <c r="A1932" s="127">
        <v>44811</v>
      </c>
      <c r="B1932" s="24" t="s">
        <v>75</v>
      </c>
      <c r="C1932" s="21">
        <f t="shared" si="34"/>
        <v>-17.72</v>
      </c>
      <c r="CS1932" s="74">
        <v>-9.17</v>
      </c>
      <c r="CY1932" s="106">
        <v>-8.5500000000000007</v>
      </c>
    </row>
    <row r="1933" spans="1:227" x14ac:dyDescent="0.25">
      <c r="A1933" s="127">
        <v>44811</v>
      </c>
      <c r="B1933" s="24" t="s">
        <v>95</v>
      </c>
      <c r="C1933" s="21">
        <f t="shared" si="34"/>
        <v>-479.85</v>
      </c>
      <c r="Z1933" s="79">
        <v>-35.89</v>
      </c>
      <c r="BO1933" s="106">
        <v>-34.64</v>
      </c>
      <c r="BU1933" s="106">
        <v>-29.5</v>
      </c>
      <c r="CA1933" s="106">
        <v>-209.1</v>
      </c>
      <c r="DK1933" s="106">
        <v>-68.28</v>
      </c>
      <c r="DP1933" s="74">
        <v>-102.44</v>
      </c>
    </row>
    <row r="1934" spans="1:227" x14ac:dyDescent="0.25">
      <c r="A1934" s="127">
        <v>44811</v>
      </c>
      <c r="B1934" s="24" t="s">
        <v>222</v>
      </c>
      <c r="C1934" s="21">
        <f t="shared" si="34"/>
        <v>-16.43</v>
      </c>
      <c r="AN1934" s="106">
        <v>-8.0500000000000007</v>
      </c>
      <c r="AW1934" s="106">
        <v>-8.3800000000000008</v>
      </c>
    </row>
    <row r="1935" spans="1:227" x14ac:dyDescent="0.25">
      <c r="A1935" s="127">
        <v>44811</v>
      </c>
      <c r="B1935" s="24" t="s">
        <v>20</v>
      </c>
      <c r="C1935" s="21">
        <f t="shared" si="34"/>
        <v>-54.35</v>
      </c>
      <c r="AN1935" s="106">
        <v>-8.0500000000000007</v>
      </c>
      <c r="CA1935" s="106">
        <v>-8.6999999999999993</v>
      </c>
      <c r="GV1935" s="42">
        <v>-37.6</v>
      </c>
    </row>
    <row r="1936" spans="1:227" x14ac:dyDescent="0.25">
      <c r="A1936" s="127">
        <v>44811</v>
      </c>
      <c r="B1936" s="24" t="s">
        <v>17</v>
      </c>
      <c r="C1936" s="21">
        <f t="shared" si="34"/>
        <v>-41.27</v>
      </c>
      <c r="BO1936" s="106">
        <v>-7.37</v>
      </c>
      <c r="BU1936" s="106">
        <v>-16.45</v>
      </c>
      <c r="CA1936" s="106">
        <v>-17.45</v>
      </c>
    </row>
    <row r="1937" spans="1:231" x14ac:dyDescent="0.25">
      <c r="A1937" s="127">
        <v>44811</v>
      </c>
      <c r="B1937" s="24" t="s">
        <v>139</v>
      </c>
      <c r="C1937" s="21">
        <f t="shared" si="34"/>
        <v>-18.97</v>
      </c>
      <c r="V1937" s="74">
        <v>-8.67</v>
      </c>
      <c r="AC1937" s="106">
        <v>-7.9</v>
      </c>
      <c r="CG1937" s="106">
        <v>-2.4</v>
      </c>
    </row>
    <row r="1938" spans="1:231" x14ac:dyDescent="0.25">
      <c r="A1938" s="127">
        <v>44811</v>
      </c>
      <c r="B1938" s="24" t="s">
        <v>37</v>
      </c>
      <c r="C1938" s="21">
        <f t="shared" si="34"/>
        <v>-26.41</v>
      </c>
      <c r="V1938" s="74">
        <v>-26.41</v>
      </c>
    </row>
    <row r="1939" spans="1:231" x14ac:dyDescent="0.25">
      <c r="A1939" s="127">
        <v>44811</v>
      </c>
      <c r="B1939" s="24" t="s">
        <v>136</v>
      </c>
      <c r="C1939" s="21">
        <f t="shared" si="34"/>
        <v>-41.88</v>
      </c>
      <c r="AW1939" s="106">
        <v>-8.27</v>
      </c>
      <c r="BC1939" s="106">
        <v>-8.0500000000000007</v>
      </c>
      <c r="BO1939" s="106">
        <v>-8.51</v>
      </c>
      <c r="CA1939" s="106">
        <v>-8.6999999999999993</v>
      </c>
      <c r="CG1939" s="106">
        <v>-8.35</v>
      </c>
    </row>
    <row r="1940" spans="1:231" x14ac:dyDescent="0.25">
      <c r="A1940" s="127">
        <v>44811</v>
      </c>
      <c r="B1940" s="24" t="s">
        <v>127</v>
      </c>
      <c r="C1940" s="21">
        <f t="shared" si="34"/>
        <v>-15.38</v>
      </c>
      <c r="BC1940" s="106">
        <v>-7.33</v>
      </c>
      <c r="BU1940" s="106">
        <v>-8.0500000000000007</v>
      </c>
    </row>
    <row r="1941" spans="1:231" x14ac:dyDescent="0.25">
      <c r="A1941" s="127">
        <v>44811</v>
      </c>
      <c r="B1941" s="24" t="s">
        <v>110</v>
      </c>
      <c r="C1941" s="21">
        <f t="shared" si="34"/>
        <v>0</v>
      </c>
    </row>
    <row r="1942" spans="1:231" x14ac:dyDescent="0.25">
      <c r="A1942" s="127">
        <v>44811</v>
      </c>
      <c r="B1942" s="24" t="s">
        <v>137</v>
      </c>
      <c r="C1942" s="21">
        <f t="shared" si="34"/>
        <v>-42.05</v>
      </c>
      <c r="AE1942" s="42">
        <v>-8.44</v>
      </c>
      <c r="AW1942" s="106">
        <v>-8.3800000000000008</v>
      </c>
      <c r="BC1942" s="106">
        <v>-7.43</v>
      </c>
      <c r="BO1942" s="106">
        <v>-9.15</v>
      </c>
      <c r="CA1942" s="106">
        <v>-8.65</v>
      </c>
    </row>
    <row r="1943" spans="1:231" x14ac:dyDescent="0.25">
      <c r="A1943" s="127">
        <v>44811</v>
      </c>
      <c r="B1943" s="24" t="s">
        <v>113</v>
      </c>
      <c r="C1943" s="21">
        <f t="shared" si="34"/>
        <v>1212.22</v>
      </c>
      <c r="AR1943" s="106">
        <v>511.44</v>
      </c>
      <c r="CA1943" s="106">
        <v>350.86</v>
      </c>
      <c r="CS1943" s="74">
        <v>349.92</v>
      </c>
    </row>
    <row r="1944" spans="1:231" x14ac:dyDescent="0.25">
      <c r="A1944" s="127">
        <v>44811</v>
      </c>
      <c r="B1944" s="24" t="s">
        <v>57</v>
      </c>
      <c r="C1944" s="21">
        <f t="shared" si="34"/>
        <v>-79.06</v>
      </c>
      <c r="Z1944" s="79">
        <v>-8.64</v>
      </c>
      <c r="AE1944" s="42">
        <v>-7.78</v>
      </c>
      <c r="BC1944" s="106">
        <v>-20.99</v>
      </c>
      <c r="DU1944" s="106">
        <v>-41.65</v>
      </c>
    </row>
    <row r="1945" spans="1:231" x14ac:dyDescent="0.25">
      <c r="A1945" s="127">
        <v>44811</v>
      </c>
      <c r="B1945" s="24" t="s">
        <v>150</v>
      </c>
      <c r="C1945" s="21">
        <f t="shared" si="34"/>
        <v>-24.94</v>
      </c>
      <c r="V1945" s="74">
        <v>-8.65</v>
      </c>
      <c r="AC1945" s="106">
        <v>-7.9</v>
      </c>
      <c r="AE1945" s="42">
        <v>-8.39</v>
      </c>
    </row>
    <row r="1946" spans="1:231" x14ac:dyDescent="0.25">
      <c r="A1946" s="127">
        <v>44812</v>
      </c>
      <c r="B1946" s="24" t="s">
        <v>133</v>
      </c>
      <c r="C1946" s="21">
        <f t="shared" si="34"/>
        <v>-275.73500000000001</v>
      </c>
      <c r="AR1946" s="106">
        <v>-50.87</v>
      </c>
      <c r="BC1946" s="106">
        <v>-57.96</v>
      </c>
      <c r="BO1946" s="106">
        <v>-34.700000000000003</v>
      </c>
      <c r="BT1946" s="69">
        <v>-33.905000000000001</v>
      </c>
      <c r="BU1946" s="106">
        <v>-31.42</v>
      </c>
      <c r="CA1946" s="106">
        <v>-34.020000000000003</v>
      </c>
      <c r="DP1946" s="74">
        <v>-16.96</v>
      </c>
      <c r="EA1946" s="74">
        <v>-15.9</v>
      </c>
    </row>
    <row r="1947" spans="1:231" x14ac:dyDescent="0.25">
      <c r="A1947" s="127">
        <v>44812</v>
      </c>
      <c r="B1947" s="24" t="s">
        <v>20</v>
      </c>
      <c r="C1947" s="21">
        <f t="shared" si="34"/>
        <v>-8.51</v>
      </c>
      <c r="AR1947" s="106">
        <v>-8.51</v>
      </c>
    </row>
    <row r="1948" spans="1:231" x14ac:dyDescent="0.25">
      <c r="A1948" s="127">
        <v>44812</v>
      </c>
      <c r="B1948" s="24" t="s">
        <v>40</v>
      </c>
      <c r="C1948" s="21">
        <f t="shared" si="34"/>
        <v>-33.53</v>
      </c>
      <c r="HU1948" s="42">
        <v>-33.53</v>
      </c>
    </row>
    <row r="1949" spans="1:231" x14ac:dyDescent="0.25">
      <c r="A1949" s="127">
        <v>44812</v>
      </c>
      <c r="B1949" s="24" t="s">
        <v>68</v>
      </c>
      <c r="C1949" s="21">
        <f t="shared" si="34"/>
        <v>-61.71</v>
      </c>
      <c r="AZ1949" s="182">
        <v>-33.79</v>
      </c>
      <c r="BC1949" s="106">
        <v>-27.92</v>
      </c>
    </row>
    <row r="1950" spans="1:231" x14ac:dyDescent="0.25">
      <c r="A1950" s="127">
        <v>44812</v>
      </c>
      <c r="B1950" s="24" t="s">
        <v>15</v>
      </c>
      <c r="C1950" s="21">
        <f t="shared" si="34"/>
        <v>-265.92</v>
      </c>
      <c r="AR1950" s="106">
        <v>-68.12</v>
      </c>
      <c r="CA1950" s="106">
        <v>-33.64</v>
      </c>
      <c r="DE1950" s="74">
        <v>-98.42</v>
      </c>
      <c r="DK1950" s="106">
        <v>-65.739999999999995</v>
      </c>
    </row>
    <row r="1951" spans="1:231" x14ac:dyDescent="0.25">
      <c r="A1951" s="127">
        <v>44812</v>
      </c>
      <c r="B1951" s="24" t="s">
        <v>14</v>
      </c>
      <c r="C1951" s="21">
        <f t="shared" si="34"/>
        <v>-33.79</v>
      </c>
      <c r="BT1951" s="69">
        <v>-33.79</v>
      </c>
    </row>
    <row r="1952" spans="1:231" x14ac:dyDescent="0.25">
      <c r="A1952" s="127">
        <v>44812</v>
      </c>
      <c r="B1952" s="24" t="s">
        <v>50</v>
      </c>
      <c r="C1952" s="21">
        <f t="shared" si="34"/>
        <v>-131.65</v>
      </c>
      <c r="HW1952" s="42">
        <v>-131.65</v>
      </c>
    </row>
    <row r="1953" spans="1:240" x14ac:dyDescent="0.25">
      <c r="A1953" s="127">
        <v>44812</v>
      </c>
      <c r="B1953" s="24" t="s">
        <v>19</v>
      </c>
      <c r="C1953" s="21">
        <f t="shared" si="34"/>
        <v>0</v>
      </c>
    </row>
    <row r="1954" spans="1:240" x14ac:dyDescent="0.25">
      <c r="A1954" s="127">
        <v>44813</v>
      </c>
      <c r="B1954" s="24" t="s">
        <v>123</v>
      </c>
      <c r="C1954" s="21">
        <f t="shared" si="34"/>
        <v>-165.45</v>
      </c>
      <c r="DP1954" s="74">
        <v>-17.579999999999998</v>
      </c>
      <c r="HL1954" s="42">
        <v>-16.36</v>
      </c>
      <c r="HQ1954" s="42">
        <v>-7.56</v>
      </c>
      <c r="HS1954" s="38">
        <v>-32.14</v>
      </c>
      <c r="IB1954" s="42">
        <v>-91.81</v>
      </c>
    </row>
    <row r="1955" spans="1:240" x14ac:dyDescent="0.25">
      <c r="A1955" s="127">
        <v>44813</v>
      </c>
      <c r="B1955" s="24" t="s">
        <v>59</v>
      </c>
      <c r="C1955" s="21">
        <f t="shared" si="34"/>
        <v>-2.2000000000000002</v>
      </c>
      <c r="CP1955" s="182">
        <v>-2.2000000000000002</v>
      </c>
    </row>
    <row r="1956" spans="1:240" x14ac:dyDescent="0.25">
      <c r="A1956" s="127">
        <v>44813</v>
      </c>
      <c r="B1956" s="24" t="s">
        <v>89</v>
      </c>
      <c r="C1956" s="21">
        <f t="shared" si="34"/>
        <v>-398.04</v>
      </c>
      <c r="Z1956" s="79">
        <v>-35.67</v>
      </c>
      <c r="AR1956" s="106">
        <v>-102.59</v>
      </c>
      <c r="BC1956" s="106">
        <v>-57.8</v>
      </c>
      <c r="CA1956" s="106">
        <v>-66.819999999999993</v>
      </c>
      <c r="CG1956" s="106">
        <v>-67.48</v>
      </c>
      <c r="CS1956" s="74">
        <v>-67.680000000000007</v>
      </c>
    </row>
    <row r="1957" spans="1:240" x14ac:dyDescent="0.25">
      <c r="A1957" s="127">
        <v>44813</v>
      </c>
      <c r="B1957" s="24" t="s">
        <v>113</v>
      </c>
      <c r="C1957" s="21">
        <f t="shared" si="34"/>
        <v>1194.4000000000001</v>
      </c>
      <c r="CG1957" s="106">
        <v>499.78</v>
      </c>
      <c r="DE1957" s="74">
        <v>350.54</v>
      </c>
      <c r="GZ1957" s="106">
        <v>344.08</v>
      </c>
    </row>
    <row r="1958" spans="1:240" x14ac:dyDescent="0.25">
      <c r="A1958" s="127">
        <v>44814</v>
      </c>
      <c r="B1958" s="24" t="s">
        <v>78</v>
      </c>
      <c r="C1958" s="21">
        <f t="shared" si="34"/>
        <v>-32.36</v>
      </c>
      <c r="CA1958" s="106">
        <v>-17.100000000000001</v>
      </c>
      <c r="CG1958" s="106">
        <v>-15.26</v>
      </c>
    </row>
    <row r="1959" spans="1:240" x14ac:dyDescent="0.25">
      <c r="A1959" s="127">
        <v>44816</v>
      </c>
      <c r="B1959" s="24" t="s">
        <v>141</v>
      </c>
      <c r="C1959" s="21">
        <f t="shared" si="34"/>
        <v>-51.21</v>
      </c>
      <c r="AR1959" s="106">
        <v>-51.21</v>
      </c>
    </row>
    <row r="1960" spans="1:240" x14ac:dyDescent="0.25">
      <c r="A1960" s="127">
        <v>44816</v>
      </c>
      <c r="B1960" s="24" t="s">
        <v>151</v>
      </c>
      <c r="C1960" s="21">
        <f t="shared" si="34"/>
        <v>0</v>
      </c>
    </row>
    <row r="1961" spans="1:240" x14ac:dyDescent="0.25">
      <c r="A1961" s="127">
        <v>44816</v>
      </c>
      <c r="B1961" s="24" t="s">
        <v>115</v>
      </c>
      <c r="C1961" s="21">
        <f t="shared" si="34"/>
        <v>199.245</v>
      </c>
      <c r="HM1961" s="106">
        <v>199.245</v>
      </c>
    </row>
    <row r="1962" spans="1:240" x14ac:dyDescent="0.25">
      <c r="A1962" s="127">
        <v>44817</v>
      </c>
      <c r="B1962" s="24" t="s">
        <v>113</v>
      </c>
      <c r="C1962" s="21">
        <f t="shared" si="34"/>
        <v>1283.9100000000001</v>
      </c>
      <c r="AW1962" s="106">
        <v>499.01</v>
      </c>
      <c r="BI1962" s="106">
        <v>396.1</v>
      </c>
      <c r="CM1962" s="106">
        <v>388.8</v>
      </c>
    </row>
    <row r="1963" spans="1:240" x14ac:dyDescent="0.25">
      <c r="A1963" s="127">
        <v>44817</v>
      </c>
      <c r="B1963" s="24" t="s">
        <v>113</v>
      </c>
      <c r="C1963" s="21">
        <f t="shared" si="34"/>
        <v>2017.99</v>
      </c>
      <c r="BO1963" s="106">
        <v>510.94</v>
      </c>
      <c r="CM1963" s="106">
        <v>575.70000000000005</v>
      </c>
      <c r="EA1963" s="74">
        <v>575</v>
      </c>
      <c r="EL1963" s="106">
        <v>356.35</v>
      </c>
    </row>
    <row r="1964" spans="1:240" x14ac:dyDescent="0.25">
      <c r="A1964" s="127">
        <v>44817</v>
      </c>
      <c r="B1964" s="24" t="s">
        <v>64</v>
      </c>
      <c r="C1964" s="21">
        <f t="shared" si="34"/>
        <v>39.380000000000003</v>
      </c>
      <c r="BS1964" s="42">
        <v>39.380000000000003</v>
      </c>
    </row>
    <row r="1965" spans="1:240" x14ac:dyDescent="0.25">
      <c r="A1965" s="127">
        <v>44817</v>
      </c>
      <c r="B1965" s="24" t="s">
        <v>31</v>
      </c>
      <c r="C1965" s="21">
        <f t="shared" si="34"/>
        <v>-25.55</v>
      </c>
      <c r="GV1965" s="42">
        <v>-9.0500000000000007</v>
      </c>
      <c r="HG1965" s="42">
        <v>-7.74</v>
      </c>
      <c r="IF1965" s="50">
        <v>-8.76</v>
      </c>
    </row>
    <row r="1966" spans="1:240" x14ac:dyDescent="0.25">
      <c r="A1966" s="127">
        <v>44817</v>
      </c>
      <c r="B1966" s="24" t="s">
        <v>20</v>
      </c>
      <c r="C1966" s="21">
        <f t="shared" si="34"/>
        <v>-47</v>
      </c>
      <c r="Z1966" s="79">
        <v>-8.81</v>
      </c>
      <c r="AC1966" s="106">
        <v>-9.65</v>
      </c>
      <c r="GZ1966" s="106">
        <v>-28.54</v>
      </c>
    </row>
    <row r="1967" spans="1:240" x14ac:dyDescent="0.25">
      <c r="A1967" s="127">
        <v>44817</v>
      </c>
      <c r="B1967" s="24" t="s">
        <v>29</v>
      </c>
      <c r="C1967" s="21">
        <f t="shared" si="34"/>
        <v>-7.8</v>
      </c>
      <c r="AC1967" s="106">
        <v>-7.8</v>
      </c>
    </row>
    <row r="1968" spans="1:240" x14ac:dyDescent="0.25">
      <c r="A1968" s="127">
        <v>44817</v>
      </c>
      <c r="B1968" s="24" t="s">
        <v>150</v>
      </c>
      <c r="C1968" s="21">
        <f t="shared" si="34"/>
        <v>-7.75</v>
      </c>
      <c r="CG1968" s="106">
        <v>-7.75</v>
      </c>
    </row>
    <row r="1969" spans="1:208" x14ac:dyDescent="0.25">
      <c r="A1969" s="127">
        <v>44817</v>
      </c>
      <c r="B1969" s="24" t="s">
        <v>139</v>
      </c>
      <c r="C1969" s="21">
        <f t="shared" ref="C1969:C2032" si="35">SUM(D1969:JT1969)</f>
        <v>-74.12</v>
      </c>
      <c r="AW1969" s="106">
        <v>-8.31</v>
      </c>
      <c r="BC1969" s="106">
        <v>-7.23</v>
      </c>
      <c r="BI1969" s="106">
        <v>-8.65</v>
      </c>
      <c r="BS1969" s="42">
        <v>-7.58</v>
      </c>
      <c r="CA1969" s="106">
        <v>-8.6999999999999993</v>
      </c>
      <c r="CM1969" s="106">
        <v>-8.1999999999999993</v>
      </c>
      <c r="CS1969" s="74">
        <v>-8.35</v>
      </c>
      <c r="CY1969" s="106">
        <v>-17.100000000000001</v>
      </c>
    </row>
    <row r="1970" spans="1:208" x14ac:dyDescent="0.25">
      <c r="A1970" s="127">
        <v>44817</v>
      </c>
      <c r="B1970" s="24" t="s">
        <v>136</v>
      </c>
      <c r="C1970" s="21">
        <f t="shared" si="35"/>
        <v>-34.340000000000003</v>
      </c>
      <c r="AR1970" s="106">
        <v>-8.56</v>
      </c>
      <c r="BI1970" s="106">
        <v>-8.5500000000000007</v>
      </c>
      <c r="BS1970" s="42">
        <v>-7.68</v>
      </c>
      <c r="CM1970" s="106">
        <v>-9.5500000000000007</v>
      </c>
    </row>
    <row r="1971" spans="1:208" x14ac:dyDescent="0.25">
      <c r="A1971" s="127">
        <v>44817</v>
      </c>
      <c r="B1971" s="24" t="s">
        <v>25</v>
      </c>
      <c r="C1971" s="21">
        <f t="shared" si="35"/>
        <v>-17.25</v>
      </c>
      <c r="BI1971" s="106">
        <v>-8.5500000000000007</v>
      </c>
      <c r="CA1971" s="106">
        <v>-8.6999999999999993</v>
      </c>
    </row>
    <row r="1972" spans="1:208" x14ac:dyDescent="0.25">
      <c r="A1972" s="127">
        <v>44817</v>
      </c>
      <c r="B1972" s="24" t="s">
        <v>27</v>
      </c>
      <c r="C1972" s="21">
        <f t="shared" si="35"/>
        <v>-64.3</v>
      </c>
      <c r="AC1972" s="106">
        <v>-7.9</v>
      </c>
      <c r="AR1972" s="106">
        <v>-8.58</v>
      </c>
      <c r="BO1972" s="106">
        <v>-17.18</v>
      </c>
      <c r="BS1972" s="42">
        <v>-14.72</v>
      </c>
      <c r="CG1972" s="106">
        <v>-7.57</v>
      </c>
      <c r="CM1972" s="106">
        <v>-8.35</v>
      </c>
    </row>
    <row r="1973" spans="1:208" x14ac:dyDescent="0.25">
      <c r="A1973" s="127">
        <v>44817</v>
      </c>
      <c r="B1973" s="24" t="s">
        <v>95</v>
      </c>
      <c r="C1973" s="21">
        <f t="shared" si="35"/>
        <v>-134.5</v>
      </c>
      <c r="CG1973" s="106">
        <v>-67.14</v>
      </c>
      <c r="CM1973" s="106">
        <v>-33.200000000000003</v>
      </c>
      <c r="CS1973" s="74">
        <v>-34.159999999999997</v>
      </c>
    </row>
    <row r="1974" spans="1:208" x14ac:dyDescent="0.25">
      <c r="A1974" s="127">
        <v>44817</v>
      </c>
      <c r="B1974" s="24" t="s">
        <v>17</v>
      </c>
      <c r="C1974" s="21">
        <f t="shared" si="35"/>
        <v>-197.8</v>
      </c>
      <c r="Z1974" s="79">
        <v>-8.9700000000000006</v>
      </c>
      <c r="AC1974" s="106">
        <v>-15.7</v>
      </c>
      <c r="AR1974" s="106">
        <v>-16.96</v>
      </c>
      <c r="AW1974" s="106">
        <v>-31.22</v>
      </c>
      <c r="BC1974" s="106">
        <v>-28.12</v>
      </c>
      <c r="BO1974" s="106">
        <v>-29.78</v>
      </c>
      <c r="CA1974" s="106">
        <v>-33.4</v>
      </c>
      <c r="CM1974" s="106">
        <v>-33.65</v>
      </c>
    </row>
    <row r="1975" spans="1:208" x14ac:dyDescent="0.25">
      <c r="A1975" s="127">
        <v>44817</v>
      </c>
      <c r="B1975" s="24" t="s">
        <v>133</v>
      </c>
      <c r="C1975" s="21">
        <f t="shared" si="35"/>
        <v>-191.49</v>
      </c>
      <c r="AN1975" s="106">
        <v>-32.25</v>
      </c>
      <c r="AW1975" s="106">
        <v>-33.76</v>
      </c>
      <c r="BC1975" s="106">
        <v>-28.8</v>
      </c>
      <c r="BO1975" s="106">
        <v>-62.76</v>
      </c>
      <c r="CA1975" s="106">
        <v>-33.92</v>
      </c>
    </row>
    <row r="1976" spans="1:208" x14ac:dyDescent="0.25">
      <c r="A1976" s="127">
        <v>44817</v>
      </c>
      <c r="B1976" s="24" t="s">
        <v>137</v>
      </c>
      <c r="C1976" s="21">
        <f t="shared" si="35"/>
        <v>-26.55</v>
      </c>
      <c r="AR1976" s="106">
        <v>-8.5500000000000007</v>
      </c>
      <c r="BI1976" s="106">
        <v>-8.6</v>
      </c>
      <c r="BS1976" s="42">
        <v>-9.4</v>
      </c>
    </row>
    <row r="1977" spans="1:208" x14ac:dyDescent="0.25">
      <c r="A1977" s="127">
        <v>44817</v>
      </c>
      <c r="B1977" s="24" t="s">
        <v>32</v>
      </c>
      <c r="C1977" s="21">
        <f t="shared" si="35"/>
        <v>-138.86000000000001</v>
      </c>
      <c r="AN1977" s="106">
        <v>-16.2</v>
      </c>
      <c r="AR1977" s="106">
        <v>-16.97</v>
      </c>
      <c r="BC1977" s="106">
        <v>-28.96</v>
      </c>
      <c r="CY1977" s="106">
        <v>-8.65</v>
      </c>
      <c r="DE1977" s="74">
        <v>-16.760000000000002</v>
      </c>
      <c r="EG1977" s="74">
        <v>-8.4499999999999993</v>
      </c>
      <c r="FJ1977" s="69">
        <v>-42.87</v>
      </c>
    </row>
    <row r="1978" spans="1:208" x14ac:dyDescent="0.25">
      <c r="A1978" s="127">
        <v>44817</v>
      </c>
      <c r="B1978" s="24" t="s">
        <v>53</v>
      </c>
      <c r="C1978" s="21">
        <f t="shared" si="35"/>
        <v>-781.37</v>
      </c>
      <c r="BI1978" s="106">
        <v>-344.5</v>
      </c>
      <c r="CG1978" s="106">
        <v>-334.58</v>
      </c>
      <c r="DK1978" s="106">
        <f>-7.53-8.53-8.35-34.9</f>
        <v>-59.31</v>
      </c>
      <c r="DL1978" s="121">
        <f>-8.71-7.91-8.56-9.76-8.04</f>
        <v>-42.98</v>
      </c>
    </row>
    <row r="1979" spans="1:208" x14ac:dyDescent="0.25">
      <c r="A1979" s="127">
        <v>44817</v>
      </c>
      <c r="B1979" s="24" t="s">
        <v>59</v>
      </c>
      <c r="C1979" s="21">
        <f t="shared" si="35"/>
        <v>-15.49</v>
      </c>
      <c r="AM1979" s="69">
        <v>-2.06</v>
      </c>
      <c r="CM1979" s="106">
        <v>-2.82</v>
      </c>
      <c r="DE1979" s="74">
        <f>-8.79-1.82</f>
        <v>-10.61</v>
      </c>
    </row>
    <row r="1980" spans="1:208" x14ac:dyDescent="0.25">
      <c r="A1980" s="127">
        <v>44818</v>
      </c>
      <c r="B1980" s="24" t="s">
        <v>152</v>
      </c>
      <c r="C1980" s="21">
        <f t="shared" si="35"/>
        <v>-750.87</v>
      </c>
      <c r="AC1980" s="106">
        <v>-31.5</v>
      </c>
      <c r="AW1980" s="106">
        <v>-33.450000000000003</v>
      </c>
      <c r="BC1980" s="106">
        <v>-57.76</v>
      </c>
      <c r="BI1980" s="106">
        <v>-17.25</v>
      </c>
      <c r="BO1980" s="106">
        <v>-65.14</v>
      </c>
      <c r="CA1980" s="106">
        <v>-96.04</v>
      </c>
      <c r="CM1980" s="106">
        <v>-69.150000000000006</v>
      </c>
      <c r="CS1980" s="74">
        <v>-96.72</v>
      </c>
      <c r="DE1980" s="74">
        <v>-69.959999999999994</v>
      </c>
      <c r="DU1980" s="106">
        <v>-25</v>
      </c>
      <c r="EA1980" s="74">
        <v>-188.9</v>
      </c>
    </row>
    <row r="1981" spans="1:208" x14ac:dyDescent="0.25">
      <c r="A1981" s="127">
        <v>44818</v>
      </c>
      <c r="B1981" s="24" t="s">
        <v>17</v>
      </c>
      <c r="C1981" s="21">
        <f t="shared" si="35"/>
        <v>-16.55</v>
      </c>
      <c r="CM1981" s="106">
        <f>-8.25-8.3</f>
        <v>-16.55</v>
      </c>
    </row>
    <row r="1982" spans="1:208" x14ac:dyDescent="0.25">
      <c r="A1982" s="127">
        <v>44818</v>
      </c>
      <c r="B1982" s="24" t="s">
        <v>65</v>
      </c>
      <c r="C1982" s="21">
        <f t="shared" si="35"/>
        <v>-15.32</v>
      </c>
      <c r="BS1982" s="42">
        <v>-15.32</v>
      </c>
    </row>
    <row r="1983" spans="1:208" x14ac:dyDescent="0.25">
      <c r="A1983" s="127">
        <v>44818</v>
      </c>
      <c r="B1983" s="24" t="s">
        <v>20</v>
      </c>
      <c r="C1983" s="21">
        <f t="shared" si="35"/>
        <v>-87.03</v>
      </c>
      <c r="BC1983" s="106">
        <v>-7.09</v>
      </c>
      <c r="DP1983" s="74">
        <v>-26.17</v>
      </c>
      <c r="EA1983" s="74">
        <v>-25.36</v>
      </c>
      <c r="GZ1983" s="106">
        <v>-28.41</v>
      </c>
    </row>
    <row r="1984" spans="1:208" x14ac:dyDescent="0.25">
      <c r="A1984" s="127">
        <v>44818</v>
      </c>
      <c r="B1984" s="24" t="s">
        <v>39</v>
      </c>
      <c r="C1984" s="21">
        <f t="shared" si="35"/>
        <v>-48.05</v>
      </c>
      <c r="AW1984" s="106">
        <v>-8.34</v>
      </c>
      <c r="BC1984" s="106">
        <v>-6.41</v>
      </c>
      <c r="BO1984" s="106">
        <v>-8.15</v>
      </c>
      <c r="BS1984" s="42">
        <v>-8.1</v>
      </c>
      <c r="CA1984" s="106">
        <v>-8.6999999999999993</v>
      </c>
      <c r="CM1984" s="106">
        <v>-8.35</v>
      </c>
    </row>
    <row r="1985" spans="1:225" x14ac:dyDescent="0.25">
      <c r="A1985" s="127">
        <v>44818</v>
      </c>
      <c r="B1985" s="24" t="s">
        <v>64</v>
      </c>
      <c r="C1985" s="21">
        <f t="shared" si="35"/>
        <v>78.8</v>
      </c>
      <c r="BS1985" s="42">
        <v>78.8</v>
      </c>
    </row>
    <row r="1986" spans="1:225" x14ac:dyDescent="0.25">
      <c r="A1986" s="127">
        <v>44818</v>
      </c>
      <c r="B1986" s="24" t="s">
        <v>59</v>
      </c>
      <c r="C1986" s="21">
        <f t="shared" si="35"/>
        <v>-1.06</v>
      </c>
      <c r="AV1986" s="69">
        <v>-0.45</v>
      </c>
      <c r="AW1986" s="106">
        <v>-0.61</v>
      </c>
    </row>
    <row r="1987" spans="1:225" x14ac:dyDescent="0.25">
      <c r="A1987" s="127">
        <v>44818</v>
      </c>
      <c r="B1987" s="24" t="s">
        <v>153</v>
      </c>
      <c r="C1987" s="21">
        <f t="shared" si="35"/>
        <v>504.65</v>
      </c>
      <c r="GP1987" s="42">
        <v>504.65</v>
      </c>
    </row>
    <row r="1988" spans="1:225" x14ac:dyDescent="0.25">
      <c r="A1988" s="127">
        <v>44819</v>
      </c>
      <c r="B1988" s="24" t="s">
        <v>44</v>
      </c>
      <c r="C1988" s="21">
        <f t="shared" si="35"/>
        <v>-204.42</v>
      </c>
      <c r="GP1988" s="42">
        <v>-165.4</v>
      </c>
      <c r="HQ1988" s="42">
        <v>-39.020000000000003</v>
      </c>
    </row>
    <row r="1989" spans="1:225" x14ac:dyDescent="0.25">
      <c r="A1989" s="127">
        <v>44820</v>
      </c>
      <c r="B1989" s="24" t="s">
        <v>133</v>
      </c>
      <c r="C1989" s="21">
        <f t="shared" si="35"/>
        <v>-210.98</v>
      </c>
      <c r="AW1989" s="106">
        <v>-33.33</v>
      </c>
      <c r="BC1989" s="106">
        <v>-32.049999999999997</v>
      </c>
      <c r="BO1989" s="106">
        <v>-29.94</v>
      </c>
      <c r="BS1989" s="42">
        <v>-32.06</v>
      </c>
      <c r="CA1989" s="106">
        <v>-32.24</v>
      </c>
      <c r="CS1989" s="74">
        <v>-33.9</v>
      </c>
      <c r="DE1989" s="74">
        <v>-17.46</v>
      </c>
    </row>
    <row r="1990" spans="1:225" x14ac:dyDescent="0.25">
      <c r="A1990" s="127">
        <v>44820</v>
      </c>
      <c r="B1990" s="24" t="s">
        <v>31</v>
      </c>
      <c r="C1990" s="21">
        <f t="shared" si="35"/>
        <v>-8.7899999999999991</v>
      </c>
      <c r="V1990" s="74">
        <v>-8.7899999999999991</v>
      </c>
    </row>
    <row r="1991" spans="1:225" x14ac:dyDescent="0.25">
      <c r="A1991" s="127">
        <v>44820</v>
      </c>
      <c r="B1991" s="24" t="s">
        <v>123</v>
      </c>
      <c r="C1991" s="21">
        <f t="shared" si="35"/>
        <v>0</v>
      </c>
    </row>
    <row r="1992" spans="1:225" x14ac:dyDescent="0.25">
      <c r="A1992" s="127">
        <v>44820</v>
      </c>
      <c r="B1992" s="24" t="s">
        <v>94</v>
      </c>
      <c r="C1992" s="21">
        <f t="shared" si="35"/>
        <v>0</v>
      </c>
    </row>
    <row r="1993" spans="1:225" x14ac:dyDescent="0.25">
      <c r="A1993" s="127">
        <v>44820</v>
      </c>
      <c r="B1993" s="24" t="s">
        <v>84</v>
      </c>
      <c r="C1993" s="21">
        <f t="shared" si="35"/>
        <v>-51.85</v>
      </c>
      <c r="CS1993" s="74">
        <v>-16.78</v>
      </c>
      <c r="DE1993" s="74">
        <v>-26.13</v>
      </c>
      <c r="DL1993" s="121">
        <v>-8.94</v>
      </c>
    </row>
    <row r="1994" spans="1:225" x14ac:dyDescent="0.25">
      <c r="A1994" s="127">
        <v>44823</v>
      </c>
      <c r="B1994" s="24" t="s">
        <v>95</v>
      </c>
      <c r="C1994" s="21">
        <f t="shared" si="35"/>
        <v>-921.67</v>
      </c>
      <c r="V1994" s="74">
        <v>-34.72</v>
      </c>
      <c r="Z1994" s="79">
        <v>-35.659999999999997</v>
      </c>
      <c r="AC1994" s="106">
        <v>-63</v>
      </c>
      <c r="AN1994" s="106">
        <v>-64.900000000000006</v>
      </c>
      <c r="AR1994" s="106">
        <v>-34.21</v>
      </c>
      <c r="AW1994" s="106">
        <v>-99.39</v>
      </c>
      <c r="BO1994" s="106">
        <v>-88.95</v>
      </c>
      <c r="CA1994" s="106">
        <v>-33.380000000000003</v>
      </c>
      <c r="CM1994" s="106">
        <v>-101.35</v>
      </c>
      <c r="CS1994" s="74">
        <v>-100.68</v>
      </c>
      <c r="DE1994" s="74">
        <v>-69.959999999999994</v>
      </c>
      <c r="DP1994" s="74">
        <v>-32.700000000000003</v>
      </c>
      <c r="EA1994" s="74">
        <v>-64.72</v>
      </c>
      <c r="EG1994" s="74">
        <v>-98.05</v>
      </c>
    </row>
    <row r="1995" spans="1:225" x14ac:dyDescent="0.25">
      <c r="A1995" s="127">
        <v>44823</v>
      </c>
      <c r="B1995" s="24" t="s">
        <v>78</v>
      </c>
      <c r="C1995" s="21">
        <f t="shared" si="35"/>
        <v>-26.39</v>
      </c>
      <c r="EA1995" s="74">
        <v>-26.39</v>
      </c>
    </row>
    <row r="1996" spans="1:225" x14ac:dyDescent="0.25">
      <c r="A1996" s="127">
        <v>44824</v>
      </c>
      <c r="B1996" s="24" t="s">
        <v>113</v>
      </c>
      <c r="C1996" s="21">
        <f t="shared" si="35"/>
        <v>2099.54</v>
      </c>
      <c r="BI1996" s="106">
        <v>348</v>
      </c>
      <c r="BU1996" s="106">
        <v>355.4</v>
      </c>
      <c r="CG1996" s="106">
        <v>589.15</v>
      </c>
      <c r="CY1996" s="106">
        <v>368.95</v>
      </c>
      <c r="DK1996" s="106">
        <f>100.84+337.2</f>
        <v>438.04</v>
      </c>
    </row>
    <row r="1997" spans="1:225" x14ac:dyDescent="0.25">
      <c r="A1997" s="127">
        <v>44824</v>
      </c>
      <c r="B1997" s="24" t="s">
        <v>43</v>
      </c>
      <c r="C1997" s="21">
        <f t="shared" si="35"/>
        <v>-366.01</v>
      </c>
      <c r="BI1997" s="106">
        <v>-165</v>
      </c>
      <c r="BU1997" s="106">
        <v>-65.75</v>
      </c>
      <c r="CG1997" s="106">
        <v>-104.5</v>
      </c>
      <c r="DK1997" s="106">
        <v>-30.76</v>
      </c>
    </row>
    <row r="1998" spans="1:225" x14ac:dyDescent="0.25">
      <c r="A1998" s="127">
        <v>44824</v>
      </c>
      <c r="B1998" s="24" t="s">
        <v>133</v>
      </c>
      <c r="C1998" s="21">
        <f t="shared" si="35"/>
        <v>-167.28</v>
      </c>
      <c r="AR1998" s="106">
        <v>-34.08</v>
      </c>
      <c r="AW1998" s="106">
        <v>-33.58</v>
      </c>
      <c r="CM1998" s="106">
        <v>-34.1</v>
      </c>
      <c r="CS1998" s="74">
        <v>-33.200000000000003</v>
      </c>
      <c r="DK1998" s="106">
        <v>-32.32</v>
      </c>
    </row>
    <row r="1999" spans="1:225" x14ac:dyDescent="0.25">
      <c r="A1999" s="127">
        <v>44824</v>
      </c>
      <c r="B1999" s="24" t="s">
        <v>17</v>
      </c>
      <c r="C1999" s="21">
        <f t="shared" si="35"/>
        <v>-166.25</v>
      </c>
      <c r="BI1999" s="106">
        <v>-32.799999999999997</v>
      </c>
      <c r="BU1999" s="106">
        <v>-62.55</v>
      </c>
      <c r="CG1999" s="106">
        <v>-34.5</v>
      </c>
      <c r="CY1999" s="106">
        <v>-36.4</v>
      </c>
    </row>
    <row r="2000" spans="1:225" x14ac:dyDescent="0.25">
      <c r="A2000" s="127">
        <v>44824</v>
      </c>
      <c r="B2000" s="24" t="s">
        <v>78</v>
      </c>
      <c r="C2000" s="21">
        <f t="shared" si="35"/>
        <v>-43.1</v>
      </c>
      <c r="BI2000" s="106">
        <v>-34.35</v>
      </c>
      <c r="CA2000" s="106">
        <v>-8.75</v>
      </c>
    </row>
    <row r="2001" spans="1:238" x14ac:dyDescent="0.25">
      <c r="A2001" s="127">
        <v>44824</v>
      </c>
      <c r="B2001" s="24" t="s">
        <v>44</v>
      </c>
      <c r="C2001" s="21">
        <f t="shared" si="35"/>
        <v>-124.56</v>
      </c>
      <c r="ID2001" s="42">
        <v>-124.56</v>
      </c>
    </row>
    <row r="2002" spans="1:238" x14ac:dyDescent="0.25">
      <c r="A2002" s="127">
        <v>44824</v>
      </c>
      <c r="B2002" s="24" t="s">
        <v>31</v>
      </c>
      <c r="C2002" s="21">
        <f t="shared" si="35"/>
        <v>-8.1</v>
      </c>
      <c r="HQ2002" s="42">
        <v>-8.1</v>
      </c>
    </row>
    <row r="2003" spans="1:238" x14ac:dyDescent="0.25">
      <c r="A2003" s="127">
        <v>44824</v>
      </c>
      <c r="B2003" s="24" t="s">
        <v>29</v>
      </c>
      <c r="C2003" s="21">
        <f t="shared" si="35"/>
        <v>-15.35</v>
      </c>
      <c r="BU2003" s="106">
        <v>-15.35</v>
      </c>
    </row>
    <row r="2004" spans="1:238" x14ac:dyDescent="0.25">
      <c r="A2004" s="127">
        <v>44824</v>
      </c>
      <c r="B2004" s="24" t="s">
        <v>20</v>
      </c>
      <c r="C2004" s="21">
        <f t="shared" si="35"/>
        <v>-47.93</v>
      </c>
      <c r="BI2004" s="106">
        <v>-8.35</v>
      </c>
      <c r="BO2004" s="106">
        <v>-7.89</v>
      </c>
      <c r="BU2004" s="106">
        <v>-8.15</v>
      </c>
      <c r="CG2004" s="106">
        <v>-8.65</v>
      </c>
      <c r="CM2004" s="106">
        <v>-8.3000000000000007</v>
      </c>
      <c r="CS2004" s="74">
        <v>-6.59</v>
      </c>
    </row>
    <row r="2005" spans="1:238" x14ac:dyDescent="0.25">
      <c r="A2005" s="127">
        <v>44824</v>
      </c>
      <c r="B2005" s="24" t="s">
        <v>153</v>
      </c>
      <c r="C2005" s="21">
        <f t="shared" si="35"/>
        <v>525.47</v>
      </c>
      <c r="GY2005" s="42">
        <v>525.47</v>
      </c>
    </row>
    <row r="2006" spans="1:238" x14ac:dyDescent="0.25">
      <c r="A2006" s="127">
        <v>44824</v>
      </c>
      <c r="B2006" s="24" t="s">
        <v>59</v>
      </c>
      <c r="C2006" s="21">
        <f t="shared" si="35"/>
        <v>-9.82</v>
      </c>
      <c r="V2006" s="74">
        <v>-0.63</v>
      </c>
      <c r="BS2006" s="42">
        <v>-1.1399999999999999</v>
      </c>
      <c r="CA2006" s="106">
        <v>-2.06</v>
      </c>
      <c r="CM2006" s="106">
        <v>-5.99</v>
      </c>
    </row>
    <row r="2007" spans="1:238" x14ac:dyDescent="0.25">
      <c r="A2007" s="127">
        <v>44825</v>
      </c>
      <c r="B2007" s="24" t="s">
        <v>65</v>
      </c>
      <c r="C2007" s="21">
        <f t="shared" si="35"/>
        <v>-24.23</v>
      </c>
      <c r="AR2007" s="106">
        <v>-17</v>
      </c>
      <c r="BC2007" s="106">
        <v>-7.23</v>
      </c>
    </row>
    <row r="2008" spans="1:238" x14ac:dyDescent="0.25">
      <c r="A2008" s="127">
        <v>44825</v>
      </c>
      <c r="B2008" s="24" t="s">
        <v>79</v>
      </c>
      <c r="C2008" s="21">
        <f t="shared" si="35"/>
        <v>-23.33</v>
      </c>
      <c r="AW2008" s="106">
        <v>-8.4</v>
      </c>
      <c r="BI2008" s="106">
        <v>-7.6</v>
      </c>
      <c r="BO2008" s="106">
        <v>-7.33</v>
      </c>
    </row>
    <row r="2009" spans="1:238" x14ac:dyDescent="0.25">
      <c r="A2009" s="127">
        <v>44825</v>
      </c>
      <c r="B2009" s="24" t="s">
        <v>25</v>
      </c>
      <c r="C2009" s="21">
        <f t="shared" si="35"/>
        <v>-66.19</v>
      </c>
      <c r="AR2009" s="106">
        <v>-8.58</v>
      </c>
      <c r="AW2009" s="106">
        <v>-8.4</v>
      </c>
      <c r="BI2009" s="106">
        <v>-16.75</v>
      </c>
      <c r="BO2009" s="106">
        <v>-7.51</v>
      </c>
      <c r="BU2009" s="106">
        <v>-16.3</v>
      </c>
      <c r="CG2009" s="106">
        <v>-8.65</v>
      </c>
    </row>
    <row r="2010" spans="1:238" x14ac:dyDescent="0.25">
      <c r="A2010" s="127">
        <v>44825</v>
      </c>
      <c r="B2010" s="24" t="s">
        <v>33</v>
      </c>
      <c r="C2010" s="21">
        <f t="shared" si="35"/>
        <v>-24.89</v>
      </c>
      <c r="AW2010" s="106">
        <v>-8.36</v>
      </c>
      <c r="BO2010" s="106">
        <v>-8.83</v>
      </c>
      <c r="BU2010" s="106">
        <v>-7.7</v>
      </c>
    </row>
    <row r="2011" spans="1:238" x14ac:dyDescent="0.25">
      <c r="A2011" s="127">
        <v>44825</v>
      </c>
      <c r="B2011" s="24" t="s">
        <v>138</v>
      </c>
      <c r="C2011" s="21">
        <f t="shared" si="35"/>
        <v>-45.44</v>
      </c>
      <c r="AW2011" s="106">
        <v>-8.4</v>
      </c>
      <c r="BC2011" s="106">
        <v>-5.6</v>
      </c>
      <c r="BD2011" s="121">
        <v>-6.97</v>
      </c>
      <c r="BI2011" s="106">
        <v>-16.8</v>
      </c>
      <c r="BO2011" s="106">
        <v>-7.67</v>
      </c>
    </row>
    <row r="2012" spans="1:238" x14ac:dyDescent="0.25">
      <c r="A2012" s="127">
        <v>44825</v>
      </c>
      <c r="B2012" s="24" t="s">
        <v>139</v>
      </c>
      <c r="C2012" s="21">
        <f t="shared" si="35"/>
        <v>-16.670000000000002</v>
      </c>
      <c r="CG2012" s="106">
        <v>-8.6</v>
      </c>
      <c r="CS2012" s="74">
        <v>-8.07</v>
      </c>
    </row>
    <row r="2013" spans="1:238" x14ac:dyDescent="0.25">
      <c r="A2013" s="127">
        <v>44825</v>
      </c>
      <c r="B2013" s="24" t="s">
        <v>84</v>
      </c>
      <c r="C2013" s="21">
        <f t="shared" si="35"/>
        <v>-36.64</v>
      </c>
      <c r="O2013" s="375">
        <v>-6.58</v>
      </c>
      <c r="BI2013" s="106">
        <v>-8.4499999999999993</v>
      </c>
      <c r="BO2013" s="106">
        <v>-6.97</v>
      </c>
      <c r="BS2013" s="42">
        <v>-8</v>
      </c>
      <c r="CA2013" s="106">
        <v>-6.64</v>
      </c>
    </row>
    <row r="2014" spans="1:238" x14ac:dyDescent="0.25">
      <c r="A2014" s="127">
        <v>44825</v>
      </c>
      <c r="B2014" s="24" t="s">
        <v>31</v>
      </c>
      <c r="C2014" s="21">
        <f t="shared" si="35"/>
        <v>-7.9</v>
      </c>
      <c r="AC2014" s="106">
        <v>-7.9</v>
      </c>
    </row>
    <row r="2015" spans="1:238" x14ac:dyDescent="0.25">
      <c r="A2015" s="127">
        <v>44825</v>
      </c>
      <c r="B2015" s="24" t="s">
        <v>147</v>
      </c>
      <c r="C2015" s="21">
        <f t="shared" si="35"/>
        <v>-7.55</v>
      </c>
      <c r="BI2015" s="106">
        <v>-7.55</v>
      </c>
    </row>
    <row r="2016" spans="1:238" x14ac:dyDescent="0.25">
      <c r="A2016" s="127">
        <v>44825</v>
      </c>
      <c r="B2016" s="24" t="s">
        <v>162</v>
      </c>
      <c r="C2016" s="21">
        <f t="shared" si="35"/>
        <v>-89.54</v>
      </c>
      <c r="AN2016" s="106">
        <v>-8.4499999999999993</v>
      </c>
      <c r="AR2016" s="106">
        <v>-8.56</v>
      </c>
      <c r="AW2016" s="106">
        <v>-8.41</v>
      </c>
      <c r="BI2016" s="106">
        <v>-16.7</v>
      </c>
      <c r="BO2016" s="106">
        <v>-14.76</v>
      </c>
      <c r="BU2016" s="106">
        <v>-7.6</v>
      </c>
      <c r="CG2016" s="106">
        <v>-8.65</v>
      </c>
      <c r="CS2016" s="74">
        <v>-7.81</v>
      </c>
      <c r="CY2016" s="106">
        <v>-8.6</v>
      </c>
    </row>
    <row r="2017" spans="1:224" x14ac:dyDescent="0.25">
      <c r="A2017" s="127">
        <v>44825</v>
      </c>
      <c r="B2017" s="24" t="s">
        <v>75</v>
      </c>
      <c r="C2017" s="21">
        <f t="shared" si="35"/>
        <v>-32.33</v>
      </c>
      <c r="AW2017" s="106">
        <v>-8.36</v>
      </c>
      <c r="BI2017" s="106">
        <v>-8.4499999999999993</v>
      </c>
      <c r="BO2017" s="106">
        <v>-7.37</v>
      </c>
      <c r="BU2017" s="106">
        <v>-8.15</v>
      </c>
    </row>
    <row r="2018" spans="1:224" x14ac:dyDescent="0.25">
      <c r="A2018" s="127">
        <v>44825</v>
      </c>
      <c r="B2018" s="24" t="s">
        <v>25</v>
      </c>
      <c r="C2018" s="21">
        <f t="shared" si="35"/>
        <v>-15.85</v>
      </c>
      <c r="BU2018" s="106">
        <v>-15.85</v>
      </c>
    </row>
    <row r="2019" spans="1:224" x14ac:dyDescent="0.25">
      <c r="A2019" s="127">
        <v>44826</v>
      </c>
      <c r="B2019" s="24" t="s">
        <v>89</v>
      </c>
      <c r="C2019" s="21">
        <f t="shared" si="35"/>
        <v>-744.15</v>
      </c>
      <c r="AW2019" s="106">
        <v>-66.8</v>
      </c>
      <c r="BO2019" s="106">
        <v>-59.68</v>
      </c>
      <c r="CG2019" s="106">
        <v>-69.2</v>
      </c>
      <c r="CM2019" s="106">
        <v>-66.400000000000006</v>
      </c>
      <c r="CY2019" s="106">
        <v>-66.349999999999994</v>
      </c>
      <c r="DE2019" s="74">
        <v>-70.2</v>
      </c>
      <c r="DK2019" s="106">
        <v>-70.52</v>
      </c>
      <c r="DP2019" s="74">
        <v>-70.08</v>
      </c>
      <c r="EA2019" s="74">
        <v>-204.92</v>
      </c>
    </row>
    <row r="2020" spans="1:224" x14ac:dyDescent="0.25">
      <c r="A2020" s="127">
        <v>44826</v>
      </c>
      <c r="B2020" s="24" t="s">
        <v>32</v>
      </c>
      <c r="C2020" s="21">
        <f t="shared" si="35"/>
        <v>-274.63499999999999</v>
      </c>
      <c r="Z2020" s="79">
        <v>-16.72</v>
      </c>
      <c r="AC2020" s="106">
        <v>-7.4</v>
      </c>
      <c r="BI2020" s="106">
        <v>-8.4</v>
      </c>
      <c r="BO2020" s="106">
        <v>-29.02</v>
      </c>
      <c r="BU2020" s="106">
        <v>-40.75</v>
      </c>
      <c r="CG2020" s="106">
        <v>-34.549999999999997</v>
      </c>
      <c r="CM2020" s="106">
        <v>-33.65</v>
      </c>
      <c r="CY2020" s="106">
        <v>-34.4</v>
      </c>
      <c r="DP2020" s="74">
        <v>-8.61</v>
      </c>
      <c r="EA2020" s="74">
        <v>-17.399999999999999</v>
      </c>
      <c r="FV2020" s="106">
        <v>-23.05</v>
      </c>
      <c r="FX2020" s="34">
        <v>-20.684999999999999</v>
      </c>
    </row>
    <row r="2021" spans="1:224" x14ac:dyDescent="0.25">
      <c r="A2021" s="127">
        <v>44826</v>
      </c>
      <c r="B2021" s="24" t="s">
        <v>146</v>
      </c>
      <c r="C2021" s="21">
        <f t="shared" si="35"/>
        <v>-31.64</v>
      </c>
      <c r="CS2021" s="74">
        <v>-31.64</v>
      </c>
    </row>
    <row r="2022" spans="1:224" x14ac:dyDescent="0.25">
      <c r="A2022" s="127">
        <v>44826</v>
      </c>
      <c r="B2022" s="24" t="s">
        <v>43</v>
      </c>
      <c r="C2022" s="21">
        <f t="shared" si="35"/>
        <v>-21.56</v>
      </c>
      <c r="FJ2022" s="69">
        <v>-21.56</v>
      </c>
    </row>
    <row r="2023" spans="1:224" x14ac:dyDescent="0.25">
      <c r="A2023" s="127">
        <v>44827</v>
      </c>
      <c r="B2023" s="24" t="s">
        <v>113</v>
      </c>
      <c r="C2023" s="21">
        <f t="shared" si="35"/>
        <v>4199.03</v>
      </c>
      <c r="S2023" s="74">
        <v>208.05</v>
      </c>
      <c r="AC2023" s="106">
        <v>205.57</v>
      </c>
      <c r="AG2023" s="106">
        <v>352.94</v>
      </c>
      <c r="BC2023" s="106">
        <v>359.81</v>
      </c>
      <c r="BI2023" s="106">
        <v>494.1</v>
      </c>
      <c r="DK2023" s="106">
        <v>358.5</v>
      </c>
      <c r="DU2023" s="106">
        <v>352.15</v>
      </c>
      <c r="HF2023" s="92">
        <f>406.66+433.2</f>
        <v>839.86</v>
      </c>
      <c r="HP2023" s="92">
        <v>1028.05</v>
      </c>
    </row>
    <row r="2024" spans="1:224" x14ac:dyDescent="0.25">
      <c r="A2024" s="127">
        <v>44827</v>
      </c>
      <c r="B2024" s="24" t="s">
        <v>43</v>
      </c>
      <c r="C2024" s="21">
        <f t="shared" si="35"/>
        <v>-142.94</v>
      </c>
      <c r="AG2024" s="106">
        <v>-70.7</v>
      </c>
      <c r="BC2024" s="106">
        <v>-72.239999999999995</v>
      </c>
    </row>
    <row r="2025" spans="1:224" x14ac:dyDescent="0.25">
      <c r="A2025" s="127">
        <v>44827</v>
      </c>
      <c r="B2025" s="24" t="s">
        <v>78</v>
      </c>
      <c r="C2025" s="21">
        <f t="shared" si="35"/>
        <v>-70.38</v>
      </c>
      <c r="BI2025" s="106">
        <v>-70.38</v>
      </c>
    </row>
    <row r="2026" spans="1:224" x14ac:dyDescent="0.25">
      <c r="A2026" s="127">
        <v>44827</v>
      </c>
      <c r="B2026" s="24" t="s">
        <v>20</v>
      </c>
      <c r="C2026" s="21">
        <f t="shared" si="35"/>
        <v>-59.65</v>
      </c>
      <c r="O2026" s="375">
        <v>-8.64</v>
      </c>
      <c r="V2026" s="74">
        <v>-8.7799999999999994</v>
      </c>
      <c r="AG2026" s="106">
        <v>-8.86</v>
      </c>
      <c r="BU2026" s="106">
        <v>-8.15</v>
      </c>
      <c r="BY2026" s="42">
        <v>-8.7200000000000006</v>
      </c>
      <c r="CG2026" s="106">
        <v>-8.65</v>
      </c>
      <c r="CS2026" s="74">
        <v>-7.85</v>
      </c>
    </row>
    <row r="2027" spans="1:224" x14ac:dyDescent="0.25">
      <c r="A2027" s="127">
        <v>44827</v>
      </c>
      <c r="B2027" s="24" t="s">
        <v>164</v>
      </c>
      <c r="C2027" s="21">
        <f t="shared" si="35"/>
        <v>-8.4</v>
      </c>
      <c r="CM2027" s="106">
        <v>-8.4</v>
      </c>
    </row>
    <row r="2028" spans="1:224" x14ac:dyDescent="0.25">
      <c r="A2028" s="127">
        <v>44827</v>
      </c>
      <c r="B2028" s="24" t="s">
        <v>146</v>
      </c>
      <c r="C2028" s="21">
        <f t="shared" si="35"/>
        <v>-299.04000000000002</v>
      </c>
      <c r="CS2028" s="74">
        <v>-101.18</v>
      </c>
      <c r="CY2028" s="106">
        <v>-64.42</v>
      </c>
      <c r="EW2028" s="88">
        <v>-25.445</v>
      </c>
      <c r="FJ2028" s="69">
        <v>-107.995</v>
      </c>
    </row>
    <row r="2029" spans="1:224" x14ac:dyDescent="0.25">
      <c r="A2029" s="127">
        <v>44827</v>
      </c>
      <c r="B2029" s="24" t="s">
        <v>163</v>
      </c>
      <c r="C2029" s="21">
        <f t="shared" si="35"/>
        <v>655.82</v>
      </c>
      <c r="BI2029" s="106">
        <v>30.1</v>
      </c>
      <c r="BO2029" s="106">
        <f>32.8+33.15</f>
        <v>65.95</v>
      </c>
      <c r="BU2029" s="106">
        <v>31.75</v>
      </c>
      <c r="BY2029" s="42">
        <v>33.36</v>
      </c>
      <c r="CE2029" s="42">
        <v>27.59</v>
      </c>
      <c r="CL2029" s="69">
        <v>33.619999999999997</v>
      </c>
      <c r="CR2029" s="69">
        <v>25.79</v>
      </c>
      <c r="CW2029" s="42">
        <v>35.01</v>
      </c>
      <c r="CY2029" s="106">
        <f>31.27+32.23+33.08</f>
        <v>96.58</v>
      </c>
      <c r="DC2029" s="42">
        <f>9.42+8.66+8.48+8.59</f>
        <v>35.15</v>
      </c>
      <c r="DE2029" s="74">
        <v>35.74</v>
      </c>
      <c r="DK2029" s="106">
        <f>31.17+34.54+36.65</f>
        <v>102.36</v>
      </c>
      <c r="EE2029" s="42">
        <v>33.450000000000003</v>
      </c>
      <c r="EJ2029" s="42">
        <v>35.08</v>
      </c>
      <c r="EL2029" s="106">
        <v>34.29</v>
      </c>
    </row>
    <row r="2030" spans="1:224" x14ac:dyDescent="0.25">
      <c r="A2030" s="127">
        <v>44828</v>
      </c>
      <c r="B2030" s="24" t="s">
        <v>57</v>
      </c>
      <c r="C2030" s="21">
        <f t="shared" si="35"/>
        <v>-150.66</v>
      </c>
      <c r="AR2030" s="106">
        <v>-8.4700000000000006</v>
      </c>
      <c r="AW2030" s="106">
        <v>-16.77</v>
      </c>
      <c r="BC2030" s="106">
        <v>-9.0399999999999991</v>
      </c>
      <c r="BI2030" s="106">
        <v>-22.61</v>
      </c>
      <c r="BO2030" s="106">
        <v>-21.75</v>
      </c>
      <c r="BU2030" s="106">
        <v>-25.85</v>
      </c>
      <c r="BY2030" s="42">
        <v>-16.27</v>
      </c>
      <c r="CM2030" s="106">
        <v>-16.55</v>
      </c>
      <c r="GB2030" s="106">
        <v>-13.35</v>
      </c>
    </row>
    <row r="2031" spans="1:224" x14ac:dyDescent="0.25">
      <c r="A2031" s="127">
        <v>44828</v>
      </c>
      <c r="B2031" s="24" t="s">
        <v>89</v>
      </c>
      <c r="C2031" s="21">
        <f t="shared" si="35"/>
        <v>-244.25</v>
      </c>
      <c r="BC2031" s="106">
        <v>-72.2</v>
      </c>
      <c r="BI2031" s="106">
        <v>-71</v>
      </c>
      <c r="DU2031" s="106">
        <v>-101.05</v>
      </c>
    </row>
    <row r="2032" spans="1:224" x14ac:dyDescent="0.25">
      <c r="A2032" s="127">
        <v>44828</v>
      </c>
      <c r="B2032" s="24" t="s">
        <v>59</v>
      </c>
      <c r="C2032" s="21">
        <f t="shared" si="35"/>
        <v>-11.35</v>
      </c>
      <c r="CM2032" s="106">
        <v>-3.57</v>
      </c>
      <c r="CP2032" s="182">
        <v>-2.91</v>
      </c>
      <c r="CS2032" s="74">
        <v>-4.87</v>
      </c>
    </row>
    <row r="2033" spans="1:224" x14ac:dyDescent="0.25">
      <c r="A2033" s="127">
        <v>44830</v>
      </c>
      <c r="B2033" s="24" t="s">
        <v>37</v>
      </c>
      <c r="C2033" s="21">
        <f t="shared" ref="C2033:C2096" si="36">SUM(D2033:JT2033)</f>
        <v>-416.81</v>
      </c>
      <c r="HM2033" s="106">
        <v>-98.51</v>
      </c>
      <c r="HP2033" s="92">
        <v>-318.3</v>
      </c>
    </row>
    <row r="2034" spans="1:224" x14ac:dyDescent="0.25">
      <c r="A2034" s="127">
        <v>44830</v>
      </c>
      <c r="B2034" s="24" t="s">
        <v>43</v>
      </c>
      <c r="C2034" s="21">
        <f t="shared" si="36"/>
        <v>-796.08</v>
      </c>
      <c r="Z2034" s="79">
        <v>-33.58</v>
      </c>
      <c r="AR2034" s="106">
        <v>-34.04</v>
      </c>
      <c r="BC2034" s="106">
        <v>-107.73</v>
      </c>
      <c r="BI2034" s="106">
        <v>-105.89</v>
      </c>
      <c r="BO2034" s="106">
        <v>-94.73</v>
      </c>
      <c r="CG2034" s="106">
        <v>-103.8</v>
      </c>
      <c r="CS2034" s="74">
        <v>-93.26</v>
      </c>
      <c r="CY2034" s="106">
        <v>-64.349999999999994</v>
      </c>
      <c r="DE2034" s="74">
        <v>-70.72</v>
      </c>
      <c r="DK2034" s="106">
        <v>-66.48</v>
      </c>
      <c r="FJ2034" s="69">
        <v>-21.5</v>
      </c>
    </row>
    <row r="2035" spans="1:224" x14ac:dyDescent="0.25">
      <c r="A2035" s="127">
        <v>44830</v>
      </c>
      <c r="B2035" s="24" t="s">
        <v>59</v>
      </c>
      <c r="C2035" s="21">
        <f t="shared" si="36"/>
        <v>-11.18</v>
      </c>
      <c r="CE2035" s="42">
        <f>-(8.79-4.34)</f>
        <v>-4.45</v>
      </c>
      <c r="CY2035" s="106">
        <f>-((4.62+8.7)-6.59)</f>
        <v>-6.73</v>
      </c>
    </row>
    <row r="2036" spans="1:224" x14ac:dyDescent="0.25">
      <c r="A2036" s="127">
        <v>44830</v>
      </c>
      <c r="B2036" s="24" t="s">
        <v>127</v>
      </c>
      <c r="C2036" s="21">
        <f t="shared" si="36"/>
        <v>-17.61</v>
      </c>
      <c r="DC2036" s="42">
        <v>-8.66</v>
      </c>
      <c r="DL2036" s="121">
        <v>-8.9499999999999993</v>
      </c>
    </row>
    <row r="2037" spans="1:224" x14ac:dyDescent="0.25">
      <c r="A2037" s="127">
        <v>44830</v>
      </c>
      <c r="B2037" s="24" t="s">
        <v>139</v>
      </c>
      <c r="C2037" s="21">
        <f t="shared" si="36"/>
        <v>-8.5</v>
      </c>
      <c r="AN2037" s="106">
        <v>-8.5</v>
      </c>
    </row>
    <row r="2038" spans="1:224" x14ac:dyDescent="0.25">
      <c r="A2038" s="127">
        <v>44830</v>
      </c>
      <c r="B2038" s="24" t="s">
        <v>140</v>
      </c>
      <c r="C2038" s="21">
        <f t="shared" si="36"/>
        <v>-25.64</v>
      </c>
      <c r="D2038" s="386">
        <v>-25.64</v>
      </c>
    </row>
    <row r="2039" spans="1:224" x14ac:dyDescent="0.25">
      <c r="A2039" s="127">
        <v>44831</v>
      </c>
      <c r="B2039" s="24" t="s">
        <v>44</v>
      </c>
      <c r="C2039" s="21">
        <f t="shared" si="36"/>
        <v>-158.15</v>
      </c>
      <c r="GP2039" s="42">
        <v>-158.15</v>
      </c>
    </row>
    <row r="2040" spans="1:224" x14ac:dyDescent="0.25">
      <c r="A2040" s="127">
        <v>44831</v>
      </c>
      <c r="B2040" s="24" t="s">
        <v>15</v>
      </c>
      <c r="C2040" s="21">
        <f t="shared" si="36"/>
        <v>-219.54</v>
      </c>
      <c r="AW2040" s="106">
        <v>-33.58</v>
      </c>
      <c r="BI2040" s="106">
        <v>-70.040000000000006</v>
      </c>
      <c r="BO2040" s="106">
        <v>-14.42</v>
      </c>
      <c r="BU2040" s="106">
        <v>-32.25</v>
      </c>
      <c r="CG2040" s="106">
        <v>-69.25</v>
      </c>
    </row>
    <row r="2041" spans="1:224" x14ac:dyDescent="0.25">
      <c r="A2041" s="127">
        <v>44831</v>
      </c>
      <c r="B2041" s="24" t="s">
        <v>162</v>
      </c>
      <c r="C2041" s="21">
        <f t="shared" si="36"/>
        <v>-58.72</v>
      </c>
      <c r="BC2041" s="106">
        <v>-18.010000000000002</v>
      </c>
      <c r="BU2041" s="106">
        <v>-15.66</v>
      </c>
      <c r="CG2041" s="106">
        <v>-16.7</v>
      </c>
      <c r="CM2041" s="106">
        <v>-8.35</v>
      </c>
    </row>
    <row r="2042" spans="1:224" x14ac:dyDescent="0.25">
      <c r="A2042" s="127">
        <v>44831</v>
      </c>
      <c r="B2042" s="24" t="s">
        <v>127</v>
      </c>
      <c r="C2042" s="21">
        <f t="shared" si="36"/>
        <v>-23.21</v>
      </c>
      <c r="BO2042" s="106">
        <v>-7.27</v>
      </c>
      <c r="BU2042" s="106">
        <v>-7.16</v>
      </c>
      <c r="CW2042" s="42">
        <v>-8.7799999999999994</v>
      </c>
    </row>
    <row r="2043" spans="1:224" x14ac:dyDescent="0.25">
      <c r="A2043" s="127">
        <v>44831</v>
      </c>
      <c r="B2043" s="24" t="s">
        <v>136</v>
      </c>
      <c r="C2043" s="21">
        <f t="shared" si="36"/>
        <v>-59.27</v>
      </c>
      <c r="Z2043" s="79">
        <v>-8.81</v>
      </c>
      <c r="BU2043" s="106">
        <v>-16.09</v>
      </c>
      <c r="BY2043" s="42">
        <v>-8.3699999999999992</v>
      </c>
      <c r="CG2043" s="106">
        <v>-17.350000000000001</v>
      </c>
      <c r="CM2043" s="106">
        <v>-8.65</v>
      </c>
    </row>
    <row r="2044" spans="1:224" x14ac:dyDescent="0.25">
      <c r="A2044" s="127">
        <v>44831</v>
      </c>
      <c r="B2044" s="24" t="s">
        <v>33</v>
      </c>
      <c r="C2044" s="21">
        <f t="shared" si="36"/>
        <v>-23.91</v>
      </c>
      <c r="BC2044" s="106">
        <v>-9.02</v>
      </c>
      <c r="BO2044" s="106">
        <v>-6.69</v>
      </c>
      <c r="BU2044" s="106">
        <v>-8.1999999999999993</v>
      </c>
    </row>
    <row r="2045" spans="1:224" x14ac:dyDescent="0.25">
      <c r="A2045" s="127">
        <v>44831</v>
      </c>
      <c r="B2045" s="24" t="s">
        <v>26</v>
      </c>
      <c r="C2045" s="21">
        <f t="shared" si="36"/>
        <v>-41.22</v>
      </c>
      <c r="AG2045" s="106">
        <v>-8.84</v>
      </c>
      <c r="AW2045" s="106">
        <v>-8.3000000000000007</v>
      </c>
      <c r="BI2045" s="106">
        <v>-8.4</v>
      </c>
      <c r="BO2045" s="106">
        <v>-7.43</v>
      </c>
      <c r="BU2045" s="106">
        <v>-8.25</v>
      </c>
    </row>
    <row r="2046" spans="1:224" x14ac:dyDescent="0.25">
      <c r="A2046" s="127">
        <v>44831</v>
      </c>
      <c r="B2046" s="24" t="s">
        <v>131</v>
      </c>
      <c r="C2046" s="21">
        <f t="shared" si="36"/>
        <v>-100.735</v>
      </c>
      <c r="HM2046" s="106">
        <v>-100.735</v>
      </c>
    </row>
    <row r="2047" spans="1:224" x14ac:dyDescent="0.25">
      <c r="A2047" s="127">
        <v>44831</v>
      </c>
      <c r="B2047" s="24" t="s">
        <v>43</v>
      </c>
      <c r="C2047" s="21">
        <f t="shared" si="36"/>
        <v>-137.47999999999999</v>
      </c>
      <c r="EA2047" s="74">
        <v>-137.47999999999999</v>
      </c>
    </row>
    <row r="2048" spans="1:224" x14ac:dyDescent="0.25">
      <c r="A2048" s="127">
        <v>44831</v>
      </c>
      <c r="B2048" s="24" t="s">
        <v>140</v>
      </c>
      <c r="C2048" s="21">
        <f t="shared" si="36"/>
        <v>-35.76</v>
      </c>
      <c r="D2048" s="386">
        <v>-25.68</v>
      </c>
      <c r="E2048" s="386">
        <v>-10.08</v>
      </c>
    </row>
    <row r="2049" spans="1:221" x14ac:dyDescent="0.25">
      <c r="A2049" s="127">
        <v>44832</v>
      </c>
      <c r="B2049" s="24" t="s">
        <v>152</v>
      </c>
      <c r="C2049" s="21">
        <f t="shared" si="36"/>
        <v>-701.65</v>
      </c>
      <c r="BI2049" s="106">
        <v>-70.680000000000007</v>
      </c>
      <c r="CG2049" s="106">
        <v>-104.15</v>
      </c>
      <c r="CM2049" s="106">
        <v>-170.05</v>
      </c>
      <c r="CR2049" s="69">
        <v>-25.79</v>
      </c>
      <c r="CS2049" s="74">
        <v>-29.08</v>
      </c>
      <c r="CY2049" s="106">
        <v>-65.430000000000007</v>
      </c>
      <c r="DE2049" s="74">
        <v>-70.3</v>
      </c>
      <c r="DK2049" s="106">
        <v>-99.52</v>
      </c>
      <c r="DU2049" s="106">
        <v>-66.650000000000006</v>
      </c>
    </row>
    <row r="2050" spans="1:221" x14ac:dyDescent="0.25">
      <c r="A2050" s="127">
        <v>44832</v>
      </c>
      <c r="B2050" s="24" t="s">
        <v>83</v>
      </c>
      <c r="C2050" s="21">
        <f t="shared" si="36"/>
        <v>-8</v>
      </c>
      <c r="HF2050" s="92">
        <v>-8</v>
      </c>
    </row>
    <row r="2051" spans="1:221" x14ac:dyDescent="0.25">
      <c r="A2051" s="127">
        <v>44832</v>
      </c>
      <c r="B2051" s="24" t="s">
        <v>40</v>
      </c>
      <c r="C2051" s="21">
        <f t="shared" si="36"/>
        <v>-190.89</v>
      </c>
      <c r="HL2051" s="42">
        <v>-190.89</v>
      </c>
    </row>
    <row r="2052" spans="1:221" x14ac:dyDescent="0.25">
      <c r="A2052" s="127">
        <v>44832</v>
      </c>
      <c r="B2052" s="24" t="s">
        <v>151</v>
      </c>
      <c r="C2052" s="21">
        <f t="shared" si="36"/>
        <v>-43.01</v>
      </c>
      <c r="FX2052" s="34">
        <v>-43.01</v>
      </c>
    </row>
    <row r="2053" spans="1:221" x14ac:dyDescent="0.25">
      <c r="A2053" s="127">
        <v>44832</v>
      </c>
      <c r="B2053" s="24" t="s">
        <v>39</v>
      </c>
      <c r="C2053" s="21">
        <f t="shared" si="36"/>
        <v>-55.45</v>
      </c>
      <c r="AW2053" s="106">
        <v>-8.36</v>
      </c>
      <c r="BC2053" s="106">
        <v>-8.85</v>
      </c>
      <c r="BI2053" s="106">
        <v>-7.49</v>
      </c>
      <c r="BO2053" s="106">
        <v>-8.15</v>
      </c>
      <c r="BU2053" s="106">
        <v>-8.1999999999999993</v>
      </c>
      <c r="CE2053" s="42">
        <v>-5.75</v>
      </c>
      <c r="CM2053" s="106">
        <v>-8.65</v>
      </c>
    </row>
    <row r="2054" spans="1:221" x14ac:dyDescent="0.25">
      <c r="A2054" s="127">
        <v>44832</v>
      </c>
      <c r="B2054" s="24" t="s">
        <v>15</v>
      </c>
      <c r="C2054" s="21">
        <f t="shared" si="36"/>
        <v>-17.850000000000001</v>
      </c>
      <c r="EE2054" s="42">
        <v>-17.850000000000001</v>
      </c>
    </row>
    <row r="2055" spans="1:221" x14ac:dyDescent="0.25">
      <c r="A2055" s="127">
        <v>44833</v>
      </c>
      <c r="B2055" s="24" t="s">
        <v>15</v>
      </c>
      <c r="C2055" s="21">
        <f t="shared" si="36"/>
        <v>-23.844999999999999</v>
      </c>
      <c r="EE2055" s="42">
        <v>-8.26</v>
      </c>
      <c r="EL2055" s="106">
        <v>-8.4499999999999993</v>
      </c>
      <c r="EO2055" s="69">
        <v>-7.1349999999999998</v>
      </c>
    </row>
    <row r="2056" spans="1:221" x14ac:dyDescent="0.25">
      <c r="A2056" s="127">
        <v>44833</v>
      </c>
      <c r="B2056" s="24" t="s">
        <v>84</v>
      </c>
      <c r="C2056" s="21">
        <f t="shared" si="36"/>
        <v>-16.850000000000001</v>
      </c>
      <c r="CM2056" s="106">
        <v>-16.850000000000001</v>
      </c>
    </row>
    <row r="2057" spans="1:221" x14ac:dyDescent="0.25">
      <c r="A2057" s="127">
        <v>44833</v>
      </c>
      <c r="B2057" s="24" t="s">
        <v>65</v>
      </c>
      <c r="C2057" s="21">
        <f t="shared" si="36"/>
        <v>-8.8800000000000008</v>
      </c>
      <c r="BC2057" s="106">
        <v>-8.8800000000000008</v>
      </c>
    </row>
    <row r="2058" spans="1:221" x14ac:dyDescent="0.25">
      <c r="A2058" s="127">
        <v>44833</v>
      </c>
      <c r="B2058" s="24" t="s">
        <v>17</v>
      </c>
      <c r="C2058" s="21">
        <f t="shared" si="36"/>
        <v>0</v>
      </c>
    </row>
    <row r="2059" spans="1:221" x14ac:dyDescent="0.25">
      <c r="A2059" s="127">
        <v>44833</v>
      </c>
      <c r="B2059" s="24" t="s">
        <v>139</v>
      </c>
      <c r="C2059" s="21">
        <f t="shared" si="36"/>
        <v>-53.89</v>
      </c>
      <c r="Z2059" s="79">
        <v>-9.0299999999999994</v>
      </c>
      <c r="BC2059" s="106">
        <v>-9.06</v>
      </c>
      <c r="BR2059" s="182">
        <v>-9.81</v>
      </c>
      <c r="BU2059" s="106">
        <v>-8.1999999999999993</v>
      </c>
      <c r="CE2059" s="42">
        <v>-9.34</v>
      </c>
      <c r="CM2059" s="106">
        <v>-8.4499999999999993</v>
      </c>
    </row>
    <row r="2060" spans="1:221" x14ac:dyDescent="0.25">
      <c r="A2060" s="127">
        <v>44834</v>
      </c>
      <c r="B2060" s="23" t="s">
        <v>48</v>
      </c>
      <c r="C2060" s="21">
        <f t="shared" si="36"/>
        <v>-42.17</v>
      </c>
      <c r="Z2060" s="79">
        <v>-9.0500000000000007</v>
      </c>
      <c r="BI2060" s="106">
        <v>-8.82</v>
      </c>
      <c r="BS2060" s="42">
        <v>-6.84</v>
      </c>
      <c r="CW2060" s="42">
        <v>-17.46</v>
      </c>
    </row>
    <row r="2061" spans="1:221" x14ac:dyDescent="0.25">
      <c r="A2061" s="127">
        <v>44834</v>
      </c>
      <c r="B2061" s="23" t="s">
        <v>78</v>
      </c>
      <c r="C2061" s="21">
        <f t="shared" si="36"/>
        <v>-67.17</v>
      </c>
      <c r="BC2061" s="106">
        <f>-9.35-8.89</f>
        <v>-18.239999999999998</v>
      </c>
      <c r="BI2061" s="106">
        <f>-8.9-8.89</f>
        <v>-17.79</v>
      </c>
      <c r="DK2061" s="106">
        <v>-31.14</v>
      </c>
    </row>
    <row r="2062" spans="1:221" x14ac:dyDescent="0.25">
      <c r="A2062" s="127">
        <v>44834</v>
      </c>
      <c r="B2062" s="23" t="s">
        <v>133</v>
      </c>
      <c r="C2062" s="21">
        <f t="shared" si="36"/>
        <v>-70.73</v>
      </c>
      <c r="AG2062" s="106">
        <v>-35.409999999999997</v>
      </c>
      <c r="BI2062" s="106">
        <v>-35.32</v>
      </c>
    </row>
    <row r="2063" spans="1:221" x14ac:dyDescent="0.25">
      <c r="A2063" s="127">
        <v>44834</v>
      </c>
      <c r="B2063" s="24" t="s">
        <v>113</v>
      </c>
      <c r="C2063" s="21">
        <f t="shared" si="36"/>
        <v>3276.14</v>
      </c>
      <c r="V2063" s="74">
        <v>340.62</v>
      </c>
      <c r="AW2063" s="106">
        <v>333.32</v>
      </c>
      <c r="BC2063" s="106">
        <v>346.41</v>
      </c>
      <c r="BI2063" s="106">
        <v>348.1</v>
      </c>
      <c r="BO2063" s="106">
        <v>578.35</v>
      </c>
      <c r="BU2063" s="106">
        <v>459.4</v>
      </c>
      <c r="CG2063" s="106">
        <v>360.24</v>
      </c>
      <c r="GQ2063" s="92">
        <v>509.7</v>
      </c>
    </row>
    <row r="2064" spans="1:221" x14ac:dyDescent="0.25">
      <c r="A2064" s="127">
        <v>44834</v>
      </c>
      <c r="B2064" s="24" t="s">
        <v>113</v>
      </c>
      <c r="C2064" s="21">
        <f t="shared" si="36"/>
        <v>1088.8499999999999</v>
      </c>
      <c r="BU2064" s="106">
        <v>533.4</v>
      </c>
      <c r="HM2064" s="106">
        <v>555.45000000000005</v>
      </c>
    </row>
    <row r="2065" spans="1:240" x14ac:dyDescent="0.25">
      <c r="A2065" s="127">
        <v>44834</v>
      </c>
      <c r="B2065" s="24" t="s">
        <v>165</v>
      </c>
      <c r="C2065" s="21">
        <f t="shared" si="36"/>
        <v>-42.87</v>
      </c>
      <c r="AN2065" s="106">
        <v>-8.15</v>
      </c>
      <c r="AW2065" s="106">
        <v>-8.4</v>
      </c>
      <c r="BC2065" s="106">
        <v>-17.920000000000002</v>
      </c>
      <c r="BI2065" s="106">
        <v>-8.4</v>
      </c>
    </row>
    <row r="2066" spans="1:240" x14ac:dyDescent="0.25">
      <c r="A2066" s="127">
        <v>44834</v>
      </c>
      <c r="B2066" s="24" t="s">
        <v>152</v>
      </c>
      <c r="C2066" s="21">
        <f t="shared" si="36"/>
        <v>-420.99</v>
      </c>
      <c r="CG2066" s="106">
        <v>-95.96</v>
      </c>
      <c r="DP2066" s="74">
        <v>-139.63999999999999</v>
      </c>
      <c r="DU2066" s="106">
        <v>-150.85</v>
      </c>
      <c r="EA2066" s="74">
        <v>-34.54</v>
      </c>
    </row>
    <row r="2067" spans="1:240" x14ac:dyDescent="0.25">
      <c r="A2067" s="127">
        <v>44834</v>
      </c>
      <c r="B2067" s="24" t="s">
        <v>15</v>
      </c>
      <c r="C2067" s="21">
        <f t="shared" si="36"/>
        <v>-286.57</v>
      </c>
      <c r="AW2067" s="106">
        <v>-49.23</v>
      </c>
      <c r="BC2067" s="106">
        <v>-65.900000000000006</v>
      </c>
      <c r="BO2067" s="106">
        <v>-69.099999999999994</v>
      </c>
      <c r="BU2067" s="106">
        <v>-68.8</v>
      </c>
      <c r="CG2067" s="106">
        <v>-33.54</v>
      </c>
    </row>
    <row r="2068" spans="1:240" x14ac:dyDescent="0.25">
      <c r="A2068" s="127">
        <v>44834</v>
      </c>
      <c r="B2068" s="24" t="s">
        <v>37</v>
      </c>
      <c r="C2068" s="21">
        <f t="shared" si="36"/>
        <v>-227.37</v>
      </c>
      <c r="HM2068" s="106">
        <v>-99.2</v>
      </c>
      <c r="HP2068" s="92">
        <v>-64.900000000000006</v>
      </c>
      <c r="HQ2068" s="42">
        <v>-63.27</v>
      </c>
    </row>
    <row r="2069" spans="1:240" x14ac:dyDescent="0.25">
      <c r="A2069" s="127">
        <v>44834</v>
      </c>
      <c r="B2069" s="24" t="s">
        <v>32</v>
      </c>
      <c r="C2069" s="21">
        <f t="shared" si="36"/>
        <v>-356.5</v>
      </c>
      <c r="S2069" s="74">
        <v>-30.5</v>
      </c>
      <c r="Z2069" s="79">
        <v>-9.01</v>
      </c>
      <c r="AW2069" s="106">
        <v>-33.5</v>
      </c>
      <c r="BC2069" s="106">
        <v>-33</v>
      </c>
      <c r="BI2069" s="106">
        <v>-29.75</v>
      </c>
      <c r="BO2069" s="106">
        <v>-66.75</v>
      </c>
      <c r="BU2069" s="106">
        <v>-69.150000000000006</v>
      </c>
      <c r="CG2069" s="106">
        <v>-34.24</v>
      </c>
      <c r="CM2069" s="106">
        <v>-17</v>
      </c>
      <c r="DU2069" s="106">
        <v>-33.6</v>
      </c>
    </row>
    <row r="2070" spans="1:240" x14ac:dyDescent="0.25">
      <c r="A2070" s="127">
        <v>44834</v>
      </c>
      <c r="B2070" s="24" t="s">
        <v>133</v>
      </c>
      <c r="C2070" s="21">
        <f t="shared" si="36"/>
        <v>-267.33999999999997</v>
      </c>
      <c r="BI2070" s="106">
        <v>-64.2</v>
      </c>
      <c r="BO2070" s="106">
        <v>-68.55</v>
      </c>
      <c r="BU2070" s="106">
        <v>-69.349999999999994</v>
      </c>
      <c r="CG2070" s="106">
        <v>-65.239999999999995</v>
      </c>
    </row>
    <row r="2071" spans="1:240" x14ac:dyDescent="0.25">
      <c r="A2071" s="127">
        <v>44838</v>
      </c>
      <c r="B2071" s="24" t="s">
        <v>113</v>
      </c>
      <c r="C2071" s="21">
        <f t="shared" si="36"/>
        <v>2090.23</v>
      </c>
      <c r="AR2071" s="106">
        <v>385.25</v>
      </c>
      <c r="CA2071" s="106">
        <v>366.84</v>
      </c>
      <c r="CG2071" s="106">
        <v>334.75</v>
      </c>
      <c r="CS2071" s="74">
        <v>320.95999999999998</v>
      </c>
      <c r="DP2071" s="74">
        <v>340.88</v>
      </c>
      <c r="DU2071" s="106">
        <v>341.55</v>
      </c>
    </row>
    <row r="2072" spans="1:240" x14ac:dyDescent="0.25">
      <c r="A2072" s="127">
        <v>44838</v>
      </c>
      <c r="B2072" s="24" t="s">
        <v>139</v>
      </c>
      <c r="C2072" s="21">
        <f t="shared" si="36"/>
        <v>-17.14</v>
      </c>
      <c r="CA2072" s="106">
        <v>-8.5500000000000007</v>
      </c>
      <c r="CS2072" s="74">
        <v>-8.59</v>
      </c>
    </row>
    <row r="2073" spans="1:240" x14ac:dyDescent="0.25">
      <c r="A2073" s="127">
        <v>44838</v>
      </c>
      <c r="B2073" s="24" t="s">
        <v>20</v>
      </c>
      <c r="C2073" s="21">
        <f t="shared" si="36"/>
        <v>-33.47</v>
      </c>
      <c r="AW2073" s="106">
        <v>-8.4</v>
      </c>
      <c r="BC2073" s="106">
        <v>-8.9700000000000006</v>
      </c>
      <c r="BI2073" s="106">
        <v>-7.95</v>
      </c>
      <c r="CG2073" s="106">
        <v>-8.15</v>
      </c>
    </row>
    <row r="2074" spans="1:240" x14ac:dyDescent="0.25">
      <c r="A2074" s="127">
        <v>44838</v>
      </c>
      <c r="B2074" s="24" t="s">
        <v>162</v>
      </c>
      <c r="C2074" s="21">
        <f t="shared" si="36"/>
        <v>-16.760000000000002</v>
      </c>
      <c r="CA2074" s="106">
        <v>-16.760000000000002</v>
      </c>
    </row>
    <row r="2075" spans="1:240" x14ac:dyDescent="0.25">
      <c r="A2075" s="127">
        <v>44838</v>
      </c>
      <c r="B2075" s="24" t="s">
        <v>29</v>
      </c>
      <c r="C2075" s="21">
        <f t="shared" si="36"/>
        <v>-24.6</v>
      </c>
      <c r="BO2075" s="106">
        <v>-8.4</v>
      </c>
      <c r="CA2075" s="106">
        <v>-16.2</v>
      </c>
    </row>
    <row r="2076" spans="1:240" x14ac:dyDescent="0.25">
      <c r="A2076" s="127">
        <v>44838</v>
      </c>
      <c r="B2076" s="24" t="s">
        <v>94</v>
      </c>
      <c r="C2076" s="21">
        <f t="shared" si="36"/>
        <v>-120.3</v>
      </c>
      <c r="CL2076" s="69">
        <v>-33.619999999999997</v>
      </c>
      <c r="CM2076" s="106">
        <f>-8.4-8.5</f>
        <v>-16.899999999999999</v>
      </c>
      <c r="EJ2076" s="42">
        <v>-35.08</v>
      </c>
      <c r="EL2076" s="106">
        <v>-34.700000000000003</v>
      </c>
    </row>
    <row r="2077" spans="1:240" x14ac:dyDescent="0.25">
      <c r="A2077" s="127">
        <v>44838</v>
      </c>
      <c r="B2077" s="24" t="s">
        <v>136</v>
      </c>
      <c r="C2077" s="21">
        <f t="shared" si="36"/>
        <v>-26</v>
      </c>
      <c r="AG2077" s="106">
        <v>-8.8000000000000007</v>
      </c>
      <c r="BI2077" s="106">
        <v>-8.75</v>
      </c>
      <c r="CA2077" s="106">
        <v>-8.4499999999999993</v>
      </c>
    </row>
    <row r="2078" spans="1:240" x14ac:dyDescent="0.25">
      <c r="A2078" s="127">
        <v>44838</v>
      </c>
      <c r="B2078" s="24" t="s">
        <v>25</v>
      </c>
      <c r="C2078" s="21">
        <f t="shared" si="36"/>
        <v>-50.16</v>
      </c>
      <c r="AG2078" s="106">
        <v>-8.85</v>
      </c>
      <c r="BC2078" s="106">
        <v>-8.4499999999999993</v>
      </c>
      <c r="BI2078" s="106">
        <v>-7.95</v>
      </c>
      <c r="BO2078" s="106">
        <v>-8.4499999999999993</v>
      </c>
      <c r="CA2078" s="106">
        <v>-8.35</v>
      </c>
      <c r="CG2078" s="106">
        <v>-8.11</v>
      </c>
    </row>
    <row r="2079" spans="1:240" x14ac:dyDescent="0.25">
      <c r="A2079" s="127">
        <v>44838</v>
      </c>
      <c r="B2079" s="24" t="s">
        <v>31</v>
      </c>
      <c r="C2079" s="21">
        <f t="shared" si="36"/>
        <v>-8.82</v>
      </c>
      <c r="IF2079" s="50">
        <v>-8.82</v>
      </c>
    </row>
    <row r="2080" spans="1:240" x14ac:dyDescent="0.25">
      <c r="A2080" s="127">
        <v>44838</v>
      </c>
      <c r="B2080" s="24" t="s">
        <v>84</v>
      </c>
      <c r="C2080" s="21">
        <f t="shared" si="36"/>
        <v>-33.380000000000003</v>
      </c>
      <c r="BI2080" s="106">
        <v>-7.9</v>
      </c>
      <c r="BU2080" s="106">
        <v>-8.6999999999999993</v>
      </c>
      <c r="CA2080" s="106">
        <v>-8.73</v>
      </c>
      <c r="CG2080" s="106">
        <v>-8.0500000000000007</v>
      </c>
    </row>
    <row r="2081" spans="1:214" x14ac:dyDescent="0.25">
      <c r="A2081" s="127">
        <v>44838</v>
      </c>
      <c r="B2081" s="24" t="s">
        <v>144</v>
      </c>
      <c r="C2081" s="21">
        <f t="shared" si="36"/>
        <v>-508.82</v>
      </c>
      <c r="V2081" s="74">
        <v>-162.1</v>
      </c>
      <c r="AC2081" s="106">
        <v>-170.68</v>
      </c>
      <c r="AG2081" s="106">
        <v>-176.04</v>
      </c>
    </row>
    <row r="2082" spans="1:214" x14ac:dyDescent="0.25">
      <c r="A2082" s="127">
        <v>44838</v>
      </c>
      <c r="B2082" s="24" t="s">
        <v>79</v>
      </c>
      <c r="C2082" s="21">
        <f t="shared" si="36"/>
        <v>-17.05</v>
      </c>
      <c r="BC2082" s="106">
        <v>-8.4</v>
      </c>
      <c r="BU2082" s="106">
        <v>-8.65</v>
      </c>
    </row>
    <row r="2083" spans="1:214" x14ac:dyDescent="0.25">
      <c r="A2083" s="127">
        <v>44838</v>
      </c>
      <c r="B2083" s="24" t="s">
        <v>37</v>
      </c>
      <c r="C2083" s="21">
        <f t="shared" si="36"/>
        <v>-61.4</v>
      </c>
      <c r="HF2083" s="92">
        <v>-61.4</v>
      </c>
    </row>
    <row r="2084" spans="1:214" x14ac:dyDescent="0.25">
      <c r="A2084" s="127">
        <v>44839</v>
      </c>
      <c r="B2084" s="24" t="s">
        <v>43</v>
      </c>
      <c r="C2084" s="21">
        <f t="shared" si="36"/>
        <v>-634.41999999999996</v>
      </c>
      <c r="AR2084" s="106">
        <v>-31.9</v>
      </c>
      <c r="BI2084" s="106">
        <v>-99.38</v>
      </c>
      <c r="BO2084" s="106">
        <v>-135.80000000000001</v>
      </c>
      <c r="BU2084" s="106">
        <v>-69.05</v>
      </c>
      <c r="CA2084" s="106">
        <v>-66.36</v>
      </c>
      <c r="CM2084" s="106">
        <v>-101</v>
      </c>
      <c r="CS2084" s="74">
        <v>-30.98</v>
      </c>
      <c r="CY2084" s="106">
        <v>-66.25</v>
      </c>
      <c r="DK2084" s="106">
        <v>-33.700000000000003</v>
      </c>
    </row>
    <row r="2085" spans="1:214" x14ac:dyDescent="0.25">
      <c r="A2085" s="127">
        <v>44839</v>
      </c>
      <c r="B2085" s="24" t="s">
        <v>43</v>
      </c>
      <c r="C2085" s="21">
        <f t="shared" si="36"/>
        <v>-167.8</v>
      </c>
      <c r="CG2085" s="106">
        <v>-33.159999999999997</v>
      </c>
      <c r="CM2085" s="106">
        <v>-34.15</v>
      </c>
      <c r="DK2085" s="106">
        <v>-33.76</v>
      </c>
      <c r="DP2085" s="74">
        <v>-34.78</v>
      </c>
      <c r="DU2085" s="106">
        <v>-31.95</v>
      </c>
    </row>
    <row r="2086" spans="1:214" x14ac:dyDescent="0.25">
      <c r="A2086" s="127">
        <v>44839</v>
      </c>
      <c r="B2086" s="24" t="s">
        <v>43</v>
      </c>
      <c r="C2086" s="21">
        <f t="shared" si="36"/>
        <v>-133.80000000000001</v>
      </c>
      <c r="BC2086" s="106">
        <v>-33.61</v>
      </c>
      <c r="BI2086" s="106">
        <v>-31.65</v>
      </c>
      <c r="DP2086" s="74">
        <v>-35.340000000000003</v>
      </c>
      <c r="DU2086" s="106">
        <v>-33.200000000000003</v>
      </c>
    </row>
    <row r="2087" spans="1:214" x14ac:dyDescent="0.25">
      <c r="A2087" s="127">
        <v>44839</v>
      </c>
      <c r="B2087" s="24" t="s">
        <v>44</v>
      </c>
      <c r="C2087" s="21">
        <f t="shared" si="36"/>
        <v>0</v>
      </c>
    </row>
    <row r="2088" spans="1:214" x14ac:dyDescent="0.25">
      <c r="A2088" s="127">
        <v>44839</v>
      </c>
      <c r="B2088" s="24" t="s">
        <v>152</v>
      </c>
      <c r="C2088" s="21">
        <f t="shared" si="36"/>
        <v>-867.38</v>
      </c>
      <c r="AN2088" s="106">
        <v>-32.450000000000003</v>
      </c>
      <c r="AR2088" s="106">
        <v>-32.15</v>
      </c>
      <c r="BC2088" s="106">
        <v>-97.05</v>
      </c>
      <c r="BO2088" s="106">
        <v>-34.15</v>
      </c>
      <c r="BU2088" s="106">
        <v>-34.15</v>
      </c>
      <c r="CA2088" s="106">
        <v>-133.08000000000001</v>
      </c>
      <c r="CG2088" s="106">
        <v>-34.549999999999997</v>
      </c>
      <c r="CS2088" s="74">
        <v>-93.62</v>
      </c>
      <c r="DP2088" s="74">
        <v>-133.18</v>
      </c>
      <c r="DU2088" s="106">
        <v>-243</v>
      </c>
    </row>
    <row r="2089" spans="1:214" x14ac:dyDescent="0.25">
      <c r="A2089" s="127">
        <v>44839</v>
      </c>
      <c r="B2089" s="24" t="s">
        <v>15</v>
      </c>
      <c r="C2089" s="21">
        <f t="shared" si="36"/>
        <v>-33.11</v>
      </c>
      <c r="BY2089" s="42">
        <v>33.99</v>
      </c>
      <c r="CA2089" s="106">
        <v>-67.099999999999994</v>
      </c>
    </row>
    <row r="2090" spans="1:214" x14ac:dyDescent="0.25">
      <c r="A2090" s="127">
        <v>44840</v>
      </c>
      <c r="B2090" s="24" t="s">
        <v>113</v>
      </c>
      <c r="C2090" s="21">
        <f t="shared" si="36"/>
        <v>2195.9299999999998</v>
      </c>
      <c r="BI2090" s="106">
        <v>343.2</v>
      </c>
      <c r="BO2090" s="106">
        <v>342.52</v>
      </c>
      <c r="CA2090" s="106">
        <f>421.99+320.08</f>
        <v>742.07</v>
      </c>
      <c r="CM2090" s="106">
        <v>385.6</v>
      </c>
      <c r="CS2090" s="74">
        <v>382.54</v>
      </c>
    </row>
    <row r="2091" spans="1:214" x14ac:dyDescent="0.25">
      <c r="A2091" s="127">
        <v>44841</v>
      </c>
      <c r="B2091" s="24" t="s">
        <v>43</v>
      </c>
      <c r="C2091" s="21">
        <f t="shared" si="36"/>
        <v>-292.58</v>
      </c>
      <c r="AN2091" s="106">
        <v>-32.049999999999997</v>
      </c>
      <c r="AR2091" s="106">
        <v>-31.95</v>
      </c>
      <c r="BI2091" s="106">
        <v>-32.020000000000003</v>
      </c>
      <c r="BU2091" s="106">
        <v>-32.85</v>
      </c>
      <c r="CG2091" s="106">
        <v>-33.5</v>
      </c>
      <c r="CM2091" s="106">
        <v>-67.45</v>
      </c>
      <c r="CS2091" s="74">
        <v>-62.76</v>
      </c>
    </row>
    <row r="2092" spans="1:214" x14ac:dyDescent="0.25">
      <c r="A2092" s="127">
        <v>44841</v>
      </c>
      <c r="B2092" s="24" t="s">
        <v>43</v>
      </c>
      <c r="C2092" s="21">
        <f t="shared" si="36"/>
        <v>-460.74</v>
      </c>
      <c r="AW2092" s="106">
        <v>-67.94</v>
      </c>
      <c r="BI2092" s="106">
        <v>-60.9</v>
      </c>
      <c r="BO2092" s="106">
        <v>-102.6</v>
      </c>
      <c r="BU2092" s="106">
        <v>-95.05</v>
      </c>
      <c r="CG2092" s="106">
        <v>-67.3</v>
      </c>
      <c r="CM2092" s="106">
        <v>-66.95</v>
      </c>
    </row>
    <row r="2093" spans="1:214" x14ac:dyDescent="0.25">
      <c r="A2093" s="127">
        <v>44841</v>
      </c>
      <c r="B2093" s="24" t="s">
        <v>84</v>
      </c>
      <c r="C2093" s="21">
        <f t="shared" si="36"/>
        <v>-8.5</v>
      </c>
      <c r="EL2093" s="106">
        <v>-8.5</v>
      </c>
    </row>
    <row r="2094" spans="1:214" x14ac:dyDescent="0.25">
      <c r="A2094" s="127">
        <v>44841</v>
      </c>
      <c r="B2094" s="24" t="s">
        <v>13</v>
      </c>
      <c r="C2094" s="21">
        <f t="shared" si="36"/>
        <v>0</v>
      </c>
    </row>
    <row r="2095" spans="1:214" x14ac:dyDescent="0.25">
      <c r="A2095" s="127">
        <v>44841</v>
      </c>
      <c r="B2095" s="24" t="s">
        <v>20</v>
      </c>
      <c r="C2095" s="21">
        <f t="shared" si="36"/>
        <v>-17.23</v>
      </c>
      <c r="CM2095" s="106">
        <v>-8.4</v>
      </c>
      <c r="CS2095" s="74">
        <v>-8.83</v>
      </c>
    </row>
    <row r="2096" spans="1:214" x14ac:dyDescent="0.25">
      <c r="A2096" s="127">
        <v>44842</v>
      </c>
      <c r="B2096" s="24" t="s">
        <v>25</v>
      </c>
      <c r="C2096" s="21">
        <f t="shared" si="36"/>
        <v>-51.61</v>
      </c>
      <c r="CG2096" s="106">
        <v>-8.0299999999999994</v>
      </c>
      <c r="CM2096" s="106">
        <v>-17.7</v>
      </c>
      <c r="CS2096" s="74">
        <v>-8.73</v>
      </c>
      <c r="CY2096" s="106">
        <v>-17.149999999999999</v>
      </c>
    </row>
    <row r="2097" spans="1:225" x14ac:dyDescent="0.25">
      <c r="A2097" s="127">
        <v>44844</v>
      </c>
      <c r="B2097" s="24" t="s">
        <v>37</v>
      </c>
      <c r="C2097" s="21">
        <f t="shared" ref="C2097:C2160" si="37">SUM(D2097:JT2097)</f>
        <v>-220.21</v>
      </c>
      <c r="GZ2097" s="106">
        <v>-28.96</v>
      </c>
      <c r="HF2097" s="92">
        <v>-29.95</v>
      </c>
      <c r="HM2097" s="106">
        <v>-65.849999999999994</v>
      </c>
      <c r="HP2097" s="92">
        <v>-95.45</v>
      </c>
    </row>
    <row r="2098" spans="1:225" x14ac:dyDescent="0.25">
      <c r="A2098" s="127">
        <v>44844</v>
      </c>
      <c r="B2098" s="24" t="s">
        <v>165</v>
      </c>
      <c r="C2098" s="21">
        <f t="shared" si="37"/>
        <v>-65.92</v>
      </c>
      <c r="BC2098" s="106">
        <v>-8.4</v>
      </c>
      <c r="BI2098" s="106">
        <v>-15.8</v>
      </c>
      <c r="BO2098" s="106">
        <v>-15.92</v>
      </c>
      <c r="BU2098" s="106">
        <v>-8.6999999999999993</v>
      </c>
      <c r="CG2098" s="106">
        <v>-8.6999999999999993</v>
      </c>
      <c r="CM2098" s="106">
        <v>-8.4</v>
      </c>
    </row>
    <row r="2099" spans="1:225" x14ac:dyDescent="0.25">
      <c r="A2099" s="127">
        <v>44844</v>
      </c>
      <c r="B2099" s="24" t="s">
        <v>43</v>
      </c>
      <c r="C2099" s="21">
        <f t="shared" si="37"/>
        <v>-917.57</v>
      </c>
      <c r="AC2099" s="106">
        <v>-34.89</v>
      </c>
      <c r="AN2099" s="106">
        <v>-32.5</v>
      </c>
      <c r="AR2099" s="106">
        <v>-95.95</v>
      </c>
      <c r="AW2099" s="106">
        <v>-101.4</v>
      </c>
      <c r="BC2099" s="106">
        <v>-32.049999999999997</v>
      </c>
      <c r="BI2099" s="106">
        <v>-62.64</v>
      </c>
      <c r="BO2099" s="106">
        <v>-127.65</v>
      </c>
      <c r="BU2099" s="106">
        <v>-136.69999999999999</v>
      </c>
      <c r="CA2099" s="106">
        <v>-95.96</v>
      </c>
      <c r="CG2099" s="106">
        <v>-100.71</v>
      </c>
      <c r="CM2099" s="106">
        <v>-33.5</v>
      </c>
      <c r="CS2099" s="74">
        <v>-63.62</v>
      </c>
    </row>
    <row r="2100" spans="1:225" x14ac:dyDescent="0.25">
      <c r="A2100" s="127">
        <v>44845</v>
      </c>
      <c r="B2100" s="24" t="s">
        <v>25</v>
      </c>
      <c r="C2100" s="21">
        <f t="shared" si="37"/>
        <v>-15.66</v>
      </c>
      <c r="AW2100" s="106">
        <v>-8.7100000000000009</v>
      </c>
      <c r="BI2100" s="106">
        <v>-6.95</v>
      </c>
    </row>
    <row r="2101" spans="1:225" x14ac:dyDescent="0.25">
      <c r="A2101" s="127">
        <v>44845</v>
      </c>
      <c r="B2101" s="24" t="s">
        <v>127</v>
      </c>
      <c r="C2101" s="21">
        <f t="shared" si="37"/>
        <v>-17.2</v>
      </c>
      <c r="AW2101" s="106">
        <v>-8.75</v>
      </c>
      <c r="BC2101" s="106">
        <v>-8.4499999999999993</v>
      </c>
    </row>
    <row r="2102" spans="1:225" x14ac:dyDescent="0.25">
      <c r="A2102" s="127">
        <v>44845</v>
      </c>
      <c r="B2102" s="24" t="s">
        <v>75</v>
      </c>
      <c r="C2102" s="21">
        <f t="shared" si="37"/>
        <v>-57.41</v>
      </c>
      <c r="AW2102" s="106">
        <v>-8.49</v>
      </c>
      <c r="BC2102" s="106">
        <v>-8.4499999999999993</v>
      </c>
      <c r="BU2102" s="106">
        <v>-8.6999999999999993</v>
      </c>
      <c r="CA2102" s="106">
        <v>-8.77</v>
      </c>
      <c r="CG2102" s="106">
        <v>-23</v>
      </c>
    </row>
    <row r="2103" spans="1:225" x14ac:dyDescent="0.25">
      <c r="A2103" s="127">
        <v>44845</v>
      </c>
      <c r="B2103" s="24" t="s">
        <v>139</v>
      </c>
      <c r="C2103" s="21">
        <f t="shared" si="37"/>
        <v>-42.19</v>
      </c>
      <c r="BU2103" s="106">
        <v>-8.6</v>
      </c>
      <c r="CA2103" s="106">
        <v>-8.33</v>
      </c>
      <c r="CG2103" s="106">
        <v>-8.4499999999999993</v>
      </c>
      <c r="CM2103" s="106">
        <v>-8.4</v>
      </c>
      <c r="CS2103" s="74">
        <v>-8.41</v>
      </c>
    </row>
    <row r="2104" spans="1:225" x14ac:dyDescent="0.25">
      <c r="A2104" s="127">
        <v>44845</v>
      </c>
      <c r="B2104" s="24" t="s">
        <v>20</v>
      </c>
      <c r="C2104" s="21">
        <f t="shared" si="37"/>
        <v>-33.46</v>
      </c>
      <c r="BO2104" s="106">
        <v>-8.5500000000000007</v>
      </c>
      <c r="BU2104" s="106">
        <v>-8.65</v>
      </c>
      <c r="CA2104" s="106">
        <v>-7.77</v>
      </c>
      <c r="CS2104" s="74">
        <v>-8.49</v>
      </c>
    </row>
    <row r="2105" spans="1:225" x14ac:dyDescent="0.25">
      <c r="A2105" s="127">
        <v>44845</v>
      </c>
      <c r="B2105" s="24" t="s">
        <v>83</v>
      </c>
      <c r="C2105" s="21">
        <f t="shared" si="37"/>
        <v>-16.100000000000001</v>
      </c>
      <c r="HF2105" s="92">
        <v>-16.100000000000001</v>
      </c>
    </row>
    <row r="2106" spans="1:225" x14ac:dyDescent="0.25">
      <c r="A2106" s="127">
        <v>44845</v>
      </c>
      <c r="B2106" s="24" t="s">
        <v>32</v>
      </c>
      <c r="C2106" s="21">
        <f t="shared" si="37"/>
        <v>-42.65</v>
      </c>
      <c r="BC2106" s="106">
        <v>-42.65</v>
      </c>
    </row>
    <row r="2107" spans="1:225" x14ac:dyDescent="0.25">
      <c r="A2107" s="127">
        <v>44845</v>
      </c>
      <c r="B2107" s="24" t="s">
        <v>79</v>
      </c>
      <c r="C2107" s="21">
        <f t="shared" si="37"/>
        <v>-8.31</v>
      </c>
      <c r="CA2107" s="106">
        <v>-8.31</v>
      </c>
    </row>
    <row r="2108" spans="1:225" x14ac:dyDescent="0.25">
      <c r="A2108" s="127">
        <v>44846</v>
      </c>
      <c r="B2108" s="24" t="s">
        <v>44</v>
      </c>
      <c r="C2108" s="21">
        <f t="shared" si="37"/>
        <v>-220.13</v>
      </c>
      <c r="GJ2108" s="202">
        <v>-30.38</v>
      </c>
      <c r="GQ2108" s="92">
        <v>-157.69999999999999</v>
      </c>
      <c r="HF2108" s="92">
        <v>-32.049999999999997</v>
      </c>
    </row>
    <row r="2109" spans="1:225" x14ac:dyDescent="0.25">
      <c r="A2109" s="127">
        <v>44847</v>
      </c>
      <c r="B2109" s="24" t="s">
        <v>17</v>
      </c>
      <c r="C2109" s="21">
        <f t="shared" si="37"/>
        <v>-226.99</v>
      </c>
      <c r="AC2109" s="106">
        <v>-15.7</v>
      </c>
      <c r="AG2109" s="106">
        <v>-17.75</v>
      </c>
      <c r="AN2109" s="106">
        <v>-16.2</v>
      </c>
      <c r="BI2109" s="106">
        <v>-31.28</v>
      </c>
      <c r="BO2109" s="106">
        <v>-30.64</v>
      </c>
      <c r="CA2109" s="106">
        <v>-34.299999999999997</v>
      </c>
      <c r="CM2109" s="106">
        <v>-33.799999999999997</v>
      </c>
      <c r="CS2109" s="74">
        <v>-29.42</v>
      </c>
      <c r="DC2109" s="42">
        <v>-17.899999999999999</v>
      </c>
    </row>
    <row r="2110" spans="1:225" x14ac:dyDescent="0.25">
      <c r="A2110" s="127">
        <v>44847</v>
      </c>
      <c r="B2110" s="24" t="s">
        <v>15</v>
      </c>
      <c r="C2110" s="21">
        <f t="shared" si="37"/>
        <v>-4.37</v>
      </c>
      <c r="AU2110" s="42">
        <v>34.82</v>
      </c>
      <c r="AW2110" s="106">
        <v>-33.28</v>
      </c>
      <c r="BG2110" s="42">
        <v>33.57</v>
      </c>
      <c r="BI2110" s="106">
        <v>-30.08</v>
      </c>
      <c r="BU2110" s="106">
        <v>-9.4</v>
      </c>
    </row>
    <row r="2111" spans="1:225" x14ac:dyDescent="0.25">
      <c r="A2111" s="127">
        <v>44847</v>
      </c>
      <c r="B2111" s="24" t="s">
        <v>14</v>
      </c>
      <c r="C2111" s="21">
        <f t="shared" si="37"/>
        <v>-68.39</v>
      </c>
      <c r="AU2111" s="42">
        <v>-34.82</v>
      </c>
      <c r="BG2111" s="42">
        <v>-33.57</v>
      </c>
    </row>
    <row r="2112" spans="1:225" x14ac:dyDescent="0.25">
      <c r="A2112" s="127">
        <v>44847</v>
      </c>
      <c r="B2112" s="24" t="s">
        <v>37</v>
      </c>
      <c r="C2112" s="21">
        <f t="shared" si="37"/>
        <v>-259.8</v>
      </c>
      <c r="HM2112" s="106">
        <v>-131.9</v>
      </c>
      <c r="HP2112" s="92">
        <v>-65.3</v>
      </c>
      <c r="HQ2112" s="42">
        <v>-62.6</v>
      </c>
    </row>
    <row r="2113" spans="1:221" x14ac:dyDescent="0.25">
      <c r="A2113" s="127">
        <v>44847</v>
      </c>
      <c r="B2113" s="24" t="s">
        <v>113</v>
      </c>
      <c r="C2113" s="21">
        <f t="shared" si="37"/>
        <v>2074.75</v>
      </c>
      <c r="AW2113" s="106">
        <v>354.35</v>
      </c>
      <c r="CG2113" s="106">
        <v>347.4</v>
      </c>
      <c r="CY2113" s="106">
        <v>341.86</v>
      </c>
      <c r="DE2113" s="74">
        <v>335.2</v>
      </c>
      <c r="DU2113" s="106">
        <v>354.2</v>
      </c>
      <c r="EA2113" s="74">
        <v>341.74</v>
      </c>
    </row>
    <row r="2114" spans="1:221" x14ac:dyDescent="0.25">
      <c r="A2114" s="127">
        <v>44847</v>
      </c>
      <c r="B2114" s="24" t="s">
        <v>152</v>
      </c>
      <c r="C2114" s="21">
        <f t="shared" si="37"/>
        <v>-1318.48</v>
      </c>
      <c r="AR2114" s="106">
        <v>-31.85</v>
      </c>
      <c r="AW2114" s="106">
        <v>-29.88</v>
      </c>
      <c r="BI2114" s="106">
        <v>-95.54</v>
      </c>
      <c r="BU2114" s="106">
        <v>-66.599999999999994</v>
      </c>
      <c r="CA2114" s="106">
        <v>-68.5</v>
      </c>
      <c r="CG2114" s="106">
        <v>-132.55000000000001</v>
      </c>
      <c r="CM2114" s="106">
        <v>-100.45</v>
      </c>
      <c r="CS2114" s="74">
        <v>-127.32</v>
      </c>
      <c r="CY2114" s="106">
        <v>-62.76</v>
      </c>
      <c r="DE2114" s="74">
        <v>-67.739999999999995</v>
      </c>
      <c r="DU2114" s="106">
        <v>-161.05000000000001</v>
      </c>
      <c r="EA2114" s="74">
        <v>-341.74</v>
      </c>
      <c r="EG2114" s="74">
        <v>-32.5</v>
      </c>
    </row>
    <row r="2115" spans="1:221" x14ac:dyDescent="0.25">
      <c r="A2115" s="127">
        <v>44847</v>
      </c>
      <c r="B2115" s="24" t="s">
        <v>110</v>
      </c>
      <c r="C2115" s="21">
        <f t="shared" si="37"/>
        <v>-355.82</v>
      </c>
      <c r="AR2115" s="106">
        <v>-63.9</v>
      </c>
      <c r="BI2115" s="106">
        <v>-29.9</v>
      </c>
      <c r="BO2115" s="106">
        <v>-60.16</v>
      </c>
      <c r="BU2115" s="106">
        <v>-66.75</v>
      </c>
      <c r="CA2115" s="106">
        <v>-135.11000000000001</v>
      </c>
    </row>
    <row r="2116" spans="1:221" x14ac:dyDescent="0.25">
      <c r="A2116" s="127">
        <v>44847</v>
      </c>
      <c r="B2116" s="24" t="s">
        <v>43</v>
      </c>
      <c r="C2116" s="21">
        <f t="shared" si="37"/>
        <v>-132.19</v>
      </c>
      <c r="L2116" s="69">
        <v>-33.78</v>
      </c>
      <c r="O2116" s="375">
        <v>-34.630000000000003</v>
      </c>
      <c r="S2116" s="74">
        <v>-32.6</v>
      </c>
      <c r="V2116" s="74">
        <v>-31.18</v>
      </c>
    </row>
    <row r="2117" spans="1:221" x14ac:dyDescent="0.25">
      <c r="A2117" s="127">
        <v>44847</v>
      </c>
      <c r="B2117" s="24" t="s">
        <v>133</v>
      </c>
      <c r="C2117" s="21">
        <f t="shared" si="37"/>
        <v>-199.48</v>
      </c>
      <c r="AR2117" s="106">
        <v>-33.799999999999997</v>
      </c>
      <c r="BO2117" s="106">
        <v>-29.42</v>
      </c>
      <c r="BU2117" s="106">
        <v>-33.799999999999997</v>
      </c>
      <c r="CA2117" s="106">
        <v>-34.380000000000003</v>
      </c>
      <c r="CG2117" s="106">
        <v>-33.200000000000003</v>
      </c>
      <c r="DE2117" s="74">
        <v>-34.880000000000003</v>
      </c>
    </row>
    <row r="2118" spans="1:221" x14ac:dyDescent="0.25">
      <c r="A2118" s="127">
        <v>44847</v>
      </c>
      <c r="B2118" s="24" t="s">
        <v>15</v>
      </c>
      <c r="C2118" s="21">
        <f t="shared" si="37"/>
        <v>-8.7899999999999991</v>
      </c>
      <c r="CA2118" s="106">
        <v>-8.7899999999999991</v>
      </c>
    </row>
    <row r="2119" spans="1:221" x14ac:dyDescent="0.25">
      <c r="A2119" s="127">
        <v>44848</v>
      </c>
      <c r="B2119" s="24" t="s">
        <v>40</v>
      </c>
      <c r="C2119" s="21">
        <f t="shared" si="37"/>
        <v>-257.87</v>
      </c>
      <c r="HL2119" s="42">
        <v>-29.97</v>
      </c>
      <c r="HM2119" s="106">
        <v>-227.9</v>
      </c>
    </row>
    <row r="2120" spans="1:221" x14ac:dyDescent="0.25">
      <c r="A2120" s="127">
        <v>44848</v>
      </c>
      <c r="B2120" s="24" t="s">
        <v>134</v>
      </c>
      <c r="C2120" s="21">
        <f t="shared" si="37"/>
        <v>-25.68</v>
      </c>
      <c r="E2120" s="386">
        <v>-25.68</v>
      </c>
    </row>
    <row r="2121" spans="1:221" x14ac:dyDescent="0.25">
      <c r="A2121" s="127">
        <v>44848</v>
      </c>
      <c r="B2121" s="24" t="s">
        <v>84</v>
      </c>
      <c r="C2121" s="21">
        <f t="shared" si="37"/>
        <v>0</v>
      </c>
    </row>
    <row r="2122" spans="1:221" x14ac:dyDescent="0.25">
      <c r="A2122" s="127">
        <v>44851</v>
      </c>
      <c r="B2122" s="24" t="s">
        <v>113</v>
      </c>
      <c r="C2122" s="21">
        <f t="shared" si="37"/>
        <v>2442.9499999999998</v>
      </c>
      <c r="AR2122" s="106">
        <v>347.6</v>
      </c>
      <c r="BU2122" s="106">
        <v>343.79</v>
      </c>
      <c r="CA2122" s="106">
        <v>361.64</v>
      </c>
      <c r="CM2122" s="106">
        <v>351.32</v>
      </c>
      <c r="CY2122" s="106">
        <v>356.3</v>
      </c>
      <c r="DP2122" s="74">
        <v>342.02</v>
      </c>
      <c r="EA2122" s="74">
        <v>340.28</v>
      </c>
    </row>
    <row r="2123" spans="1:221" x14ac:dyDescent="0.25">
      <c r="A2123" s="127">
        <v>44851</v>
      </c>
      <c r="B2123" s="24" t="s">
        <v>15</v>
      </c>
      <c r="C2123" s="21">
        <f t="shared" si="37"/>
        <v>-91.084999999999994</v>
      </c>
      <c r="CA2123" s="106">
        <v>-31.94</v>
      </c>
      <c r="CG2123" s="106">
        <v>-16.8</v>
      </c>
      <c r="FX2123" s="34">
        <v>-42.344999999999999</v>
      </c>
    </row>
    <row r="2124" spans="1:221" x14ac:dyDescent="0.25">
      <c r="A2124" s="127">
        <v>44851</v>
      </c>
      <c r="B2124" s="24" t="s">
        <v>152</v>
      </c>
      <c r="C2124" s="21">
        <f t="shared" si="37"/>
        <v>-684.14</v>
      </c>
      <c r="BU2124" s="106">
        <v>-30.8</v>
      </c>
      <c r="CS2124" s="74">
        <v>-34.14</v>
      </c>
      <c r="DK2124" s="106">
        <v>-63.82</v>
      </c>
      <c r="DU2124" s="106">
        <v>-160.80000000000001</v>
      </c>
      <c r="EA2124" s="74">
        <v>-169.7</v>
      </c>
      <c r="EG2124" s="74">
        <v>-64.900000000000006</v>
      </c>
      <c r="EL2124" s="106">
        <v>-101.74</v>
      </c>
      <c r="EO2124" s="69">
        <v>-58.24</v>
      </c>
    </row>
    <row r="2125" spans="1:221" x14ac:dyDescent="0.25">
      <c r="A2125" s="127">
        <v>44851</v>
      </c>
      <c r="B2125" s="24" t="s">
        <v>37</v>
      </c>
      <c r="C2125" s="21">
        <f t="shared" si="37"/>
        <v>0</v>
      </c>
    </row>
    <row r="2126" spans="1:221" x14ac:dyDescent="0.25">
      <c r="A2126" s="127">
        <v>44851</v>
      </c>
      <c r="B2126" s="24" t="s">
        <v>43</v>
      </c>
      <c r="C2126" s="21">
        <f t="shared" si="37"/>
        <v>-523.55499999999995</v>
      </c>
      <c r="AC2126" s="106">
        <v>-29.71</v>
      </c>
      <c r="BI2126" s="106">
        <v>-32.9</v>
      </c>
      <c r="BO2126" s="106">
        <v>-58.68</v>
      </c>
      <c r="BU2126" s="106">
        <v>-90.15</v>
      </c>
      <c r="CA2126" s="106">
        <v>-90.6</v>
      </c>
      <c r="CG2126" s="106">
        <v>-66.2</v>
      </c>
      <c r="CM2126" s="106">
        <v>-33.6</v>
      </c>
      <c r="CY2126" s="106">
        <v>-33.520000000000003</v>
      </c>
      <c r="EL2126" s="106">
        <v>-66.5</v>
      </c>
      <c r="EO2126" s="69">
        <v>-21.695</v>
      </c>
    </row>
    <row r="2127" spans="1:221" x14ac:dyDescent="0.25">
      <c r="A2127" s="127">
        <v>44851</v>
      </c>
      <c r="B2127" s="24" t="s">
        <v>133</v>
      </c>
      <c r="C2127" s="21">
        <f t="shared" si="37"/>
        <v>-99.75</v>
      </c>
      <c r="AW2127" s="106">
        <v>-32.1</v>
      </c>
      <c r="CG2127" s="106">
        <v>-33.15</v>
      </c>
      <c r="EA2127" s="74">
        <v>-34.5</v>
      </c>
    </row>
    <row r="2128" spans="1:221" x14ac:dyDescent="0.25">
      <c r="A2128" s="127">
        <v>44852</v>
      </c>
      <c r="B2128" s="24" t="s">
        <v>57</v>
      </c>
      <c r="C2128" s="21">
        <f t="shared" si="37"/>
        <v>-29.46</v>
      </c>
      <c r="BU2128" s="106">
        <v>-29.46</v>
      </c>
    </row>
    <row r="2129" spans="1:233" x14ac:dyDescent="0.25">
      <c r="A2129" s="127">
        <v>44852</v>
      </c>
      <c r="B2129" s="24" t="s">
        <v>83</v>
      </c>
      <c r="C2129" s="21">
        <f t="shared" si="37"/>
        <v>-5.65</v>
      </c>
      <c r="HM2129" s="106">
        <v>-5.65</v>
      </c>
    </row>
    <row r="2130" spans="1:233" x14ac:dyDescent="0.25">
      <c r="A2130" s="127">
        <v>44852</v>
      </c>
      <c r="B2130" s="24" t="s">
        <v>137</v>
      </c>
      <c r="C2130" s="21">
        <f t="shared" si="37"/>
        <v>-32.549999999999997</v>
      </c>
      <c r="O2130" s="375">
        <v>-8.66</v>
      </c>
      <c r="BI2130" s="106">
        <v>-7.9</v>
      </c>
      <c r="BO2130" s="106">
        <v>-7.89</v>
      </c>
      <c r="CG2130" s="106">
        <v>-8.1</v>
      </c>
    </row>
    <row r="2131" spans="1:233" x14ac:dyDescent="0.25">
      <c r="A2131" s="127">
        <v>44852</v>
      </c>
      <c r="B2131" s="24" t="s">
        <v>139</v>
      </c>
      <c r="C2131" s="21">
        <f t="shared" si="37"/>
        <v>-16.79</v>
      </c>
      <c r="CM2131" s="106">
        <v>-8.4</v>
      </c>
      <c r="CS2131" s="74">
        <v>-8.39</v>
      </c>
    </row>
    <row r="2132" spans="1:233" x14ac:dyDescent="0.25">
      <c r="A2132" s="127">
        <v>44852</v>
      </c>
      <c r="B2132" s="24" t="s">
        <v>32</v>
      </c>
      <c r="C2132" s="21">
        <f t="shared" si="37"/>
        <v>-162.55000000000001</v>
      </c>
      <c r="AR2132" s="106">
        <v>-17.059999999999999</v>
      </c>
      <c r="AW2132" s="106">
        <v>-32</v>
      </c>
      <c r="BI2132" s="106">
        <v>-15.94</v>
      </c>
      <c r="BU2132" s="106">
        <v>-30.85</v>
      </c>
      <c r="CG2132" s="106">
        <v>-49.6</v>
      </c>
      <c r="CS2132" s="74">
        <v>-17.100000000000001</v>
      </c>
    </row>
    <row r="2133" spans="1:233" x14ac:dyDescent="0.25">
      <c r="A2133" s="127">
        <v>44852</v>
      </c>
      <c r="B2133" s="24" t="s">
        <v>37</v>
      </c>
      <c r="C2133" s="21">
        <f t="shared" si="37"/>
        <v>-331.75</v>
      </c>
      <c r="HK2133" s="50">
        <v>-331.75</v>
      </c>
    </row>
    <row r="2134" spans="1:233" x14ac:dyDescent="0.25">
      <c r="A2134" s="127">
        <v>44852</v>
      </c>
      <c r="B2134" s="24" t="s">
        <v>26</v>
      </c>
      <c r="C2134" s="21">
        <f t="shared" si="37"/>
        <v>-24.35</v>
      </c>
      <c r="V2134" s="74">
        <v>-8.3000000000000007</v>
      </c>
      <c r="BU2134" s="106">
        <v>-7.9</v>
      </c>
      <c r="CA2134" s="106">
        <v>-8.15</v>
      </c>
    </row>
    <row r="2135" spans="1:233" x14ac:dyDescent="0.25">
      <c r="A2135" s="127">
        <v>44852</v>
      </c>
      <c r="B2135" s="24" t="s">
        <v>25</v>
      </c>
      <c r="C2135" s="21">
        <f t="shared" si="37"/>
        <v>-68.19</v>
      </c>
      <c r="BI2135" s="106">
        <v>-8.0500000000000007</v>
      </c>
      <c r="BO2135" s="106">
        <v>-7.61</v>
      </c>
      <c r="BU2135" s="106">
        <v>-16.350000000000001</v>
      </c>
      <c r="DE2135" s="74">
        <v>-9.35</v>
      </c>
      <c r="DK2135" s="106">
        <v>-26.83</v>
      </c>
    </row>
    <row r="2136" spans="1:233" x14ac:dyDescent="0.25">
      <c r="A2136" s="127">
        <v>44852</v>
      </c>
      <c r="B2136" s="24" t="s">
        <v>79</v>
      </c>
      <c r="C2136" s="21">
        <f t="shared" si="37"/>
        <v>-5.66</v>
      </c>
      <c r="Z2136" s="79">
        <v>-5.66</v>
      </c>
    </row>
    <row r="2137" spans="1:233" x14ac:dyDescent="0.25">
      <c r="A2137" s="127">
        <v>44852</v>
      </c>
      <c r="B2137" s="24" t="s">
        <v>27</v>
      </c>
      <c r="C2137" s="21">
        <f t="shared" si="37"/>
        <v>-32.049999999999997</v>
      </c>
      <c r="AW2137" s="106">
        <v>-16.100000000000001</v>
      </c>
      <c r="BI2137" s="106">
        <v>-15.95</v>
      </c>
    </row>
    <row r="2138" spans="1:233" x14ac:dyDescent="0.25">
      <c r="A2138" s="127">
        <v>44852</v>
      </c>
      <c r="B2138" s="24" t="s">
        <v>138</v>
      </c>
      <c r="C2138" s="21">
        <f t="shared" si="37"/>
        <v>-16.3</v>
      </c>
      <c r="V2138" s="74">
        <v>-8.1999999999999993</v>
      </c>
      <c r="AN2138" s="106">
        <v>-8.1</v>
      </c>
    </row>
    <row r="2139" spans="1:233" x14ac:dyDescent="0.25">
      <c r="A2139" s="127">
        <v>44852</v>
      </c>
      <c r="B2139" s="24" t="s">
        <v>88</v>
      </c>
      <c r="C2139" s="21">
        <f t="shared" si="37"/>
        <v>-42.99</v>
      </c>
      <c r="GZ2139" s="106">
        <v>-21.24</v>
      </c>
      <c r="HY2139" s="38">
        <v>-21.75</v>
      </c>
    </row>
    <row r="2140" spans="1:233" x14ac:dyDescent="0.25">
      <c r="A2140" s="127">
        <v>44852</v>
      </c>
      <c r="B2140" s="24" t="s">
        <v>68</v>
      </c>
      <c r="C2140" s="21">
        <f t="shared" si="37"/>
        <v>-79.150000000000006</v>
      </c>
      <c r="AG2140" s="106">
        <v>-17.690000000000001</v>
      </c>
      <c r="BI2140" s="106">
        <v>-32.1</v>
      </c>
      <c r="BO2140" s="106">
        <v>-29.36</v>
      </c>
    </row>
    <row r="2141" spans="1:233" x14ac:dyDescent="0.25">
      <c r="A2141" s="127">
        <v>44852</v>
      </c>
      <c r="B2141" s="24" t="s">
        <v>153</v>
      </c>
      <c r="C2141" s="21">
        <f t="shared" si="37"/>
        <v>999.81</v>
      </c>
      <c r="HK2141" s="50">
        <v>999.81</v>
      </c>
    </row>
    <row r="2142" spans="1:233" x14ac:dyDescent="0.25">
      <c r="A2142" s="127">
        <v>44852</v>
      </c>
      <c r="B2142" s="24" t="s">
        <v>89</v>
      </c>
      <c r="C2142" s="21">
        <f t="shared" si="37"/>
        <v>-628.29</v>
      </c>
      <c r="AR2142" s="106">
        <v>-32.9</v>
      </c>
      <c r="BU2142" s="106">
        <v>-95.98</v>
      </c>
      <c r="CA2142" s="106">
        <v>-158.68</v>
      </c>
      <c r="CG2142" s="106">
        <v>-67.8</v>
      </c>
      <c r="CM2142" s="106">
        <v>-70.900000000000006</v>
      </c>
      <c r="DP2142" s="74">
        <v>-66.62</v>
      </c>
      <c r="DU2142" s="106">
        <v>-65.75</v>
      </c>
      <c r="EA2142" s="74">
        <v>-69.66</v>
      </c>
    </row>
    <row r="2143" spans="1:233" x14ac:dyDescent="0.25">
      <c r="A2143" s="127">
        <v>44853</v>
      </c>
      <c r="B2143" s="23" t="s">
        <v>133</v>
      </c>
      <c r="C2143" s="21">
        <f t="shared" si="37"/>
        <v>-130.82</v>
      </c>
      <c r="BU2143" s="106">
        <v>-31.65</v>
      </c>
      <c r="CM2143" s="106">
        <v>-33.65</v>
      </c>
      <c r="CY2143" s="106">
        <v>-31.8</v>
      </c>
      <c r="DE2143" s="74">
        <v>-33.72</v>
      </c>
    </row>
    <row r="2144" spans="1:233" x14ac:dyDescent="0.25">
      <c r="A2144" s="127">
        <v>44853</v>
      </c>
      <c r="B2144" s="24" t="s">
        <v>15</v>
      </c>
      <c r="C2144" s="21">
        <f t="shared" si="37"/>
        <v>-17.079999999999998</v>
      </c>
      <c r="X2144" s="42">
        <v>7.79</v>
      </c>
      <c r="AA2144" s="42">
        <v>7.3</v>
      </c>
      <c r="AE2144" s="42">
        <v>8.43</v>
      </c>
      <c r="AL2144" s="42">
        <v>8.48</v>
      </c>
      <c r="AN2144" s="106">
        <v>-40.4</v>
      </c>
      <c r="AP2144" s="42">
        <v>8.52</v>
      </c>
      <c r="AW2144" s="106">
        <v>-32.25</v>
      </c>
      <c r="BG2144" s="42">
        <v>33.65</v>
      </c>
      <c r="BM2144" s="88">
        <v>34.11</v>
      </c>
      <c r="BU2144" s="106">
        <v>-74.25</v>
      </c>
      <c r="CE2144" s="42">
        <v>17.64</v>
      </c>
      <c r="CG2144" s="106">
        <v>-30.7</v>
      </c>
      <c r="CK2144" s="42">
        <v>17.34</v>
      </c>
      <c r="CQ2144" s="42">
        <v>17.260000000000002</v>
      </c>
    </row>
    <row r="2145" spans="1:232" x14ac:dyDescent="0.25">
      <c r="A2145" s="127">
        <v>44853</v>
      </c>
      <c r="B2145" s="24" t="s">
        <v>14</v>
      </c>
      <c r="C2145" s="21">
        <f t="shared" si="37"/>
        <v>-194.51</v>
      </c>
      <c r="X2145" s="42">
        <v>-7.79</v>
      </c>
      <c r="AA2145" s="42">
        <v>-7.3</v>
      </c>
      <c r="AE2145" s="42">
        <v>-8.43</v>
      </c>
      <c r="AL2145" s="42">
        <v>-8.48</v>
      </c>
      <c r="AP2145" s="42">
        <v>-8.52</v>
      </c>
      <c r="BG2145" s="42">
        <v>-33.65</v>
      </c>
      <c r="BM2145" s="88">
        <v>-34.11</v>
      </c>
      <c r="BY2145" s="42">
        <v>-33.99</v>
      </c>
      <c r="CE2145" s="42">
        <v>-17.64</v>
      </c>
      <c r="CK2145" s="42">
        <v>-17.34</v>
      </c>
      <c r="CQ2145" s="42">
        <v>-17.260000000000002</v>
      </c>
    </row>
    <row r="2146" spans="1:232" x14ac:dyDescent="0.25">
      <c r="A2146" s="127">
        <v>44853</v>
      </c>
      <c r="B2146" s="24" t="s">
        <v>113</v>
      </c>
      <c r="C2146" s="21">
        <f t="shared" si="37"/>
        <v>1024.31</v>
      </c>
      <c r="H2146" s="84">
        <v>169.75</v>
      </c>
      <c r="I2146" s="84">
        <f>78.65+144.11</f>
        <v>222.76</v>
      </c>
      <c r="J2146" s="110">
        <v>218.1</v>
      </c>
      <c r="GT2146" s="110">
        <f>12.35+57.8</f>
        <v>70.150000000000006</v>
      </c>
      <c r="HX2146" s="92">
        <v>343.55</v>
      </c>
    </row>
    <row r="2147" spans="1:232" x14ac:dyDescent="0.25">
      <c r="A2147" s="127">
        <v>44854</v>
      </c>
      <c r="B2147" s="24" t="s">
        <v>139</v>
      </c>
      <c r="C2147" s="21">
        <f t="shared" si="37"/>
        <v>-8.77</v>
      </c>
      <c r="CW2147" s="42">
        <v>-8.77</v>
      </c>
    </row>
    <row r="2148" spans="1:232" x14ac:dyDescent="0.25">
      <c r="A2148" s="127">
        <v>44854</v>
      </c>
      <c r="B2148" s="24" t="s">
        <v>20</v>
      </c>
      <c r="C2148" s="21">
        <f t="shared" si="37"/>
        <v>-50.4</v>
      </c>
      <c r="AR2148" s="106">
        <v>-8.52</v>
      </c>
      <c r="BU2148" s="106">
        <v>-8.1999999999999993</v>
      </c>
      <c r="CA2148" s="106">
        <v>-6.77</v>
      </c>
      <c r="DK2148" s="106">
        <v>-26.91</v>
      </c>
    </row>
    <row r="2149" spans="1:232" x14ac:dyDescent="0.25">
      <c r="A2149" s="127">
        <v>44854</v>
      </c>
      <c r="B2149" s="24" t="s">
        <v>15</v>
      </c>
      <c r="C2149" s="21">
        <f t="shared" si="37"/>
        <v>-78.14</v>
      </c>
      <c r="BO2149" s="106">
        <v>-13.66</v>
      </c>
      <c r="CA2149" s="106">
        <v>-64.48</v>
      </c>
    </row>
    <row r="2150" spans="1:232" x14ac:dyDescent="0.25">
      <c r="A2150" s="127">
        <v>44854</v>
      </c>
      <c r="B2150" s="24" t="s">
        <v>37</v>
      </c>
      <c r="C2150" s="21">
        <f t="shared" si="37"/>
        <v>-766.97</v>
      </c>
      <c r="HF2150" s="92">
        <v>-156.4</v>
      </c>
      <c r="HL2150" s="42">
        <v>-126.47</v>
      </c>
      <c r="HP2150" s="92">
        <v>-484.1</v>
      </c>
    </row>
    <row r="2151" spans="1:232" x14ac:dyDescent="0.25">
      <c r="A2151" s="127">
        <v>44855</v>
      </c>
      <c r="B2151" s="24" t="s">
        <v>113</v>
      </c>
      <c r="C2151" s="21">
        <f t="shared" si="37"/>
        <v>1183.95</v>
      </c>
      <c r="AN2151" s="106">
        <v>353.25</v>
      </c>
      <c r="BC2151" s="106">
        <v>349.34</v>
      </c>
      <c r="BO2151" s="106">
        <v>134.9</v>
      </c>
      <c r="DE2151" s="74">
        <v>346.46</v>
      </c>
    </row>
    <row r="2152" spans="1:232" x14ac:dyDescent="0.25">
      <c r="A2152" s="127">
        <v>44856</v>
      </c>
      <c r="B2152" s="23" t="s">
        <v>78</v>
      </c>
      <c r="C2152" s="21">
        <f t="shared" si="37"/>
        <v>-149.62</v>
      </c>
      <c r="AR2152" s="106">
        <v>-67.150000000000006</v>
      </c>
      <c r="AW2152" s="106">
        <f>-8.75-8-7.8</f>
        <v>-24.55</v>
      </c>
      <c r="CA2152" s="106">
        <v>-34.46</v>
      </c>
      <c r="CY2152" s="106">
        <v>-7.21</v>
      </c>
      <c r="DK2152" s="106">
        <v>-16.25</v>
      </c>
    </row>
    <row r="2153" spans="1:232" x14ac:dyDescent="0.25">
      <c r="A2153" s="127">
        <v>44856</v>
      </c>
      <c r="B2153" s="23" t="s">
        <v>48</v>
      </c>
      <c r="C2153" s="21">
        <f t="shared" si="37"/>
        <v>-52.3</v>
      </c>
      <c r="BC2153" s="106">
        <v>-29.88</v>
      </c>
      <c r="GA2153" s="88">
        <v>-22.42</v>
      </c>
    </row>
    <row r="2154" spans="1:232" x14ac:dyDescent="0.25">
      <c r="A2154" s="127">
        <v>44856</v>
      </c>
      <c r="B2154" s="23" t="s">
        <v>48</v>
      </c>
      <c r="C2154" s="21">
        <f t="shared" si="37"/>
        <v>-59.5</v>
      </c>
      <c r="BC2154" s="106">
        <v>-59.5</v>
      </c>
    </row>
    <row r="2155" spans="1:232" x14ac:dyDescent="0.25">
      <c r="A2155" s="127">
        <v>44858</v>
      </c>
      <c r="B2155" s="24" t="s">
        <v>146</v>
      </c>
      <c r="C2155" s="21">
        <f t="shared" si="37"/>
        <v>-391.67</v>
      </c>
      <c r="BC2155" s="106">
        <v>-95</v>
      </c>
      <c r="EA2155" s="74">
        <v>-66.42</v>
      </c>
      <c r="EG2155" s="74">
        <v>-129.05000000000001</v>
      </c>
      <c r="EL2155" s="106">
        <v>-101.2</v>
      </c>
    </row>
    <row r="2156" spans="1:232" x14ac:dyDescent="0.25">
      <c r="A2156" s="127">
        <v>44859</v>
      </c>
      <c r="B2156" s="24" t="s">
        <v>153</v>
      </c>
      <c r="C2156" s="21">
        <f t="shared" si="37"/>
        <v>0</v>
      </c>
    </row>
    <row r="2157" spans="1:232" x14ac:dyDescent="0.25">
      <c r="A2157" s="127">
        <v>44859</v>
      </c>
      <c r="B2157" s="24" t="s">
        <v>139</v>
      </c>
      <c r="C2157" s="21">
        <f t="shared" si="37"/>
        <v>-32.880000000000003</v>
      </c>
      <c r="V2157" s="74">
        <v>-8.1999999999999993</v>
      </c>
      <c r="AN2157" s="106">
        <v>-8.15</v>
      </c>
      <c r="BO2157" s="106">
        <v>-8.33</v>
      </c>
      <c r="BU2157" s="106">
        <v>-8.1999999999999993</v>
      </c>
    </row>
    <row r="2158" spans="1:232" x14ac:dyDescent="0.25">
      <c r="A2158" s="127">
        <v>44859</v>
      </c>
      <c r="B2158" s="24" t="s">
        <v>150</v>
      </c>
      <c r="C2158" s="21">
        <f t="shared" si="37"/>
        <v>-32.79</v>
      </c>
      <c r="O2158" s="375">
        <v>-8.67</v>
      </c>
      <c r="AR2158" s="106">
        <v>-7.55</v>
      </c>
      <c r="CG2158" s="106">
        <v>-8.4</v>
      </c>
      <c r="CS2158" s="74">
        <v>-8.17</v>
      </c>
    </row>
    <row r="2159" spans="1:232" x14ac:dyDescent="0.25">
      <c r="A2159" s="127">
        <v>44859</v>
      </c>
      <c r="B2159" s="24" t="s">
        <v>20</v>
      </c>
      <c r="C2159" s="21">
        <f t="shared" si="37"/>
        <v>-75.86</v>
      </c>
      <c r="BO2159" s="106">
        <v>-8.7100000000000009</v>
      </c>
      <c r="BU2159" s="106">
        <v>-8.1999999999999993</v>
      </c>
      <c r="GZ2159" s="106">
        <v>-58.95</v>
      </c>
    </row>
    <row r="2160" spans="1:232" x14ac:dyDescent="0.25">
      <c r="A2160" s="127">
        <v>44859</v>
      </c>
      <c r="B2160" s="24" t="s">
        <v>84</v>
      </c>
      <c r="C2160" s="21">
        <f t="shared" si="37"/>
        <v>-71.83</v>
      </c>
      <c r="BC2160" s="106">
        <v>-15.95</v>
      </c>
      <c r="BO2160" s="106">
        <v>-17.440000000000001</v>
      </c>
      <c r="BU2160" s="106">
        <v>-16.45</v>
      </c>
      <c r="CA2160" s="106">
        <v>-13.64</v>
      </c>
      <c r="CG2160" s="106">
        <v>-8.35</v>
      </c>
    </row>
    <row r="2161" spans="1:219" x14ac:dyDescent="0.25">
      <c r="A2161" s="127">
        <v>44859</v>
      </c>
      <c r="B2161" s="24" t="s">
        <v>25</v>
      </c>
      <c r="C2161" s="21">
        <f t="shared" ref="C2161:C2224" si="38">SUM(D2161:JT2161)</f>
        <v>-67.41</v>
      </c>
      <c r="BU2161" s="106">
        <v>-16.3</v>
      </c>
      <c r="CA2161" s="106">
        <v>-17.260000000000002</v>
      </c>
      <c r="CG2161" s="106">
        <v>-17.2</v>
      </c>
      <c r="CM2161" s="106">
        <v>-16.649999999999999</v>
      </c>
    </row>
    <row r="2162" spans="1:219" x14ac:dyDescent="0.25">
      <c r="A2162" s="127">
        <v>44859</v>
      </c>
      <c r="B2162" s="24" t="s">
        <v>75</v>
      </c>
      <c r="C2162" s="21">
        <f t="shared" si="38"/>
        <v>-24.08</v>
      </c>
      <c r="BO2162" s="106">
        <v>-7.41</v>
      </c>
      <c r="BU2162" s="106">
        <v>-8.1999999999999993</v>
      </c>
      <c r="CA2162" s="106">
        <v>-8.4700000000000006</v>
      </c>
    </row>
    <row r="2163" spans="1:219" x14ac:dyDescent="0.25">
      <c r="A2163" s="127">
        <v>44859</v>
      </c>
      <c r="B2163" s="24" t="s">
        <v>32</v>
      </c>
      <c r="C2163" s="21">
        <f t="shared" si="38"/>
        <v>-39</v>
      </c>
      <c r="AW2163" s="106">
        <v>-8.15</v>
      </c>
      <c r="BC2163" s="106">
        <v>-14.55</v>
      </c>
      <c r="BU2163" s="106">
        <v>-16.3</v>
      </c>
    </row>
    <row r="2164" spans="1:219" x14ac:dyDescent="0.25">
      <c r="A2164" s="127">
        <v>44859</v>
      </c>
      <c r="B2164" s="24" t="s">
        <v>68</v>
      </c>
      <c r="C2164" s="21">
        <f t="shared" si="38"/>
        <v>-63.97</v>
      </c>
      <c r="V2164" s="74">
        <v>-32.42</v>
      </c>
      <c r="BC2164" s="106">
        <v>-31.55</v>
      </c>
    </row>
    <row r="2165" spans="1:219" x14ac:dyDescent="0.25">
      <c r="A2165" s="127">
        <v>44860</v>
      </c>
      <c r="B2165" s="24" t="s">
        <v>113</v>
      </c>
      <c r="C2165" s="21">
        <f t="shared" si="38"/>
        <v>1708.84</v>
      </c>
      <c r="BI2165" s="106">
        <v>339.56</v>
      </c>
      <c r="BU2165" s="106">
        <v>342.37</v>
      </c>
      <c r="CG2165" s="106">
        <v>338.7</v>
      </c>
      <c r="DU2165" s="106">
        <v>345.25</v>
      </c>
      <c r="EA2165" s="74">
        <v>342.96</v>
      </c>
    </row>
    <row r="2166" spans="1:219" x14ac:dyDescent="0.25">
      <c r="A2166" s="127">
        <v>44861</v>
      </c>
      <c r="B2166" s="24" t="s">
        <v>37</v>
      </c>
      <c r="C2166" s="21">
        <f t="shared" si="38"/>
        <v>-133.75</v>
      </c>
      <c r="HK2166" s="50">
        <v>-133.75</v>
      </c>
    </row>
    <row r="2167" spans="1:219" x14ac:dyDescent="0.25">
      <c r="A2167" s="127">
        <v>44861</v>
      </c>
      <c r="B2167" s="24" t="s">
        <v>32</v>
      </c>
      <c r="C2167" s="21">
        <f t="shared" si="38"/>
        <v>-17.3</v>
      </c>
      <c r="S2167" s="74">
        <v>-17.3</v>
      </c>
    </row>
    <row r="2168" spans="1:219" x14ac:dyDescent="0.25">
      <c r="A2168" s="127">
        <v>44861</v>
      </c>
      <c r="B2168" s="24" t="s">
        <v>44</v>
      </c>
      <c r="C2168" s="21">
        <f t="shared" si="38"/>
        <v>-145.94999999999999</v>
      </c>
      <c r="GP2168" s="42">
        <f>-8.45-8.45</f>
        <v>-16.899999999999999</v>
      </c>
      <c r="GQ2168" s="92">
        <f>-31.85-33.15-32.05-32</f>
        <v>-129.05000000000001</v>
      </c>
    </row>
    <row r="2169" spans="1:219" x14ac:dyDescent="0.25">
      <c r="A2169" s="127">
        <v>44861</v>
      </c>
      <c r="B2169" s="24" t="s">
        <v>78</v>
      </c>
      <c r="C2169" s="21">
        <f t="shared" si="38"/>
        <v>-88.01</v>
      </c>
      <c r="BI2169" s="106">
        <v>-31.25</v>
      </c>
      <c r="BO2169" s="106">
        <v>-7.75</v>
      </c>
      <c r="CA2169" s="106">
        <v>-33.159999999999997</v>
      </c>
      <c r="DU2169" s="106">
        <v>-15.85</v>
      </c>
    </row>
    <row r="2170" spans="1:219" x14ac:dyDescent="0.25">
      <c r="A2170" s="127">
        <v>44861</v>
      </c>
      <c r="B2170" s="24" t="s">
        <v>133</v>
      </c>
      <c r="C2170" s="21">
        <f t="shared" si="38"/>
        <v>-198.97</v>
      </c>
      <c r="AN2170" s="106">
        <v>-31.7</v>
      </c>
      <c r="AW2170" s="106">
        <v>-32.049999999999997</v>
      </c>
      <c r="BC2170" s="106">
        <v>-27.78</v>
      </c>
      <c r="BI2170" s="106">
        <v>-30.06</v>
      </c>
      <c r="BO2170" s="106">
        <v>-44.4</v>
      </c>
      <c r="BU2170" s="106">
        <v>-32.979999999999997</v>
      </c>
    </row>
    <row r="2171" spans="1:219" x14ac:dyDescent="0.25">
      <c r="A2171" s="127">
        <v>44861</v>
      </c>
      <c r="B2171" s="24" t="s">
        <v>17</v>
      </c>
      <c r="C2171" s="21">
        <f t="shared" si="38"/>
        <v>-191.96</v>
      </c>
      <c r="BC2171" s="106">
        <v>-29.66</v>
      </c>
      <c r="BO2171" s="106">
        <v>-25.66</v>
      </c>
      <c r="BU2171" s="106">
        <v>-34.549999999999997</v>
      </c>
      <c r="CA2171" s="106">
        <v>-69.540000000000006</v>
      </c>
      <c r="CG2171" s="106">
        <v>-32.549999999999997</v>
      </c>
    </row>
    <row r="2172" spans="1:219" x14ac:dyDescent="0.25">
      <c r="A2172" s="127">
        <v>44861</v>
      </c>
      <c r="B2172" s="24" t="s">
        <v>95</v>
      </c>
      <c r="C2172" s="21">
        <f t="shared" si="38"/>
        <v>-135.15</v>
      </c>
      <c r="BU2172" s="106">
        <v>-34.5</v>
      </c>
      <c r="CG2172" s="106">
        <v>-66</v>
      </c>
      <c r="CM2172" s="106">
        <v>-34.65</v>
      </c>
    </row>
    <row r="2173" spans="1:219" x14ac:dyDescent="0.25">
      <c r="A2173" s="127">
        <v>44861</v>
      </c>
      <c r="B2173" s="24" t="s">
        <v>39</v>
      </c>
      <c r="C2173" s="21">
        <f t="shared" si="38"/>
        <v>-40.5</v>
      </c>
      <c r="AR2173" s="106">
        <v>-7.5</v>
      </c>
      <c r="BC2173" s="106">
        <v>-8.1</v>
      </c>
      <c r="BI2173" s="106">
        <v>-7.8</v>
      </c>
      <c r="CA2173" s="106">
        <v>-8.7100000000000009</v>
      </c>
      <c r="CS2173" s="74">
        <v>-8.39</v>
      </c>
    </row>
    <row r="2174" spans="1:219" x14ac:dyDescent="0.25">
      <c r="A2174" s="127">
        <v>44862</v>
      </c>
      <c r="B2174" s="24" t="s">
        <v>95</v>
      </c>
      <c r="C2174" s="21">
        <f t="shared" si="38"/>
        <v>-199.35</v>
      </c>
      <c r="BI2174" s="106">
        <v>-30</v>
      </c>
      <c r="BU2174" s="106">
        <v>-30.2</v>
      </c>
      <c r="CG2174" s="106">
        <v>-103.9</v>
      </c>
      <c r="CM2174" s="106">
        <v>-35.25</v>
      </c>
    </row>
    <row r="2175" spans="1:219" x14ac:dyDescent="0.25">
      <c r="A2175" s="127">
        <v>44862</v>
      </c>
      <c r="B2175" s="24" t="s">
        <v>83</v>
      </c>
      <c r="C2175" s="21">
        <f t="shared" si="38"/>
        <v>-8.0500000000000007</v>
      </c>
      <c r="HF2175" s="92">
        <v>-8.0500000000000007</v>
      </c>
    </row>
    <row r="2176" spans="1:219" x14ac:dyDescent="0.25">
      <c r="A2176" s="127">
        <v>44862</v>
      </c>
      <c r="B2176" s="24" t="s">
        <v>20</v>
      </c>
      <c r="C2176" s="21">
        <f t="shared" si="38"/>
        <v>-33.11</v>
      </c>
      <c r="BI2176" s="106">
        <v>-7.75</v>
      </c>
      <c r="BU2176" s="106">
        <v>-8.3000000000000007</v>
      </c>
      <c r="CA2176" s="106">
        <v>-8.7100000000000009</v>
      </c>
      <c r="CG2176" s="106">
        <v>-8.35</v>
      </c>
    </row>
    <row r="2177" spans="1:221" x14ac:dyDescent="0.25">
      <c r="A2177" s="127">
        <v>44862</v>
      </c>
      <c r="B2177" s="24" t="s">
        <v>127</v>
      </c>
      <c r="C2177" s="21">
        <f t="shared" si="38"/>
        <v>-32.14</v>
      </c>
      <c r="AN2177" s="106">
        <v>-8.0500000000000007</v>
      </c>
      <c r="AW2177" s="106">
        <v>-8.1</v>
      </c>
      <c r="BI2177" s="106">
        <v>-7.7</v>
      </c>
      <c r="BO2177" s="106">
        <v>-8.2899999999999991</v>
      </c>
    </row>
    <row r="2178" spans="1:221" x14ac:dyDescent="0.25">
      <c r="A2178" s="127">
        <v>44862</v>
      </c>
      <c r="B2178" s="24" t="s">
        <v>153</v>
      </c>
      <c r="C2178" s="21">
        <f t="shared" si="38"/>
        <v>108.19</v>
      </c>
      <c r="AE2178" s="42">
        <v>33</v>
      </c>
      <c r="ER2178" s="42">
        <v>31.69</v>
      </c>
      <c r="FA2178" s="42">
        <v>43.5</v>
      </c>
    </row>
    <row r="2179" spans="1:221" x14ac:dyDescent="0.25">
      <c r="A2179" s="127">
        <v>44865</v>
      </c>
      <c r="B2179" s="24" t="s">
        <v>167</v>
      </c>
      <c r="C2179" s="21">
        <f t="shared" si="38"/>
        <v>-10</v>
      </c>
      <c r="D2179" s="386">
        <v>-5</v>
      </c>
      <c r="E2179" s="386">
        <v>-5</v>
      </c>
    </row>
    <row r="2180" spans="1:221" x14ac:dyDescent="0.25">
      <c r="A2180" s="127">
        <v>44865</v>
      </c>
      <c r="B2180" s="24" t="s">
        <v>152</v>
      </c>
      <c r="C2180" s="21">
        <f t="shared" si="38"/>
        <v>-1302.6400000000001</v>
      </c>
      <c r="AE2180" s="42">
        <v>-33</v>
      </c>
      <c r="AR2180" s="106">
        <v>-29.5</v>
      </c>
      <c r="AW2180" s="106">
        <v>-32.15</v>
      </c>
      <c r="BC2180" s="106">
        <v>-29.62</v>
      </c>
      <c r="BI2180" s="106">
        <v>-63.4</v>
      </c>
      <c r="BO2180" s="106">
        <v>-29.48</v>
      </c>
      <c r="BU2180" s="106">
        <v>-128.88999999999999</v>
      </c>
      <c r="CA2180" s="106">
        <v>-103.04</v>
      </c>
      <c r="CG2180" s="106">
        <v>-103.4</v>
      </c>
      <c r="CM2180" s="106">
        <v>-33.65</v>
      </c>
      <c r="CY2180" s="106">
        <v>-34.24</v>
      </c>
      <c r="DP2180" s="74">
        <v>-101.56</v>
      </c>
      <c r="DU2180" s="106">
        <v>-164.85</v>
      </c>
      <c r="EA2180" s="74">
        <v>-339.96</v>
      </c>
      <c r="EG2180" s="74">
        <v>-32.4</v>
      </c>
      <c r="FA2180" s="42">
        <v>-43.5</v>
      </c>
    </row>
    <row r="2181" spans="1:221" x14ac:dyDescent="0.25">
      <c r="A2181" s="127">
        <v>44865</v>
      </c>
      <c r="B2181" s="24" t="s">
        <v>152</v>
      </c>
      <c r="C2181" s="21">
        <f t="shared" si="38"/>
        <v>-131.44999999999999</v>
      </c>
      <c r="DU2181" s="106">
        <f>-32.65-32.85-32.95-33</f>
        <v>-131.44999999999999</v>
      </c>
    </row>
    <row r="2182" spans="1:221" x14ac:dyDescent="0.25">
      <c r="A2182" s="127">
        <v>44865</v>
      </c>
      <c r="B2182" s="24" t="s">
        <v>139</v>
      </c>
      <c r="C2182" s="21">
        <f t="shared" si="38"/>
        <v>-35.19</v>
      </c>
      <c r="CM2182" s="106">
        <v>-8.6999999999999993</v>
      </c>
      <c r="CY2182" s="106">
        <v>-17.399999999999999</v>
      </c>
      <c r="DE2182" s="74">
        <v>-9.09</v>
      </c>
    </row>
    <row r="2183" spans="1:221" x14ac:dyDescent="0.25">
      <c r="A2183" s="127">
        <v>44865</v>
      </c>
      <c r="B2183" s="24" t="s">
        <v>68</v>
      </c>
      <c r="C2183" s="21">
        <f t="shared" si="38"/>
        <v>-64.349999999999994</v>
      </c>
      <c r="AN2183" s="106">
        <v>-32.200000000000003</v>
      </c>
      <c r="AW2183" s="106">
        <v>-32.15</v>
      </c>
    </row>
    <row r="2184" spans="1:221" x14ac:dyDescent="0.25">
      <c r="A2184" s="127">
        <v>44865</v>
      </c>
      <c r="B2184" s="24" t="s">
        <v>166</v>
      </c>
      <c r="C2184" s="21">
        <f t="shared" si="38"/>
        <v>-22.11</v>
      </c>
      <c r="AW2184" s="106">
        <v>-8.1</v>
      </c>
      <c r="BI2184" s="106">
        <v>-7.1</v>
      </c>
      <c r="BO2184" s="106">
        <v>-6.91</v>
      </c>
    </row>
    <row r="2185" spans="1:221" x14ac:dyDescent="0.25">
      <c r="A2185" s="127">
        <v>44865</v>
      </c>
      <c r="B2185" s="24" t="s">
        <v>127</v>
      </c>
      <c r="C2185" s="21">
        <f t="shared" si="38"/>
        <v>-16.66</v>
      </c>
      <c r="BR2185" s="182">
        <v>-8.76</v>
      </c>
      <c r="CG2185" s="106">
        <v>-7.9</v>
      </c>
    </row>
    <row r="2186" spans="1:221" x14ac:dyDescent="0.25">
      <c r="A2186" s="127">
        <v>44865</v>
      </c>
      <c r="B2186" s="24" t="s">
        <v>82</v>
      </c>
      <c r="C2186" s="21">
        <f t="shared" si="38"/>
        <v>-48.03</v>
      </c>
      <c r="HL2186" s="42">
        <f>-31.73-7.35</f>
        <v>-39.08</v>
      </c>
      <c r="HM2186" s="106">
        <v>-8.9499999999999993</v>
      </c>
    </row>
    <row r="2187" spans="1:221" x14ac:dyDescent="0.25">
      <c r="A2187" s="127">
        <v>44865</v>
      </c>
      <c r="B2187" s="24" t="s">
        <v>75</v>
      </c>
      <c r="C2187" s="21">
        <f t="shared" si="38"/>
        <v>-67.984999999999999</v>
      </c>
      <c r="O2187" s="375">
        <v>-8.6449999999999996</v>
      </c>
      <c r="BI2187" s="106">
        <v>-7.7</v>
      </c>
      <c r="BU2187" s="106">
        <v>-8.25</v>
      </c>
      <c r="CA2187" s="106">
        <v>-8.77</v>
      </c>
      <c r="CG2187" s="106">
        <v>-8.6999999999999993</v>
      </c>
      <c r="CM2187" s="106">
        <v>-8.65</v>
      </c>
      <c r="DK2187" s="106">
        <v>-8.94</v>
      </c>
      <c r="DP2187" s="74">
        <v>-8.33</v>
      </c>
    </row>
    <row r="2188" spans="1:221" x14ac:dyDescent="0.25">
      <c r="A2188" s="127">
        <v>45230</v>
      </c>
      <c r="B2188" s="24" t="s">
        <v>17</v>
      </c>
      <c r="C2188" s="21">
        <f t="shared" si="38"/>
        <v>-30.85</v>
      </c>
      <c r="CM2188" s="106">
        <v>-17.399999999999999</v>
      </c>
      <c r="GB2188" s="106">
        <v>-13.45</v>
      </c>
    </row>
    <row r="2189" spans="1:221" x14ac:dyDescent="0.25">
      <c r="A2189" s="127">
        <v>44865</v>
      </c>
      <c r="B2189" s="24" t="s">
        <v>20</v>
      </c>
      <c r="C2189" s="21">
        <f t="shared" si="38"/>
        <v>-8.0500000000000007</v>
      </c>
      <c r="AN2189" s="106">
        <v>-8.0500000000000007</v>
      </c>
    </row>
    <row r="2190" spans="1:221" x14ac:dyDescent="0.25">
      <c r="A2190" s="127">
        <v>44865</v>
      </c>
      <c r="B2190" s="24" t="s">
        <v>25</v>
      </c>
      <c r="C2190" s="21">
        <f t="shared" si="38"/>
        <v>-35.39</v>
      </c>
      <c r="BI2190" s="106">
        <v>-7.7</v>
      </c>
      <c r="CY2190" s="106">
        <v>-27.69</v>
      </c>
    </row>
    <row r="2191" spans="1:221" x14ac:dyDescent="0.25">
      <c r="A2191" s="127">
        <v>44865</v>
      </c>
      <c r="B2191" s="24" t="s">
        <v>32</v>
      </c>
      <c r="C2191" s="21">
        <f t="shared" si="38"/>
        <v>-127.06</v>
      </c>
      <c r="AR2191" s="106">
        <v>-7.55</v>
      </c>
      <c r="AW2191" s="106">
        <v>-32.35</v>
      </c>
      <c r="BU2191" s="106">
        <v>-31.26</v>
      </c>
      <c r="CA2191" s="106">
        <v>-8.69</v>
      </c>
      <c r="CM2191" s="106">
        <v>-16.95</v>
      </c>
      <c r="CS2191" s="74">
        <v>-14.9</v>
      </c>
      <c r="DK2191" s="106">
        <v>-15.36</v>
      </c>
    </row>
    <row r="2192" spans="1:221" x14ac:dyDescent="0.25">
      <c r="A2192" s="127">
        <v>44865</v>
      </c>
      <c r="B2192" s="24" t="s">
        <v>133</v>
      </c>
      <c r="C2192" s="21">
        <f t="shared" si="38"/>
        <v>-137.66</v>
      </c>
      <c r="AR2192" s="106">
        <v>-33.65</v>
      </c>
      <c r="CA2192" s="106">
        <v>-34.64</v>
      </c>
      <c r="CM2192" s="106">
        <v>-35.61</v>
      </c>
      <c r="CS2192" s="74">
        <v>-33.76</v>
      </c>
    </row>
    <row r="2193" spans="1:178" x14ac:dyDescent="0.25">
      <c r="A2193" s="127">
        <v>44865</v>
      </c>
      <c r="B2193" s="24" t="s">
        <v>95</v>
      </c>
      <c r="C2193" s="21">
        <f t="shared" si="38"/>
        <v>-46.05</v>
      </c>
      <c r="FV2193" s="106">
        <v>-46.05</v>
      </c>
    </row>
    <row r="2194" spans="1:178" x14ac:dyDescent="0.25">
      <c r="A2194" s="127">
        <v>44865</v>
      </c>
      <c r="B2194" s="24" t="s">
        <v>15</v>
      </c>
      <c r="C2194" s="21">
        <f t="shared" si="38"/>
        <v>-5.05</v>
      </c>
      <c r="H2194" s="84">
        <v>-5.05</v>
      </c>
    </row>
    <row r="2195" spans="1:178" x14ac:dyDescent="0.25">
      <c r="A2195" s="127">
        <v>44867</v>
      </c>
      <c r="B2195" s="24" t="s">
        <v>167</v>
      </c>
      <c r="C2195" s="21">
        <f t="shared" si="38"/>
        <v>-5.48</v>
      </c>
      <c r="E2195" s="386">
        <v>-5.48</v>
      </c>
    </row>
    <row r="2196" spans="1:178" x14ac:dyDescent="0.25">
      <c r="A2196" s="127">
        <v>44868</v>
      </c>
      <c r="B2196" s="24" t="s">
        <v>113</v>
      </c>
      <c r="C2196" s="21">
        <f t="shared" si="38"/>
        <v>4020.14</v>
      </c>
      <c r="Z2196" s="79">
        <v>354.4</v>
      </c>
      <c r="AW2196" s="106">
        <v>360.59</v>
      </c>
      <c r="BC2196" s="106">
        <v>401.67</v>
      </c>
      <c r="BO2196" s="106">
        <v>387.48</v>
      </c>
      <c r="CA2196" s="106">
        <v>403.53</v>
      </c>
      <c r="CM2196" s="106">
        <v>402.72</v>
      </c>
      <c r="CS2196" s="74">
        <v>338.28</v>
      </c>
      <c r="CY2196" s="106">
        <v>319.8</v>
      </c>
      <c r="DE2196" s="74">
        <v>353.42</v>
      </c>
      <c r="DK2196" s="106">
        <v>359.45</v>
      </c>
      <c r="DP2196" s="74">
        <v>338.8</v>
      </c>
    </row>
    <row r="2197" spans="1:178" x14ac:dyDescent="0.25">
      <c r="A2197" s="127">
        <v>44868</v>
      </c>
      <c r="B2197" s="24" t="s">
        <v>113</v>
      </c>
      <c r="C2197" s="21">
        <f t="shared" si="38"/>
        <v>1278.49</v>
      </c>
      <c r="BO2197" s="106">
        <v>428.65</v>
      </c>
      <c r="CM2197" s="106">
        <v>409.19</v>
      </c>
      <c r="CS2197" s="74">
        <v>339</v>
      </c>
      <c r="DK2197" s="106">
        <v>101.65</v>
      </c>
    </row>
    <row r="2198" spans="1:178" x14ac:dyDescent="0.25">
      <c r="A2198" s="127">
        <v>44868</v>
      </c>
      <c r="B2198" s="24" t="s">
        <v>57</v>
      </c>
      <c r="C2198" s="21">
        <f t="shared" si="38"/>
        <v>-49.52</v>
      </c>
      <c r="BC2198" s="106">
        <v>-25.17</v>
      </c>
      <c r="BI2198" s="106">
        <v>-24.35</v>
      </c>
    </row>
    <row r="2199" spans="1:178" x14ac:dyDescent="0.25">
      <c r="A2199" s="127">
        <v>44868</v>
      </c>
      <c r="B2199" s="24" t="s">
        <v>57</v>
      </c>
      <c r="C2199" s="21">
        <f t="shared" si="38"/>
        <v>-159.24</v>
      </c>
      <c r="Z2199" s="79">
        <v>-7.9</v>
      </c>
      <c r="AN2199" s="106">
        <v>-22.45</v>
      </c>
      <c r="AR2199" s="106">
        <v>-22.85</v>
      </c>
      <c r="AW2199" s="106">
        <v>-23.47</v>
      </c>
      <c r="BI2199" s="106">
        <v>-23.05</v>
      </c>
      <c r="BO2199" s="106">
        <v>-26.65</v>
      </c>
      <c r="CA2199" s="106">
        <v>-16.75</v>
      </c>
      <c r="CS2199" s="74">
        <v>-16.12</v>
      </c>
    </row>
    <row r="2200" spans="1:178" x14ac:dyDescent="0.25">
      <c r="A2200" s="127">
        <v>44869</v>
      </c>
      <c r="B2200" s="24" t="s">
        <v>43</v>
      </c>
      <c r="C2200" s="21">
        <f t="shared" si="38"/>
        <v>-59.15</v>
      </c>
      <c r="AN2200" s="106">
        <v>-59.15</v>
      </c>
    </row>
    <row r="2201" spans="1:178" x14ac:dyDescent="0.25">
      <c r="A2201" s="127">
        <v>44869</v>
      </c>
      <c r="B2201" s="24" t="s">
        <v>20</v>
      </c>
      <c r="C2201" s="21">
        <f t="shared" si="38"/>
        <v>-32.17</v>
      </c>
      <c r="Z2201" s="79">
        <v>-8.1</v>
      </c>
      <c r="BC2201" s="106">
        <v>-8.32</v>
      </c>
      <c r="BI2201" s="106">
        <v>-7.7</v>
      </c>
      <c r="BO2201" s="106">
        <v>-8.0500000000000007</v>
      </c>
    </row>
    <row r="2202" spans="1:178" x14ac:dyDescent="0.25">
      <c r="A2202" s="127">
        <v>44869</v>
      </c>
      <c r="B2202" s="24" t="s">
        <v>133</v>
      </c>
      <c r="C2202" s="21">
        <f t="shared" si="38"/>
        <v>-195.11</v>
      </c>
      <c r="AW2202" s="106">
        <v>-32.72</v>
      </c>
      <c r="BC2202" s="106">
        <v>-33.36</v>
      </c>
      <c r="BI2202" s="106">
        <v>-30.95</v>
      </c>
      <c r="BO2202" s="106">
        <v>-32.799999999999997</v>
      </c>
      <c r="BU2202" s="106">
        <v>-33.04</v>
      </c>
      <c r="CA2202" s="106">
        <v>-32.24</v>
      </c>
    </row>
    <row r="2203" spans="1:178" x14ac:dyDescent="0.25">
      <c r="A2203" s="127">
        <v>44869</v>
      </c>
      <c r="B2203" s="24" t="s">
        <v>32</v>
      </c>
      <c r="C2203" s="21">
        <f t="shared" si="38"/>
        <v>-7.9</v>
      </c>
      <c r="S2203" s="74">
        <v>-7.9</v>
      </c>
    </row>
    <row r="2204" spans="1:178" x14ac:dyDescent="0.25">
      <c r="A2204" s="127">
        <v>44869</v>
      </c>
      <c r="B2204" s="24" t="s">
        <v>84</v>
      </c>
      <c r="C2204" s="21">
        <f t="shared" si="38"/>
        <v>-14.35</v>
      </c>
      <c r="BI2204" s="106">
        <f>-6.6-7.75</f>
        <v>-14.35</v>
      </c>
    </row>
    <row r="2205" spans="1:178" x14ac:dyDescent="0.25">
      <c r="A2205" s="127">
        <v>44869</v>
      </c>
      <c r="B2205" s="24" t="s">
        <v>68</v>
      </c>
      <c r="C2205" s="21">
        <f t="shared" si="38"/>
        <v>-61.48</v>
      </c>
      <c r="BI2205" s="106">
        <v>-30.9</v>
      </c>
      <c r="BO2205" s="106">
        <v>-30.58</v>
      </c>
    </row>
    <row r="2206" spans="1:178" x14ac:dyDescent="0.25">
      <c r="A2206" s="127">
        <v>44869</v>
      </c>
      <c r="B2206" s="24" t="s">
        <v>57</v>
      </c>
      <c r="C2206" s="21">
        <f t="shared" si="38"/>
        <v>-534.85</v>
      </c>
      <c r="Z2206" s="79">
        <v>-8.48</v>
      </c>
      <c r="AN2206" s="106">
        <v>-63.6</v>
      </c>
      <c r="AR2206" s="106">
        <v>-64.599999999999994</v>
      </c>
      <c r="AW2206" s="106">
        <v>-67.739999999999995</v>
      </c>
      <c r="BC2206" s="106">
        <v>-66.790000000000006</v>
      </c>
      <c r="BO2206" s="106">
        <v>-64.849999999999994</v>
      </c>
      <c r="CA2206" s="106">
        <v>-64.34</v>
      </c>
      <c r="CM2206" s="106">
        <v>-68</v>
      </c>
      <c r="CS2206" s="74">
        <v>-66.45</v>
      </c>
    </row>
    <row r="2207" spans="1:178" x14ac:dyDescent="0.25">
      <c r="A2207" s="127">
        <v>44870</v>
      </c>
      <c r="B2207" s="24" t="s">
        <v>168</v>
      </c>
      <c r="C2207" s="21">
        <f t="shared" si="38"/>
        <v>-8.49</v>
      </c>
      <c r="Z2207" s="79">
        <v>-8.49</v>
      </c>
    </row>
    <row r="2208" spans="1:178" x14ac:dyDescent="0.25">
      <c r="A2208" s="127">
        <v>44872</v>
      </c>
      <c r="B2208" s="24" t="s">
        <v>32</v>
      </c>
      <c r="C2208" s="21">
        <f t="shared" si="38"/>
        <v>-116</v>
      </c>
      <c r="AW2208" s="106">
        <v>-33.840000000000003</v>
      </c>
      <c r="BC2208" s="106">
        <v>-33.43</v>
      </c>
      <c r="BO2208" s="106">
        <v>-32.15</v>
      </c>
      <c r="CA2208" s="106">
        <v>-16.579999999999998</v>
      </c>
    </row>
    <row r="2209" spans="1:214" x14ac:dyDescent="0.25">
      <c r="A2209" s="127">
        <v>44872</v>
      </c>
      <c r="B2209" s="24" t="s">
        <v>43</v>
      </c>
      <c r="C2209" s="21">
        <f t="shared" si="38"/>
        <v>-591.34</v>
      </c>
      <c r="BO2209" s="106">
        <v>-30.3</v>
      </c>
      <c r="CS2209" s="74">
        <v>-136.9</v>
      </c>
      <c r="DE2209" s="74">
        <v>-138</v>
      </c>
      <c r="DK2209" s="106">
        <v>-134.55000000000001</v>
      </c>
      <c r="DP2209" s="74">
        <v>-97</v>
      </c>
      <c r="DU2209" s="106">
        <v>-33.1</v>
      </c>
      <c r="FJ2209" s="69">
        <v>-21.49</v>
      </c>
    </row>
    <row r="2210" spans="1:214" x14ac:dyDescent="0.25">
      <c r="A2210" s="127">
        <v>44872</v>
      </c>
      <c r="B2210" s="24" t="s">
        <v>167</v>
      </c>
      <c r="C2210" s="21">
        <f t="shared" si="38"/>
        <v>-20</v>
      </c>
      <c r="D2210" s="386">
        <v>-10</v>
      </c>
      <c r="E2210" s="386">
        <v>-10</v>
      </c>
    </row>
    <row r="2211" spans="1:214" x14ac:dyDescent="0.25">
      <c r="A2211" s="127">
        <v>44873</v>
      </c>
      <c r="B2211" s="24" t="s">
        <v>149</v>
      </c>
      <c r="C2211" s="21">
        <f t="shared" si="38"/>
        <v>-17.45</v>
      </c>
      <c r="CM2211" s="106">
        <v>-17.45</v>
      </c>
    </row>
    <row r="2212" spans="1:214" x14ac:dyDescent="0.25">
      <c r="A2212" s="127">
        <v>44873</v>
      </c>
      <c r="B2212" s="24" t="s">
        <v>84</v>
      </c>
      <c r="C2212" s="21">
        <f t="shared" si="38"/>
        <v>-16.489999999999998</v>
      </c>
      <c r="AW2212" s="106">
        <v>-8.15</v>
      </c>
      <c r="BC2212" s="106">
        <v>-8.34</v>
      </c>
    </row>
    <row r="2213" spans="1:214" x14ac:dyDescent="0.25">
      <c r="A2213" s="127">
        <v>44873</v>
      </c>
      <c r="B2213" s="24" t="s">
        <v>144</v>
      </c>
      <c r="C2213" s="21">
        <f t="shared" si="38"/>
        <v>-295.81</v>
      </c>
      <c r="HF2213" s="92">
        <v>-295.81</v>
      </c>
    </row>
    <row r="2214" spans="1:214" x14ac:dyDescent="0.25">
      <c r="A2214" s="127">
        <v>44873</v>
      </c>
      <c r="B2214" s="24" t="s">
        <v>44</v>
      </c>
      <c r="C2214" s="21">
        <f t="shared" si="38"/>
        <v>-159.19999999999999</v>
      </c>
      <c r="GQ2214" s="92">
        <v>-159.19999999999999</v>
      </c>
    </row>
    <row r="2215" spans="1:214" x14ac:dyDescent="0.25">
      <c r="A2215" s="127">
        <v>44873</v>
      </c>
      <c r="B2215" s="24" t="s">
        <v>138</v>
      </c>
      <c r="C2215" s="21">
        <f t="shared" si="38"/>
        <v>-8.66</v>
      </c>
      <c r="O2215" s="375">
        <v>-8.66</v>
      </c>
    </row>
    <row r="2216" spans="1:214" x14ac:dyDescent="0.25">
      <c r="A2216" s="127">
        <v>44873</v>
      </c>
      <c r="B2216" s="29" t="s">
        <v>25</v>
      </c>
      <c r="C2216" s="21">
        <f t="shared" si="38"/>
        <v>-49.86</v>
      </c>
      <c r="AN2216" s="106">
        <v>-7.85</v>
      </c>
      <c r="AW2216" s="106">
        <v>-8.73</v>
      </c>
      <c r="BC2216" s="106">
        <v>-8.44</v>
      </c>
      <c r="BO2216" s="106">
        <v>-8</v>
      </c>
      <c r="BU2216" s="106">
        <v>-8.65</v>
      </c>
      <c r="CA2216" s="106">
        <v>-8.19</v>
      </c>
    </row>
    <row r="2217" spans="1:214" x14ac:dyDescent="0.25">
      <c r="A2217" s="127">
        <v>44873</v>
      </c>
      <c r="B2217" s="29" t="s">
        <v>166</v>
      </c>
      <c r="C2217" s="21">
        <f t="shared" si="38"/>
        <v>-49.13</v>
      </c>
      <c r="DP2217" s="74">
        <v>-49.13</v>
      </c>
    </row>
    <row r="2218" spans="1:214" x14ac:dyDescent="0.25">
      <c r="A2218" s="127">
        <v>44873</v>
      </c>
      <c r="B2218" s="29" t="s">
        <v>59</v>
      </c>
      <c r="C2218" s="21">
        <f t="shared" si="38"/>
        <v>-7.82</v>
      </c>
      <c r="BC2218" s="106">
        <v>-3.67</v>
      </c>
      <c r="CS2218" s="74">
        <v>-4.1500000000000004</v>
      </c>
    </row>
    <row r="2219" spans="1:214" x14ac:dyDescent="0.25">
      <c r="A2219" s="127">
        <v>44874</v>
      </c>
      <c r="B2219" s="24" t="s">
        <v>113</v>
      </c>
      <c r="C2219" s="21">
        <f t="shared" si="38"/>
        <v>1002.02</v>
      </c>
      <c r="EA2219" s="74">
        <v>1002.02</v>
      </c>
    </row>
    <row r="2220" spans="1:214" x14ac:dyDescent="0.25">
      <c r="A2220" s="127">
        <v>44874</v>
      </c>
      <c r="B2220" s="24" t="s">
        <v>113</v>
      </c>
      <c r="C2220" s="21">
        <f t="shared" si="38"/>
        <v>346.66</v>
      </c>
      <c r="BI2220" s="106">
        <v>346.66</v>
      </c>
    </row>
    <row r="2221" spans="1:214" x14ac:dyDescent="0.25">
      <c r="A2221" s="127">
        <v>44874</v>
      </c>
      <c r="B2221" s="24" t="s">
        <v>113</v>
      </c>
      <c r="C2221" s="21">
        <f t="shared" si="38"/>
        <v>0</v>
      </c>
    </row>
    <row r="2222" spans="1:214" x14ac:dyDescent="0.25">
      <c r="A2222" s="127">
        <v>44874</v>
      </c>
      <c r="B2222" s="24" t="s">
        <v>152</v>
      </c>
      <c r="C2222" s="21">
        <f t="shared" si="38"/>
        <v>-1265.3399999999999</v>
      </c>
      <c r="V2222" s="74">
        <v>-33.39</v>
      </c>
      <c r="Z2222" s="79">
        <v>-33.75</v>
      </c>
      <c r="AR2222" s="106">
        <v>-30.85</v>
      </c>
      <c r="BC2222" s="106">
        <v>-67.19</v>
      </c>
      <c r="BI2222" s="106">
        <v>-69.78</v>
      </c>
      <c r="BO2222" s="106">
        <v>-130.94999999999999</v>
      </c>
      <c r="CA2222" s="106">
        <v>-32.380000000000003</v>
      </c>
      <c r="CM2222" s="106">
        <v>-66</v>
      </c>
      <c r="DE2222" s="74">
        <v>-69.319999999999993</v>
      </c>
      <c r="DK2222" s="106">
        <v>-35.85</v>
      </c>
      <c r="EA2222" s="74">
        <v>-664.19</v>
      </c>
      <c r="ER2222" s="42">
        <v>-31.69</v>
      </c>
    </row>
    <row r="2223" spans="1:214" x14ac:dyDescent="0.25">
      <c r="A2223" s="127">
        <v>44874</v>
      </c>
      <c r="B2223" s="24" t="s">
        <v>43</v>
      </c>
      <c r="C2223" s="21">
        <f t="shared" si="38"/>
        <v>-471.06</v>
      </c>
      <c r="Z2223" s="79">
        <v>-16.940000000000001</v>
      </c>
      <c r="AR2223" s="106">
        <v>-15.95</v>
      </c>
      <c r="BC2223" s="106">
        <v>-33.450000000000003</v>
      </c>
      <c r="BI2223" s="106">
        <v>-34.799999999999997</v>
      </c>
      <c r="BO2223" s="106">
        <v>-67.599999999999994</v>
      </c>
      <c r="CA2223" s="106">
        <v>-64.94</v>
      </c>
      <c r="DE2223" s="74">
        <v>-35.18</v>
      </c>
      <c r="EA2223" s="74">
        <v>-202.2</v>
      </c>
    </row>
    <row r="2224" spans="1:214" x14ac:dyDescent="0.25">
      <c r="A2224" s="127">
        <v>44874</v>
      </c>
      <c r="B2224" s="24" t="s">
        <v>15</v>
      </c>
      <c r="C2224" s="21">
        <f t="shared" si="38"/>
        <v>-29.95</v>
      </c>
      <c r="AR2224" s="106">
        <v>-29.95</v>
      </c>
    </row>
    <row r="2225" spans="1:180" x14ac:dyDescent="0.25">
      <c r="A2225" s="127">
        <v>44874</v>
      </c>
      <c r="B2225" s="24" t="s">
        <v>133</v>
      </c>
      <c r="C2225" s="21">
        <f t="shared" ref="C2225:C2288" si="39">SUM(D2225:JT2225)</f>
        <v>-202.22</v>
      </c>
      <c r="Z2225" s="79">
        <v>-33.869999999999997</v>
      </c>
      <c r="BC2225" s="106">
        <v>-33.53</v>
      </c>
      <c r="BI2225" s="106">
        <v>-34.26</v>
      </c>
      <c r="CS2225" s="74">
        <v>-33.6</v>
      </c>
      <c r="CY2225" s="106">
        <v>-31.04</v>
      </c>
      <c r="DE2225" s="74">
        <v>-35.92</v>
      </c>
    </row>
    <row r="2226" spans="1:180" x14ac:dyDescent="0.25">
      <c r="A2226" s="127">
        <v>44875</v>
      </c>
      <c r="B2226" s="24" t="s">
        <v>17</v>
      </c>
      <c r="C2226" s="21">
        <f t="shared" si="39"/>
        <v>-49.58</v>
      </c>
      <c r="AW2226" s="106">
        <v>-7.81</v>
      </c>
      <c r="BI2226" s="106">
        <v>-9.11</v>
      </c>
      <c r="BO2226" s="106">
        <v>-8.25</v>
      </c>
      <c r="BU2226" s="106">
        <v>-7.92</v>
      </c>
      <c r="CA2226" s="106">
        <v>-7.79</v>
      </c>
      <c r="CM2226" s="106">
        <v>-8.6999999999999993</v>
      </c>
    </row>
    <row r="2227" spans="1:180" x14ac:dyDescent="0.25">
      <c r="A2227" s="127">
        <v>44875</v>
      </c>
      <c r="B2227" s="24" t="s">
        <v>43</v>
      </c>
      <c r="C2227" s="21">
        <f t="shared" si="39"/>
        <v>-69.13</v>
      </c>
      <c r="CY2227" s="106">
        <v>-69.13</v>
      </c>
    </row>
    <row r="2228" spans="1:180" x14ac:dyDescent="0.25">
      <c r="A2228" s="127">
        <v>44875</v>
      </c>
      <c r="B2228" s="24" t="s">
        <v>32</v>
      </c>
      <c r="C2228" s="21">
        <f t="shared" si="39"/>
        <v>-82.71</v>
      </c>
      <c r="AN2228" s="106">
        <v>-13.95</v>
      </c>
      <c r="AR2228" s="106">
        <v>-16</v>
      </c>
      <c r="BI2228" s="106">
        <v>-36.18</v>
      </c>
      <c r="CM2228" s="106">
        <v>-16.579999999999998</v>
      </c>
    </row>
    <row r="2229" spans="1:180" x14ac:dyDescent="0.25">
      <c r="A2229" s="127">
        <v>44875</v>
      </c>
      <c r="B2229" s="24" t="s">
        <v>153</v>
      </c>
      <c r="C2229" s="21">
        <f t="shared" si="39"/>
        <v>26</v>
      </c>
      <c r="AU2229" s="42">
        <v>8.58</v>
      </c>
      <c r="BA2229" s="42">
        <v>8.81</v>
      </c>
      <c r="CE2229" s="42">
        <v>8.61</v>
      </c>
    </row>
    <row r="2230" spans="1:180" x14ac:dyDescent="0.25">
      <c r="A2230" s="127">
        <v>44875</v>
      </c>
      <c r="B2230" s="24" t="s">
        <v>25</v>
      </c>
      <c r="C2230" s="21">
        <f t="shared" si="39"/>
        <v>-17.8</v>
      </c>
      <c r="BI2230" s="106">
        <v>-9.19</v>
      </c>
      <c r="CE2230" s="42">
        <v>-8.61</v>
      </c>
    </row>
    <row r="2231" spans="1:180" x14ac:dyDescent="0.25">
      <c r="A2231" s="127">
        <v>44875</v>
      </c>
      <c r="B2231" s="24" t="s">
        <v>127</v>
      </c>
      <c r="C2231" s="21">
        <f t="shared" si="39"/>
        <v>-17.39</v>
      </c>
      <c r="AU2231" s="42">
        <v>-8.58</v>
      </c>
      <c r="BA2231" s="42">
        <v>-8.81</v>
      </c>
    </row>
    <row r="2232" spans="1:180" x14ac:dyDescent="0.25">
      <c r="A2232" s="127">
        <v>44875</v>
      </c>
      <c r="B2232" s="24" t="s">
        <v>59</v>
      </c>
      <c r="C2232" s="21">
        <f t="shared" si="39"/>
        <v>-4.16</v>
      </c>
      <c r="CM2232" s="106">
        <v>-2.38</v>
      </c>
      <c r="CS2232" s="74">
        <v>-1.78</v>
      </c>
    </row>
    <row r="2233" spans="1:180" x14ac:dyDescent="0.25">
      <c r="A2233" s="127">
        <v>44879</v>
      </c>
      <c r="B2233" s="24" t="s">
        <v>113</v>
      </c>
      <c r="C2233" s="21">
        <f t="shared" si="39"/>
        <v>2767.93</v>
      </c>
      <c r="AC2233" s="106">
        <v>349.85</v>
      </c>
      <c r="AG2233" s="106">
        <v>320.76</v>
      </c>
      <c r="BC2233" s="106">
        <v>353.86</v>
      </c>
      <c r="BU2233" s="106">
        <v>341</v>
      </c>
      <c r="CA2233" s="106">
        <v>353.44</v>
      </c>
      <c r="CG2233" s="106">
        <v>343.2</v>
      </c>
      <c r="DU2233" s="106">
        <v>359.72</v>
      </c>
      <c r="ET2233" s="106">
        <v>346.1</v>
      </c>
    </row>
    <row r="2234" spans="1:180" x14ac:dyDescent="0.25">
      <c r="A2234" s="127">
        <v>44879</v>
      </c>
      <c r="B2234" s="24" t="s">
        <v>32</v>
      </c>
      <c r="C2234" s="21">
        <f t="shared" si="39"/>
        <v>-144.42500000000001</v>
      </c>
      <c r="AR2234" s="106">
        <v>-13.45</v>
      </c>
      <c r="BO2234" s="106">
        <v>-34.85</v>
      </c>
      <c r="BU2234" s="106">
        <v>-34.340000000000003</v>
      </c>
      <c r="CA2234" s="106">
        <v>-32.119999999999997</v>
      </c>
      <c r="ET2234" s="106">
        <v>-8.1</v>
      </c>
      <c r="FX2234" s="34">
        <v>-21.565000000000001</v>
      </c>
    </row>
    <row r="2235" spans="1:180" x14ac:dyDescent="0.25">
      <c r="A2235" s="127">
        <v>44879</v>
      </c>
      <c r="B2235" s="24" t="s">
        <v>133</v>
      </c>
      <c r="C2235" s="21">
        <f t="shared" si="39"/>
        <v>-97.85</v>
      </c>
      <c r="BC2235" s="106">
        <v>-29.96</v>
      </c>
      <c r="BU2235" s="106">
        <v>-33.44</v>
      </c>
      <c r="CG2235" s="106">
        <v>-34.450000000000003</v>
      </c>
    </row>
    <row r="2236" spans="1:180" x14ac:dyDescent="0.25">
      <c r="A2236" s="127">
        <v>44879</v>
      </c>
      <c r="B2236" s="24" t="s">
        <v>43</v>
      </c>
      <c r="C2236" s="21">
        <f t="shared" si="39"/>
        <v>-653.66999999999996</v>
      </c>
      <c r="AN2236" s="106">
        <v>-62.7</v>
      </c>
      <c r="AW2236" s="106">
        <v>-34.56</v>
      </c>
      <c r="BC2236" s="106">
        <v>-86.5</v>
      </c>
      <c r="BI2236" s="106">
        <v>-68.36</v>
      </c>
      <c r="BO2236" s="106">
        <v>-68.45</v>
      </c>
      <c r="BU2236" s="106">
        <v>-137.41999999999999</v>
      </c>
      <c r="CA2236" s="106">
        <v>-63.24</v>
      </c>
      <c r="CM2236" s="106">
        <v>-66.5</v>
      </c>
      <c r="DU2236" s="106">
        <v>-65.94</v>
      </c>
    </row>
    <row r="2237" spans="1:180" x14ac:dyDescent="0.25">
      <c r="A2237" s="127">
        <v>44879</v>
      </c>
      <c r="B2237" s="24" t="s">
        <v>15</v>
      </c>
      <c r="C2237" s="21">
        <f t="shared" si="39"/>
        <v>-137.86000000000001</v>
      </c>
      <c r="AG2237" s="106">
        <v>-35.72</v>
      </c>
      <c r="AR2237" s="106">
        <v>-23.85</v>
      </c>
      <c r="AU2237" s="42">
        <v>34.65</v>
      </c>
      <c r="BC2237" s="106">
        <v>-61.5</v>
      </c>
      <c r="BG2237" s="42">
        <v>50.74</v>
      </c>
      <c r="BM2237" s="88">
        <v>69.42</v>
      </c>
      <c r="BS2237" s="42">
        <v>49.67</v>
      </c>
      <c r="BY2237" s="42">
        <v>34.65</v>
      </c>
      <c r="CA2237" s="106">
        <v>-32.46</v>
      </c>
      <c r="CE2237" s="42">
        <v>17.48</v>
      </c>
      <c r="CM2237" s="106">
        <v>-34.700000000000003</v>
      </c>
      <c r="CS2237" s="74">
        <v>-101.43</v>
      </c>
      <c r="DE2237" s="74">
        <v>-69.06</v>
      </c>
      <c r="ET2237" s="106">
        <v>-35.75</v>
      </c>
    </row>
    <row r="2238" spans="1:180" x14ac:dyDescent="0.25">
      <c r="A2238" s="127">
        <v>44879</v>
      </c>
      <c r="B2238" s="24" t="s">
        <v>57</v>
      </c>
      <c r="C2238" s="21">
        <f t="shared" si="39"/>
        <v>-118.63</v>
      </c>
      <c r="AC2238" s="106">
        <v>-15.4</v>
      </c>
      <c r="BI2238" s="106">
        <v>-34.68</v>
      </c>
      <c r="BU2238" s="106">
        <v>-34</v>
      </c>
      <c r="CG2238" s="106">
        <v>-34.549999999999997</v>
      </c>
    </row>
    <row r="2239" spans="1:180" x14ac:dyDescent="0.25">
      <c r="A2239" s="127">
        <v>44879</v>
      </c>
      <c r="B2239" s="24" t="s">
        <v>84</v>
      </c>
      <c r="C2239" s="21">
        <f t="shared" si="39"/>
        <v>-25.03</v>
      </c>
      <c r="AC2239" s="106">
        <v>-17.100000000000001</v>
      </c>
      <c r="BI2239" s="106">
        <v>-7.93</v>
      </c>
    </row>
    <row r="2240" spans="1:180" x14ac:dyDescent="0.25">
      <c r="A2240" s="127">
        <v>44879</v>
      </c>
      <c r="B2240" s="24" t="s">
        <v>127</v>
      </c>
      <c r="C2240" s="21">
        <f t="shared" si="39"/>
        <v>-34.11</v>
      </c>
      <c r="AG2240" s="106">
        <v>-8.85</v>
      </c>
      <c r="BG2240" s="42">
        <v>-8.5</v>
      </c>
      <c r="BS2240" s="42">
        <v>-7.92</v>
      </c>
      <c r="CE2240" s="42">
        <v>-8.84</v>
      </c>
    </row>
    <row r="2241" spans="1:232" x14ac:dyDescent="0.25">
      <c r="A2241" s="127">
        <v>44879</v>
      </c>
      <c r="B2241" s="24" t="s">
        <v>68</v>
      </c>
      <c r="C2241" s="21">
        <f t="shared" si="39"/>
        <v>-62.14</v>
      </c>
      <c r="BC2241" s="106">
        <v>-27.66</v>
      </c>
      <c r="BU2241" s="106">
        <v>-34.479999999999997</v>
      </c>
    </row>
    <row r="2242" spans="1:232" x14ac:dyDescent="0.25">
      <c r="A2242" s="127">
        <v>44879</v>
      </c>
      <c r="B2242" s="24" t="s">
        <v>168</v>
      </c>
      <c r="C2242" s="21">
        <f t="shared" si="39"/>
        <v>-8.73</v>
      </c>
      <c r="AW2242" s="106">
        <v>-8.73</v>
      </c>
    </row>
    <row r="2243" spans="1:232" x14ac:dyDescent="0.25">
      <c r="A2243" s="127">
        <v>44880</v>
      </c>
      <c r="B2243" s="24" t="s">
        <v>32</v>
      </c>
      <c r="C2243" s="21">
        <f t="shared" si="39"/>
        <v>-50.86</v>
      </c>
      <c r="AC2243" s="106">
        <v>-15.5</v>
      </c>
      <c r="AG2243" s="106">
        <v>-8.91</v>
      </c>
      <c r="CS2243" s="74">
        <v>-26.45</v>
      </c>
    </row>
    <row r="2244" spans="1:232" x14ac:dyDescent="0.25">
      <c r="A2244" s="127">
        <v>44880</v>
      </c>
      <c r="B2244" s="24" t="s">
        <v>26</v>
      </c>
      <c r="C2244" s="21">
        <f t="shared" si="39"/>
        <v>-65.95</v>
      </c>
      <c r="V2244" s="74">
        <v>-8.1</v>
      </c>
      <c r="BC2244" s="106">
        <v>-16.690000000000001</v>
      </c>
      <c r="BO2244" s="106">
        <v>-8</v>
      </c>
      <c r="BU2244" s="106">
        <v>-7.65</v>
      </c>
      <c r="CA2244" s="106">
        <v>-8.2100000000000009</v>
      </c>
      <c r="CG2244" s="106">
        <v>-17.3</v>
      </c>
    </row>
    <row r="2245" spans="1:232" x14ac:dyDescent="0.25">
      <c r="A2245" s="127">
        <v>44880</v>
      </c>
      <c r="B2245" s="24" t="s">
        <v>20</v>
      </c>
      <c r="C2245" s="21">
        <f t="shared" si="39"/>
        <v>-56.26</v>
      </c>
      <c r="AW2245" s="106">
        <v>-6.45</v>
      </c>
      <c r="BC2245" s="106">
        <v>-7.99</v>
      </c>
      <c r="BI2245" s="106">
        <v>-7.29</v>
      </c>
      <c r="BU2245" s="106">
        <v>-8.75</v>
      </c>
      <c r="CA2245" s="106">
        <v>-9</v>
      </c>
      <c r="CM2245" s="106">
        <v>-8.41</v>
      </c>
      <c r="CS2245" s="74">
        <v>-8.3699999999999992</v>
      </c>
    </row>
    <row r="2246" spans="1:232" x14ac:dyDescent="0.25">
      <c r="A2246" s="127">
        <v>44880</v>
      </c>
      <c r="B2246" s="24" t="s">
        <v>44</v>
      </c>
      <c r="C2246" s="21">
        <f t="shared" si="39"/>
        <v>-23.92</v>
      </c>
      <c r="HQ2246" s="42">
        <v>-15.62</v>
      </c>
      <c r="HX2246" s="92">
        <v>-8.3000000000000007</v>
      </c>
    </row>
    <row r="2247" spans="1:232" x14ac:dyDescent="0.25">
      <c r="A2247" s="127">
        <v>44880</v>
      </c>
      <c r="B2247" s="24" t="s">
        <v>59</v>
      </c>
      <c r="C2247" s="21">
        <f t="shared" si="39"/>
        <v>-4.57</v>
      </c>
      <c r="AC2247" s="106">
        <v>-1.26</v>
      </c>
      <c r="CA2247" s="106">
        <v>-1.59</v>
      </c>
      <c r="CG2247" s="106">
        <v>-1.72</v>
      </c>
    </row>
    <row r="2248" spans="1:232" x14ac:dyDescent="0.25">
      <c r="A2248" s="127">
        <v>44881</v>
      </c>
      <c r="B2248" s="24" t="s">
        <v>113</v>
      </c>
      <c r="C2248" s="21">
        <f t="shared" si="39"/>
        <v>855.65</v>
      </c>
      <c r="HH2248" s="106">
        <v>336.25</v>
      </c>
      <c r="HM2248" s="106">
        <v>519.4</v>
      </c>
    </row>
    <row r="2249" spans="1:232" x14ac:dyDescent="0.25">
      <c r="A2249" s="127">
        <v>44881</v>
      </c>
      <c r="B2249" s="24" t="s">
        <v>59</v>
      </c>
      <c r="C2249" s="21">
        <f t="shared" si="39"/>
        <v>-8.6</v>
      </c>
      <c r="BO2249" s="106">
        <v>-8.6</v>
      </c>
    </row>
    <row r="2250" spans="1:232" x14ac:dyDescent="0.25">
      <c r="A2250" s="127">
        <v>44881</v>
      </c>
      <c r="B2250" s="24" t="s">
        <v>75</v>
      </c>
      <c r="C2250" s="21">
        <f t="shared" si="39"/>
        <v>-75.400000000000006</v>
      </c>
      <c r="BC2250" s="106">
        <v>-7.99</v>
      </c>
      <c r="BG2250" s="42">
        <v>-8.1300000000000008</v>
      </c>
      <c r="BO2250" s="106">
        <v>-8.5500000000000007</v>
      </c>
      <c r="BU2250" s="106">
        <v>-8.4700000000000006</v>
      </c>
      <c r="CA2250" s="106">
        <v>-8.6999999999999993</v>
      </c>
      <c r="CG2250" s="106">
        <v>-16.5</v>
      </c>
      <c r="CM2250" s="106">
        <v>-17.059999999999999</v>
      </c>
    </row>
    <row r="2251" spans="1:232" x14ac:dyDescent="0.25">
      <c r="A2251" s="127">
        <v>44881</v>
      </c>
      <c r="B2251" s="24" t="s">
        <v>37</v>
      </c>
      <c r="C2251" s="21">
        <f t="shared" si="39"/>
        <v>-195.98</v>
      </c>
      <c r="HK2251" s="50">
        <v>-100.22</v>
      </c>
      <c r="HQ2251" s="42">
        <v>-31.16</v>
      </c>
      <c r="HR2251" s="92">
        <f>-32.3-32.3</f>
        <v>-64.599999999999994</v>
      </c>
    </row>
    <row r="2252" spans="1:232" x14ac:dyDescent="0.25">
      <c r="A2252" s="127">
        <v>44881</v>
      </c>
      <c r="B2252" s="24" t="s">
        <v>82</v>
      </c>
      <c r="C2252" s="21">
        <f t="shared" si="39"/>
        <v>-49.35</v>
      </c>
      <c r="HH2252" s="106">
        <v>-49.35</v>
      </c>
    </row>
    <row r="2253" spans="1:232" x14ac:dyDescent="0.25">
      <c r="A2253" s="127">
        <v>44881</v>
      </c>
      <c r="B2253" s="24" t="s">
        <v>31</v>
      </c>
      <c r="C2253" s="21">
        <f t="shared" si="39"/>
        <v>-16.7</v>
      </c>
      <c r="HH2253" s="106">
        <v>-16.7</v>
      </c>
    </row>
    <row r="2254" spans="1:232" x14ac:dyDescent="0.25">
      <c r="A2254" s="127">
        <v>44881</v>
      </c>
      <c r="B2254" s="24" t="s">
        <v>152</v>
      </c>
      <c r="C2254" s="21">
        <f t="shared" si="39"/>
        <v>-593.53</v>
      </c>
      <c r="AC2254" s="106">
        <v>-32.200000000000003</v>
      </c>
      <c r="AN2254" s="106">
        <v>-61.5</v>
      </c>
      <c r="BI2254" s="106">
        <v>-35.08</v>
      </c>
      <c r="BO2254" s="106">
        <v>-34.200000000000003</v>
      </c>
      <c r="BU2254" s="106">
        <v>-33.94</v>
      </c>
      <c r="CA2254" s="106">
        <v>-31.82</v>
      </c>
      <c r="CG2254" s="106">
        <v>-68.75</v>
      </c>
      <c r="CM2254" s="106">
        <v>-33.42</v>
      </c>
      <c r="DE2254" s="74">
        <v>-36.36</v>
      </c>
      <c r="DK2254" s="106">
        <v>-70.25</v>
      </c>
      <c r="DP2254" s="74">
        <v>-64.2</v>
      </c>
      <c r="EA2254" s="74">
        <v>-66.62</v>
      </c>
      <c r="EG2254" s="74">
        <v>-25.19</v>
      </c>
    </row>
    <row r="2255" spans="1:232" x14ac:dyDescent="0.25">
      <c r="A2255" s="127">
        <v>44882</v>
      </c>
      <c r="B2255" s="24" t="s">
        <v>37</v>
      </c>
      <c r="C2255" s="21">
        <f t="shared" si="39"/>
        <v>-31.8</v>
      </c>
      <c r="HM2255" s="106">
        <v>-31.8</v>
      </c>
    </row>
    <row r="2256" spans="1:232" x14ac:dyDescent="0.25">
      <c r="A2256" s="127">
        <v>44882</v>
      </c>
      <c r="B2256" s="24" t="s">
        <v>14</v>
      </c>
      <c r="C2256" s="21">
        <f t="shared" si="39"/>
        <v>-207.03</v>
      </c>
      <c r="AU2256" s="42">
        <v>-34.65</v>
      </c>
      <c r="BG2256" s="42">
        <v>-34.11</v>
      </c>
      <c r="BM2256" s="88">
        <v>-69.42</v>
      </c>
      <c r="BS2256" s="42">
        <v>-34.200000000000003</v>
      </c>
      <c r="BY2256" s="42">
        <v>-34.65</v>
      </c>
    </row>
    <row r="2257" spans="1:221" x14ac:dyDescent="0.25">
      <c r="A2257" s="127">
        <v>44882</v>
      </c>
      <c r="B2257" s="24" t="s">
        <v>110</v>
      </c>
      <c r="C2257" s="21">
        <f t="shared" si="39"/>
        <v>-35.08</v>
      </c>
      <c r="DE2257" s="74">
        <v>-35.08</v>
      </c>
    </row>
    <row r="2258" spans="1:221" x14ac:dyDescent="0.25">
      <c r="A2258" s="127">
        <v>44883</v>
      </c>
      <c r="B2258" s="24" t="s">
        <v>139</v>
      </c>
      <c r="C2258" s="21">
        <f t="shared" si="39"/>
        <v>-64.16</v>
      </c>
      <c r="BC2258" s="106">
        <v>-8.34</v>
      </c>
      <c r="CA2258" s="106">
        <v>-8.9499999999999993</v>
      </c>
      <c r="CG2258" s="106">
        <v>-7.6</v>
      </c>
      <c r="CM2258" s="106">
        <v>-15.54</v>
      </c>
      <c r="CS2258" s="74">
        <v>-15.6</v>
      </c>
      <c r="CY2258" s="106">
        <v>-8.1300000000000008</v>
      </c>
    </row>
    <row r="2259" spans="1:221" x14ac:dyDescent="0.25">
      <c r="A2259" s="127">
        <v>44883</v>
      </c>
      <c r="B2259" s="24" t="s">
        <v>133</v>
      </c>
      <c r="C2259" s="21">
        <f t="shared" si="39"/>
        <v>-132</v>
      </c>
      <c r="AC2259" s="106">
        <v>-30.95</v>
      </c>
      <c r="AG2259" s="106">
        <v>-35.6</v>
      </c>
      <c r="AW2259" s="106">
        <v>-30.9</v>
      </c>
      <c r="BO2259" s="106">
        <v>-34.549999999999997</v>
      </c>
    </row>
    <row r="2260" spans="1:221" x14ac:dyDescent="0.25">
      <c r="A2260" s="127">
        <v>44883</v>
      </c>
      <c r="B2260" s="24" t="s">
        <v>152</v>
      </c>
      <c r="C2260" s="21">
        <f t="shared" si="39"/>
        <v>-720.91499999999996</v>
      </c>
      <c r="L2260" s="69">
        <v>-17.285</v>
      </c>
      <c r="AN2260" s="106">
        <v>-32.299999999999997</v>
      </c>
      <c r="AW2260" s="106">
        <v>-32.96</v>
      </c>
      <c r="BI2260" s="106">
        <v>-33.159999999999997</v>
      </c>
      <c r="BO2260" s="106">
        <v>-34.25</v>
      </c>
      <c r="BU2260" s="106">
        <v>-97.8</v>
      </c>
      <c r="CA2260" s="106">
        <v>-96.78</v>
      </c>
      <c r="CG2260" s="106">
        <v>-69.099999999999994</v>
      </c>
      <c r="CM2260" s="106">
        <v>-35.5</v>
      </c>
      <c r="CS2260" s="74">
        <v>-95.72</v>
      </c>
      <c r="CY2260" s="106">
        <v>-31.54</v>
      </c>
      <c r="DE2260" s="74">
        <v>-70.819999999999993</v>
      </c>
      <c r="DP2260" s="74">
        <v>-32.049999999999997</v>
      </c>
      <c r="EZ2260" s="92">
        <v>-41.65</v>
      </c>
    </row>
    <row r="2261" spans="1:221" x14ac:dyDescent="0.25">
      <c r="A2261" s="127">
        <v>44883</v>
      </c>
      <c r="B2261" s="24" t="s">
        <v>113</v>
      </c>
      <c r="C2261" s="21">
        <f t="shared" si="39"/>
        <v>1277.3699999999999</v>
      </c>
      <c r="BI2261" s="106">
        <v>505.86</v>
      </c>
      <c r="BU2261" s="106">
        <v>517.91999999999996</v>
      </c>
      <c r="EZ2261" s="92">
        <v>253.59</v>
      </c>
    </row>
    <row r="2262" spans="1:221" x14ac:dyDescent="0.25">
      <c r="A2262" s="127">
        <v>44884</v>
      </c>
      <c r="B2262" s="24" t="s">
        <v>133</v>
      </c>
      <c r="C2262" s="21">
        <f t="shared" si="39"/>
        <v>-32.64</v>
      </c>
      <c r="BI2262" s="106">
        <v>-32.64</v>
      </c>
    </row>
    <row r="2263" spans="1:221" x14ac:dyDescent="0.25">
      <c r="A2263" s="127">
        <v>44886</v>
      </c>
      <c r="B2263" s="24" t="s">
        <v>59</v>
      </c>
      <c r="C2263" s="21">
        <f t="shared" si="39"/>
        <v>-17.559999999999999</v>
      </c>
      <c r="BU2263" s="106">
        <v>-8.61</v>
      </c>
      <c r="CA2263" s="106">
        <v>-8.9499999999999993</v>
      </c>
    </row>
    <row r="2264" spans="1:221" x14ac:dyDescent="0.25">
      <c r="A2264" s="127">
        <v>44886</v>
      </c>
      <c r="B2264" s="24" t="s">
        <v>95</v>
      </c>
      <c r="C2264" s="21">
        <f t="shared" si="39"/>
        <v>-690.01</v>
      </c>
      <c r="AC2264" s="106">
        <v>-32.799999999999997</v>
      </c>
      <c r="AG2264" s="106">
        <v>-35.64</v>
      </c>
      <c r="AN2264" s="106">
        <v>-33.450000000000003</v>
      </c>
      <c r="AW2264" s="106">
        <v>-64.900000000000006</v>
      </c>
      <c r="BC2264" s="106">
        <v>-59.58</v>
      </c>
      <c r="BI2264" s="106">
        <v>-100.52</v>
      </c>
      <c r="BO2264" s="106">
        <v>-34.35</v>
      </c>
      <c r="BU2264" s="106">
        <v>-97.98</v>
      </c>
      <c r="CA2264" s="106">
        <v>-97.24</v>
      </c>
      <c r="CG2264" s="106">
        <v>-69.150000000000006</v>
      </c>
      <c r="CS2264" s="74">
        <v>-64.400000000000006</v>
      </c>
    </row>
    <row r="2265" spans="1:221" x14ac:dyDescent="0.25">
      <c r="A2265" s="127">
        <v>44886</v>
      </c>
      <c r="B2265" s="24" t="s">
        <v>32</v>
      </c>
      <c r="C2265" s="21">
        <f t="shared" si="39"/>
        <v>-80.569999999999993</v>
      </c>
      <c r="S2265" s="74">
        <v>-16.149999999999999</v>
      </c>
      <c r="AC2265" s="106">
        <v>-8.1999999999999993</v>
      </c>
      <c r="AG2265" s="106">
        <v>-17.920000000000002</v>
      </c>
      <c r="CY2265" s="106">
        <v>-17.25</v>
      </c>
      <c r="EZ2265" s="92">
        <v>-21.05</v>
      </c>
    </row>
    <row r="2266" spans="1:221" x14ac:dyDescent="0.25">
      <c r="A2266" s="127">
        <v>44886</v>
      </c>
      <c r="B2266" s="24" t="s">
        <v>133</v>
      </c>
      <c r="C2266" s="21">
        <f t="shared" si="39"/>
        <v>-32.159999999999997</v>
      </c>
      <c r="CA2266" s="106">
        <v>-32.159999999999997</v>
      </c>
    </row>
    <row r="2267" spans="1:221" x14ac:dyDescent="0.25">
      <c r="A2267" s="127">
        <v>44886</v>
      </c>
      <c r="B2267" s="24" t="s">
        <v>17</v>
      </c>
      <c r="C2267" s="21">
        <f t="shared" si="39"/>
        <v>-84.69</v>
      </c>
      <c r="Z2267" s="79">
        <v>-8.4600000000000009</v>
      </c>
      <c r="AR2267" s="106">
        <v>-8.0500000000000007</v>
      </c>
      <c r="AW2267" s="106">
        <v>-7.97</v>
      </c>
      <c r="BI2267" s="106">
        <v>-35.5</v>
      </c>
      <c r="CG2267" s="106">
        <v>-17.2</v>
      </c>
      <c r="CY2267" s="106">
        <v>-7.51</v>
      </c>
    </row>
    <row r="2268" spans="1:221" x14ac:dyDescent="0.25">
      <c r="A2268" s="127">
        <v>44886</v>
      </c>
      <c r="B2268" s="24" t="s">
        <v>44</v>
      </c>
      <c r="C2268" s="21">
        <f t="shared" si="39"/>
        <v>-164.2</v>
      </c>
      <c r="GP2268" s="42">
        <v>-164.2</v>
      </c>
    </row>
    <row r="2269" spans="1:221" x14ac:dyDescent="0.25">
      <c r="A2269" s="127">
        <v>44886</v>
      </c>
      <c r="B2269" s="24" t="s">
        <v>59</v>
      </c>
      <c r="C2269" s="21">
        <f t="shared" si="39"/>
        <v>-11.24</v>
      </c>
      <c r="CM2269" s="106">
        <v>-6.43</v>
      </c>
      <c r="CS2269" s="74">
        <v>-4.8099999999999996</v>
      </c>
    </row>
    <row r="2270" spans="1:221" x14ac:dyDescent="0.25">
      <c r="A2270" s="127">
        <v>44887</v>
      </c>
      <c r="B2270" s="24" t="s">
        <v>75</v>
      </c>
      <c r="C2270" s="21">
        <f t="shared" si="39"/>
        <v>-42.29</v>
      </c>
      <c r="BI2270" s="106">
        <v>-9.07</v>
      </c>
      <c r="BO2270" s="106">
        <v>-8.6</v>
      </c>
      <c r="BU2270" s="106">
        <v>-7.23</v>
      </c>
      <c r="CE2270" s="42">
        <v>-8.64</v>
      </c>
      <c r="CM2270" s="106">
        <v>-8.75</v>
      </c>
    </row>
    <row r="2271" spans="1:221" x14ac:dyDescent="0.25">
      <c r="A2271" s="127">
        <v>44887</v>
      </c>
      <c r="B2271" s="24" t="s">
        <v>40</v>
      </c>
      <c r="C2271" s="21">
        <f t="shared" si="39"/>
        <v>-302.35000000000002</v>
      </c>
      <c r="HM2271" s="106">
        <v>-302.35000000000002</v>
      </c>
    </row>
    <row r="2272" spans="1:221" x14ac:dyDescent="0.25">
      <c r="A2272" s="127">
        <v>44887</v>
      </c>
      <c r="B2272" s="24" t="s">
        <v>139</v>
      </c>
      <c r="C2272" s="21">
        <f t="shared" si="39"/>
        <v>-9.15</v>
      </c>
      <c r="BI2272" s="106">
        <v>-9.15</v>
      </c>
    </row>
    <row r="2273" spans="1:230" x14ac:dyDescent="0.25">
      <c r="A2273" s="127">
        <v>44887</v>
      </c>
      <c r="B2273" s="24" t="s">
        <v>25</v>
      </c>
      <c r="C2273" s="21">
        <f t="shared" si="39"/>
        <v>-22.44</v>
      </c>
      <c r="BO2273" s="106">
        <v>-6.9</v>
      </c>
      <c r="BU2273" s="106">
        <v>-7.43</v>
      </c>
      <c r="CA2273" s="106">
        <v>-8.11</v>
      </c>
    </row>
    <row r="2274" spans="1:230" x14ac:dyDescent="0.25">
      <c r="A2274" s="127">
        <v>44887</v>
      </c>
      <c r="B2274" s="24" t="s">
        <v>144</v>
      </c>
      <c r="C2274" s="21">
        <f t="shared" si="39"/>
        <v>-298.01</v>
      </c>
      <c r="V2274" s="74">
        <v>-100.69</v>
      </c>
      <c r="Z2274" s="79">
        <v>-95.8</v>
      </c>
      <c r="AC2274" s="106">
        <v>-101.52</v>
      </c>
    </row>
    <row r="2275" spans="1:230" x14ac:dyDescent="0.25">
      <c r="A2275" s="127">
        <v>44887</v>
      </c>
      <c r="B2275" s="24" t="s">
        <v>84</v>
      </c>
      <c r="C2275" s="21">
        <f t="shared" si="39"/>
        <v>-40.21</v>
      </c>
      <c r="AG2275" s="106">
        <v>-8.8699999999999992</v>
      </c>
      <c r="AN2275" s="106">
        <v>-14.4</v>
      </c>
      <c r="BU2275" s="106">
        <v>-16.940000000000001</v>
      </c>
    </row>
    <row r="2276" spans="1:230" x14ac:dyDescent="0.25">
      <c r="A2276" s="127">
        <v>44887</v>
      </c>
      <c r="B2276" s="24" t="s">
        <v>113</v>
      </c>
      <c r="C2276" s="21">
        <f t="shared" si="39"/>
        <v>2193.36</v>
      </c>
      <c r="AR2276" s="106">
        <v>414.89</v>
      </c>
      <c r="AW2276" s="106">
        <v>353.74</v>
      </c>
      <c r="BO2276" s="106">
        <v>521.08000000000004</v>
      </c>
      <c r="CG2276" s="106">
        <v>408.8</v>
      </c>
      <c r="HP2276" s="92">
        <v>494.85</v>
      </c>
    </row>
    <row r="2277" spans="1:230" x14ac:dyDescent="0.25">
      <c r="A2277" s="127">
        <v>44887</v>
      </c>
      <c r="B2277" s="24" t="s">
        <v>37</v>
      </c>
      <c r="C2277" s="21">
        <f t="shared" si="39"/>
        <v>-67.459999999999994</v>
      </c>
      <c r="HK2277" s="50">
        <v>-67.459999999999994</v>
      </c>
    </row>
    <row r="2278" spans="1:230" x14ac:dyDescent="0.25">
      <c r="A2278" s="127">
        <v>44888</v>
      </c>
      <c r="B2278" s="24" t="s">
        <v>37</v>
      </c>
      <c r="C2278" s="21">
        <f t="shared" si="39"/>
        <v>-1523.81</v>
      </c>
      <c r="HF2278" s="92">
        <v>-95.1</v>
      </c>
      <c r="HK2278" s="50">
        <v>-366.63</v>
      </c>
      <c r="HL2278" s="42">
        <v>-7.33</v>
      </c>
      <c r="HM2278" s="106">
        <v>-201.25</v>
      </c>
      <c r="HP2278" s="92">
        <v>-494.85</v>
      </c>
      <c r="HR2278" s="92">
        <v>-358.65</v>
      </c>
    </row>
    <row r="2279" spans="1:230" x14ac:dyDescent="0.25">
      <c r="A2279" s="127">
        <v>44888</v>
      </c>
      <c r="B2279" s="24" t="s">
        <v>68</v>
      </c>
      <c r="C2279" s="21">
        <f t="shared" si="39"/>
        <v>-69.27</v>
      </c>
      <c r="CG2279" s="106">
        <v>-34.549999999999997</v>
      </c>
      <c r="CM2279" s="106">
        <v>-34.72</v>
      </c>
    </row>
    <row r="2280" spans="1:230" x14ac:dyDescent="0.25">
      <c r="A2280" s="127">
        <v>44888</v>
      </c>
      <c r="B2280" s="24" t="s">
        <v>113</v>
      </c>
      <c r="C2280" s="21">
        <f t="shared" si="39"/>
        <v>1121.06</v>
      </c>
      <c r="FK2280" s="106">
        <v>81.2</v>
      </c>
      <c r="GQ2280" s="92">
        <v>518.66</v>
      </c>
      <c r="HV2280" s="92">
        <v>521.20000000000005</v>
      </c>
    </row>
    <row r="2281" spans="1:230" x14ac:dyDescent="0.25">
      <c r="A2281" s="127">
        <v>44889</v>
      </c>
      <c r="B2281" s="24" t="s">
        <v>37</v>
      </c>
      <c r="C2281" s="21">
        <f t="shared" si="39"/>
        <v>-104.3</v>
      </c>
      <c r="HV2281" s="92">
        <v>-104.3</v>
      </c>
    </row>
    <row r="2282" spans="1:230" x14ac:dyDescent="0.25">
      <c r="A2282" s="127">
        <v>44889</v>
      </c>
      <c r="B2282" s="24" t="s">
        <v>133</v>
      </c>
      <c r="C2282" s="21">
        <f t="shared" si="39"/>
        <v>-172.17</v>
      </c>
      <c r="AR2282" s="106">
        <v>-34.479999999999997</v>
      </c>
      <c r="BO2282" s="106">
        <v>-36.04</v>
      </c>
      <c r="BU2282" s="106">
        <v>-35.32</v>
      </c>
      <c r="CA2282" s="106">
        <v>-32.58</v>
      </c>
      <c r="DK2282" s="106">
        <v>-33.75</v>
      </c>
    </row>
    <row r="2283" spans="1:230" x14ac:dyDescent="0.25">
      <c r="A2283" s="127">
        <v>44890</v>
      </c>
      <c r="B2283" s="24" t="s">
        <v>17</v>
      </c>
      <c r="C2283" s="21">
        <f t="shared" si="39"/>
        <v>-78.349999999999994</v>
      </c>
      <c r="BU2283" s="106">
        <v>-14.54</v>
      </c>
      <c r="CA2283" s="106">
        <v>-15.26</v>
      </c>
      <c r="CG2283" s="106">
        <v>-8.65</v>
      </c>
      <c r="CM2283" s="106">
        <v>-8.6999999999999993</v>
      </c>
      <c r="CS2283" s="74">
        <v>-15.64</v>
      </c>
      <c r="CY2283" s="106">
        <v>-15.56</v>
      </c>
    </row>
    <row r="2284" spans="1:230" x14ac:dyDescent="0.25">
      <c r="A2284" s="127">
        <v>44890</v>
      </c>
      <c r="B2284" s="24" t="s">
        <v>59</v>
      </c>
      <c r="C2284" s="21">
        <f t="shared" si="39"/>
        <v>-8.59</v>
      </c>
      <c r="AU2284" s="42">
        <v>-8.59</v>
      </c>
    </row>
    <row r="2285" spans="1:230" x14ac:dyDescent="0.25">
      <c r="A2285" s="127">
        <v>44890</v>
      </c>
      <c r="B2285" s="24" t="s">
        <v>139</v>
      </c>
      <c r="C2285" s="21">
        <f t="shared" si="39"/>
        <v>-42.57</v>
      </c>
      <c r="BU2285" s="106">
        <v>-8.81</v>
      </c>
      <c r="CA2285" s="106">
        <v>-8.07</v>
      </c>
      <c r="CG2285" s="106">
        <v>-8.6</v>
      </c>
      <c r="CQ2285" s="42">
        <v>-8.4</v>
      </c>
      <c r="CY2285" s="106">
        <v>-8.69</v>
      </c>
    </row>
    <row r="2286" spans="1:230" x14ac:dyDescent="0.25">
      <c r="A2286" s="127">
        <v>44890</v>
      </c>
      <c r="B2286" s="24" t="s">
        <v>162</v>
      </c>
      <c r="C2286" s="21">
        <f t="shared" si="39"/>
        <v>-155.02000000000001</v>
      </c>
      <c r="AR2286" s="106">
        <v>-17.23</v>
      </c>
      <c r="AW2286" s="106">
        <v>-17.399999999999999</v>
      </c>
      <c r="BC2286" s="106">
        <v>-16.73</v>
      </c>
      <c r="BI2286" s="106">
        <v>-18.04</v>
      </c>
      <c r="BO2286" s="106">
        <v>-17.149999999999999</v>
      </c>
      <c r="BU2286" s="106">
        <v>-17.34</v>
      </c>
      <c r="CA2286" s="106">
        <v>-16.38</v>
      </c>
      <c r="CG2286" s="106">
        <v>-17.3</v>
      </c>
      <c r="CM2286" s="106">
        <v>-17.45</v>
      </c>
    </row>
    <row r="2287" spans="1:230" x14ac:dyDescent="0.25">
      <c r="A2287" s="127">
        <v>44890</v>
      </c>
      <c r="B2287" s="24" t="s">
        <v>25</v>
      </c>
      <c r="C2287" s="21">
        <f t="shared" si="39"/>
        <v>-33</v>
      </c>
      <c r="BU2287" s="106">
        <v>-15.82</v>
      </c>
      <c r="CA2287" s="106">
        <v>-8.5299999999999994</v>
      </c>
      <c r="CG2287" s="106">
        <v>-8.65</v>
      </c>
    </row>
    <row r="2288" spans="1:230" x14ac:dyDescent="0.25">
      <c r="A2288" s="127">
        <v>44890</v>
      </c>
      <c r="B2288" s="24" t="s">
        <v>39</v>
      </c>
      <c r="C2288" s="21">
        <f t="shared" si="39"/>
        <v>-30.58</v>
      </c>
      <c r="AC2288" s="106">
        <v>-15.7</v>
      </c>
      <c r="BI2288" s="106">
        <v>-14.88</v>
      </c>
    </row>
    <row r="2289" spans="1:230" x14ac:dyDescent="0.25">
      <c r="A2289" s="127">
        <v>44890</v>
      </c>
      <c r="B2289" s="24" t="s">
        <v>95</v>
      </c>
      <c r="C2289" s="21">
        <f t="shared" ref="C2289:C2352" si="40">SUM(D2289:JT2289)</f>
        <v>-306.48</v>
      </c>
      <c r="BC2289" s="106">
        <v>-27.68</v>
      </c>
      <c r="BO2289" s="106">
        <v>-70.459999999999994</v>
      </c>
      <c r="BU2289" s="106">
        <v>-63.18</v>
      </c>
      <c r="BY2289" s="42">
        <v>-8.6300000000000008</v>
      </c>
      <c r="CG2289" s="106">
        <v>-67.25</v>
      </c>
      <c r="CM2289" s="106">
        <v>-69.28</v>
      </c>
    </row>
    <row r="2290" spans="1:230" x14ac:dyDescent="0.25">
      <c r="A2290" s="127">
        <v>44890</v>
      </c>
      <c r="B2290" s="24" t="s">
        <v>59</v>
      </c>
      <c r="C2290" s="21">
        <f t="shared" si="40"/>
        <v>-6.84</v>
      </c>
      <c r="CG2290" s="106">
        <v>-3.02</v>
      </c>
      <c r="CS2290" s="74">
        <v>-1.8</v>
      </c>
      <c r="CY2290" s="106">
        <v>-2.02</v>
      </c>
    </row>
    <row r="2291" spans="1:230" x14ac:dyDescent="0.25">
      <c r="A2291" s="127">
        <v>44890</v>
      </c>
      <c r="B2291" s="24" t="s">
        <v>113</v>
      </c>
      <c r="C2291" s="21">
        <f t="shared" si="40"/>
        <v>1012.88</v>
      </c>
      <c r="AN2291" s="106">
        <v>398.32</v>
      </c>
      <c r="CA2291" s="106">
        <v>352.66</v>
      </c>
      <c r="FC2291" s="106">
        <v>261.89999999999998</v>
      </c>
    </row>
    <row r="2292" spans="1:230" x14ac:dyDescent="0.25">
      <c r="A2292" s="127">
        <v>44890</v>
      </c>
      <c r="B2292" s="24" t="s">
        <v>152</v>
      </c>
      <c r="C2292" s="21">
        <f t="shared" si="40"/>
        <v>-1111.6500000000001</v>
      </c>
      <c r="AN2292" s="106">
        <v>-32.15</v>
      </c>
      <c r="AR2292" s="106">
        <v>-34.770000000000003</v>
      </c>
      <c r="BC2292" s="106">
        <v>-62.19</v>
      </c>
      <c r="BO2292" s="106">
        <v>-34.82</v>
      </c>
      <c r="BU2292" s="106">
        <v>-64.599999999999994</v>
      </c>
      <c r="CA2292" s="106">
        <v>-131.32</v>
      </c>
      <c r="CG2292" s="106">
        <v>-104.35</v>
      </c>
      <c r="CS2292" s="74">
        <v>-96.86</v>
      </c>
      <c r="CY2292" s="106">
        <v>-31.52</v>
      </c>
      <c r="DK2292" s="106">
        <v>-34.85</v>
      </c>
      <c r="DU2292" s="106">
        <v>-133.38</v>
      </c>
      <c r="EA2292" s="74">
        <v>-68.709999999999994</v>
      </c>
      <c r="EE2292" s="42">
        <v>-70.42</v>
      </c>
      <c r="EL2292" s="106">
        <v>-103.45</v>
      </c>
      <c r="FC2292" s="106">
        <v>-88.46</v>
      </c>
      <c r="FK2292" s="106">
        <v>-19.8</v>
      </c>
    </row>
    <row r="2293" spans="1:230" x14ac:dyDescent="0.25">
      <c r="A2293" s="127">
        <v>44893</v>
      </c>
      <c r="B2293" s="24" t="s">
        <v>133</v>
      </c>
      <c r="C2293" s="21">
        <f t="shared" si="40"/>
        <v>-136.65</v>
      </c>
      <c r="AN2293" s="106">
        <v>-33.22</v>
      </c>
      <c r="BI2293" s="106">
        <v>-36.340000000000003</v>
      </c>
      <c r="CA2293" s="106">
        <v>-32.44</v>
      </c>
      <c r="CG2293" s="106">
        <v>-34.65</v>
      </c>
    </row>
    <row r="2294" spans="1:230" x14ac:dyDescent="0.25">
      <c r="A2294" s="127">
        <v>44893</v>
      </c>
      <c r="B2294" s="24" t="s">
        <v>95</v>
      </c>
      <c r="C2294" s="21">
        <f t="shared" si="40"/>
        <v>-757.65</v>
      </c>
      <c r="AC2294" s="106">
        <v>-31.35</v>
      </c>
      <c r="AG2294" s="106">
        <v>-71.52</v>
      </c>
      <c r="AR2294" s="106">
        <v>-34.11</v>
      </c>
      <c r="AW2294" s="106">
        <v>-62.54</v>
      </c>
      <c r="BI2294" s="106">
        <v>-103.66</v>
      </c>
      <c r="BO2294" s="106">
        <v>-104.32</v>
      </c>
      <c r="BU2294" s="106">
        <v>-31.94</v>
      </c>
      <c r="CA2294" s="106">
        <v>-99.52</v>
      </c>
      <c r="CG2294" s="106">
        <v>-64.349999999999994</v>
      </c>
      <c r="CM2294" s="106">
        <v>-27.3</v>
      </c>
      <c r="CS2294" s="74">
        <v>-64.14</v>
      </c>
      <c r="CY2294" s="106">
        <v>-62.9</v>
      </c>
    </row>
    <row r="2295" spans="1:230" x14ac:dyDescent="0.25">
      <c r="A2295" s="127">
        <v>44893</v>
      </c>
      <c r="B2295" s="24" t="s">
        <v>95</v>
      </c>
      <c r="C2295" s="21">
        <f t="shared" si="40"/>
        <v>-538.07000000000005</v>
      </c>
      <c r="AG2295" s="106">
        <v>-35.58</v>
      </c>
      <c r="AN2295" s="106">
        <v>-66.44</v>
      </c>
      <c r="AR2295" s="106">
        <v>-69.8</v>
      </c>
      <c r="AW2295" s="106">
        <v>-31.94</v>
      </c>
      <c r="BI2295" s="106">
        <v>-30.28</v>
      </c>
      <c r="CG2295" s="106">
        <v>-34.6</v>
      </c>
      <c r="CM2295" s="106">
        <v>-67.540000000000006</v>
      </c>
      <c r="DE2295" s="74">
        <v>-69.739999999999995</v>
      </c>
      <c r="DK2295" s="106">
        <v>-67.55</v>
      </c>
      <c r="DP2295" s="74">
        <v>-64.599999999999994</v>
      </c>
    </row>
    <row r="2296" spans="1:230" x14ac:dyDescent="0.25">
      <c r="A2296" s="127">
        <v>44894</v>
      </c>
      <c r="B2296" s="24" t="s">
        <v>44</v>
      </c>
      <c r="C2296" s="21">
        <f t="shared" si="40"/>
        <v>-96.37</v>
      </c>
      <c r="GQ2296" s="92">
        <v>-96.37</v>
      </c>
    </row>
    <row r="2297" spans="1:230" x14ac:dyDescent="0.25">
      <c r="A2297" s="127">
        <v>44894</v>
      </c>
      <c r="B2297" s="24" t="s">
        <v>65</v>
      </c>
      <c r="C2297" s="21">
        <f t="shared" si="40"/>
        <v>-34.64</v>
      </c>
      <c r="AR2297" s="106">
        <v>-34.64</v>
      </c>
    </row>
    <row r="2298" spans="1:230" x14ac:dyDescent="0.25">
      <c r="A2298" s="127">
        <v>44894</v>
      </c>
      <c r="B2298" s="24" t="s">
        <v>84</v>
      </c>
      <c r="C2298" s="21">
        <f t="shared" si="40"/>
        <v>-43.04</v>
      </c>
      <c r="BA2298" s="42">
        <v>-7.86</v>
      </c>
      <c r="BC2298" s="106">
        <v>-8.75</v>
      </c>
      <c r="BI2298" s="106">
        <v>-17.52</v>
      </c>
      <c r="BO2298" s="106">
        <v>-8.91</v>
      </c>
    </row>
    <row r="2299" spans="1:230" x14ac:dyDescent="0.25">
      <c r="A2299" s="127">
        <v>44894</v>
      </c>
      <c r="B2299" s="24" t="s">
        <v>20</v>
      </c>
      <c r="C2299" s="21">
        <f t="shared" si="40"/>
        <v>-135.44999999999999</v>
      </c>
      <c r="BI2299" s="106">
        <v>-8.15</v>
      </c>
      <c r="BO2299" s="106">
        <v>-8.4499999999999993</v>
      </c>
      <c r="BU2299" s="106">
        <v>-7.65</v>
      </c>
      <c r="CA2299" s="106">
        <v>-8.43</v>
      </c>
      <c r="CG2299" s="106">
        <v>-8.65</v>
      </c>
      <c r="CM2299" s="106">
        <v>-8.65</v>
      </c>
      <c r="GZ2299" s="106">
        <v>-85.47</v>
      </c>
    </row>
    <row r="2300" spans="1:230" x14ac:dyDescent="0.25">
      <c r="A2300" s="127">
        <v>44894</v>
      </c>
      <c r="B2300" s="24" t="s">
        <v>138</v>
      </c>
      <c r="C2300" s="21">
        <f t="shared" si="40"/>
        <v>-25.27</v>
      </c>
      <c r="DY2300" s="42">
        <v>-8.7899999999999991</v>
      </c>
      <c r="EC2300" s="126">
        <f>-8.21-8.27</f>
        <v>-16.48</v>
      </c>
    </row>
    <row r="2301" spans="1:230" x14ac:dyDescent="0.25">
      <c r="A2301" s="127">
        <v>44894</v>
      </c>
      <c r="B2301" s="24" t="s">
        <v>127</v>
      </c>
      <c r="C2301" s="21">
        <f t="shared" si="40"/>
        <v>-17.010000000000002</v>
      </c>
      <c r="BG2301" s="42">
        <v>-8.65</v>
      </c>
      <c r="BM2301" s="88">
        <v>-8.36</v>
      </c>
    </row>
    <row r="2302" spans="1:230" x14ac:dyDescent="0.25">
      <c r="A2302" s="127">
        <v>44894</v>
      </c>
      <c r="B2302" s="24" t="s">
        <v>139</v>
      </c>
      <c r="C2302" s="21">
        <f t="shared" si="40"/>
        <v>-16.25</v>
      </c>
      <c r="Z2302" s="79">
        <v>-8.4499999999999993</v>
      </c>
      <c r="AC2302" s="106">
        <v>-7.8</v>
      </c>
    </row>
    <row r="2303" spans="1:230" x14ac:dyDescent="0.25">
      <c r="A2303" s="127">
        <v>44894</v>
      </c>
      <c r="B2303" s="24" t="s">
        <v>75</v>
      </c>
      <c r="C2303" s="21">
        <f t="shared" si="40"/>
        <v>-25.54</v>
      </c>
      <c r="BI2303" s="106">
        <v>-9.23</v>
      </c>
      <c r="BO2303" s="106">
        <v>-7.71</v>
      </c>
      <c r="CG2303" s="106">
        <v>-8.6</v>
      </c>
    </row>
    <row r="2304" spans="1:230" x14ac:dyDescent="0.25">
      <c r="A2304" s="127">
        <v>44894</v>
      </c>
      <c r="B2304" s="24" t="s">
        <v>40</v>
      </c>
      <c r="C2304" s="21">
        <f t="shared" si="40"/>
        <v>-255.85</v>
      </c>
      <c r="HV2304" s="92">
        <v>-255.85</v>
      </c>
    </row>
    <row r="2305" spans="1:236" x14ac:dyDescent="0.25">
      <c r="A2305" s="127">
        <v>44894</v>
      </c>
      <c r="B2305" s="24" t="s">
        <v>32</v>
      </c>
      <c r="C2305" s="21">
        <f t="shared" si="40"/>
        <v>-42.77</v>
      </c>
      <c r="AC2305" s="106">
        <v>-7.85</v>
      </c>
      <c r="AG2305" s="106">
        <v>-8.91</v>
      </c>
      <c r="AR2305" s="106">
        <v>-8.59</v>
      </c>
      <c r="CA2305" s="106">
        <v>-17.420000000000002</v>
      </c>
    </row>
    <row r="2306" spans="1:236" x14ac:dyDescent="0.25">
      <c r="A2306" s="127">
        <v>44894</v>
      </c>
      <c r="B2306" s="24" t="s">
        <v>32</v>
      </c>
      <c r="C2306" s="21">
        <f t="shared" si="40"/>
        <v>-192.61</v>
      </c>
      <c r="AR2306" s="106">
        <v>-8.6</v>
      </c>
      <c r="AW2306" s="106">
        <v>-32.56</v>
      </c>
      <c r="BA2306" s="42">
        <v>-8.8000000000000007</v>
      </c>
      <c r="BI2306" s="106">
        <v>-9.2100000000000009</v>
      </c>
      <c r="BO2306" s="106">
        <v>-34.32</v>
      </c>
      <c r="BU2306" s="106">
        <v>-8.69</v>
      </c>
      <c r="CA2306" s="106">
        <v>-34.32</v>
      </c>
      <c r="CM2306" s="106">
        <v>-17.38</v>
      </c>
      <c r="CS2306" s="74">
        <v>-7.97</v>
      </c>
      <c r="CY2306" s="106">
        <v>-15.3</v>
      </c>
      <c r="DE2306" s="74">
        <v>-7.73</v>
      </c>
      <c r="DK2306" s="106">
        <v>-7.73</v>
      </c>
    </row>
    <row r="2307" spans="1:236" x14ac:dyDescent="0.25">
      <c r="A2307" s="127">
        <v>44894</v>
      </c>
      <c r="B2307" s="24" t="s">
        <v>68</v>
      </c>
      <c r="C2307" s="21">
        <f t="shared" si="40"/>
        <v>-97.8</v>
      </c>
      <c r="BI2307" s="106">
        <v>-28.82</v>
      </c>
      <c r="BO2307" s="106">
        <v>-34.72</v>
      </c>
      <c r="CA2307" s="106">
        <v>-34.26</v>
      </c>
    </row>
    <row r="2308" spans="1:236" x14ac:dyDescent="0.25">
      <c r="A2308" s="127">
        <v>44895</v>
      </c>
      <c r="B2308" s="24" t="s">
        <v>50</v>
      </c>
      <c r="C2308" s="21">
        <f t="shared" si="40"/>
        <v>-269.83</v>
      </c>
      <c r="GV2308" s="42">
        <v>-75.599999999999994</v>
      </c>
      <c r="GZ2308" s="106">
        <v>-66.400000000000006</v>
      </c>
      <c r="HY2308" s="38">
        <v>-65.97</v>
      </c>
      <c r="IB2308" s="42">
        <v>-61.86</v>
      </c>
    </row>
    <row r="2309" spans="1:236" x14ac:dyDescent="0.25">
      <c r="A2309" s="127">
        <v>44895</v>
      </c>
      <c r="B2309" s="24" t="s">
        <v>113</v>
      </c>
      <c r="C2309" s="21">
        <f t="shared" si="40"/>
        <v>1659.16</v>
      </c>
      <c r="BC2309" s="106">
        <v>367.85</v>
      </c>
      <c r="CG2309" s="106">
        <v>368.5</v>
      </c>
      <c r="CM2309" s="106">
        <v>516.20000000000005</v>
      </c>
      <c r="GZ2309" s="106">
        <v>406.61</v>
      </c>
    </row>
    <row r="2310" spans="1:236" x14ac:dyDescent="0.25">
      <c r="A2310" s="127">
        <v>44895</v>
      </c>
      <c r="B2310" s="24" t="s">
        <v>135</v>
      </c>
      <c r="C2310" s="21">
        <f t="shared" si="40"/>
        <v>-20.47</v>
      </c>
      <c r="H2310" s="84">
        <v>-5.25</v>
      </c>
      <c r="I2310" s="84">
        <v>-6.72</v>
      </c>
      <c r="L2310" s="69">
        <v>-8.5</v>
      </c>
    </row>
    <row r="2311" spans="1:236" x14ac:dyDescent="0.25">
      <c r="A2311" s="127">
        <v>44895</v>
      </c>
      <c r="B2311" s="24" t="s">
        <v>152</v>
      </c>
      <c r="C2311" s="21">
        <f t="shared" si="40"/>
        <v>-882.47</v>
      </c>
      <c r="AR2311" s="106">
        <v>-68.89</v>
      </c>
      <c r="AW2311" s="106">
        <v>-93.57</v>
      </c>
      <c r="BC2311" s="106">
        <v>-96.35</v>
      </c>
      <c r="BO2311" s="106">
        <v>-172.98</v>
      </c>
      <c r="CA2311" s="106">
        <v>-34.4</v>
      </c>
      <c r="CG2311" s="106">
        <v>-99.5</v>
      </c>
      <c r="CM2311" s="106">
        <v>-131.38</v>
      </c>
      <c r="CS2311" s="74">
        <v>-31.98</v>
      </c>
      <c r="CY2311" s="106">
        <v>-32.28</v>
      </c>
      <c r="DK2311" s="106">
        <v>-33.799999999999997</v>
      </c>
      <c r="FC2311" s="106">
        <v>-87.34</v>
      </c>
    </row>
    <row r="2312" spans="1:236" x14ac:dyDescent="0.25">
      <c r="A2312" s="127">
        <v>44895</v>
      </c>
      <c r="B2312" s="24" t="s">
        <v>133</v>
      </c>
      <c r="C2312" s="21">
        <f t="shared" si="40"/>
        <v>-166.57</v>
      </c>
      <c r="BC2312" s="106">
        <v>-32.15</v>
      </c>
      <c r="CG2312" s="106">
        <v>-32.200000000000003</v>
      </c>
      <c r="CM2312" s="106">
        <v>-33.659999999999997</v>
      </c>
      <c r="CY2312" s="106">
        <v>-32.9</v>
      </c>
      <c r="DE2312" s="74">
        <v>-35.659999999999997</v>
      </c>
    </row>
    <row r="2313" spans="1:236" x14ac:dyDescent="0.25">
      <c r="A2313" s="127">
        <v>44895</v>
      </c>
      <c r="B2313" s="24" t="s">
        <v>95</v>
      </c>
      <c r="C2313" s="21">
        <f t="shared" si="40"/>
        <v>-65.95</v>
      </c>
      <c r="CG2313" s="106">
        <v>-65.95</v>
      </c>
    </row>
    <row r="2314" spans="1:236" x14ac:dyDescent="0.25">
      <c r="A2314" s="127">
        <v>44897</v>
      </c>
      <c r="B2314" s="24" t="s">
        <v>58</v>
      </c>
      <c r="C2314" s="21">
        <f t="shared" si="40"/>
        <v>0</v>
      </c>
    </row>
    <row r="2315" spans="1:236" x14ac:dyDescent="0.25">
      <c r="A2315" s="127">
        <v>44898</v>
      </c>
      <c r="B2315" s="24" t="s">
        <v>167</v>
      </c>
      <c r="C2315" s="21">
        <f t="shared" si="40"/>
        <v>-5</v>
      </c>
      <c r="E2315" s="386">
        <v>-5</v>
      </c>
    </row>
    <row r="2316" spans="1:236" x14ac:dyDescent="0.25">
      <c r="A2316" s="127">
        <v>44900</v>
      </c>
      <c r="B2316" s="24" t="s">
        <v>149</v>
      </c>
      <c r="C2316" s="21">
        <f t="shared" si="40"/>
        <v>-7.25</v>
      </c>
      <c r="BU2316" s="106">
        <v>-7.25</v>
      </c>
    </row>
    <row r="2317" spans="1:236" x14ac:dyDescent="0.25">
      <c r="A2317" s="127">
        <v>44900</v>
      </c>
      <c r="B2317" s="24" t="s">
        <v>155</v>
      </c>
      <c r="C2317" s="21">
        <f t="shared" si="40"/>
        <v>69.7</v>
      </c>
      <c r="AR2317" s="106">
        <v>-25.88</v>
      </c>
      <c r="AU2317" s="42">
        <v>8.59</v>
      </c>
      <c r="BA2317" s="42">
        <f>8.8+16.69</f>
        <v>25.49</v>
      </c>
      <c r="BC2317" s="106">
        <v>-7.99</v>
      </c>
      <c r="BG2317" s="42">
        <f>8.65+35.09</f>
        <v>43.74</v>
      </c>
      <c r="BM2317" s="88">
        <v>8.36</v>
      </c>
      <c r="BO2317" s="106">
        <v>-34.5</v>
      </c>
      <c r="BS2317" s="42">
        <v>17.239999999999998</v>
      </c>
      <c r="BU2317" s="106">
        <v>-8.17</v>
      </c>
      <c r="BY2317" s="42">
        <v>8.6300000000000008</v>
      </c>
      <c r="CE2317" s="42">
        <f>35.1+8.26</f>
        <v>43.36</v>
      </c>
      <c r="CK2317" s="42">
        <v>8.64</v>
      </c>
      <c r="CM2317" s="106">
        <v>-17.04</v>
      </c>
      <c r="CQ2317" s="42">
        <f>8.4+34.08</f>
        <v>42.48</v>
      </c>
      <c r="CW2317" s="42">
        <v>8.7799999999999994</v>
      </c>
      <c r="CY2317" s="106">
        <v>-90.31</v>
      </c>
      <c r="DE2317" s="74">
        <v>-52.02</v>
      </c>
      <c r="DP2317" s="74">
        <v>-49.1</v>
      </c>
      <c r="DS2317" s="42">
        <v>69.11</v>
      </c>
      <c r="DU2317" s="106">
        <v>-160.4</v>
      </c>
      <c r="DY2317" s="42">
        <f>35.67+70.19</f>
        <v>105.86</v>
      </c>
      <c r="EE2317" s="42">
        <f>70.42+8.69</f>
        <v>79.11</v>
      </c>
      <c r="EJ2317" s="42">
        <v>66.37</v>
      </c>
      <c r="EZ2317" s="92">
        <v>-20.65</v>
      </c>
    </row>
    <row r="2318" spans="1:236" x14ac:dyDescent="0.25">
      <c r="A2318" s="127">
        <v>44901</v>
      </c>
      <c r="B2318" s="24" t="s">
        <v>83</v>
      </c>
      <c r="C2318" s="21">
        <f t="shared" si="40"/>
        <v>-7.2</v>
      </c>
      <c r="S2318" s="74">
        <v>-7.2</v>
      </c>
    </row>
    <row r="2319" spans="1:236" x14ac:dyDescent="0.25">
      <c r="A2319" s="127">
        <v>44901</v>
      </c>
      <c r="B2319" s="24" t="s">
        <v>127</v>
      </c>
      <c r="C2319" s="21">
        <f t="shared" si="40"/>
        <v>-8.65</v>
      </c>
      <c r="BS2319" s="42">
        <v>-8.65</v>
      </c>
    </row>
    <row r="2320" spans="1:236" x14ac:dyDescent="0.25">
      <c r="A2320" s="127">
        <v>44901</v>
      </c>
      <c r="B2320" s="24" t="s">
        <v>25</v>
      </c>
      <c r="C2320" s="21">
        <f t="shared" si="40"/>
        <v>-33.700000000000003</v>
      </c>
      <c r="AR2320" s="106">
        <v>-8.75</v>
      </c>
      <c r="AW2320" s="106">
        <v>-8.6300000000000008</v>
      </c>
      <c r="BI2320" s="106">
        <v>-8.77</v>
      </c>
      <c r="BS2320" s="42">
        <v>-7.55</v>
      </c>
    </row>
    <row r="2321" spans="1:235" x14ac:dyDescent="0.25">
      <c r="A2321" s="127">
        <v>44901</v>
      </c>
      <c r="B2321" s="24" t="s">
        <v>20</v>
      </c>
      <c r="C2321" s="21">
        <f t="shared" si="40"/>
        <v>-24.46</v>
      </c>
      <c r="AC2321" s="106">
        <v>-7.85</v>
      </c>
      <c r="AR2321" s="106">
        <v>-8.56</v>
      </c>
      <c r="BC2321" s="106">
        <v>-8.0500000000000007</v>
      </c>
    </row>
    <row r="2322" spans="1:235" x14ac:dyDescent="0.25">
      <c r="A2322" s="127">
        <v>44901</v>
      </c>
      <c r="B2322" s="24" t="s">
        <v>44</v>
      </c>
      <c r="C2322" s="21">
        <f t="shared" si="40"/>
        <v>-117.19</v>
      </c>
      <c r="GJ2322" s="202">
        <v>-25.13</v>
      </c>
      <c r="GQ2322" s="92">
        <v>-65.290000000000006</v>
      </c>
      <c r="HF2322" s="92">
        <v>-26.77</v>
      </c>
    </row>
    <row r="2323" spans="1:235" x14ac:dyDescent="0.25">
      <c r="A2323" s="127">
        <v>44901</v>
      </c>
      <c r="B2323" s="24" t="s">
        <v>113</v>
      </c>
      <c r="C2323" s="21">
        <f t="shared" si="40"/>
        <v>2904.1</v>
      </c>
      <c r="BI2323" s="106">
        <v>410.22</v>
      </c>
      <c r="BO2323" s="106">
        <v>418.62</v>
      </c>
      <c r="BU2323" s="106">
        <v>417.04</v>
      </c>
      <c r="CA2323" s="106">
        <v>418.22</v>
      </c>
      <c r="CS2323" s="74">
        <v>409.38</v>
      </c>
      <c r="DU2323" s="106">
        <v>415.62</v>
      </c>
      <c r="EA2323" s="74">
        <v>415</v>
      </c>
    </row>
    <row r="2324" spans="1:235" x14ac:dyDescent="0.25">
      <c r="A2324" s="127">
        <v>44902</v>
      </c>
      <c r="B2324" s="24" t="s">
        <v>58</v>
      </c>
      <c r="C2324" s="21">
        <f t="shared" si="40"/>
        <v>0</v>
      </c>
    </row>
    <row r="2325" spans="1:235" x14ac:dyDescent="0.25">
      <c r="A2325" s="127">
        <v>44902</v>
      </c>
      <c r="B2325" s="24" t="s">
        <v>25</v>
      </c>
      <c r="C2325" s="21">
        <f t="shared" si="40"/>
        <v>-74.2</v>
      </c>
      <c r="CS2325" s="74">
        <v>-39.950000000000003</v>
      </c>
      <c r="DK2325" s="106">
        <v>-34.25</v>
      </c>
    </row>
    <row r="2326" spans="1:235" x14ac:dyDescent="0.25">
      <c r="A2326" s="127">
        <v>44902</v>
      </c>
      <c r="B2326" s="24" t="s">
        <v>127</v>
      </c>
      <c r="C2326" s="21">
        <f t="shared" si="40"/>
        <v>-8.83</v>
      </c>
      <c r="BA2326" s="42">
        <v>-8.83</v>
      </c>
    </row>
    <row r="2327" spans="1:235" x14ac:dyDescent="0.25">
      <c r="A2327" s="127">
        <v>44902</v>
      </c>
      <c r="B2327" s="24" t="s">
        <v>152</v>
      </c>
      <c r="C2327" s="21">
        <f t="shared" si="40"/>
        <v>-993.58</v>
      </c>
      <c r="Z2327" s="79">
        <v>-33.75</v>
      </c>
      <c r="BC2327" s="106">
        <v>-32.049999999999997</v>
      </c>
      <c r="BI2327" s="106">
        <v>-170.34</v>
      </c>
      <c r="BU2327" s="106">
        <v>-134.63999999999999</v>
      </c>
      <c r="CA2327" s="106">
        <v>-130.82</v>
      </c>
      <c r="CS2327" s="74">
        <v>-30.1</v>
      </c>
      <c r="CY2327" s="106">
        <v>-63.92</v>
      </c>
      <c r="DE2327" s="74">
        <v>-33.18</v>
      </c>
      <c r="DP2327" s="74">
        <v>-35.04</v>
      </c>
      <c r="DU2327" s="106">
        <v>-69.94</v>
      </c>
      <c r="EA2327" s="74">
        <v>-173.7</v>
      </c>
      <c r="FC2327" s="106">
        <v>-86.1</v>
      </c>
    </row>
    <row r="2328" spans="1:235" x14ac:dyDescent="0.25">
      <c r="A2328" s="127">
        <v>44902</v>
      </c>
      <c r="B2328" s="24" t="s">
        <v>59</v>
      </c>
      <c r="C2328" s="21">
        <f t="shared" si="40"/>
        <v>-8.31</v>
      </c>
      <c r="AN2328" s="106">
        <v>-8.31</v>
      </c>
    </row>
    <row r="2329" spans="1:235" x14ac:dyDescent="0.25">
      <c r="A2329" s="127">
        <v>44902</v>
      </c>
      <c r="B2329" s="24" t="s">
        <v>72</v>
      </c>
      <c r="C2329" s="21">
        <f t="shared" si="40"/>
        <v>-33.549999999999997</v>
      </c>
      <c r="DK2329" s="106">
        <v>-33.549999999999997</v>
      </c>
    </row>
    <row r="2330" spans="1:235" x14ac:dyDescent="0.25">
      <c r="A2330" s="127">
        <v>44903</v>
      </c>
      <c r="B2330" s="24" t="s">
        <v>15</v>
      </c>
      <c r="C2330" s="21">
        <f t="shared" si="40"/>
        <v>-133.68</v>
      </c>
      <c r="BI2330" s="106">
        <v>-33.700000000000003</v>
      </c>
      <c r="BO2330" s="106">
        <f>-33.44-31.74</f>
        <v>-65.180000000000007</v>
      </c>
      <c r="CG2330" s="106">
        <v>-34.799999999999997</v>
      </c>
    </row>
    <row r="2331" spans="1:235" x14ac:dyDescent="0.25">
      <c r="A2331" s="127">
        <v>44903</v>
      </c>
      <c r="B2331" s="24" t="s">
        <v>133</v>
      </c>
      <c r="C2331" s="21">
        <f t="shared" si="40"/>
        <v>-263.77</v>
      </c>
      <c r="AR2331" s="106">
        <v>-34.71</v>
      </c>
      <c r="AW2331" s="106">
        <v>-33.56</v>
      </c>
      <c r="BI2331" s="106">
        <v>-35.68</v>
      </c>
      <c r="BO2331" s="106">
        <v>-30.68</v>
      </c>
      <c r="BU2331" s="106">
        <v>-33.82</v>
      </c>
      <c r="CA2331" s="106">
        <v>-32.799999999999997</v>
      </c>
      <c r="CG2331" s="106">
        <v>-33.200000000000003</v>
      </c>
      <c r="CS2331" s="74">
        <v>-29.32</v>
      </c>
    </row>
    <row r="2332" spans="1:235" x14ac:dyDescent="0.25">
      <c r="A2332" s="127">
        <v>44904</v>
      </c>
      <c r="B2332" s="24" t="s">
        <v>68</v>
      </c>
      <c r="C2332" s="21">
        <f t="shared" si="40"/>
        <v>-60.94</v>
      </c>
      <c r="BC2332" s="106">
        <v>-30.6</v>
      </c>
      <c r="CS2332" s="74">
        <v>-30.34</v>
      </c>
    </row>
    <row r="2333" spans="1:235" x14ac:dyDescent="0.25">
      <c r="A2333" s="127">
        <v>44904</v>
      </c>
      <c r="B2333" s="24" t="s">
        <v>113</v>
      </c>
      <c r="C2333" s="21">
        <f t="shared" si="40"/>
        <v>1072.8</v>
      </c>
      <c r="EG2333" s="74">
        <v>341.8</v>
      </c>
      <c r="HM2333" s="106">
        <v>514.95000000000005</v>
      </c>
      <c r="IA2333" s="79">
        <v>216.05</v>
      </c>
    </row>
    <row r="2334" spans="1:235" x14ac:dyDescent="0.25">
      <c r="A2334" s="127">
        <v>44905</v>
      </c>
      <c r="B2334" s="24" t="s">
        <v>37</v>
      </c>
      <c r="C2334" s="21">
        <f t="shared" si="40"/>
        <v>-124.8</v>
      </c>
      <c r="HM2334" s="106">
        <f>-31.85-30.2-30.75-32</f>
        <v>-124.8</v>
      </c>
    </row>
    <row r="2335" spans="1:235" x14ac:dyDescent="0.25">
      <c r="A2335" s="127">
        <v>44905</v>
      </c>
      <c r="B2335" s="24" t="s">
        <v>65</v>
      </c>
      <c r="C2335" s="21">
        <f t="shared" si="40"/>
        <v>-60.43</v>
      </c>
      <c r="AR2335" s="106">
        <v>-25.88</v>
      </c>
      <c r="AW2335" s="106">
        <v>-34.549999999999997</v>
      </c>
    </row>
    <row r="2336" spans="1:235" x14ac:dyDescent="0.25">
      <c r="A2336" s="127">
        <v>44905</v>
      </c>
      <c r="B2336" s="24" t="s">
        <v>133</v>
      </c>
      <c r="C2336" s="21">
        <f t="shared" si="40"/>
        <v>-329.95</v>
      </c>
      <c r="AW2336" s="106">
        <v>-32.520000000000003</v>
      </c>
      <c r="BC2336" s="106">
        <v>-32.200000000000003</v>
      </c>
      <c r="BI2336" s="106">
        <v>-68.08</v>
      </c>
      <c r="BO2336" s="106">
        <v>-32.86</v>
      </c>
      <c r="BU2336" s="106">
        <v>-32.56</v>
      </c>
      <c r="CA2336" s="106">
        <v>-31.66</v>
      </c>
      <c r="CG2336" s="106">
        <v>-34.35</v>
      </c>
      <c r="CS2336" s="74">
        <v>-31.9</v>
      </c>
      <c r="DE2336" s="74">
        <v>-33.82</v>
      </c>
    </row>
    <row r="2337" spans="1:235" x14ac:dyDescent="0.25">
      <c r="A2337" s="127">
        <v>44907</v>
      </c>
      <c r="B2337" s="24" t="s">
        <v>31</v>
      </c>
      <c r="C2337" s="21">
        <f t="shared" si="40"/>
        <v>-13.55</v>
      </c>
      <c r="HM2337" s="106">
        <v>-13.55</v>
      </c>
    </row>
    <row r="2338" spans="1:235" x14ac:dyDescent="0.25">
      <c r="A2338" s="127">
        <v>44907</v>
      </c>
      <c r="B2338" s="24" t="s">
        <v>139</v>
      </c>
      <c r="C2338" s="21">
        <f t="shared" si="40"/>
        <v>-41.45</v>
      </c>
      <c r="V2338" s="74">
        <v>-8.4</v>
      </c>
      <c r="BO2338" s="106">
        <v>-7.83</v>
      </c>
      <c r="BU2338" s="106">
        <v>-8.25</v>
      </c>
      <c r="CA2338" s="106">
        <v>-8.3699999999999992</v>
      </c>
      <c r="CG2338" s="106">
        <v>-8.6</v>
      </c>
    </row>
    <row r="2339" spans="1:235" x14ac:dyDescent="0.25">
      <c r="A2339" s="127">
        <v>44907</v>
      </c>
      <c r="B2339" s="24" t="s">
        <v>50</v>
      </c>
      <c r="C2339" s="21">
        <f t="shared" si="40"/>
        <v>-152.85</v>
      </c>
      <c r="IA2339" s="79">
        <v>-152.85</v>
      </c>
    </row>
    <row r="2340" spans="1:235" x14ac:dyDescent="0.25">
      <c r="A2340" s="127">
        <v>44907</v>
      </c>
      <c r="B2340" s="24" t="s">
        <v>127</v>
      </c>
      <c r="C2340" s="21">
        <f t="shared" si="40"/>
        <v>-8.64</v>
      </c>
      <c r="CK2340" s="42">
        <v>-8.64</v>
      </c>
    </row>
    <row r="2341" spans="1:235" x14ac:dyDescent="0.25">
      <c r="A2341" s="127">
        <v>44907</v>
      </c>
      <c r="B2341" s="24" t="s">
        <v>43</v>
      </c>
      <c r="C2341" s="21">
        <f t="shared" si="40"/>
        <v>-82.765000000000001</v>
      </c>
      <c r="O2341" s="375">
        <v>-8.6449999999999996</v>
      </c>
      <c r="V2341" s="74">
        <v>-8.44</v>
      </c>
      <c r="Z2341" s="79">
        <v>-8.44</v>
      </c>
      <c r="AG2341" s="106">
        <v>-8.5299999999999994</v>
      </c>
      <c r="AW2341" s="106">
        <v>-16.75</v>
      </c>
      <c r="BC2341" s="106">
        <v>-16</v>
      </c>
      <c r="BO2341" s="106">
        <v>-7.61</v>
      </c>
      <c r="BU2341" s="106">
        <v>-8.35</v>
      </c>
    </row>
    <row r="2342" spans="1:235" x14ac:dyDescent="0.25">
      <c r="A2342" s="127">
        <v>44907</v>
      </c>
      <c r="B2342" s="24" t="s">
        <v>43</v>
      </c>
      <c r="C2342" s="21">
        <f t="shared" si="40"/>
        <v>-780.78</v>
      </c>
      <c r="AN2342" s="106">
        <v>-33.200000000000003</v>
      </c>
      <c r="AW2342" s="106">
        <v>-63.91</v>
      </c>
      <c r="BC2342" s="106">
        <v>-97.25</v>
      </c>
      <c r="BI2342" s="106">
        <v>-66.680000000000007</v>
      </c>
      <c r="BO2342" s="106">
        <v>-161.80000000000001</v>
      </c>
      <c r="BU2342" s="106">
        <v>-97.86</v>
      </c>
      <c r="CA2342" s="106">
        <v>-126.86</v>
      </c>
      <c r="CE2342" s="42">
        <v>-35.1</v>
      </c>
      <c r="CG2342" s="106">
        <v>-34.6</v>
      </c>
      <c r="CM2342" s="106">
        <v>-63.52</v>
      </c>
    </row>
    <row r="2343" spans="1:235" x14ac:dyDescent="0.25">
      <c r="A2343" s="127">
        <v>44907</v>
      </c>
      <c r="B2343" s="24" t="s">
        <v>43</v>
      </c>
      <c r="C2343" s="21">
        <f t="shared" si="40"/>
        <v>-33.200000000000003</v>
      </c>
      <c r="BO2343" s="106">
        <v>-33.200000000000003</v>
      </c>
    </row>
    <row r="2344" spans="1:235" x14ac:dyDescent="0.25">
      <c r="A2344" s="127">
        <v>44907</v>
      </c>
      <c r="B2344" s="24" t="s">
        <v>32</v>
      </c>
      <c r="C2344" s="21">
        <f t="shared" si="40"/>
        <v>-125.49</v>
      </c>
      <c r="S2344" s="74">
        <v>-23.9</v>
      </c>
      <c r="AN2344" s="106">
        <v>-16.52</v>
      </c>
      <c r="BO2344" s="106">
        <v>-34.35</v>
      </c>
      <c r="CA2344" s="106">
        <v>-32.24</v>
      </c>
      <c r="DE2344" s="74">
        <v>-18.48</v>
      </c>
    </row>
    <row r="2345" spans="1:235" x14ac:dyDescent="0.25">
      <c r="A2345" s="127">
        <v>44907</v>
      </c>
      <c r="B2345" s="24" t="s">
        <v>20</v>
      </c>
      <c r="C2345" s="21">
        <f t="shared" si="40"/>
        <v>-261</v>
      </c>
      <c r="V2345" s="74">
        <v>-8.3800000000000008</v>
      </c>
      <c r="AU2345" s="42">
        <v>-26.13</v>
      </c>
      <c r="BC2345" s="106">
        <v>-28.84</v>
      </c>
      <c r="BG2345" s="42">
        <f>-8.84-8.77</f>
        <v>-17.61</v>
      </c>
      <c r="BI2345" s="106">
        <v>-8.69</v>
      </c>
      <c r="BO2345" s="106">
        <v>-33.299999999999997</v>
      </c>
      <c r="BU2345" s="106">
        <v>-33.340000000000003</v>
      </c>
      <c r="CA2345" s="106">
        <f>-31.5-7.55</f>
        <v>-39.049999999999997</v>
      </c>
      <c r="CG2345" s="106">
        <f>-8.65-8.6</f>
        <v>-17.25</v>
      </c>
      <c r="CM2345" s="106">
        <v>-14.6</v>
      </c>
      <c r="CS2345" s="74">
        <v>-17.38</v>
      </c>
      <c r="CW2345" s="42">
        <v>-8.7799999999999994</v>
      </c>
      <c r="CY2345" s="106">
        <v>-7.65</v>
      </c>
    </row>
    <row r="2346" spans="1:235" x14ac:dyDescent="0.25">
      <c r="A2346" s="127">
        <v>44907</v>
      </c>
      <c r="B2346" s="24" t="s">
        <v>153</v>
      </c>
      <c r="C2346" s="21">
        <f t="shared" si="40"/>
        <v>34.840000000000003</v>
      </c>
      <c r="AU2346" s="42">
        <f>8.71*4</f>
        <v>34.840000000000003</v>
      </c>
    </row>
    <row r="2347" spans="1:235" x14ac:dyDescent="0.25">
      <c r="A2347" s="127">
        <v>44908</v>
      </c>
      <c r="B2347" s="24" t="s">
        <v>84</v>
      </c>
      <c r="C2347" s="21">
        <f t="shared" si="40"/>
        <v>-54.96</v>
      </c>
      <c r="BU2347" s="106">
        <v>-8.09</v>
      </c>
      <c r="CA2347" s="106">
        <v>-16.420000000000002</v>
      </c>
      <c r="CE2347" s="42">
        <v>-8.26</v>
      </c>
      <c r="CG2347" s="106">
        <v>-8.0500000000000007</v>
      </c>
      <c r="CM2347" s="106">
        <v>-14.14</v>
      </c>
    </row>
    <row r="2348" spans="1:235" x14ac:dyDescent="0.25">
      <c r="A2348" s="127">
        <v>44908</v>
      </c>
      <c r="B2348" s="24" t="s">
        <v>134</v>
      </c>
      <c r="C2348" s="21">
        <f t="shared" si="40"/>
        <v>-39.07</v>
      </c>
      <c r="E2348" s="386">
        <v>-39.07</v>
      </c>
    </row>
    <row r="2349" spans="1:235" x14ac:dyDescent="0.25">
      <c r="A2349" s="127">
        <v>44908</v>
      </c>
      <c r="B2349" s="24" t="s">
        <v>44</v>
      </c>
      <c r="C2349" s="21">
        <f t="shared" si="40"/>
        <v>-163.32</v>
      </c>
      <c r="GQ2349" s="92">
        <v>-163.32</v>
      </c>
    </row>
    <row r="2350" spans="1:235" x14ac:dyDescent="0.25">
      <c r="A2350" s="127">
        <v>44908</v>
      </c>
      <c r="B2350" s="24" t="s">
        <v>153</v>
      </c>
      <c r="C2350" s="21">
        <f t="shared" si="40"/>
        <v>16.5</v>
      </c>
      <c r="CE2350" s="42">
        <v>16.5</v>
      </c>
    </row>
    <row r="2351" spans="1:235" x14ac:dyDescent="0.25">
      <c r="A2351" s="127">
        <v>44909</v>
      </c>
      <c r="B2351" s="24" t="s">
        <v>113</v>
      </c>
      <c r="C2351" s="21">
        <f t="shared" si="40"/>
        <v>0</v>
      </c>
    </row>
    <row r="2352" spans="1:235" x14ac:dyDescent="0.25">
      <c r="A2352" s="127">
        <v>44909</v>
      </c>
      <c r="B2352" s="24" t="s">
        <v>17</v>
      </c>
      <c r="C2352" s="21">
        <f t="shared" si="40"/>
        <v>-100.24</v>
      </c>
      <c r="AW2352" s="106">
        <v>-8.75</v>
      </c>
      <c r="BC2352" s="106">
        <v>-8.09</v>
      </c>
      <c r="BI2352" s="106">
        <v>-26.19</v>
      </c>
      <c r="BO2352" s="106">
        <v>-15.56</v>
      </c>
      <c r="BU2352" s="106">
        <v>-25.15</v>
      </c>
      <c r="CE2352" s="42">
        <v>-16.5</v>
      </c>
    </row>
    <row r="2353" spans="1:150" x14ac:dyDescent="0.25">
      <c r="A2353" s="127">
        <v>44909</v>
      </c>
      <c r="B2353" s="24" t="s">
        <v>43</v>
      </c>
      <c r="C2353" s="21">
        <f t="shared" ref="C2353:C2416" si="41">SUM(D2353:JT2353)</f>
        <v>-88.42</v>
      </c>
      <c r="CY2353" s="106">
        <v>-88.42</v>
      </c>
    </row>
    <row r="2354" spans="1:150" x14ac:dyDescent="0.25">
      <c r="A2354" s="127">
        <v>44910</v>
      </c>
      <c r="B2354" s="24" t="s">
        <v>65</v>
      </c>
      <c r="C2354" s="21">
        <f t="shared" si="41"/>
        <v>0</v>
      </c>
    </row>
    <row r="2355" spans="1:150" x14ac:dyDescent="0.25">
      <c r="A2355" s="127">
        <v>44910</v>
      </c>
      <c r="B2355" s="24" t="s">
        <v>167</v>
      </c>
      <c r="C2355" s="21">
        <f t="shared" si="41"/>
        <v>-5.0599999999999996</v>
      </c>
      <c r="D2355" s="386">
        <v>-5.0599999999999996</v>
      </c>
    </row>
    <row r="2356" spans="1:150" x14ac:dyDescent="0.25">
      <c r="A2356" s="127">
        <v>44910</v>
      </c>
      <c r="B2356" s="24" t="s">
        <v>113</v>
      </c>
      <c r="C2356" s="21">
        <f t="shared" si="41"/>
        <v>1126.24</v>
      </c>
      <c r="AW2356" s="106">
        <v>353.44</v>
      </c>
      <c r="BC2356" s="106">
        <v>359.12</v>
      </c>
      <c r="BI2356" s="106">
        <v>413.68</v>
      </c>
    </row>
    <row r="2357" spans="1:150" x14ac:dyDescent="0.25">
      <c r="A2357" s="127">
        <v>44910</v>
      </c>
      <c r="B2357" s="24" t="s">
        <v>140</v>
      </c>
      <c r="C2357" s="21">
        <f t="shared" si="41"/>
        <v>-12.3</v>
      </c>
      <c r="D2357" s="386">
        <v>-12.3</v>
      </c>
    </row>
    <row r="2358" spans="1:150" x14ac:dyDescent="0.25">
      <c r="A2358" s="127">
        <v>44911</v>
      </c>
      <c r="B2358" s="24" t="s">
        <v>13</v>
      </c>
      <c r="C2358" s="21">
        <f t="shared" si="41"/>
        <v>0</v>
      </c>
    </row>
    <row r="2359" spans="1:150" x14ac:dyDescent="0.25">
      <c r="A2359" s="127">
        <v>44911</v>
      </c>
      <c r="B2359" s="24" t="s">
        <v>146</v>
      </c>
      <c r="C2359" s="21">
        <f t="shared" si="41"/>
        <v>108.14</v>
      </c>
      <c r="AN2359" s="106">
        <v>-132.86000000000001</v>
      </c>
      <c r="AV2359" s="69">
        <v>67.685000000000002</v>
      </c>
      <c r="BB2359" s="69">
        <v>67.959999999999994</v>
      </c>
      <c r="BH2359" s="69">
        <v>66.739999999999995</v>
      </c>
      <c r="BI2359" s="106">
        <v>-130.47999999999999</v>
      </c>
      <c r="BT2359" s="69">
        <v>34.024999999999999</v>
      </c>
      <c r="BZ2359" s="69">
        <v>33.825000000000003</v>
      </c>
      <c r="CF2359" s="69">
        <v>101.245</v>
      </c>
    </row>
    <row r="2360" spans="1:150" x14ac:dyDescent="0.25">
      <c r="A2360" s="127">
        <v>44911</v>
      </c>
      <c r="B2360" s="24" t="s">
        <v>153</v>
      </c>
      <c r="C2360" s="21">
        <f t="shared" si="41"/>
        <v>34.42</v>
      </c>
      <c r="AA2360" s="42">
        <v>34.42</v>
      </c>
    </row>
    <row r="2361" spans="1:150" x14ac:dyDescent="0.25">
      <c r="A2361" s="127">
        <v>44911</v>
      </c>
      <c r="B2361" s="24" t="s">
        <v>152</v>
      </c>
      <c r="C2361" s="21">
        <f t="shared" si="41"/>
        <v>-801.41</v>
      </c>
      <c r="AA2361" s="42">
        <v>-34.42</v>
      </c>
      <c r="AC2361" s="106">
        <f>-7.85-7.85-5.72-7.45</f>
        <v>-28.87</v>
      </c>
      <c r="AN2361" s="106">
        <v>-33.1</v>
      </c>
      <c r="AW2361" s="106">
        <v>-33.76</v>
      </c>
      <c r="BI2361" s="106">
        <v>-35.24</v>
      </c>
      <c r="CF2361" s="69">
        <v>-33.909999999999997</v>
      </c>
      <c r="CM2361" s="106">
        <v>-31.4</v>
      </c>
      <c r="CS2361" s="74">
        <v>-95</v>
      </c>
      <c r="DE2361" s="74">
        <v>-28.9</v>
      </c>
      <c r="DK2361" s="106">
        <v>-100.12</v>
      </c>
      <c r="DP2361" s="74">
        <v>-35.08</v>
      </c>
      <c r="EA2361" s="74">
        <v>-104.66</v>
      </c>
      <c r="EG2361" s="74">
        <v>-103.7</v>
      </c>
      <c r="ET2361" s="106">
        <v>-103.25</v>
      </c>
    </row>
    <row r="2362" spans="1:150" x14ac:dyDescent="0.25">
      <c r="A2362" s="127">
        <v>44911</v>
      </c>
      <c r="B2362" s="24" t="s">
        <v>17</v>
      </c>
      <c r="C2362" s="21">
        <f t="shared" si="41"/>
        <v>-33.1</v>
      </c>
      <c r="AN2362" s="106">
        <v>-33.1</v>
      </c>
    </row>
    <row r="2363" spans="1:150" x14ac:dyDescent="0.25">
      <c r="A2363" s="127">
        <v>44911</v>
      </c>
      <c r="B2363" s="24" t="s">
        <v>140</v>
      </c>
      <c r="C2363" s="21">
        <f t="shared" si="41"/>
        <v>-44.7</v>
      </c>
      <c r="D2363" s="386">
        <v>-44.7</v>
      </c>
    </row>
    <row r="2364" spans="1:150" x14ac:dyDescent="0.25">
      <c r="A2364" s="127">
        <v>44911</v>
      </c>
      <c r="B2364" s="24" t="s">
        <v>14</v>
      </c>
      <c r="C2364" s="21">
        <f t="shared" si="41"/>
        <v>-32.765000000000001</v>
      </c>
      <c r="X2364" s="42">
        <v>7.79</v>
      </c>
      <c r="AU2364" s="42">
        <v>17.420000000000002</v>
      </c>
      <c r="AV2364" s="69">
        <v>-33.78</v>
      </c>
      <c r="BB2364" s="69">
        <v>-34.155000000000001</v>
      </c>
      <c r="BH2364" s="69">
        <f>-32.59-34.15</f>
        <v>-66.739999999999995</v>
      </c>
      <c r="BM2364" s="88">
        <v>61.64</v>
      </c>
      <c r="BS2364" s="42">
        <v>16.32</v>
      </c>
      <c r="BT2364" s="69">
        <v>-34.024999999999999</v>
      </c>
      <c r="BY2364" s="42">
        <v>42.21</v>
      </c>
      <c r="BZ2364" s="69">
        <v>-33.825000000000003</v>
      </c>
      <c r="CK2364" s="42">
        <v>8.7200000000000006</v>
      </c>
      <c r="CQ2364" s="42">
        <v>15.66</v>
      </c>
    </row>
    <row r="2365" spans="1:150" x14ac:dyDescent="0.25">
      <c r="A2365" s="127">
        <v>44912</v>
      </c>
      <c r="B2365" s="24" t="s">
        <v>57</v>
      </c>
      <c r="C2365" s="21">
        <f t="shared" si="41"/>
        <v>-98.03</v>
      </c>
      <c r="AN2365" s="106">
        <v>-16.600000000000001</v>
      </c>
      <c r="AW2365" s="106">
        <v>-15.7</v>
      </c>
      <c r="BC2365" s="106">
        <v>-15.82</v>
      </c>
      <c r="BI2365" s="106">
        <v>-33.69</v>
      </c>
      <c r="BS2365" s="42">
        <v>-7.51</v>
      </c>
      <c r="BU2365" s="106">
        <v>-8.7100000000000009</v>
      </c>
    </row>
    <row r="2366" spans="1:150" x14ac:dyDescent="0.25">
      <c r="A2366" s="127">
        <v>44912</v>
      </c>
      <c r="B2366" s="24" t="s">
        <v>59</v>
      </c>
      <c r="C2366" s="21">
        <f t="shared" si="41"/>
        <v>-3.09</v>
      </c>
      <c r="CM2366" s="106">
        <v>-3.09</v>
      </c>
    </row>
    <row r="2367" spans="1:150" x14ac:dyDescent="0.25">
      <c r="A2367" s="127">
        <v>44914</v>
      </c>
      <c r="B2367" s="24" t="s">
        <v>59</v>
      </c>
      <c r="C2367" s="21">
        <f t="shared" si="41"/>
        <v>-2.73</v>
      </c>
      <c r="CM2367" s="106">
        <v>-2.73</v>
      </c>
    </row>
    <row r="2368" spans="1:150" x14ac:dyDescent="0.25">
      <c r="A2368" s="127">
        <v>44915</v>
      </c>
      <c r="B2368" s="24" t="s">
        <v>137</v>
      </c>
      <c r="C2368" s="21">
        <f t="shared" si="41"/>
        <v>-42.01</v>
      </c>
      <c r="AN2368" s="106">
        <v>-8.3699999999999992</v>
      </c>
      <c r="AW2368" s="106">
        <v>-8.73</v>
      </c>
      <c r="BC2368" s="106">
        <v>-7.87</v>
      </c>
      <c r="BI2368" s="106">
        <v>-8.33</v>
      </c>
      <c r="BM2368" s="88">
        <v>-8.7100000000000009</v>
      </c>
    </row>
    <row r="2369" spans="1:238" x14ac:dyDescent="0.25">
      <c r="A2369" s="127">
        <v>44915</v>
      </c>
      <c r="B2369" s="24" t="s">
        <v>162</v>
      </c>
      <c r="C2369" s="21">
        <f t="shared" si="41"/>
        <v>-17.100000000000001</v>
      </c>
      <c r="O2369" s="375">
        <v>-8.64</v>
      </c>
      <c r="V2369" s="74">
        <v>-8.4600000000000009</v>
      </c>
    </row>
    <row r="2370" spans="1:238" x14ac:dyDescent="0.25">
      <c r="A2370" s="127">
        <v>44915</v>
      </c>
      <c r="B2370" s="24" t="s">
        <v>25</v>
      </c>
      <c r="C2370" s="21">
        <f t="shared" si="41"/>
        <v>-15.62</v>
      </c>
      <c r="AN2370" s="106">
        <v>-8.27</v>
      </c>
      <c r="BC2370" s="106">
        <v>-7.35</v>
      </c>
    </row>
    <row r="2371" spans="1:238" x14ac:dyDescent="0.25">
      <c r="A2371" s="127">
        <v>44915</v>
      </c>
      <c r="B2371" s="24" t="s">
        <v>139</v>
      </c>
      <c r="C2371" s="21">
        <f t="shared" si="41"/>
        <v>-17.21</v>
      </c>
      <c r="Z2371" s="79">
        <v>-8.48</v>
      </c>
      <c r="CS2371" s="74">
        <v>-8.73</v>
      </c>
    </row>
    <row r="2372" spans="1:238" x14ac:dyDescent="0.25">
      <c r="A2372" s="127">
        <v>44915</v>
      </c>
      <c r="B2372" s="24" t="s">
        <v>50</v>
      </c>
      <c r="C2372" s="21">
        <f t="shared" si="41"/>
        <v>-126.3</v>
      </c>
      <c r="HM2372" s="106">
        <v>-126.3</v>
      </c>
    </row>
    <row r="2373" spans="1:238" x14ac:dyDescent="0.25">
      <c r="A2373" s="127">
        <v>44915</v>
      </c>
      <c r="B2373" s="24" t="s">
        <v>27</v>
      </c>
      <c r="C2373" s="21">
        <f t="shared" si="41"/>
        <v>-31.66</v>
      </c>
      <c r="BC2373" s="106">
        <v>-23.09</v>
      </c>
      <c r="BM2373" s="88">
        <v>-8.57</v>
      </c>
    </row>
    <row r="2374" spans="1:238" x14ac:dyDescent="0.25">
      <c r="A2374" s="127">
        <v>44915</v>
      </c>
      <c r="B2374" s="24" t="s">
        <v>138</v>
      </c>
      <c r="C2374" s="21">
        <f t="shared" si="41"/>
        <v>-139.435</v>
      </c>
      <c r="AU2374" s="42">
        <v>-17.420000000000002</v>
      </c>
      <c r="BB2374" s="69">
        <v>-8.5500000000000007</v>
      </c>
      <c r="BI2374" s="106">
        <v>-17.46</v>
      </c>
      <c r="BM2374" s="88">
        <v>-8.15</v>
      </c>
      <c r="BS2374" s="42">
        <v>-17.399999999999999</v>
      </c>
      <c r="CF2374" s="69">
        <v>-8.4749999999999996</v>
      </c>
      <c r="CK2374" s="42">
        <v>-8.7200000000000006</v>
      </c>
      <c r="CQ2374" s="42">
        <v>-7.04</v>
      </c>
      <c r="CY2374" s="106">
        <v>-37.57</v>
      </c>
      <c r="DS2374" s="42">
        <v>-8.65</v>
      </c>
    </row>
    <row r="2375" spans="1:238" x14ac:dyDescent="0.25">
      <c r="A2375" s="127">
        <v>44915</v>
      </c>
      <c r="B2375" s="24" t="s">
        <v>31</v>
      </c>
      <c r="C2375" s="21">
        <f t="shared" si="41"/>
        <v>-59.05</v>
      </c>
      <c r="HH2375" s="106">
        <v>-59.05</v>
      </c>
    </row>
    <row r="2376" spans="1:238" x14ac:dyDescent="0.25">
      <c r="A2376" s="127">
        <v>44915</v>
      </c>
      <c r="B2376" s="24" t="s">
        <v>75</v>
      </c>
      <c r="C2376" s="21">
        <f t="shared" si="41"/>
        <v>-4.6500000000000004</v>
      </c>
      <c r="BU2376" s="106">
        <v>-4.6500000000000004</v>
      </c>
    </row>
    <row r="2377" spans="1:238" x14ac:dyDescent="0.25">
      <c r="A2377" s="127">
        <v>44915</v>
      </c>
      <c r="B2377" s="24" t="s">
        <v>113</v>
      </c>
      <c r="C2377" s="21">
        <f t="shared" si="41"/>
        <v>1507.46</v>
      </c>
      <c r="AR2377" s="106">
        <v>337.99</v>
      </c>
      <c r="BO2377" s="106">
        <v>142.19999999999999</v>
      </c>
      <c r="BU2377" s="106">
        <v>410.1</v>
      </c>
      <c r="CA2377" s="106">
        <v>339.02</v>
      </c>
      <c r="CG2377" s="106">
        <v>278.14999999999998</v>
      </c>
    </row>
    <row r="2378" spans="1:238" x14ac:dyDescent="0.25">
      <c r="A2378" s="127">
        <v>44916</v>
      </c>
      <c r="B2378" s="24" t="s">
        <v>149</v>
      </c>
      <c r="C2378" s="21">
        <f t="shared" si="41"/>
        <v>-14.2</v>
      </c>
      <c r="BC2378" s="106">
        <v>-6.69</v>
      </c>
      <c r="BI2378" s="106">
        <v>-7.51</v>
      </c>
    </row>
    <row r="2379" spans="1:238" x14ac:dyDescent="0.25">
      <c r="A2379" s="127">
        <v>44916</v>
      </c>
      <c r="B2379" s="24" t="s">
        <v>17</v>
      </c>
      <c r="C2379" s="21">
        <f t="shared" si="41"/>
        <v>-54.99</v>
      </c>
      <c r="AN2379" s="106">
        <v>-8.33</v>
      </c>
      <c r="AR2379" s="106">
        <v>-17.3</v>
      </c>
      <c r="AW2379" s="106">
        <v>-13.7</v>
      </c>
      <c r="BC2379" s="106">
        <v>-15.66</v>
      </c>
    </row>
    <row r="2380" spans="1:238" x14ac:dyDescent="0.25">
      <c r="A2380" s="127">
        <v>44916</v>
      </c>
      <c r="B2380" s="24" t="s">
        <v>17</v>
      </c>
      <c r="C2380" s="21">
        <f t="shared" si="41"/>
        <v>-131.47999999999999</v>
      </c>
      <c r="Z2380" s="79">
        <v>-8.4600000000000009</v>
      </c>
      <c r="AR2380" s="106">
        <v>-17.22</v>
      </c>
      <c r="AW2380" s="106">
        <v>-6.57</v>
      </c>
      <c r="BC2380" s="106">
        <v>-15.24</v>
      </c>
      <c r="BI2380" s="106">
        <v>-7.49</v>
      </c>
      <c r="BO2380" s="106">
        <v>-17.66</v>
      </c>
      <c r="BU2380" s="106">
        <v>-16.32</v>
      </c>
      <c r="CA2380" s="106">
        <v>-8.61</v>
      </c>
      <c r="CG2380" s="106">
        <v>-17.25</v>
      </c>
      <c r="CM2380" s="106">
        <v>-9.07</v>
      </c>
      <c r="CS2380" s="74">
        <v>-7.59</v>
      </c>
    </row>
    <row r="2381" spans="1:238" x14ac:dyDescent="0.25">
      <c r="A2381" s="127">
        <v>44916</v>
      </c>
      <c r="B2381" s="24" t="s">
        <v>133</v>
      </c>
      <c r="C2381" s="21">
        <f t="shared" si="41"/>
        <v>-96.84</v>
      </c>
      <c r="AW2381" s="106">
        <v>-30.8</v>
      </c>
      <c r="BC2381" s="106">
        <v>-31.3</v>
      </c>
      <c r="CM2381" s="106">
        <v>-34.74</v>
      </c>
    </row>
    <row r="2382" spans="1:238" x14ac:dyDescent="0.25">
      <c r="A2382" s="127">
        <v>44916</v>
      </c>
      <c r="B2382" s="24" t="s">
        <v>138</v>
      </c>
      <c r="C2382" s="21">
        <f t="shared" si="41"/>
        <v>-8.15</v>
      </c>
      <c r="DE2382" s="74">
        <v>-8.15</v>
      </c>
    </row>
    <row r="2383" spans="1:238" x14ac:dyDescent="0.25">
      <c r="A2383" s="127">
        <v>44916</v>
      </c>
      <c r="B2383" s="24" t="s">
        <v>44</v>
      </c>
      <c r="C2383" s="21">
        <f t="shared" si="41"/>
        <v>-313.04000000000002</v>
      </c>
      <c r="GQ2383" s="92">
        <v>-94.97</v>
      </c>
      <c r="GZ2383" s="106">
        <v>-91.96</v>
      </c>
      <c r="HF2383" s="92">
        <v>-31.16</v>
      </c>
      <c r="IA2383" s="79">
        <v>-63.2</v>
      </c>
      <c r="ID2383" s="42">
        <v>-31.75</v>
      </c>
    </row>
    <row r="2384" spans="1:238" x14ac:dyDescent="0.25">
      <c r="A2384" s="127">
        <v>44916</v>
      </c>
      <c r="B2384" s="24" t="s">
        <v>135</v>
      </c>
      <c r="C2384" s="21">
        <f t="shared" si="41"/>
        <v>-66.724999999999994</v>
      </c>
      <c r="AR2384" s="106">
        <v>-8.56</v>
      </c>
      <c r="CG2384" s="106">
        <v>-8.6</v>
      </c>
      <c r="CM2384" s="106">
        <v>-8.5299999999999994</v>
      </c>
      <c r="FK2384" s="106">
        <v>-20.5</v>
      </c>
      <c r="FX2384" s="34">
        <v>-20.535</v>
      </c>
    </row>
    <row r="2385" spans="1:221" x14ac:dyDescent="0.25">
      <c r="A2385" s="127">
        <v>44917</v>
      </c>
      <c r="B2385" s="24" t="s">
        <v>15</v>
      </c>
      <c r="C2385" s="21">
        <f t="shared" si="41"/>
        <v>-97.18</v>
      </c>
      <c r="CY2385" s="106">
        <v>-30.42</v>
      </c>
      <c r="DE2385" s="74">
        <v>-33.04</v>
      </c>
      <c r="DU2385" s="106">
        <v>-33.72</v>
      </c>
    </row>
    <row r="2386" spans="1:221" x14ac:dyDescent="0.25">
      <c r="A2386" s="127">
        <v>44917</v>
      </c>
      <c r="B2386" s="24" t="s">
        <v>59</v>
      </c>
      <c r="C2386" s="21">
        <f t="shared" si="41"/>
        <v>-7.86</v>
      </c>
      <c r="O2386" s="375">
        <v>-7.86</v>
      </c>
    </row>
    <row r="2387" spans="1:221" x14ac:dyDescent="0.25">
      <c r="A2387" s="127">
        <v>44918</v>
      </c>
      <c r="B2387" s="24" t="s">
        <v>15</v>
      </c>
      <c r="C2387" s="21">
        <f t="shared" si="41"/>
        <v>-77.64</v>
      </c>
      <c r="BC2387" s="106">
        <v>-15.84</v>
      </c>
      <c r="BI2387" s="106">
        <v>-8.77</v>
      </c>
      <c r="CA2387" s="106">
        <v>-17.27</v>
      </c>
      <c r="DK2387" s="106">
        <v>-35.76</v>
      </c>
    </row>
    <row r="2388" spans="1:221" x14ac:dyDescent="0.25">
      <c r="A2388" s="127">
        <v>44918</v>
      </c>
      <c r="B2388" s="24" t="s">
        <v>59</v>
      </c>
      <c r="C2388" s="21">
        <f t="shared" si="41"/>
        <v>-16.98</v>
      </c>
      <c r="CG2388" s="106">
        <v>-13.3</v>
      </c>
      <c r="CM2388" s="106">
        <v>-3.68</v>
      </c>
    </row>
    <row r="2389" spans="1:221" x14ac:dyDescent="0.25">
      <c r="A2389" s="127">
        <v>44918</v>
      </c>
      <c r="B2389" s="24" t="s">
        <v>29</v>
      </c>
      <c r="C2389" s="21">
        <f t="shared" si="41"/>
        <v>-8.6</v>
      </c>
      <c r="CG2389" s="106">
        <v>-8.6</v>
      </c>
    </row>
    <row r="2390" spans="1:221" x14ac:dyDescent="0.25">
      <c r="A2390" s="127">
        <v>44919</v>
      </c>
      <c r="B2390" s="24" t="s">
        <v>12</v>
      </c>
      <c r="C2390" s="21">
        <f t="shared" si="41"/>
        <v>-9.08</v>
      </c>
      <c r="BO2390" s="106">
        <v>-9.08</v>
      </c>
    </row>
    <row r="2391" spans="1:221" x14ac:dyDescent="0.25">
      <c r="A2391" s="127">
        <v>44921</v>
      </c>
      <c r="B2391" s="24" t="s">
        <v>65</v>
      </c>
      <c r="C2391" s="21">
        <f t="shared" si="41"/>
        <v>-34.92</v>
      </c>
      <c r="AW2391" s="106">
        <v>-34.92</v>
      </c>
    </row>
    <row r="2392" spans="1:221" x14ac:dyDescent="0.25">
      <c r="A2392" s="127">
        <v>44921</v>
      </c>
      <c r="B2392" s="24" t="s">
        <v>39</v>
      </c>
      <c r="C2392" s="21">
        <f t="shared" si="41"/>
        <v>-74.75</v>
      </c>
      <c r="AR2392" s="106">
        <v>-8.6199999999999992</v>
      </c>
      <c r="AW2392" s="106">
        <v>-8.77</v>
      </c>
      <c r="BC2392" s="106">
        <v>-7.97</v>
      </c>
      <c r="BI2392" s="106">
        <v>-7.49</v>
      </c>
      <c r="BO2392" s="106">
        <v>-8.69</v>
      </c>
      <c r="BU2392" s="106">
        <v>-7.59</v>
      </c>
      <c r="CA2392" s="106">
        <v>-8.69</v>
      </c>
      <c r="CG2392" s="106">
        <v>-8.6</v>
      </c>
      <c r="CM2392" s="106">
        <v>-8.33</v>
      </c>
    </row>
    <row r="2393" spans="1:221" x14ac:dyDescent="0.25">
      <c r="A2393" s="127">
        <v>44921</v>
      </c>
      <c r="B2393" s="24" t="s">
        <v>50</v>
      </c>
      <c r="C2393" s="21">
        <f t="shared" si="41"/>
        <v>-35.32</v>
      </c>
      <c r="DC2393" s="42">
        <v>-8.59</v>
      </c>
      <c r="DE2393" s="74">
        <v>-26.73</v>
      </c>
    </row>
    <row r="2394" spans="1:221" x14ac:dyDescent="0.25">
      <c r="A2394" s="127">
        <v>44921</v>
      </c>
      <c r="B2394" s="24" t="s">
        <v>146</v>
      </c>
      <c r="C2394" s="21">
        <f t="shared" si="41"/>
        <v>-335.08</v>
      </c>
      <c r="BI2394" s="106">
        <v>-98.22</v>
      </c>
      <c r="BU2394" s="106">
        <v>-236.86</v>
      </c>
    </row>
    <row r="2395" spans="1:221" x14ac:dyDescent="0.25">
      <c r="A2395" s="127">
        <v>44921</v>
      </c>
      <c r="B2395" s="24" t="s">
        <v>155</v>
      </c>
      <c r="C2395" s="21">
        <f t="shared" si="41"/>
        <v>-42.49</v>
      </c>
      <c r="BO2395" s="106">
        <f>-8.99-8.95</f>
        <v>-17.940000000000001</v>
      </c>
      <c r="CS2395" s="74">
        <f>-8.75-7.63</f>
        <v>-16.38</v>
      </c>
      <c r="CY2395" s="106">
        <v>-8.17</v>
      </c>
    </row>
    <row r="2396" spans="1:221" x14ac:dyDescent="0.25">
      <c r="A2396" s="127">
        <v>44922</v>
      </c>
      <c r="B2396" s="24" t="s">
        <v>162</v>
      </c>
      <c r="C2396" s="21">
        <f t="shared" si="41"/>
        <v>-174.53</v>
      </c>
      <c r="AW2396" s="106">
        <v>-25.55</v>
      </c>
      <c r="BC2396" s="106">
        <v>-21.91</v>
      </c>
      <c r="BI2396" s="106">
        <v>-23.79</v>
      </c>
      <c r="BO2396" s="106">
        <v>-26.85</v>
      </c>
      <c r="CA2396" s="106">
        <v>-25.47</v>
      </c>
      <c r="CG2396" s="106">
        <v>-25.95</v>
      </c>
      <c r="CM2396" s="106">
        <v>-25.01</v>
      </c>
    </row>
    <row r="2397" spans="1:221" x14ac:dyDescent="0.25">
      <c r="A2397" s="127">
        <v>44922</v>
      </c>
      <c r="B2397" s="24" t="s">
        <v>138</v>
      </c>
      <c r="C2397" s="21">
        <f t="shared" si="41"/>
        <v>-8.65</v>
      </c>
      <c r="DP2397" s="74">
        <v>-8.65</v>
      </c>
    </row>
    <row r="2398" spans="1:221" x14ac:dyDescent="0.25">
      <c r="A2398" s="127">
        <v>44922</v>
      </c>
      <c r="B2398" s="24" t="s">
        <v>40</v>
      </c>
      <c r="C2398" s="21">
        <f t="shared" si="41"/>
        <v>-250.2</v>
      </c>
      <c r="HM2398" s="106">
        <v>-250.2</v>
      </c>
    </row>
    <row r="2399" spans="1:221" x14ac:dyDescent="0.25">
      <c r="A2399" s="127">
        <v>44922</v>
      </c>
      <c r="B2399" s="24" t="s">
        <v>25</v>
      </c>
      <c r="C2399" s="21">
        <f t="shared" si="41"/>
        <v>-54.29</v>
      </c>
      <c r="CS2399" s="74">
        <v>-8.7100000000000009</v>
      </c>
      <c r="CY2399" s="106">
        <v>-37.130000000000003</v>
      </c>
      <c r="DK2399" s="106">
        <v>-8.4499999999999993</v>
      </c>
    </row>
    <row r="2400" spans="1:221" x14ac:dyDescent="0.25">
      <c r="A2400" s="127">
        <v>44922</v>
      </c>
      <c r="B2400" s="24" t="s">
        <v>75</v>
      </c>
      <c r="C2400" s="21">
        <f t="shared" si="41"/>
        <v>-73.8</v>
      </c>
      <c r="BC2400" s="106">
        <v>-7.95</v>
      </c>
      <c r="BI2400" s="106">
        <v>-8.75</v>
      </c>
      <c r="BO2400" s="106">
        <v>-8.58</v>
      </c>
      <c r="BU2400" s="106">
        <v>-7.75</v>
      </c>
      <c r="CA2400" s="106">
        <v>-15.74</v>
      </c>
      <c r="CG2400" s="106">
        <v>-17.2</v>
      </c>
      <c r="CY2400" s="106">
        <v>-7.83</v>
      </c>
    </row>
    <row r="2401" spans="1:236" x14ac:dyDescent="0.25">
      <c r="A2401" s="127">
        <v>44922</v>
      </c>
      <c r="B2401" s="24" t="s">
        <v>44</v>
      </c>
      <c r="C2401" s="21">
        <f t="shared" si="41"/>
        <v>-106.28</v>
      </c>
      <c r="IB2401" s="42">
        <v>-106.28</v>
      </c>
    </row>
    <row r="2402" spans="1:236" x14ac:dyDescent="0.25">
      <c r="A2402" s="127">
        <v>44922</v>
      </c>
      <c r="B2402" s="24" t="s">
        <v>43</v>
      </c>
      <c r="C2402" s="21">
        <f t="shared" si="41"/>
        <v>-32.18</v>
      </c>
      <c r="CY2402" s="106">
        <v>-32.18</v>
      </c>
    </row>
    <row r="2403" spans="1:236" x14ac:dyDescent="0.25">
      <c r="A2403" s="127">
        <v>44922</v>
      </c>
      <c r="B2403" s="24" t="s">
        <v>65</v>
      </c>
      <c r="C2403" s="21">
        <f t="shared" si="41"/>
        <v>0</v>
      </c>
    </row>
    <row r="2404" spans="1:236" x14ac:dyDescent="0.25">
      <c r="A2404" s="127">
        <v>44923</v>
      </c>
      <c r="B2404" s="24" t="s">
        <v>155</v>
      </c>
      <c r="C2404" s="21">
        <f t="shared" si="41"/>
        <v>-99.86</v>
      </c>
      <c r="AL2404" s="42">
        <v>33.26</v>
      </c>
      <c r="CS2404" s="74">
        <v>-32.42</v>
      </c>
      <c r="DK2404" s="106">
        <v>-32.14</v>
      </c>
      <c r="DU2404" s="106">
        <v>-68.56</v>
      </c>
    </row>
    <row r="2405" spans="1:236" x14ac:dyDescent="0.25">
      <c r="A2405" s="127">
        <v>44923</v>
      </c>
      <c r="B2405" s="24" t="s">
        <v>133</v>
      </c>
      <c r="C2405" s="21">
        <f t="shared" si="41"/>
        <v>-165.68</v>
      </c>
      <c r="BC2405" s="106">
        <v>-30.9</v>
      </c>
      <c r="BO2405" s="106">
        <v>-35.36</v>
      </c>
      <c r="BU2405" s="106">
        <v>-36.24</v>
      </c>
      <c r="CA2405" s="106">
        <v>-33</v>
      </c>
      <c r="CF2405" s="69">
        <v>-25.08</v>
      </c>
      <c r="CG2405" s="106">
        <v>-5.0999999999999996</v>
      </c>
    </row>
    <row r="2406" spans="1:236" x14ac:dyDescent="0.25">
      <c r="A2406" s="127">
        <v>44923</v>
      </c>
      <c r="B2406" s="24" t="s">
        <v>32</v>
      </c>
      <c r="C2406" s="21">
        <f t="shared" si="41"/>
        <v>-25.295000000000002</v>
      </c>
      <c r="CF2406" s="69">
        <f>-8.335-8.47-8.49</f>
        <v>-25.295000000000002</v>
      </c>
    </row>
    <row r="2407" spans="1:236" x14ac:dyDescent="0.25">
      <c r="A2407" s="127">
        <v>44924</v>
      </c>
      <c r="B2407" s="24" t="s">
        <v>113</v>
      </c>
      <c r="C2407" s="21">
        <f t="shared" si="41"/>
        <v>1889.47</v>
      </c>
      <c r="BI2407" s="106">
        <v>421.9</v>
      </c>
      <c r="BO2407" s="106">
        <v>421.05</v>
      </c>
      <c r="BU2407" s="106">
        <v>427.4</v>
      </c>
      <c r="CY2407" s="106">
        <v>282.92</v>
      </c>
      <c r="DE2407" s="74">
        <v>336.2</v>
      </c>
    </row>
    <row r="2408" spans="1:236" x14ac:dyDescent="0.25">
      <c r="A2408" s="127">
        <v>44924</v>
      </c>
      <c r="B2408" s="24" t="s">
        <v>39</v>
      </c>
      <c r="C2408" s="21">
        <f t="shared" si="41"/>
        <v>-24.55</v>
      </c>
      <c r="BI2408" s="106">
        <v>-7.97</v>
      </c>
      <c r="BO2408" s="106">
        <v>-8.0299999999999994</v>
      </c>
      <c r="BU2408" s="106">
        <v>-8.5500000000000007</v>
      </c>
    </row>
    <row r="2409" spans="1:236" x14ac:dyDescent="0.25">
      <c r="A2409" s="127">
        <v>44924</v>
      </c>
      <c r="B2409" s="24" t="s">
        <v>95</v>
      </c>
      <c r="C2409" s="21">
        <f t="shared" si="41"/>
        <v>-301.74</v>
      </c>
      <c r="AW2409" s="106">
        <v>-6.05</v>
      </c>
      <c r="BC2409" s="106">
        <v>-7.93</v>
      </c>
      <c r="BO2409" s="106">
        <v>-18.059999999999999</v>
      </c>
      <c r="BU2409" s="106">
        <v>-69.5</v>
      </c>
      <c r="BY2409" s="42">
        <v>-8.65</v>
      </c>
      <c r="CA2409" s="106">
        <f>-8.81-8.69-8.57</f>
        <v>-26.07</v>
      </c>
      <c r="CM2409" s="106">
        <v>-48.48</v>
      </c>
      <c r="CS2409" s="74">
        <v>-34.08</v>
      </c>
      <c r="CY2409" s="106">
        <v>-82.92</v>
      </c>
    </row>
    <row r="2410" spans="1:236" x14ac:dyDescent="0.25">
      <c r="A2410" s="127">
        <v>44924</v>
      </c>
      <c r="B2410" s="24" t="s">
        <v>133</v>
      </c>
      <c r="C2410" s="21">
        <f t="shared" si="41"/>
        <v>-165.48</v>
      </c>
      <c r="AR2410" s="106">
        <v>-34.28</v>
      </c>
      <c r="AW2410" s="106">
        <v>-32.659999999999997</v>
      </c>
      <c r="BI2410" s="106">
        <v>-63.74</v>
      </c>
      <c r="CA2410" s="106">
        <v>-34.799999999999997</v>
      </c>
    </row>
    <row r="2411" spans="1:236" x14ac:dyDescent="0.25">
      <c r="A2411" s="127">
        <v>44924</v>
      </c>
      <c r="B2411" s="24" t="s">
        <v>32</v>
      </c>
      <c r="C2411" s="21">
        <f t="shared" si="41"/>
        <v>-308.16000000000003</v>
      </c>
      <c r="BI2411" s="106">
        <v>-69.52</v>
      </c>
      <c r="BO2411" s="106">
        <v>-70.88</v>
      </c>
      <c r="BU2411" s="106">
        <v>-67.72</v>
      </c>
      <c r="CM2411" s="106">
        <v>-16.66</v>
      </c>
      <c r="CY2411" s="106">
        <v>-32.9</v>
      </c>
      <c r="DE2411" s="74">
        <v>-32.56</v>
      </c>
      <c r="DP2411" s="74">
        <v>-17.920000000000002</v>
      </c>
    </row>
    <row r="2412" spans="1:236" x14ac:dyDescent="0.25">
      <c r="A2412" s="127">
        <v>44924</v>
      </c>
      <c r="B2412" s="24" t="s">
        <v>152</v>
      </c>
      <c r="C2412" s="21">
        <f t="shared" si="41"/>
        <v>-2040.2950000000001</v>
      </c>
      <c r="L2412" s="69">
        <v>-16.975000000000001</v>
      </c>
      <c r="AL2412" s="42">
        <v>-33.26</v>
      </c>
      <c r="AR2412" s="106">
        <v>-69.040000000000006</v>
      </c>
      <c r="AW2412" s="106">
        <v>-127.46</v>
      </c>
      <c r="BC2412" s="106">
        <v>-127.82</v>
      </c>
      <c r="BI2412" s="106">
        <v>-127.72</v>
      </c>
      <c r="BO2412" s="106">
        <v>-177.04</v>
      </c>
      <c r="BU2412" s="106">
        <v>-157.32</v>
      </c>
      <c r="CA2412" s="106">
        <v>-169.4</v>
      </c>
      <c r="CG2412" s="106">
        <v>-173.55</v>
      </c>
      <c r="CM2412" s="106">
        <v>-131.28</v>
      </c>
      <c r="CQ2412" s="42">
        <f>-34.46-34.56</f>
        <v>-69.02</v>
      </c>
      <c r="CS2412" s="74">
        <f>-30.82-29.62</f>
        <v>-60.44</v>
      </c>
      <c r="CY2412" s="106">
        <v>-65.819999999999993</v>
      </c>
      <c r="DE2412" s="74">
        <v>-66.680000000000007</v>
      </c>
      <c r="DK2412" s="106">
        <v>-65.62</v>
      </c>
      <c r="DP2412" s="74">
        <v>-68.38</v>
      </c>
      <c r="DU2412" s="106">
        <v>-175</v>
      </c>
      <c r="EJ2412" s="42">
        <v>-66.37</v>
      </c>
      <c r="ET2412" s="106">
        <v>-71.05</v>
      </c>
      <c r="EZ2412" s="92">
        <v>-21.05</v>
      </c>
    </row>
    <row r="2413" spans="1:236" x14ac:dyDescent="0.25">
      <c r="A2413" s="127">
        <v>44925</v>
      </c>
      <c r="B2413" s="24" t="s">
        <v>31</v>
      </c>
      <c r="C2413" s="21">
        <f t="shared" si="41"/>
        <v>-16.2</v>
      </c>
      <c r="HR2413" s="92">
        <v>-16.2</v>
      </c>
    </row>
    <row r="2414" spans="1:236" x14ac:dyDescent="0.25">
      <c r="A2414" s="127">
        <v>44925</v>
      </c>
      <c r="B2414" s="24" t="s">
        <v>133</v>
      </c>
      <c r="C2414" s="21">
        <f t="shared" si="41"/>
        <v>-136.72</v>
      </c>
      <c r="BO2414" s="106">
        <v>-34.64</v>
      </c>
      <c r="CY2414" s="106">
        <v>-34.86</v>
      </c>
      <c r="DE2414" s="74">
        <v>-34.82</v>
      </c>
      <c r="DK2414" s="106">
        <v>-32.4</v>
      </c>
    </row>
    <row r="2415" spans="1:236" x14ac:dyDescent="0.25">
      <c r="A2415" s="127">
        <v>44925</v>
      </c>
      <c r="B2415" s="24" t="s">
        <v>222</v>
      </c>
      <c r="C2415" s="21">
        <f t="shared" si="41"/>
        <v>-8.91</v>
      </c>
      <c r="AG2415" s="106">
        <v>-8.91</v>
      </c>
    </row>
    <row r="2416" spans="1:236" x14ac:dyDescent="0.25">
      <c r="A2416" s="127">
        <v>44928</v>
      </c>
      <c r="B2416" s="24" t="s">
        <v>44</v>
      </c>
      <c r="C2416" s="21">
        <f t="shared" si="41"/>
        <v>-158.37</v>
      </c>
      <c r="GQ2416" s="92">
        <v>-98.06</v>
      </c>
      <c r="GZ2416" s="106">
        <v>-60.31</v>
      </c>
    </row>
    <row r="2417" spans="1:131" x14ac:dyDescent="0.25">
      <c r="A2417" s="127">
        <v>44928</v>
      </c>
      <c r="B2417" s="24" t="s">
        <v>59</v>
      </c>
      <c r="C2417" s="21">
        <f t="shared" ref="C2417:C2480" si="42">SUM(D2417:JT2417)</f>
        <v>-5.5049999999999999</v>
      </c>
      <c r="CF2417" s="69">
        <v>-3.5649999999999999</v>
      </c>
      <c r="CM2417" s="106">
        <v>-1.94</v>
      </c>
    </row>
    <row r="2418" spans="1:131" x14ac:dyDescent="0.25">
      <c r="A2418" s="127">
        <v>44928</v>
      </c>
      <c r="B2418" s="24" t="s">
        <v>15</v>
      </c>
      <c r="C2418" s="21">
        <f t="shared" si="42"/>
        <v>-122.4</v>
      </c>
      <c r="BI2418" s="106">
        <v>-25.63</v>
      </c>
      <c r="BO2418" s="106">
        <v>-44.58</v>
      </c>
      <c r="BU2418" s="106">
        <v>-44.75</v>
      </c>
      <c r="CS2418" s="74">
        <v>-7.44</v>
      </c>
    </row>
    <row r="2419" spans="1:131" x14ac:dyDescent="0.25">
      <c r="A2419" s="127">
        <v>44929</v>
      </c>
      <c r="B2419" s="24" t="s">
        <v>113</v>
      </c>
      <c r="C2419" s="21">
        <f t="shared" si="42"/>
        <v>3500.4</v>
      </c>
      <c r="AW2419" s="106">
        <v>354.24</v>
      </c>
      <c r="BC2419" s="106">
        <v>339.54</v>
      </c>
      <c r="BI2419" s="106">
        <v>205.46</v>
      </c>
      <c r="BO2419" s="106">
        <v>334.22</v>
      </c>
      <c r="CA2419" s="106">
        <v>337.7</v>
      </c>
      <c r="CG2419" s="106">
        <v>418.45</v>
      </c>
      <c r="CM2419" s="106">
        <v>393.4</v>
      </c>
      <c r="CS2419" s="74">
        <v>405.5</v>
      </c>
      <c r="CY2419" s="106">
        <v>343.26</v>
      </c>
      <c r="DU2419" s="106">
        <v>334.35</v>
      </c>
      <c r="EA2419" s="74">
        <v>34.28</v>
      </c>
    </row>
    <row r="2420" spans="1:131" x14ac:dyDescent="0.25">
      <c r="A2420" s="127">
        <v>44929</v>
      </c>
      <c r="B2420" s="24" t="s">
        <v>13</v>
      </c>
      <c r="C2420" s="21">
        <f t="shared" si="42"/>
        <v>134.63999999999999</v>
      </c>
      <c r="Y2420" s="69">
        <f>8.285+8.585</f>
        <v>16.87</v>
      </c>
      <c r="AB2420" s="69">
        <v>16.79</v>
      </c>
      <c r="AQ2420" s="69">
        <v>33.81</v>
      </c>
      <c r="BN2420" s="69">
        <v>33.32</v>
      </c>
      <c r="BT2420" s="69">
        <v>33.85</v>
      </c>
    </row>
    <row r="2421" spans="1:131" x14ac:dyDescent="0.25">
      <c r="A2421" s="127">
        <v>44929</v>
      </c>
      <c r="B2421" s="24" t="s">
        <v>14</v>
      </c>
      <c r="C2421" s="21">
        <f t="shared" si="42"/>
        <v>-159.96</v>
      </c>
      <c r="Y2421" s="69">
        <v>-8.2850000000000001</v>
      </c>
      <c r="AB2421" s="69">
        <v>-16.79</v>
      </c>
      <c r="AQ2421" s="69">
        <v>-33.81</v>
      </c>
      <c r="AV2421" s="69">
        <v>-33.905000000000001</v>
      </c>
      <c r="BN2421" s="69">
        <v>-33.32</v>
      </c>
      <c r="BT2421" s="69">
        <v>-33.85</v>
      </c>
    </row>
    <row r="2422" spans="1:131" x14ac:dyDescent="0.25">
      <c r="A2422" s="127">
        <v>44929</v>
      </c>
      <c r="B2422" s="24" t="s">
        <v>161</v>
      </c>
      <c r="C2422" s="21">
        <f t="shared" si="42"/>
        <v>-24.47</v>
      </c>
      <c r="AW2422" s="106">
        <v>-24.47</v>
      </c>
    </row>
    <row r="2423" spans="1:131" x14ac:dyDescent="0.25">
      <c r="A2423" s="127">
        <v>44929</v>
      </c>
      <c r="B2423" s="24" t="s">
        <v>32</v>
      </c>
      <c r="C2423" s="21">
        <f t="shared" si="42"/>
        <v>0</v>
      </c>
    </row>
    <row r="2424" spans="1:131" x14ac:dyDescent="0.25">
      <c r="A2424" s="127">
        <v>44929</v>
      </c>
      <c r="B2424" s="24" t="s">
        <v>72</v>
      </c>
      <c r="C2424" s="21">
        <f t="shared" si="42"/>
        <v>-52.42</v>
      </c>
      <c r="DP2424" s="74">
        <v>-52.42</v>
      </c>
    </row>
    <row r="2425" spans="1:131" x14ac:dyDescent="0.25">
      <c r="A2425" s="127">
        <v>44930</v>
      </c>
      <c r="B2425" s="24" t="s">
        <v>139</v>
      </c>
      <c r="C2425" s="21">
        <f t="shared" si="42"/>
        <v>-34.22</v>
      </c>
      <c r="BU2425" s="106">
        <v>-9.07</v>
      </c>
      <c r="CG2425" s="106">
        <v>-8.4499999999999993</v>
      </c>
      <c r="CM2425" s="106">
        <v>-8.57</v>
      </c>
      <c r="CS2425" s="74">
        <v>-8.1300000000000008</v>
      </c>
    </row>
    <row r="2426" spans="1:131" x14ac:dyDescent="0.25">
      <c r="A2426" s="127">
        <v>44930</v>
      </c>
      <c r="B2426" s="24" t="s">
        <v>138</v>
      </c>
      <c r="C2426" s="21">
        <f t="shared" si="42"/>
        <v>-51.45</v>
      </c>
      <c r="BM2426" s="88">
        <v>-8.61</v>
      </c>
      <c r="BY2426" s="42">
        <v>-8.67</v>
      </c>
      <c r="CQ2426" s="42">
        <v>-8.6199999999999992</v>
      </c>
      <c r="DE2426" s="74">
        <v>-25.55</v>
      </c>
    </row>
    <row r="2427" spans="1:131" x14ac:dyDescent="0.25">
      <c r="A2427" s="127">
        <v>44930</v>
      </c>
      <c r="B2427" s="24" t="s">
        <v>84</v>
      </c>
      <c r="C2427" s="21">
        <f t="shared" si="42"/>
        <v>-49.88</v>
      </c>
      <c r="AW2427" s="106">
        <v>-17.62</v>
      </c>
      <c r="BI2427" s="106">
        <v>-14.16</v>
      </c>
      <c r="BO2427" s="106">
        <v>-18.100000000000001</v>
      </c>
    </row>
    <row r="2428" spans="1:131" x14ac:dyDescent="0.25">
      <c r="A2428" s="127">
        <v>44930</v>
      </c>
      <c r="B2428" s="24" t="s">
        <v>58</v>
      </c>
      <c r="C2428" s="21">
        <f t="shared" si="42"/>
        <v>-8.19</v>
      </c>
      <c r="DK2428" s="106">
        <v>-8.19</v>
      </c>
    </row>
    <row r="2429" spans="1:131" x14ac:dyDescent="0.25">
      <c r="A2429" s="127">
        <v>44930</v>
      </c>
      <c r="B2429" s="24" t="s">
        <v>26</v>
      </c>
      <c r="C2429" s="21">
        <f t="shared" si="42"/>
        <v>-34.06</v>
      </c>
      <c r="BU2429" s="106">
        <v>-8.33</v>
      </c>
      <c r="CA2429" s="106">
        <v>-8.73</v>
      </c>
      <c r="CG2429" s="106">
        <v>-8.6999999999999993</v>
      </c>
      <c r="CM2429" s="106">
        <v>-8.3000000000000007</v>
      </c>
    </row>
    <row r="2430" spans="1:131" x14ac:dyDescent="0.25">
      <c r="A2430" s="127">
        <v>44930</v>
      </c>
      <c r="B2430" s="24" t="s">
        <v>20</v>
      </c>
      <c r="C2430" s="21">
        <f t="shared" si="42"/>
        <v>-17.16</v>
      </c>
      <c r="L2430" s="69">
        <v>-8.51</v>
      </c>
      <c r="O2430" s="375">
        <v>-8.65</v>
      </c>
    </row>
    <row r="2431" spans="1:131" x14ac:dyDescent="0.25">
      <c r="A2431" s="127">
        <v>44931</v>
      </c>
      <c r="B2431" s="24" t="s">
        <v>113</v>
      </c>
      <c r="C2431" s="21">
        <f t="shared" si="42"/>
        <v>1517.76</v>
      </c>
      <c r="CA2431" s="106">
        <v>405.5</v>
      </c>
      <c r="CG2431" s="106">
        <v>436.05</v>
      </c>
      <c r="CM2431" s="106">
        <v>395.25</v>
      </c>
      <c r="CS2431" s="74">
        <v>280.95999999999998</v>
      </c>
    </row>
    <row r="2432" spans="1:131" x14ac:dyDescent="0.25">
      <c r="A2432" s="127">
        <v>44931</v>
      </c>
      <c r="B2432" s="24" t="s">
        <v>161</v>
      </c>
      <c r="C2432" s="21">
        <f t="shared" si="42"/>
        <v>-34.75</v>
      </c>
      <c r="CG2432" s="106">
        <v>-34.75</v>
      </c>
    </row>
    <row r="2433" spans="1:238" x14ac:dyDescent="0.25">
      <c r="A2433" s="127">
        <v>44932</v>
      </c>
      <c r="B2433" s="24" t="s">
        <v>166</v>
      </c>
      <c r="C2433" s="21">
        <f t="shared" si="42"/>
        <v>-361.69</v>
      </c>
      <c r="AW2433" s="106">
        <v>-30.36</v>
      </c>
      <c r="BC2433" s="106">
        <v>-29.78</v>
      </c>
      <c r="BI2433" s="106">
        <v>-52.32</v>
      </c>
      <c r="BO2433" s="106">
        <v>-35.479999999999997</v>
      </c>
      <c r="BU2433" s="106">
        <v>-40.770000000000003</v>
      </c>
      <c r="CA2433" s="106">
        <v>-24.31</v>
      </c>
      <c r="CG2433" s="106">
        <v>-28.05</v>
      </c>
      <c r="CM2433" s="106">
        <v>-24.8</v>
      </c>
      <c r="CS2433" s="74">
        <v>-30.18</v>
      </c>
      <c r="CY2433" s="106">
        <v>-31.78</v>
      </c>
      <c r="DE2433" s="74">
        <v>-33.86</v>
      </c>
    </row>
    <row r="2434" spans="1:238" x14ac:dyDescent="0.25">
      <c r="A2434" s="127">
        <v>44932</v>
      </c>
      <c r="B2434" s="24" t="s">
        <v>133</v>
      </c>
      <c r="C2434" s="21">
        <f t="shared" si="42"/>
        <v>-233</v>
      </c>
      <c r="BC2434" s="106">
        <v>-31.86</v>
      </c>
      <c r="BI2434" s="106">
        <v>-35.58</v>
      </c>
      <c r="BO2434" s="106">
        <v>-35.68</v>
      </c>
      <c r="CG2434" s="106">
        <v>-33.6</v>
      </c>
      <c r="CM2434" s="106">
        <v>-33</v>
      </c>
      <c r="CS2434" s="74">
        <v>-30.24</v>
      </c>
      <c r="DE2434" s="74">
        <v>-33.04</v>
      </c>
    </row>
    <row r="2435" spans="1:238" x14ac:dyDescent="0.25">
      <c r="A2435" s="127">
        <v>44932</v>
      </c>
      <c r="B2435" s="24" t="s">
        <v>161</v>
      </c>
      <c r="C2435" s="21">
        <f t="shared" si="42"/>
        <v>-9.09</v>
      </c>
      <c r="BI2435" s="106">
        <v>-9.09</v>
      </c>
    </row>
    <row r="2436" spans="1:238" x14ac:dyDescent="0.25">
      <c r="A2436" s="127">
        <v>44932</v>
      </c>
      <c r="B2436" s="24" t="s">
        <v>50</v>
      </c>
      <c r="C2436" s="21">
        <f t="shared" si="42"/>
        <v>-324.08</v>
      </c>
      <c r="GZ2436" s="106">
        <f>-151-18</f>
        <v>-169</v>
      </c>
      <c r="ID2436" s="42">
        <v>-155.08000000000001</v>
      </c>
    </row>
    <row r="2437" spans="1:238" x14ac:dyDescent="0.25">
      <c r="A2437" s="127">
        <v>44932</v>
      </c>
      <c r="B2437" s="24" t="s">
        <v>59</v>
      </c>
      <c r="C2437" s="21">
        <f t="shared" si="42"/>
        <v>-7.23</v>
      </c>
      <c r="CS2437" s="74">
        <v>-7.23</v>
      </c>
    </row>
    <row r="2438" spans="1:238" x14ac:dyDescent="0.25">
      <c r="A2438" s="127">
        <v>44932</v>
      </c>
      <c r="B2438" s="24" t="s">
        <v>84</v>
      </c>
      <c r="C2438" s="21">
        <f t="shared" si="42"/>
        <v>-194.13</v>
      </c>
      <c r="H2438" s="84">
        <v>-5.2</v>
      </c>
      <c r="I2438" s="84">
        <v>-5.01</v>
      </c>
      <c r="Z2438" s="79">
        <v>-8.5</v>
      </c>
      <c r="AG2438" s="106">
        <v>-17.84</v>
      </c>
      <c r="AR2438" s="106">
        <v>-17.239999999999998</v>
      </c>
      <c r="AW2438" s="106">
        <v>-16.28</v>
      </c>
      <c r="BC2438" s="106">
        <v>-14.92</v>
      </c>
      <c r="BI2438" s="106">
        <v>-8.93</v>
      </c>
      <c r="BO2438" s="106">
        <v>-8.4700000000000006</v>
      </c>
      <c r="BU2438" s="106">
        <v>-9.15</v>
      </c>
      <c r="CA2438" s="106">
        <v>-8.75</v>
      </c>
      <c r="CG2438" s="106">
        <v>-8.4499999999999993</v>
      </c>
      <c r="CM2438" s="106">
        <v>-16.55</v>
      </c>
      <c r="CS2438" s="74">
        <v>-15.88</v>
      </c>
      <c r="CY2438" s="106">
        <v>-16.12</v>
      </c>
      <c r="DE2438" s="74">
        <v>-16.84</v>
      </c>
    </row>
    <row r="2439" spans="1:238" x14ac:dyDescent="0.25">
      <c r="A2439" s="127">
        <v>44933</v>
      </c>
      <c r="B2439" s="24" t="s">
        <v>32</v>
      </c>
      <c r="C2439" s="21">
        <f t="shared" si="42"/>
        <v>-213.98</v>
      </c>
      <c r="BC2439" s="106">
        <f>-31.78-31.52</f>
        <v>-63.3</v>
      </c>
      <c r="CA2439" s="106">
        <v>-50.16</v>
      </c>
      <c r="CG2439" s="106">
        <f>-34.6-34.2</f>
        <v>-68.8</v>
      </c>
      <c r="CS2439" s="74">
        <v>-31.72</v>
      </c>
    </row>
    <row r="2440" spans="1:238" x14ac:dyDescent="0.25">
      <c r="A2440" s="127">
        <v>44935</v>
      </c>
      <c r="B2440" s="24" t="s">
        <v>65</v>
      </c>
      <c r="C2440" s="21">
        <f t="shared" si="42"/>
        <v>-17.46</v>
      </c>
      <c r="AW2440" s="106">
        <v>-17.46</v>
      </c>
    </row>
    <row r="2441" spans="1:238" x14ac:dyDescent="0.25">
      <c r="A2441" s="127">
        <v>44935</v>
      </c>
      <c r="B2441" s="24" t="s">
        <v>59</v>
      </c>
      <c r="C2441" s="21">
        <f t="shared" si="42"/>
        <v>-5.55</v>
      </c>
      <c r="AW2441" s="106">
        <v>-1.1100000000000001</v>
      </c>
      <c r="CM2441" s="106">
        <v>-2.21</v>
      </c>
      <c r="CS2441" s="74">
        <v>-2.23</v>
      </c>
    </row>
    <row r="2442" spans="1:238" x14ac:dyDescent="0.25">
      <c r="A2442" s="127">
        <v>44936</v>
      </c>
      <c r="B2442" s="24" t="s">
        <v>75</v>
      </c>
      <c r="C2442" s="21">
        <f t="shared" si="42"/>
        <v>-7.19</v>
      </c>
      <c r="CA2442" s="106">
        <v>-7.19</v>
      </c>
    </row>
    <row r="2443" spans="1:238" x14ac:dyDescent="0.25">
      <c r="A2443" s="127">
        <v>44936</v>
      </c>
      <c r="B2443" s="24" t="s">
        <v>27</v>
      </c>
      <c r="C2443" s="21">
        <f t="shared" si="42"/>
        <v>-17.57</v>
      </c>
      <c r="AR2443" s="106">
        <v>-8.6</v>
      </c>
      <c r="BO2443" s="106">
        <v>-8.9700000000000006</v>
      </c>
    </row>
    <row r="2444" spans="1:238" x14ac:dyDescent="0.25">
      <c r="A2444" s="127">
        <v>44936</v>
      </c>
      <c r="B2444" s="24" t="s">
        <v>139</v>
      </c>
      <c r="C2444" s="21">
        <f t="shared" si="42"/>
        <v>-24.11</v>
      </c>
      <c r="CA2444" s="106">
        <v>-8.7100000000000009</v>
      </c>
      <c r="CM2444" s="106">
        <v>-8.25</v>
      </c>
      <c r="CS2444" s="74">
        <v>-7.15</v>
      </c>
    </row>
    <row r="2445" spans="1:238" x14ac:dyDescent="0.25">
      <c r="A2445" s="127">
        <v>44936</v>
      </c>
      <c r="B2445" s="24" t="s">
        <v>25</v>
      </c>
      <c r="C2445" s="21">
        <f t="shared" si="42"/>
        <v>-15.96</v>
      </c>
      <c r="AG2445" s="106">
        <v>-9.01</v>
      </c>
      <c r="AW2445" s="106">
        <v>-6.95</v>
      </c>
    </row>
    <row r="2446" spans="1:238" x14ac:dyDescent="0.25">
      <c r="A2446" s="127">
        <v>44936</v>
      </c>
      <c r="B2446" s="24" t="s">
        <v>161</v>
      </c>
      <c r="C2446" s="21">
        <f t="shared" si="42"/>
        <v>-8.9499999999999993</v>
      </c>
      <c r="AG2446" s="106">
        <v>-8.9499999999999993</v>
      </c>
    </row>
    <row r="2447" spans="1:238" x14ac:dyDescent="0.25">
      <c r="A2447" s="127">
        <v>44936</v>
      </c>
      <c r="B2447" s="24" t="s">
        <v>44</v>
      </c>
      <c r="C2447" s="21">
        <f t="shared" si="42"/>
        <v>-64.400000000000006</v>
      </c>
      <c r="GQ2447" s="92">
        <f>-32.7-31.7</f>
        <v>-64.400000000000006</v>
      </c>
    </row>
    <row r="2448" spans="1:238" x14ac:dyDescent="0.25">
      <c r="A2448" s="127">
        <v>44937</v>
      </c>
      <c r="B2448" s="24" t="s">
        <v>133</v>
      </c>
      <c r="C2448" s="21">
        <f t="shared" si="42"/>
        <v>-294.29000000000002</v>
      </c>
      <c r="AR2448" s="106">
        <v>-31.9</v>
      </c>
      <c r="CA2448" s="106">
        <v>-34.159999999999997</v>
      </c>
      <c r="CG2448" s="106">
        <v>-33.700000000000003</v>
      </c>
      <c r="CM2448" s="106">
        <f>-32.95-33</f>
        <v>-65.95</v>
      </c>
      <c r="CS2448" s="74">
        <f>-30.46-29.22</f>
        <v>-59.68</v>
      </c>
      <c r="EA2448" s="74">
        <f>-34.28-34.62</f>
        <v>-68.900000000000006</v>
      </c>
    </row>
    <row r="2449" spans="1:224" x14ac:dyDescent="0.25">
      <c r="A2449" s="127">
        <v>44937</v>
      </c>
      <c r="B2449" s="24" t="s">
        <v>153</v>
      </c>
      <c r="C2449" s="21">
        <f t="shared" si="42"/>
        <v>258.02999999999997</v>
      </c>
      <c r="N2449" s="42">
        <v>7.41</v>
      </c>
      <c r="T2449" s="42">
        <v>23.85</v>
      </c>
      <c r="BG2449" s="42">
        <v>32.58</v>
      </c>
      <c r="BS2449" s="42">
        <v>34.36</v>
      </c>
      <c r="DI2449" s="42">
        <v>34.590000000000003</v>
      </c>
      <c r="DN2449" s="42">
        <v>67.41</v>
      </c>
      <c r="EJ2449" s="42">
        <v>35.880000000000003</v>
      </c>
      <c r="FA2449" s="42">
        <v>21.95</v>
      </c>
    </row>
    <row r="2450" spans="1:224" x14ac:dyDescent="0.25">
      <c r="A2450" s="127">
        <v>44937</v>
      </c>
      <c r="B2450" s="29" t="s">
        <v>152</v>
      </c>
      <c r="C2450" s="21">
        <f t="shared" si="42"/>
        <v>-1110.49</v>
      </c>
      <c r="T2450" s="42">
        <v>-23.85</v>
      </c>
      <c r="AW2450" s="106">
        <v>-34</v>
      </c>
      <c r="BC2450" s="106">
        <v>-30.44</v>
      </c>
      <c r="BI2450" s="106">
        <v>-99.06</v>
      </c>
      <c r="BO2450" s="106">
        <v>-106.8</v>
      </c>
      <c r="BU2450" s="106">
        <v>-66.760000000000005</v>
      </c>
      <c r="CA2450" s="106">
        <v>-102.14</v>
      </c>
      <c r="CG2450" s="106">
        <v>-64.7</v>
      </c>
      <c r="CM2450" s="106">
        <v>-99.85</v>
      </c>
      <c r="CS2450" s="74">
        <v>-33.4</v>
      </c>
      <c r="CY2450" s="106">
        <v>-34.78</v>
      </c>
      <c r="DE2450" s="74">
        <v>-67.8</v>
      </c>
      <c r="DN2450" s="42">
        <v>-67.41</v>
      </c>
      <c r="DU2450" s="106">
        <v>-134.4</v>
      </c>
      <c r="EJ2450" s="42">
        <v>-35.880000000000003</v>
      </c>
      <c r="ET2450" s="106">
        <v>-68.099999999999994</v>
      </c>
      <c r="EZ2450" s="92">
        <v>-19.170000000000002</v>
      </c>
      <c r="FA2450" s="42">
        <v>-21.95</v>
      </c>
    </row>
    <row r="2451" spans="1:224" x14ac:dyDescent="0.25">
      <c r="A2451" s="127">
        <v>44937</v>
      </c>
      <c r="B2451" s="29" t="s">
        <v>151</v>
      </c>
      <c r="C2451" s="21">
        <f t="shared" si="42"/>
        <v>-16.02</v>
      </c>
      <c r="CY2451" s="106">
        <v>-16.02</v>
      </c>
    </row>
    <row r="2452" spans="1:224" x14ac:dyDescent="0.25">
      <c r="A2452" s="127">
        <v>44937</v>
      </c>
      <c r="B2452" s="29" t="s">
        <v>111</v>
      </c>
      <c r="C2452" s="21">
        <f t="shared" si="42"/>
        <v>-16.8</v>
      </c>
      <c r="CG2452" s="106">
        <v>-16.8</v>
      </c>
    </row>
    <row r="2453" spans="1:224" x14ac:dyDescent="0.25">
      <c r="A2453" s="127">
        <v>44937</v>
      </c>
      <c r="B2453" s="29" t="s">
        <v>161</v>
      </c>
      <c r="C2453" s="21">
        <f t="shared" si="42"/>
        <v>0</v>
      </c>
    </row>
    <row r="2454" spans="1:224" x14ac:dyDescent="0.25">
      <c r="A2454" s="127">
        <v>44938</v>
      </c>
      <c r="B2454" s="24" t="s">
        <v>152</v>
      </c>
      <c r="C2454" s="21">
        <f t="shared" si="42"/>
        <v>0</v>
      </c>
    </row>
    <row r="2455" spans="1:224" x14ac:dyDescent="0.25">
      <c r="A2455" s="127">
        <v>44938</v>
      </c>
      <c r="B2455" s="24" t="s">
        <v>59</v>
      </c>
      <c r="C2455" s="21">
        <f t="shared" si="42"/>
        <v>-7.85</v>
      </c>
      <c r="CA2455" s="106">
        <v>-7.85</v>
      </c>
    </row>
    <row r="2456" spans="1:224" x14ac:dyDescent="0.25">
      <c r="A2456" s="127">
        <v>44938</v>
      </c>
      <c r="B2456" s="24" t="s">
        <v>131</v>
      </c>
      <c r="C2456" s="21">
        <f t="shared" si="42"/>
        <v>-7.79</v>
      </c>
      <c r="X2456" s="42">
        <v>-7.79</v>
      </c>
    </row>
    <row r="2457" spans="1:224" x14ac:dyDescent="0.25">
      <c r="A2457" s="127">
        <v>44939</v>
      </c>
      <c r="B2457" s="24" t="s">
        <v>68</v>
      </c>
      <c r="C2457" s="21">
        <f t="shared" si="42"/>
        <v>-174.17</v>
      </c>
      <c r="N2457" s="42">
        <v>-7.41</v>
      </c>
      <c r="AW2457" s="106">
        <v>-31.5</v>
      </c>
      <c r="BC2457" s="106">
        <v>-29.46</v>
      </c>
      <c r="BI2457" s="106">
        <v>-35.28</v>
      </c>
      <c r="BO2457" s="106">
        <v>-35.659999999999997</v>
      </c>
      <c r="CA2457" s="106">
        <v>-34.86</v>
      </c>
    </row>
    <row r="2458" spans="1:224" x14ac:dyDescent="0.25">
      <c r="A2458" s="127">
        <v>44939</v>
      </c>
      <c r="B2458" s="24" t="s">
        <v>113</v>
      </c>
      <c r="C2458" s="21">
        <f t="shared" si="42"/>
        <v>4317.95</v>
      </c>
      <c r="AW2458" s="106">
        <v>364.56</v>
      </c>
      <c r="BC2458" s="106">
        <v>381.6</v>
      </c>
      <c r="CG2458" s="106">
        <f>36.05+338.25</f>
        <v>374.3</v>
      </c>
      <c r="CM2458" s="106">
        <f>424.2+354.7</f>
        <v>778.9</v>
      </c>
      <c r="CY2458" s="106">
        <v>336.72</v>
      </c>
      <c r="DE2458" s="74">
        <v>339.54</v>
      </c>
      <c r="DK2458" s="106">
        <v>331.9</v>
      </c>
      <c r="DP2458" s="74">
        <v>375.65</v>
      </c>
      <c r="GQ2458" s="92">
        <v>519.33000000000004</v>
      </c>
      <c r="HP2458" s="92">
        <v>515.45000000000005</v>
      </c>
    </row>
    <row r="2459" spans="1:224" x14ac:dyDescent="0.25">
      <c r="A2459" s="127">
        <v>44939</v>
      </c>
      <c r="B2459" s="24" t="s">
        <v>133</v>
      </c>
      <c r="C2459" s="21">
        <f t="shared" si="42"/>
        <v>-233.39</v>
      </c>
      <c r="BI2459" s="106">
        <v>-33.340000000000003</v>
      </c>
      <c r="BO2459" s="106">
        <v>-34.6</v>
      </c>
      <c r="CM2459" s="106">
        <v>-32.950000000000003</v>
      </c>
      <c r="CS2459" s="74">
        <v>-32.28</v>
      </c>
      <c r="CY2459" s="106">
        <v>-35.42</v>
      </c>
      <c r="DK2459" s="106">
        <v>-30.35</v>
      </c>
      <c r="DP2459" s="74">
        <v>-34.450000000000003</v>
      </c>
    </row>
    <row r="2460" spans="1:224" x14ac:dyDescent="0.25">
      <c r="A2460" s="127">
        <v>44939</v>
      </c>
      <c r="B2460" s="24" t="s">
        <v>151</v>
      </c>
      <c r="C2460" s="21">
        <f t="shared" si="42"/>
        <v>-24.26</v>
      </c>
      <c r="BU2460" s="106">
        <v>-8.41</v>
      </c>
      <c r="CG2460" s="106">
        <v>-8.4</v>
      </c>
      <c r="CM2460" s="106">
        <v>-7.45</v>
      </c>
    </row>
    <row r="2461" spans="1:224" x14ac:dyDescent="0.25">
      <c r="A2461" s="127">
        <v>44939</v>
      </c>
      <c r="B2461" s="24" t="s">
        <v>84</v>
      </c>
      <c r="C2461" s="21">
        <f t="shared" si="42"/>
        <v>-24.76</v>
      </c>
      <c r="AR2461" s="106">
        <v>-8.6</v>
      </c>
      <c r="BC2461" s="106">
        <v>-7.17</v>
      </c>
      <c r="BU2461" s="106">
        <v>-8.99</v>
      </c>
    </row>
    <row r="2462" spans="1:224" x14ac:dyDescent="0.25">
      <c r="A2462" s="127">
        <v>44939</v>
      </c>
      <c r="B2462" s="24" t="s">
        <v>115</v>
      </c>
      <c r="C2462" s="21">
        <f t="shared" si="42"/>
        <v>492.97500000000002</v>
      </c>
      <c r="D2462" s="386">
        <v>158.58000000000001</v>
      </c>
      <c r="E2462" s="386">
        <v>158.13</v>
      </c>
      <c r="F2462" s="145">
        <v>176.26499999999999</v>
      </c>
    </row>
    <row r="2463" spans="1:224" x14ac:dyDescent="0.25">
      <c r="A2463" s="127">
        <v>44940</v>
      </c>
      <c r="B2463" s="24" t="s">
        <v>140</v>
      </c>
      <c r="C2463" s="21">
        <f t="shared" si="42"/>
        <v>-81.594999999999999</v>
      </c>
      <c r="D2463" s="386">
        <v>-24.66</v>
      </c>
      <c r="E2463" s="386">
        <v>-56.935000000000002</v>
      </c>
    </row>
    <row r="2464" spans="1:224" x14ac:dyDescent="0.25">
      <c r="A2464" s="127">
        <v>44940</v>
      </c>
      <c r="B2464" s="24" t="s">
        <v>169</v>
      </c>
      <c r="C2464" s="21">
        <f t="shared" si="42"/>
        <v>-82.94</v>
      </c>
      <c r="D2464" s="386">
        <v>-17.98</v>
      </c>
      <c r="E2464" s="386">
        <v>-64.959999999999994</v>
      </c>
    </row>
    <row r="2465" spans="1:240" x14ac:dyDescent="0.25">
      <c r="A2465" s="127">
        <v>44940</v>
      </c>
      <c r="B2465" s="24" t="s">
        <v>32</v>
      </c>
      <c r="C2465" s="21">
        <f t="shared" si="42"/>
        <v>-205.67</v>
      </c>
      <c r="AR2465" s="106">
        <v>-17.149999999999999</v>
      </c>
      <c r="BB2465" s="69">
        <v>-17.079999999999998</v>
      </c>
      <c r="BU2465" s="106">
        <v>-18.18</v>
      </c>
      <c r="CA2465" s="106">
        <v>-34.14</v>
      </c>
      <c r="CG2465" s="106">
        <v>-33.6</v>
      </c>
      <c r="DK2465" s="106">
        <v>-16.05</v>
      </c>
      <c r="DS2465" s="42">
        <v>-34.54</v>
      </c>
      <c r="DY2465" s="42">
        <v>-34.93</v>
      </c>
    </row>
    <row r="2466" spans="1:240" x14ac:dyDescent="0.25">
      <c r="A2466" s="127">
        <v>44940</v>
      </c>
      <c r="B2466" s="24" t="s">
        <v>133</v>
      </c>
      <c r="C2466" s="21">
        <f t="shared" si="42"/>
        <v>-33.68</v>
      </c>
      <c r="BO2466" s="106">
        <v>-33.68</v>
      </c>
    </row>
    <row r="2467" spans="1:240" x14ac:dyDescent="0.25">
      <c r="A2467" s="127">
        <v>44942</v>
      </c>
      <c r="B2467" s="24" t="s">
        <v>65</v>
      </c>
      <c r="C2467" s="21">
        <f t="shared" si="42"/>
        <v>-98.14</v>
      </c>
      <c r="AR2467" s="106">
        <v>-64.92</v>
      </c>
      <c r="AW2467" s="106">
        <v>-33.22</v>
      </c>
    </row>
    <row r="2468" spans="1:240" x14ac:dyDescent="0.25">
      <c r="A2468" s="127">
        <v>44942</v>
      </c>
      <c r="B2468" s="24" t="s">
        <v>44</v>
      </c>
      <c r="C2468" s="21">
        <f t="shared" si="42"/>
        <v>-159.19999999999999</v>
      </c>
      <c r="GJ2468" s="202">
        <v>-14.87</v>
      </c>
      <c r="GQ2468" s="92">
        <v>-144.33000000000001</v>
      </c>
    </row>
    <row r="2469" spans="1:240" x14ac:dyDescent="0.25">
      <c r="A2469" s="127">
        <v>44942</v>
      </c>
      <c r="B2469" s="24" t="s">
        <v>12</v>
      </c>
      <c r="C2469" s="21">
        <f t="shared" si="42"/>
        <v>9.1449999999999996</v>
      </c>
      <c r="AL2469" s="42">
        <v>9.1449999999999996</v>
      </c>
    </row>
    <row r="2470" spans="1:240" x14ac:dyDescent="0.25">
      <c r="A2470" s="127">
        <v>44943</v>
      </c>
      <c r="B2470" s="24" t="s">
        <v>82</v>
      </c>
      <c r="C2470" s="21">
        <f t="shared" si="42"/>
        <v>-159.25</v>
      </c>
      <c r="HH2470" s="106">
        <v>-102.1</v>
      </c>
      <c r="HR2470" s="92">
        <v>-57.15</v>
      </c>
    </row>
    <row r="2471" spans="1:240" x14ac:dyDescent="0.25">
      <c r="A2471" s="127">
        <v>44943</v>
      </c>
      <c r="B2471" s="24" t="s">
        <v>31</v>
      </c>
      <c r="C2471" s="21">
        <f t="shared" si="42"/>
        <v>-8.82</v>
      </c>
      <c r="IF2471" s="50">
        <v>-8.82</v>
      </c>
    </row>
    <row r="2472" spans="1:240" x14ac:dyDescent="0.25">
      <c r="A2472" s="127">
        <v>44943</v>
      </c>
      <c r="B2472" s="24" t="s">
        <v>25</v>
      </c>
      <c r="C2472" s="21">
        <f t="shared" si="42"/>
        <v>-33.33</v>
      </c>
      <c r="BO2472" s="106">
        <v>-8.3699999999999992</v>
      </c>
      <c r="BU2472" s="106">
        <v>-8.9700000000000006</v>
      </c>
      <c r="CA2472" s="106">
        <v>-7.59</v>
      </c>
      <c r="CG2472" s="106">
        <v>-8.4</v>
      </c>
    </row>
    <row r="2473" spans="1:240" x14ac:dyDescent="0.25">
      <c r="A2473" s="127">
        <v>44943</v>
      </c>
      <c r="B2473" s="24" t="s">
        <v>139</v>
      </c>
      <c r="C2473" s="21">
        <f t="shared" si="42"/>
        <v>-82.4</v>
      </c>
      <c r="BI2473" s="106">
        <v>-9.33</v>
      </c>
      <c r="BO2473" s="106">
        <v>-8.41</v>
      </c>
      <c r="CG2473" s="106">
        <v>-8.4</v>
      </c>
      <c r="CM2473" s="106">
        <f>-8.25-8.85</f>
        <v>-17.100000000000001</v>
      </c>
      <c r="CS2473" s="74">
        <v>-7.85</v>
      </c>
      <c r="HF2473" s="92">
        <v>-31.31</v>
      </c>
    </row>
    <row r="2474" spans="1:240" x14ac:dyDescent="0.25">
      <c r="A2474" s="127">
        <v>44943</v>
      </c>
      <c r="B2474" s="24" t="s">
        <v>127</v>
      </c>
      <c r="C2474" s="21">
        <f t="shared" si="42"/>
        <v>-16.885000000000002</v>
      </c>
      <c r="AU2474" s="42">
        <v>-8.7100000000000009</v>
      </c>
      <c r="BB2474" s="69">
        <v>-8.1750000000000007</v>
      </c>
    </row>
    <row r="2475" spans="1:240" x14ac:dyDescent="0.25">
      <c r="A2475" s="127">
        <v>44943</v>
      </c>
      <c r="B2475" s="24" t="s">
        <v>75</v>
      </c>
      <c r="C2475" s="21">
        <f t="shared" si="42"/>
        <v>-24.79</v>
      </c>
      <c r="BC2475" s="106">
        <v>-7.59</v>
      </c>
      <c r="CA2475" s="106">
        <v>-8.75</v>
      </c>
      <c r="CG2475" s="106">
        <v>-8.4499999999999993</v>
      </c>
    </row>
    <row r="2476" spans="1:240" x14ac:dyDescent="0.25">
      <c r="A2476" s="127">
        <v>44943</v>
      </c>
      <c r="B2476" s="24" t="s">
        <v>79</v>
      </c>
      <c r="C2476" s="21">
        <f t="shared" si="42"/>
        <v>-46.484999999999999</v>
      </c>
      <c r="Z2476" s="79">
        <v>-8.5</v>
      </c>
      <c r="AL2476" s="42">
        <v>-5.7450000000000001</v>
      </c>
      <c r="BI2476" s="106">
        <v>-14.52</v>
      </c>
      <c r="BM2476" s="88">
        <v>-17.72</v>
      </c>
    </row>
    <row r="2477" spans="1:240" x14ac:dyDescent="0.25">
      <c r="A2477" s="127">
        <v>44944</v>
      </c>
      <c r="B2477" s="24" t="s">
        <v>48</v>
      </c>
      <c r="C2477" s="21">
        <f t="shared" si="42"/>
        <v>-92.24</v>
      </c>
      <c r="CS2477" s="74">
        <v>-92.24</v>
      </c>
    </row>
    <row r="2478" spans="1:240" x14ac:dyDescent="0.25">
      <c r="A2478" s="127">
        <v>44945</v>
      </c>
      <c r="B2478" s="24" t="s">
        <v>113</v>
      </c>
      <c r="C2478" s="21">
        <f t="shared" si="42"/>
        <v>1044.6300000000001</v>
      </c>
      <c r="BU2478" s="106">
        <v>316.38</v>
      </c>
      <c r="FC2478" s="106">
        <v>303.35000000000002</v>
      </c>
      <c r="HM2478" s="106">
        <v>424.9</v>
      </c>
    </row>
    <row r="2479" spans="1:240" x14ac:dyDescent="0.25">
      <c r="A2479" s="127">
        <v>44945</v>
      </c>
      <c r="B2479" s="24" t="s">
        <v>65</v>
      </c>
      <c r="C2479" s="21">
        <f t="shared" si="42"/>
        <v>-41.25</v>
      </c>
      <c r="AW2479" s="106">
        <v>-41.25</v>
      </c>
    </row>
    <row r="2480" spans="1:240" x14ac:dyDescent="0.25">
      <c r="A2480" s="127">
        <v>44945</v>
      </c>
      <c r="B2480" s="24" t="s">
        <v>152</v>
      </c>
      <c r="C2480" s="21">
        <f t="shared" si="42"/>
        <v>-784.32</v>
      </c>
      <c r="AR2480" s="106">
        <v>-32.67</v>
      </c>
      <c r="AW2480" s="106">
        <v>-53.75</v>
      </c>
      <c r="BG2480" s="42">
        <v>-32.58</v>
      </c>
      <c r="BI2480" s="106">
        <v>-21.17</v>
      </c>
      <c r="BU2480" s="106">
        <v>-133.62</v>
      </c>
      <c r="CA2480" s="106">
        <v>-34.1</v>
      </c>
      <c r="CG2480" s="106">
        <v>-33.5</v>
      </c>
      <c r="CS2480" s="74">
        <v>-29.96</v>
      </c>
      <c r="DK2480" s="106">
        <v>-34</v>
      </c>
      <c r="DU2480" s="106">
        <v>-132.35</v>
      </c>
      <c r="ET2480" s="106">
        <v>-59.85</v>
      </c>
      <c r="EZ2480" s="92">
        <v>-44.67</v>
      </c>
      <c r="FC2480" s="106">
        <v>-121.05</v>
      </c>
      <c r="FK2480" s="106">
        <v>-21.05</v>
      </c>
    </row>
    <row r="2481" spans="1:236" x14ac:dyDescent="0.25">
      <c r="A2481" s="127">
        <v>44945</v>
      </c>
      <c r="B2481" s="24" t="s">
        <v>59</v>
      </c>
      <c r="C2481" s="21">
        <f t="shared" ref="C2481:C2544" si="43">SUM(D2481:JT2481)</f>
        <v>-8.24</v>
      </c>
      <c r="BU2481" s="106">
        <v>-0.25</v>
      </c>
      <c r="CS2481" s="74">
        <v>-7.99</v>
      </c>
    </row>
    <row r="2482" spans="1:236" x14ac:dyDescent="0.25">
      <c r="A2482" s="127">
        <v>44945</v>
      </c>
      <c r="B2482" s="24" t="s">
        <v>131</v>
      </c>
      <c r="C2482" s="21">
        <f t="shared" si="43"/>
        <v>-102.69</v>
      </c>
      <c r="Z2482" s="79">
        <v>-7.79</v>
      </c>
      <c r="HM2482" s="106">
        <v>-94.9</v>
      </c>
    </row>
    <row r="2483" spans="1:236" x14ac:dyDescent="0.25">
      <c r="A2483" s="127">
        <v>44946</v>
      </c>
      <c r="B2483" s="24" t="s">
        <v>32</v>
      </c>
      <c r="C2483" s="21">
        <f t="shared" si="43"/>
        <v>-266.94</v>
      </c>
      <c r="AW2483" s="106">
        <v>-32.86</v>
      </c>
      <c r="BC2483" s="106">
        <v>-30.32</v>
      </c>
      <c r="BO2483" s="106">
        <v>-34.42</v>
      </c>
      <c r="BU2483" s="106">
        <v>-33.94</v>
      </c>
      <c r="CA2483" s="106">
        <v>-50.98</v>
      </c>
      <c r="DE2483" s="74">
        <v>-17.22</v>
      </c>
      <c r="DI2483" s="42">
        <v>-17.28</v>
      </c>
      <c r="DP2483" s="74">
        <v>-17.25</v>
      </c>
      <c r="DS2483" s="42">
        <f>-8.64-8.64-8.64</f>
        <v>-25.92</v>
      </c>
      <c r="DU2483" s="106">
        <v>-6.75</v>
      </c>
    </row>
    <row r="2484" spans="1:236" x14ac:dyDescent="0.25">
      <c r="A2484" s="127">
        <v>44946</v>
      </c>
      <c r="B2484" s="24" t="s">
        <v>133</v>
      </c>
      <c r="C2484" s="21">
        <f t="shared" si="43"/>
        <v>-165.33</v>
      </c>
      <c r="BC2484" s="106">
        <v>-31.84</v>
      </c>
      <c r="BU2484" s="106">
        <v>-33.36</v>
      </c>
      <c r="CA2484" s="106">
        <v>-34.94</v>
      </c>
      <c r="CG2484" s="106">
        <v>-33.549999999999997</v>
      </c>
      <c r="CS2484" s="74">
        <v>-31.64</v>
      </c>
    </row>
    <row r="2485" spans="1:236" x14ac:dyDescent="0.25">
      <c r="A2485" s="127">
        <v>44946</v>
      </c>
      <c r="B2485" s="24" t="s">
        <v>144</v>
      </c>
      <c r="C2485" s="21">
        <f t="shared" si="43"/>
        <v>-393.22500000000002</v>
      </c>
      <c r="Y2485" s="69">
        <v>-8.5850000000000009</v>
      </c>
      <c r="Z2485" s="79">
        <v>-33.840000000000003</v>
      </c>
      <c r="HC2485" s="42">
        <v>-310.24</v>
      </c>
      <c r="HF2485" s="92">
        <v>-40.56</v>
      </c>
    </row>
    <row r="2486" spans="1:236" x14ac:dyDescent="0.25">
      <c r="A2486" s="127">
        <v>44946</v>
      </c>
      <c r="B2486" s="24" t="s">
        <v>59</v>
      </c>
      <c r="C2486" s="21">
        <f t="shared" si="43"/>
        <v>-7.07</v>
      </c>
      <c r="BU2486" s="106">
        <v>-3.98</v>
      </c>
      <c r="CA2486" s="106">
        <v>-3.09</v>
      </c>
    </row>
    <row r="2487" spans="1:236" x14ac:dyDescent="0.25">
      <c r="A2487" s="127">
        <v>44949</v>
      </c>
      <c r="B2487" s="24" t="s">
        <v>170</v>
      </c>
      <c r="C2487" s="21">
        <f t="shared" si="43"/>
        <v>168.31</v>
      </c>
      <c r="AE2487" s="42">
        <v>66.930000000000007</v>
      </c>
      <c r="AP2487" s="42">
        <v>34.96</v>
      </c>
      <c r="BG2487" s="42">
        <v>32.380000000000003</v>
      </c>
      <c r="BM2487" s="88">
        <v>34.04</v>
      </c>
    </row>
    <row r="2488" spans="1:236" x14ac:dyDescent="0.25">
      <c r="A2488" s="127">
        <v>44949</v>
      </c>
      <c r="B2488" s="24" t="s">
        <v>152</v>
      </c>
      <c r="C2488" s="21">
        <f t="shared" si="43"/>
        <v>-335.85</v>
      </c>
      <c r="AE2488" s="42">
        <v>-66.930000000000007</v>
      </c>
      <c r="BC2488" s="106">
        <v>-31.14</v>
      </c>
      <c r="BO2488" s="106">
        <v>-33.979999999999997</v>
      </c>
      <c r="BU2488" s="106">
        <v>-66.52</v>
      </c>
      <c r="DY2488" s="42">
        <v>-35.26</v>
      </c>
      <c r="EA2488" s="74">
        <f>-34.14-33.96-33.92</f>
        <v>-102.02</v>
      </c>
    </row>
    <row r="2489" spans="1:236" x14ac:dyDescent="0.25">
      <c r="A2489" s="127">
        <v>44949</v>
      </c>
      <c r="B2489" s="24" t="s">
        <v>68</v>
      </c>
      <c r="C2489" s="21">
        <f t="shared" si="43"/>
        <v>-136.72999999999999</v>
      </c>
      <c r="AP2489" s="42">
        <v>-34.96</v>
      </c>
      <c r="BG2489" s="42">
        <v>-32.380000000000003</v>
      </c>
      <c r="BM2489" s="88">
        <v>-34.04</v>
      </c>
      <c r="CG2489" s="106">
        <v>-35.35</v>
      </c>
    </row>
    <row r="2490" spans="1:236" x14ac:dyDescent="0.25">
      <c r="A2490" s="127">
        <v>44950</v>
      </c>
      <c r="B2490" s="24" t="s">
        <v>20</v>
      </c>
      <c r="C2490" s="21">
        <f t="shared" si="43"/>
        <v>-57.4</v>
      </c>
      <c r="GZ2490" s="106">
        <v>-57.4</v>
      </c>
    </row>
    <row r="2491" spans="1:236" x14ac:dyDescent="0.25">
      <c r="A2491" s="127">
        <v>44950</v>
      </c>
      <c r="B2491" s="24" t="s">
        <v>79</v>
      </c>
      <c r="C2491" s="21">
        <f t="shared" si="43"/>
        <v>-39.04</v>
      </c>
      <c r="BC2491" s="106">
        <v>-7.49</v>
      </c>
      <c r="BU2491" s="106">
        <v>-8.09</v>
      </c>
      <c r="CA2491" s="106">
        <v>-7.51</v>
      </c>
      <c r="CG2491" s="106">
        <v>-8.4499999999999993</v>
      </c>
      <c r="CM2491" s="106">
        <v>-7.5</v>
      </c>
    </row>
    <row r="2492" spans="1:236" x14ac:dyDescent="0.25">
      <c r="A2492" s="127">
        <v>44950</v>
      </c>
      <c r="B2492" s="24" t="s">
        <v>50</v>
      </c>
      <c r="C2492" s="21">
        <f t="shared" si="43"/>
        <v>-91.99</v>
      </c>
      <c r="HM2492" s="106">
        <v>-61.2</v>
      </c>
      <c r="IB2492" s="42">
        <v>-30.79</v>
      </c>
    </row>
    <row r="2493" spans="1:236" x14ac:dyDescent="0.25">
      <c r="A2493" s="127">
        <v>44950</v>
      </c>
      <c r="B2493" s="24" t="s">
        <v>75</v>
      </c>
      <c r="C2493" s="21">
        <f t="shared" si="43"/>
        <v>-23.51</v>
      </c>
      <c r="BC2493" s="106">
        <v>-7.39</v>
      </c>
      <c r="BU2493" s="106">
        <v>-8.01</v>
      </c>
      <c r="CA2493" s="106">
        <v>-8.11</v>
      </c>
    </row>
    <row r="2494" spans="1:236" x14ac:dyDescent="0.25">
      <c r="A2494" s="127">
        <v>44950</v>
      </c>
      <c r="B2494" s="24" t="s">
        <v>138</v>
      </c>
      <c r="C2494" s="21">
        <f t="shared" si="43"/>
        <v>-8.7899999999999991</v>
      </c>
      <c r="AW2494" s="106">
        <v>-8.7899999999999991</v>
      </c>
    </row>
    <row r="2495" spans="1:236" x14ac:dyDescent="0.25">
      <c r="A2495" s="127">
        <v>44950</v>
      </c>
      <c r="B2495" s="24" t="s">
        <v>44</v>
      </c>
      <c r="C2495" s="21">
        <f t="shared" si="43"/>
        <v>-144.01</v>
      </c>
      <c r="GQ2495" s="92">
        <v>-144.01</v>
      </c>
    </row>
    <row r="2496" spans="1:236" x14ac:dyDescent="0.25">
      <c r="A2496" s="127">
        <v>44950</v>
      </c>
      <c r="B2496" s="24" t="s">
        <v>84</v>
      </c>
      <c r="C2496" s="21">
        <f t="shared" si="43"/>
        <v>-24.83</v>
      </c>
      <c r="BU2496" s="106">
        <v>-8.8699999999999992</v>
      </c>
      <c r="CA2496" s="106">
        <v>-15.96</v>
      </c>
    </row>
    <row r="2497" spans="1:226" x14ac:dyDescent="0.25">
      <c r="A2497" s="127">
        <v>44951</v>
      </c>
      <c r="B2497" s="24" t="s">
        <v>125</v>
      </c>
      <c r="C2497" s="21">
        <f t="shared" si="43"/>
        <v>-97.66</v>
      </c>
      <c r="BC2497" s="106">
        <v>-7.25</v>
      </c>
      <c r="CS2497" s="74">
        <v>-46.96</v>
      </c>
      <c r="DU2497" s="106">
        <v>-43.45</v>
      </c>
    </row>
    <row r="2498" spans="1:226" x14ac:dyDescent="0.25">
      <c r="A2498" s="127">
        <v>44951</v>
      </c>
      <c r="B2498" s="24" t="s">
        <v>37</v>
      </c>
      <c r="C2498" s="21">
        <f t="shared" si="43"/>
        <v>-168.08</v>
      </c>
      <c r="GT2498" s="110">
        <v>-27.05</v>
      </c>
      <c r="HM2498" s="106">
        <f>-56.77-6.83</f>
        <v>-63.6</v>
      </c>
      <c r="HP2498" s="92">
        <v>-63.95</v>
      </c>
      <c r="HQ2498" s="42">
        <v>-7.53</v>
      </c>
      <c r="HR2498" s="92">
        <v>-5.95</v>
      </c>
    </row>
    <row r="2499" spans="1:226" x14ac:dyDescent="0.25">
      <c r="A2499" s="127">
        <v>44951</v>
      </c>
      <c r="B2499" s="24" t="s">
        <v>171</v>
      </c>
      <c r="C2499" s="21">
        <f t="shared" si="43"/>
        <v>-24.65</v>
      </c>
      <c r="AW2499" s="106">
        <v>-8.1300000000000008</v>
      </c>
      <c r="BO2499" s="106">
        <v>-8.91</v>
      </c>
      <c r="BU2499" s="106">
        <v>-7.61</v>
      </c>
    </row>
    <row r="2500" spans="1:226" x14ac:dyDescent="0.25">
      <c r="A2500" s="127">
        <v>44953</v>
      </c>
      <c r="B2500" s="24" t="s">
        <v>162</v>
      </c>
      <c r="C2500" s="21">
        <f t="shared" si="43"/>
        <v>-138.99</v>
      </c>
      <c r="AW2500" s="106">
        <v>-16.36</v>
      </c>
      <c r="BC2500" s="106">
        <v>-14.78</v>
      </c>
      <c r="BM2500" s="88">
        <v>-8.66</v>
      </c>
      <c r="BO2500" s="106">
        <v>-8.59</v>
      </c>
      <c r="BU2500" s="106">
        <v>-15.4</v>
      </c>
      <c r="CA2500" s="106">
        <v>-17.5</v>
      </c>
      <c r="CG2500" s="106">
        <v>-16.850000000000001</v>
      </c>
      <c r="CM2500" s="106">
        <v>-15.8</v>
      </c>
      <c r="DK2500" s="106">
        <v>-25.05</v>
      </c>
    </row>
    <row r="2501" spans="1:226" x14ac:dyDescent="0.25">
      <c r="A2501" s="127">
        <v>44956</v>
      </c>
      <c r="B2501" s="24" t="s">
        <v>113</v>
      </c>
      <c r="C2501" s="21">
        <f t="shared" si="43"/>
        <v>1399.52</v>
      </c>
      <c r="Z2501" s="79">
        <v>204.2</v>
      </c>
      <c r="AC2501" s="106">
        <v>205.77</v>
      </c>
      <c r="AG2501" s="106">
        <v>207.75</v>
      </c>
      <c r="AN2501" s="106">
        <v>194.65</v>
      </c>
      <c r="AR2501" s="106">
        <v>192.75</v>
      </c>
      <c r="BU2501" s="106">
        <v>196.8</v>
      </c>
      <c r="EA2501" s="74">
        <v>197.6</v>
      </c>
    </row>
    <row r="2502" spans="1:226" x14ac:dyDescent="0.25">
      <c r="A2502" s="127">
        <v>44956</v>
      </c>
      <c r="B2502" s="24" t="s">
        <v>133</v>
      </c>
      <c r="C2502" s="21">
        <f t="shared" si="43"/>
        <v>-293.63</v>
      </c>
      <c r="AN2502" s="106">
        <v>-32.6</v>
      </c>
      <c r="AW2502" s="106">
        <v>-32</v>
      </c>
      <c r="BU2502" s="106">
        <v>-33.299999999999997</v>
      </c>
      <c r="CA2502" s="106">
        <v>-32.96</v>
      </c>
      <c r="CG2502" s="106">
        <v>-33.65</v>
      </c>
      <c r="CM2502" s="106">
        <v>-33</v>
      </c>
      <c r="CS2502" s="74">
        <v>-62.74</v>
      </c>
      <c r="DE2502" s="74">
        <v>-33.380000000000003</v>
      </c>
    </row>
    <row r="2503" spans="1:226" x14ac:dyDescent="0.25">
      <c r="A2503" s="127">
        <v>44956</v>
      </c>
      <c r="B2503" s="24" t="s">
        <v>65</v>
      </c>
      <c r="C2503" s="21">
        <f t="shared" si="43"/>
        <v>-97.6</v>
      </c>
      <c r="AN2503" s="106">
        <v>-97.6</v>
      </c>
    </row>
    <row r="2504" spans="1:226" x14ac:dyDescent="0.25">
      <c r="A2504" s="127">
        <v>44956</v>
      </c>
      <c r="B2504" s="24" t="s">
        <v>48</v>
      </c>
      <c r="C2504" s="21">
        <f t="shared" si="43"/>
        <v>-12.19</v>
      </c>
      <c r="BG2504" s="42">
        <v>16.22</v>
      </c>
      <c r="BM2504" s="88">
        <v>17.09</v>
      </c>
      <c r="FV2504" s="106">
        <f>-22.95-22.55</f>
        <v>-45.5</v>
      </c>
    </row>
    <row r="2505" spans="1:226" x14ac:dyDescent="0.25">
      <c r="A2505" s="127">
        <v>44956</v>
      </c>
      <c r="B2505" s="24" t="s">
        <v>127</v>
      </c>
      <c r="C2505" s="21">
        <f t="shared" si="43"/>
        <v>-16.78</v>
      </c>
      <c r="BG2505" s="42">
        <v>-8.11</v>
      </c>
      <c r="BM2505" s="88">
        <v>-8.67</v>
      </c>
    </row>
    <row r="2506" spans="1:226" x14ac:dyDescent="0.25">
      <c r="A2506" s="127">
        <v>44956</v>
      </c>
      <c r="B2506" s="24" t="s">
        <v>57</v>
      </c>
      <c r="C2506" s="21">
        <f t="shared" si="43"/>
        <v>-17.170000000000002</v>
      </c>
      <c r="AC2506" s="106">
        <v>-17.170000000000002</v>
      </c>
    </row>
    <row r="2507" spans="1:226" x14ac:dyDescent="0.25">
      <c r="A2507" s="127">
        <v>44957</v>
      </c>
      <c r="B2507" s="24" t="s">
        <v>144</v>
      </c>
      <c r="C2507" s="21">
        <f t="shared" si="43"/>
        <v>-170.9</v>
      </c>
      <c r="Z2507" s="79">
        <v>-67.959999999999994</v>
      </c>
      <c r="AC2507" s="106">
        <v>-102.94</v>
      </c>
    </row>
    <row r="2508" spans="1:226" x14ac:dyDescent="0.25">
      <c r="A2508" s="127">
        <v>44957</v>
      </c>
      <c r="B2508" s="24" t="s">
        <v>25</v>
      </c>
      <c r="C2508" s="21">
        <f t="shared" si="43"/>
        <v>-66.33</v>
      </c>
      <c r="AN2508" s="106">
        <v>-8.4</v>
      </c>
      <c r="AW2508" s="106">
        <v>-8.35</v>
      </c>
      <c r="BC2508" s="106">
        <v>-7.93</v>
      </c>
      <c r="BM2508" s="88">
        <v>-8.42</v>
      </c>
      <c r="BU2508" s="106">
        <v>-16.14</v>
      </c>
      <c r="CA2508" s="106">
        <v>-8.69</v>
      </c>
      <c r="CG2508" s="106">
        <v>-8.4</v>
      </c>
    </row>
    <row r="2509" spans="1:226" x14ac:dyDescent="0.25">
      <c r="A2509" s="127">
        <v>44957</v>
      </c>
      <c r="B2509" s="24" t="s">
        <v>75</v>
      </c>
      <c r="C2509" s="21">
        <f t="shared" si="43"/>
        <v>-92.13</v>
      </c>
      <c r="AG2509" s="106">
        <v>-9.1</v>
      </c>
      <c r="BC2509" s="106">
        <v>-16.079999999999998</v>
      </c>
      <c r="CG2509" s="106">
        <v>-16.7</v>
      </c>
      <c r="DE2509" s="74">
        <v>-16.8</v>
      </c>
      <c r="DK2509" s="106">
        <v>-16.100000000000001</v>
      </c>
      <c r="DP2509" s="74">
        <v>-17.350000000000001</v>
      </c>
    </row>
    <row r="2510" spans="1:226" x14ac:dyDescent="0.25">
      <c r="A2510" s="127">
        <v>44957</v>
      </c>
      <c r="B2510" s="24" t="s">
        <v>20</v>
      </c>
      <c r="C2510" s="21">
        <f t="shared" si="43"/>
        <v>-16.649999999999999</v>
      </c>
      <c r="AN2510" s="106">
        <v>-8.1999999999999993</v>
      </c>
      <c r="BU2510" s="106">
        <v>-8.4499999999999993</v>
      </c>
    </row>
    <row r="2511" spans="1:226" x14ac:dyDescent="0.25">
      <c r="A2511" s="127">
        <v>44957</v>
      </c>
      <c r="B2511" s="24" t="s">
        <v>139</v>
      </c>
      <c r="C2511" s="21">
        <f t="shared" si="43"/>
        <v>-24.64</v>
      </c>
      <c r="AC2511" s="106">
        <v>-8.59</v>
      </c>
      <c r="AW2511" s="106">
        <v>-7.85</v>
      </c>
      <c r="CM2511" s="106">
        <v>-8.1999999999999993</v>
      </c>
    </row>
    <row r="2512" spans="1:226" x14ac:dyDescent="0.25">
      <c r="A2512" s="127">
        <v>44957</v>
      </c>
      <c r="B2512" s="24" t="s">
        <v>48</v>
      </c>
      <c r="C2512" s="21">
        <f t="shared" si="43"/>
        <v>-121.58</v>
      </c>
      <c r="AC2512" s="106">
        <v>-51.4</v>
      </c>
      <c r="EG2512" s="74">
        <v>-70.180000000000007</v>
      </c>
    </row>
    <row r="2513" spans="1:238" x14ac:dyDescent="0.25">
      <c r="A2513" s="127">
        <v>44957</v>
      </c>
      <c r="B2513" s="24" t="s">
        <v>152</v>
      </c>
      <c r="C2513" s="21">
        <f t="shared" si="43"/>
        <v>-873.42</v>
      </c>
      <c r="AW2513" s="106">
        <v>-33.979999999999997</v>
      </c>
      <c r="BC2513" s="106">
        <v>-29.36</v>
      </c>
      <c r="BU2513" s="106">
        <v>-33.799999999999997</v>
      </c>
      <c r="CA2513" s="106">
        <v>-67.040000000000006</v>
      </c>
      <c r="CG2513" s="106">
        <v>-103.35</v>
      </c>
      <c r="CS2513" s="74">
        <v>-93.56</v>
      </c>
      <c r="CY2513" s="106">
        <v>-69.52</v>
      </c>
      <c r="DP2513" s="74">
        <v>-69.150000000000006</v>
      </c>
      <c r="DU2513" s="106">
        <v>-68.5</v>
      </c>
      <c r="EA2513" s="74">
        <v>-197.6</v>
      </c>
      <c r="EZ2513" s="92">
        <v>-85.35</v>
      </c>
      <c r="GA2513" s="88">
        <v>-22.21</v>
      </c>
    </row>
    <row r="2514" spans="1:238" x14ac:dyDescent="0.25">
      <c r="A2514" s="127">
        <v>44957</v>
      </c>
      <c r="B2514" s="24" t="s">
        <v>172</v>
      </c>
      <c r="C2514" s="21">
        <f t="shared" si="43"/>
        <v>0</v>
      </c>
    </row>
    <row r="2515" spans="1:238" x14ac:dyDescent="0.25">
      <c r="A2515" s="127">
        <v>44957</v>
      </c>
      <c r="B2515" s="24" t="s">
        <v>172</v>
      </c>
      <c r="C2515" s="21">
        <f t="shared" si="43"/>
        <v>0</v>
      </c>
    </row>
    <row r="2516" spans="1:238" x14ac:dyDescent="0.25">
      <c r="A2516" s="127">
        <v>44957</v>
      </c>
      <c r="B2516" s="24" t="s">
        <v>146</v>
      </c>
      <c r="C2516" s="21">
        <f t="shared" si="43"/>
        <v>-192.75</v>
      </c>
      <c r="AR2516" s="106">
        <v>-192.75</v>
      </c>
    </row>
    <row r="2517" spans="1:238" x14ac:dyDescent="0.25">
      <c r="A2517" s="127">
        <v>44957</v>
      </c>
      <c r="B2517" s="24" t="s">
        <v>20</v>
      </c>
      <c r="C2517" s="21">
        <f t="shared" si="43"/>
        <v>-17.004999999999999</v>
      </c>
      <c r="Z2517" s="79">
        <v>-8.5500000000000007</v>
      </c>
      <c r="BN2517" s="69">
        <v>-8.4550000000000001</v>
      </c>
    </row>
    <row r="2518" spans="1:238" x14ac:dyDescent="0.25">
      <c r="A2518" s="127">
        <v>44957</v>
      </c>
      <c r="B2518" s="24" t="s">
        <v>32</v>
      </c>
      <c r="C2518" s="21">
        <f t="shared" si="43"/>
        <v>-198.91</v>
      </c>
      <c r="S2518" s="74">
        <v>-31.75</v>
      </c>
      <c r="AN2518" s="106">
        <v>-15</v>
      </c>
      <c r="BN2518" s="69">
        <v>-50.43</v>
      </c>
      <c r="CA2518" s="106">
        <v>-34.82</v>
      </c>
      <c r="CG2518" s="106">
        <v>-33.5</v>
      </c>
      <c r="CM2518" s="106">
        <v>-16.399999999999999</v>
      </c>
      <c r="CR2518" s="69">
        <v>-17.010000000000002</v>
      </c>
    </row>
    <row r="2519" spans="1:238" x14ac:dyDescent="0.25">
      <c r="A2519" s="127">
        <v>44957</v>
      </c>
      <c r="B2519" s="24" t="s">
        <v>151</v>
      </c>
      <c r="C2519" s="21">
        <f t="shared" si="43"/>
        <v>-18.28</v>
      </c>
      <c r="DE2519" s="74">
        <v>-18.28</v>
      </c>
    </row>
    <row r="2520" spans="1:238" x14ac:dyDescent="0.25">
      <c r="A2520" s="127">
        <v>44958</v>
      </c>
      <c r="B2520" s="24" t="s">
        <v>149</v>
      </c>
      <c r="C2520" s="21">
        <f t="shared" si="43"/>
        <v>-10.050000000000001</v>
      </c>
      <c r="BM2520" s="88">
        <v>-1.28</v>
      </c>
      <c r="CA2520" s="106">
        <v>-8.77</v>
      </c>
    </row>
    <row r="2521" spans="1:238" x14ac:dyDescent="0.25">
      <c r="A2521" s="127">
        <v>44959</v>
      </c>
      <c r="B2521" s="24" t="s">
        <v>146</v>
      </c>
      <c r="C2521" s="21">
        <f t="shared" si="43"/>
        <v>236.51</v>
      </c>
      <c r="BN2521" s="69">
        <v>168.52500000000001</v>
      </c>
      <c r="CR2521" s="69">
        <v>67.984999999999999</v>
      </c>
    </row>
    <row r="2522" spans="1:238" x14ac:dyDescent="0.25">
      <c r="A2522" s="127">
        <v>44959</v>
      </c>
      <c r="B2522" s="24" t="s">
        <v>50</v>
      </c>
      <c r="C2522" s="21">
        <f t="shared" si="43"/>
        <v>-247.5</v>
      </c>
      <c r="FC2522" s="106">
        <v>-121.1</v>
      </c>
      <c r="HM2522" s="106">
        <v>-126.4</v>
      </c>
    </row>
    <row r="2523" spans="1:238" x14ac:dyDescent="0.25">
      <c r="A2523" s="127">
        <v>44960</v>
      </c>
      <c r="B2523" s="24" t="s">
        <v>44</v>
      </c>
      <c r="C2523" s="21">
        <f t="shared" si="43"/>
        <v>-263.2</v>
      </c>
      <c r="GQ2523" s="92">
        <v>-144.66999999999999</v>
      </c>
      <c r="GZ2523" s="106">
        <v>-56.92</v>
      </c>
      <c r="HP2523" s="92">
        <v>-7.8</v>
      </c>
      <c r="HX2523" s="92">
        <v>-7.53</v>
      </c>
      <c r="ID2523" s="42">
        <v>-46.28</v>
      </c>
    </row>
    <row r="2524" spans="1:238" x14ac:dyDescent="0.25">
      <c r="A2524" s="127">
        <v>44960</v>
      </c>
      <c r="B2524" s="24" t="s">
        <v>173</v>
      </c>
      <c r="C2524" s="21">
        <f t="shared" si="43"/>
        <v>-16.78</v>
      </c>
      <c r="BG2524" s="42">
        <v>-8.11</v>
      </c>
      <c r="BS2524" s="42">
        <v>-8.67</v>
      </c>
    </row>
    <row r="2525" spans="1:238" x14ac:dyDescent="0.25">
      <c r="A2525" s="127">
        <v>44963</v>
      </c>
      <c r="B2525" s="24" t="s">
        <v>113</v>
      </c>
      <c r="C2525" s="21">
        <f t="shared" si="43"/>
        <v>2616.0500000000002</v>
      </c>
      <c r="V2525" s="74">
        <v>305.06</v>
      </c>
      <c r="Z2525" s="79">
        <v>102.3</v>
      </c>
      <c r="AC2525" s="106">
        <v>121.38</v>
      </c>
      <c r="AG2525" s="106">
        <v>139.15</v>
      </c>
      <c r="AN2525" s="106">
        <v>160.9</v>
      </c>
      <c r="AR2525" s="106">
        <v>215.9</v>
      </c>
      <c r="EA2525" s="74">
        <v>146.94999999999999</v>
      </c>
      <c r="EL2525" s="106">
        <f>355.46+384.74</f>
        <v>740.2</v>
      </c>
      <c r="GK2525" s="79">
        <v>148.88999999999999</v>
      </c>
      <c r="GM2525" s="92">
        <v>156.22</v>
      </c>
      <c r="GO2525" s="110">
        <v>163.79</v>
      </c>
      <c r="GW2525" s="92">
        <v>215.31</v>
      </c>
    </row>
    <row r="2526" spans="1:238" x14ac:dyDescent="0.25">
      <c r="A2526" s="127">
        <v>44963</v>
      </c>
      <c r="B2526" s="24" t="s">
        <v>113</v>
      </c>
      <c r="C2526" s="21">
        <f t="shared" si="43"/>
        <v>203.76</v>
      </c>
      <c r="BI2526" s="106">
        <v>203.76</v>
      </c>
    </row>
    <row r="2527" spans="1:238" x14ac:dyDescent="0.25">
      <c r="A2527" s="127">
        <v>44963</v>
      </c>
      <c r="B2527" s="24" t="s">
        <v>113</v>
      </c>
      <c r="C2527" s="21">
        <f t="shared" si="43"/>
        <v>91.31</v>
      </c>
      <c r="GW2527" s="92">
        <v>91.31</v>
      </c>
    </row>
    <row r="2528" spans="1:238" x14ac:dyDescent="0.25">
      <c r="A2528" s="127">
        <v>44963</v>
      </c>
      <c r="B2528" s="24" t="s">
        <v>65</v>
      </c>
      <c r="C2528" s="21">
        <f t="shared" si="43"/>
        <v>-31.35</v>
      </c>
      <c r="AR2528" s="106">
        <v>-31.35</v>
      </c>
    </row>
    <row r="2529" spans="1:216" x14ac:dyDescent="0.25">
      <c r="A2529" s="127">
        <v>44963</v>
      </c>
      <c r="B2529" s="24" t="s">
        <v>152</v>
      </c>
      <c r="C2529" s="21">
        <f t="shared" si="43"/>
        <v>-592.66</v>
      </c>
      <c r="V2529" s="74">
        <v>-31.86</v>
      </c>
      <c r="Z2529" s="79">
        <v>-34.22</v>
      </c>
      <c r="AC2529" s="106">
        <v>-26.65</v>
      </c>
      <c r="AN2529" s="106">
        <v>-31.2</v>
      </c>
      <c r="BI2529" s="106">
        <v>-101.28</v>
      </c>
      <c r="CR2529" s="69">
        <v>-33.97</v>
      </c>
      <c r="CY2529" s="106">
        <v>-34.76</v>
      </c>
      <c r="DK2529" s="106">
        <v>-32.950000000000003</v>
      </c>
      <c r="EA2529" s="74">
        <v>-132.05000000000001</v>
      </c>
      <c r="EL2529" s="106">
        <v>-133.72</v>
      </c>
    </row>
    <row r="2530" spans="1:216" x14ac:dyDescent="0.25">
      <c r="A2530" s="127">
        <v>44963</v>
      </c>
      <c r="B2530" s="24" t="s">
        <v>133</v>
      </c>
      <c r="C2530" s="21">
        <f t="shared" si="43"/>
        <v>-102.2</v>
      </c>
      <c r="BN2530" s="69">
        <v>-33.78</v>
      </c>
      <c r="BU2530" s="106">
        <v>-34</v>
      </c>
      <c r="CA2530" s="106">
        <v>-34.42</v>
      </c>
    </row>
    <row r="2531" spans="1:216" x14ac:dyDescent="0.25">
      <c r="A2531" s="127">
        <v>44963</v>
      </c>
      <c r="B2531" s="24" t="s">
        <v>32</v>
      </c>
      <c r="C2531" s="21">
        <f t="shared" si="43"/>
        <v>-35.49</v>
      </c>
      <c r="BI2531" s="106">
        <v>-35.49</v>
      </c>
    </row>
    <row r="2532" spans="1:216" x14ac:dyDescent="0.25">
      <c r="A2532" s="127">
        <v>44963</v>
      </c>
      <c r="B2532" s="24" t="s">
        <v>50</v>
      </c>
      <c r="C2532" s="21">
        <f t="shared" si="43"/>
        <v>0</v>
      </c>
    </row>
    <row r="2533" spans="1:216" x14ac:dyDescent="0.25">
      <c r="A2533" s="127">
        <v>44963</v>
      </c>
      <c r="B2533" s="24" t="s">
        <v>50</v>
      </c>
      <c r="C2533" s="21">
        <f t="shared" si="43"/>
        <v>0</v>
      </c>
    </row>
    <row r="2534" spans="1:216" x14ac:dyDescent="0.25">
      <c r="A2534" s="127">
        <v>44964</v>
      </c>
      <c r="B2534" s="24" t="s">
        <v>139</v>
      </c>
      <c r="C2534" s="21">
        <f t="shared" si="43"/>
        <v>-48.57</v>
      </c>
      <c r="BC2534" s="106">
        <v>-7.99</v>
      </c>
      <c r="BI2534" s="106">
        <v>-7.76</v>
      </c>
      <c r="BU2534" s="106">
        <v>-7.91</v>
      </c>
      <c r="CA2534" s="106">
        <v>-8.01</v>
      </c>
      <c r="CG2534" s="106">
        <v>-8.4</v>
      </c>
      <c r="CR2534" s="69">
        <v>-8.5</v>
      </c>
    </row>
    <row r="2535" spans="1:216" x14ac:dyDescent="0.25">
      <c r="A2535" s="127">
        <v>44964</v>
      </c>
      <c r="B2535" s="24" t="s">
        <v>75</v>
      </c>
      <c r="C2535" s="21">
        <f t="shared" si="43"/>
        <v>-15.32</v>
      </c>
      <c r="AW2535" s="106">
        <v>-15.32</v>
      </c>
    </row>
    <row r="2536" spans="1:216" x14ac:dyDescent="0.25">
      <c r="A2536" s="127">
        <v>44964</v>
      </c>
      <c r="B2536" s="24" t="s">
        <v>20</v>
      </c>
      <c r="C2536" s="21">
        <f t="shared" si="43"/>
        <v>-77.605000000000004</v>
      </c>
      <c r="CM2536" s="106">
        <v>-8.25</v>
      </c>
      <c r="CR2536" s="69">
        <v>-8.5050000000000008</v>
      </c>
      <c r="GZ2536" s="106">
        <v>-60.85</v>
      </c>
    </row>
    <row r="2537" spans="1:216" x14ac:dyDescent="0.25">
      <c r="A2537" s="127">
        <v>44965</v>
      </c>
      <c r="B2537" s="24" t="s">
        <v>65</v>
      </c>
      <c r="C2537" s="21">
        <f t="shared" si="43"/>
        <v>-24.9</v>
      </c>
      <c r="AN2537" s="106">
        <v>-24.9</v>
      </c>
    </row>
    <row r="2538" spans="1:216" x14ac:dyDescent="0.25">
      <c r="A2538" s="127">
        <v>44965</v>
      </c>
      <c r="B2538" s="24" t="s">
        <v>37</v>
      </c>
      <c r="C2538" s="21">
        <f t="shared" si="43"/>
        <v>-67.5</v>
      </c>
      <c r="HH2538" s="106">
        <v>-67.5</v>
      </c>
    </row>
    <row r="2539" spans="1:216" x14ac:dyDescent="0.25">
      <c r="A2539" s="127">
        <v>44965</v>
      </c>
      <c r="B2539" s="24" t="s">
        <v>17</v>
      </c>
      <c r="C2539" s="21">
        <f t="shared" si="43"/>
        <v>-16.760000000000002</v>
      </c>
      <c r="AC2539" s="106">
        <v>-8.51</v>
      </c>
      <c r="CM2539" s="106">
        <v>-8.25</v>
      </c>
    </row>
    <row r="2540" spans="1:216" x14ac:dyDescent="0.25">
      <c r="A2540" s="127">
        <v>44966</v>
      </c>
      <c r="B2540" s="24" t="s">
        <v>44</v>
      </c>
      <c r="C2540" s="21">
        <f t="shared" si="43"/>
        <v>-85.69</v>
      </c>
      <c r="GK2540" s="79">
        <v>-28.17</v>
      </c>
      <c r="GQ2540" s="92">
        <v>-57.52</v>
      </c>
    </row>
    <row r="2541" spans="1:216" x14ac:dyDescent="0.25">
      <c r="A2541" s="127">
        <v>44967</v>
      </c>
      <c r="B2541" s="24" t="s">
        <v>32</v>
      </c>
      <c r="C2541" s="21">
        <f t="shared" si="43"/>
        <v>0</v>
      </c>
    </row>
    <row r="2542" spans="1:216" x14ac:dyDescent="0.25">
      <c r="A2542" s="127">
        <v>44967</v>
      </c>
      <c r="B2542" s="24" t="s">
        <v>31</v>
      </c>
      <c r="C2542" s="21">
        <f t="shared" si="43"/>
        <v>-50.1</v>
      </c>
      <c r="GW2542" s="92">
        <v>-50.1</v>
      </c>
    </row>
    <row r="2543" spans="1:216" x14ac:dyDescent="0.25">
      <c r="A2543" s="127">
        <v>44967</v>
      </c>
      <c r="B2543" s="24" t="s">
        <v>68</v>
      </c>
      <c r="C2543" s="21">
        <f t="shared" si="43"/>
        <v>-95.62</v>
      </c>
      <c r="Z2543" s="79">
        <v>-34</v>
      </c>
      <c r="BC2543" s="106">
        <v>-28.96</v>
      </c>
      <c r="BU2543" s="106">
        <v>-32.659999999999997</v>
      </c>
    </row>
    <row r="2544" spans="1:216" x14ac:dyDescent="0.25">
      <c r="A2544" s="127">
        <v>44967</v>
      </c>
      <c r="B2544" s="24" t="s">
        <v>39</v>
      </c>
      <c r="C2544" s="21">
        <f t="shared" si="43"/>
        <v>-68.02</v>
      </c>
      <c r="P2544" s="106">
        <v>-7.75</v>
      </c>
      <c r="V2544" s="74">
        <v>-8.82</v>
      </c>
      <c r="Z2544" s="79">
        <v>-8.5500000000000007</v>
      </c>
      <c r="AW2544" s="106">
        <v>-8.77</v>
      </c>
      <c r="BI2544" s="106">
        <v>-8.83</v>
      </c>
      <c r="BN2544" s="69">
        <v>-8.44</v>
      </c>
      <c r="BS2544" s="42">
        <v>-8.5399999999999991</v>
      </c>
      <c r="BY2544" s="42">
        <v>-8.32</v>
      </c>
    </row>
    <row r="2545" spans="1:236" x14ac:dyDescent="0.25">
      <c r="A2545" s="127">
        <v>44967</v>
      </c>
      <c r="B2545" s="24" t="s">
        <v>113</v>
      </c>
      <c r="C2545" s="21">
        <f t="shared" ref="C2545:C2608" si="44">SUM(D2545:JT2545)</f>
        <v>1115.4000000000001</v>
      </c>
      <c r="P2545" s="106">
        <v>29.8</v>
      </c>
      <c r="BI2545" s="106">
        <v>137.03</v>
      </c>
      <c r="BO2545" s="106">
        <v>345.52</v>
      </c>
      <c r="BU2545" s="106">
        <v>194.63</v>
      </c>
      <c r="CA2545" s="106">
        <v>203.83</v>
      </c>
      <c r="CS2545" s="74">
        <v>204.59</v>
      </c>
    </row>
    <row r="2546" spans="1:236" x14ac:dyDescent="0.25">
      <c r="A2546" s="127">
        <v>44970</v>
      </c>
      <c r="B2546" s="24" t="s">
        <v>57</v>
      </c>
      <c r="C2546" s="21">
        <f t="shared" si="44"/>
        <v>-17.68</v>
      </c>
      <c r="BU2546" s="106">
        <v>-9</v>
      </c>
      <c r="CA2546" s="106">
        <v>-8.68</v>
      </c>
    </row>
    <row r="2547" spans="1:236" x14ac:dyDescent="0.25">
      <c r="A2547" s="127">
        <v>44970</v>
      </c>
      <c r="B2547" s="24" t="s">
        <v>17</v>
      </c>
      <c r="C2547" s="21">
        <f t="shared" si="44"/>
        <v>-24.96</v>
      </c>
      <c r="P2547" s="106">
        <v>-7.8</v>
      </c>
      <c r="AC2547" s="106">
        <v>-17.16</v>
      </c>
    </row>
    <row r="2548" spans="1:236" x14ac:dyDescent="0.25">
      <c r="A2548" s="127">
        <v>44970</v>
      </c>
      <c r="B2548" s="24" t="s">
        <v>37</v>
      </c>
      <c r="C2548" s="21">
        <f t="shared" si="44"/>
        <v>-63.75</v>
      </c>
      <c r="HP2548" s="92">
        <v>-63.75</v>
      </c>
    </row>
    <row r="2549" spans="1:236" x14ac:dyDescent="0.25">
      <c r="A2549" s="127">
        <v>44970</v>
      </c>
      <c r="B2549" s="24" t="s">
        <v>48</v>
      </c>
      <c r="C2549" s="21">
        <f t="shared" si="44"/>
        <v>-249.21</v>
      </c>
      <c r="BC2549" s="106">
        <v>-29.94</v>
      </c>
      <c r="BI2549" s="106">
        <v>-48.61</v>
      </c>
      <c r="EL2549" s="106">
        <v>-170.66</v>
      </c>
    </row>
    <row r="2550" spans="1:236" x14ac:dyDescent="0.25">
      <c r="A2550" s="127">
        <v>44971</v>
      </c>
      <c r="B2550" s="24" t="s">
        <v>17</v>
      </c>
      <c r="C2550" s="21">
        <f t="shared" si="44"/>
        <v>-33.1</v>
      </c>
      <c r="AN2550" s="106">
        <v>-33.1</v>
      </c>
    </row>
    <row r="2551" spans="1:236" x14ac:dyDescent="0.25">
      <c r="A2551" s="127">
        <v>44972</v>
      </c>
      <c r="B2551" s="24" t="s">
        <v>138</v>
      </c>
      <c r="C2551" s="21">
        <f t="shared" si="44"/>
        <v>-25.4</v>
      </c>
      <c r="BS2551" s="42">
        <v>-17.149999999999999</v>
      </c>
      <c r="BY2551" s="42">
        <v>-8.25</v>
      </c>
    </row>
    <row r="2552" spans="1:236" x14ac:dyDescent="0.25">
      <c r="A2552" s="127">
        <v>44972</v>
      </c>
      <c r="B2552" s="24" t="s">
        <v>75</v>
      </c>
      <c r="C2552" s="21">
        <f t="shared" si="44"/>
        <v>-8.6999999999999993</v>
      </c>
      <c r="CS2552" s="74">
        <v>-8.6999999999999993</v>
      </c>
    </row>
    <row r="2553" spans="1:236" x14ac:dyDescent="0.25">
      <c r="A2553" s="127">
        <v>44972</v>
      </c>
      <c r="B2553" s="24" t="s">
        <v>139</v>
      </c>
      <c r="C2553" s="21">
        <f t="shared" si="44"/>
        <v>-28.68</v>
      </c>
      <c r="P2553" s="106">
        <v>-3.65</v>
      </c>
      <c r="BU2553" s="106">
        <v>-8.15</v>
      </c>
      <c r="CA2553" s="106">
        <v>-8.48</v>
      </c>
      <c r="CG2553" s="106">
        <v>-8.4</v>
      </c>
    </row>
    <row r="2554" spans="1:236" x14ac:dyDescent="0.25">
      <c r="A2554" s="127">
        <v>44972</v>
      </c>
      <c r="B2554" s="24" t="s">
        <v>26</v>
      </c>
      <c r="C2554" s="21">
        <f t="shared" si="44"/>
        <v>-48.25</v>
      </c>
      <c r="BI2554" s="106">
        <v>-8.0299999999999994</v>
      </c>
      <c r="BO2554" s="106">
        <v>-14.83</v>
      </c>
      <c r="CA2554" s="106">
        <v>-8.6199999999999992</v>
      </c>
      <c r="CS2554" s="74">
        <v>-16.77</v>
      </c>
    </row>
    <row r="2555" spans="1:236" x14ac:dyDescent="0.25">
      <c r="A2555" s="127">
        <v>44972</v>
      </c>
      <c r="B2555" s="24" t="s">
        <v>127</v>
      </c>
      <c r="C2555" s="21">
        <f t="shared" si="44"/>
        <v>-16.79</v>
      </c>
      <c r="BN2555" s="69">
        <v>-16.79</v>
      </c>
    </row>
    <row r="2556" spans="1:236" x14ac:dyDescent="0.25">
      <c r="A2556" s="127">
        <v>44972</v>
      </c>
      <c r="B2556" s="24" t="s">
        <v>50</v>
      </c>
      <c r="C2556" s="21">
        <f t="shared" si="44"/>
        <v>-438.93</v>
      </c>
      <c r="GY2556" s="42">
        <v>-131.07</v>
      </c>
      <c r="IB2556" s="42">
        <v>-307.86</v>
      </c>
    </row>
    <row r="2557" spans="1:236" x14ac:dyDescent="0.25">
      <c r="A2557" s="127">
        <v>44972</v>
      </c>
      <c r="B2557" s="24" t="s">
        <v>25</v>
      </c>
      <c r="C2557" s="21">
        <f t="shared" si="44"/>
        <v>-48.37</v>
      </c>
      <c r="AR2557" s="106">
        <v>-7.3</v>
      </c>
      <c r="AW2557" s="106">
        <v>-8.35</v>
      </c>
      <c r="BC2557" s="106">
        <v>-7.33</v>
      </c>
      <c r="BI2557" s="106">
        <v>-8.74</v>
      </c>
      <c r="BO2557" s="106">
        <v>-8.4499999999999993</v>
      </c>
      <c r="BU2557" s="106">
        <v>-8.1999999999999993</v>
      </c>
    </row>
    <row r="2558" spans="1:236" x14ac:dyDescent="0.25">
      <c r="A2558" s="127">
        <v>44973</v>
      </c>
      <c r="B2558" s="24" t="s">
        <v>50</v>
      </c>
      <c r="C2558" s="21">
        <f t="shared" si="44"/>
        <v>-62.8</v>
      </c>
      <c r="HM2558" s="106">
        <v>-62.8</v>
      </c>
    </row>
    <row r="2559" spans="1:236" x14ac:dyDescent="0.25">
      <c r="A2559" s="127">
        <v>44973</v>
      </c>
      <c r="B2559" s="24" t="s">
        <v>48</v>
      </c>
      <c r="C2559" s="21">
        <f t="shared" si="44"/>
        <v>168.59</v>
      </c>
      <c r="BS2559" s="42">
        <v>17.53</v>
      </c>
      <c r="BY2559" s="42">
        <v>8.07</v>
      </c>
      <c r="CE2559" s="42">
        <v>8.6999999999999993</v>
      </c>
      <c r="CK2559" s="42">
        <v>17.010000000000002</v>
      </c>
      <c r="CQ2559" s="42">
        <v>17.43</v>
      </c>
      <c r="DS2559" s="42">
        <v>34.11</v>
      </c>
      <c r="DY2559" s="42">
        <v>65.739999999999995</v>
      </c>
    </row>
    <row r="2560" spans="1:236" x14ac:dyDescent="0.25">
      <c r="A2560" s="127">
        <v>44973</v>
      </c>
      <c r="B2560" s="24" t="s">
        <v>163</v>
      </c>
      <c r="C2560" s="21">
        <f t="shared" si="44"/>
        <v>130.91499999999999</v>
      </c>
      <c r="BF2560" s="182">
        <v>28.95</v>
      </c>
      <c r="BR2560" s="182">
        <v>33.704999999999998</v>
      </c>
      <c r="BX2560" s="182">
        <v>33.74</v>
      </c>
      <c r="CC2560" s="126">
        <v>34.520000000000003</v>
      </c>
    </row>
    <row r="2561" spans="1:199" x14ac:dyDescent="0.25">
      <c r="A2561" s="127">
        <v>44973</v>
      </c>
      <c r="B2561" s="24" t="s">
        <v>53</v>
      </c>
      <c r="C2561" s="21">
        <f t="shared" si="44"/>
        <v>-1011.72</v>
      </c>
      <c r="BI2561" s="106">
        <v>-34.9</v>
      </c>
      <c r="BO2561" s="106">
        <v>-33</v>
      </c>
      <c r="BU2561" s="106">
        <v>-67.13</v>
      </c>
      <c r="CA2561" s="106">
        <v>-33.72</v>
      </c>
      <c r="CG2561" s="106">
        <v>-33.549999999999997</v>
      </c>
      <c r="CM2561" s="106">
        <v>-64.75</v>
      </c>
      <c r="CS2561" s="74">
        <v>-102.32</v>
      </c>
      <c r="CY2561" s="106">
        <v>-35.200000000000003</v>
      </c>
      <c r="DE2561" s="74">
        <v>-68.38</v>
      </c>
      <c r="DK2561" s="106">
        <v>-101.6</v>
      </c>
      <c r="DP2561" s="74">
        <v>-168.5</v>
      </c>
      <c r="DS2561" s="42">
        <v>-34.11</v>
      </c>
      <c r="DY2561" s="42">
        <v>-65.739999999999995</v>
      </c>
      <c r="EL2561" s="106">
        <v>-168.82</v>
      </c>
    </row>
    <row r="2562" spans="1:199" x14ac:dyDescent="0.25">
      <c r="A2562" s="127">
        <v>44974</v>
      </c>
      <c r="B2562" s="24" t="s">
        <v>83</v>
      </c>
      <c r="C2562" s="21">
        <f t="shared" si="44"/>
        <v>-7.9</v>
      </c>
      <c r="S2562" s="74">
        <v>-7.9</v>
      </c>
    </row>
    <row r="2563" spans="1:199" x14ac:dyDescent="0.25">
      <c r="A2563" s="127">
        <v>44974</v>
      </c>
      <c r="B2563" s="24" t="s">
        <v>27</v>
      </c>
      <c r="C2563" s="21">
        <f t="shared" si="44"/>
        <v>-16.2</v>
      </c>
      <c r="BO2563" s="106">
        <v>-8.3000000000000007</v>
      </c>
      <c r="BU2563" s="106">
        <v>-7.9</v>
      </c>
    </row>
    <row r="2564" spans="1:199" x14ac:dyDescent="0.25">
      <c r="A2564" s="127">
        <v>44974</v>
      </c>
      <c r="B2564" s="24" t="s">
        <v>152</v>
      </c>
      <c r="C2564" s="21">
        <f t="shared" si="44"/>
        <v>-597.4</v>
      </c>
      <c r="BC2564" s="106">
        <v>-59.18</v>
      </c>
      <c r="BI2564" s="106">
        <v>-69.62</v>
      </c>
      <c r="BO2564" s="106">
        <v>-131.72999999999999</v>
      </c>
      <c r="BU2564" s="106">
        <v>-64.23</v>
      </c>
      <c r="CA2564" s="106">
        <v>-67</v>
      </c>
      <c r="CS2564" s="74">
        <v>-68.14</v>
      </c>
      <c r="CY2564" s="106">
        <v>-34.04</v>
      </c>
      <c r="DE2564" s="74">
        <v>-34.159999999999997</v>
      </c>
      <c r="DK2564" s="106">
        <v>-34.799999999999997</v>
      </c>
      <c r="DP2564" s="74">
        <v>-34.5</v>
      </c>
    </row>
    <row r="2565" spans="1:199" x14ac:dyDescent="0.25">
      <c r="A2565" s="127">
        <v>44974</v>
      </c>
      <c r="B2565" s="24" t="s">
        <v>20</v>
      </c>
      <c r="C2565" s="21">
        <f t="shared" si="44"/>
        <v>-32</v>
      </c>
      <c r="BC2565" s="106">
        <v>-6.99</v>
      </c>
      <c r="BI2565" s="106">
        <v>-8.84</v>
      </c>
      <c r="BO2565" s="106">
        <v>-8.27</v>
      </c>
      <c r="BU2565" s="106">
        <v>-7.9</v>
      </c>
    </row>
    <row r="2566" spans="1:199" x14ac:dyDescent="0.25">
      <c r="A2566" s="127">
        <v>44974</v>
      </c>
      <c r="B2566" s="24" t="s">
        <v>149</v>
      </c>
      <c r="C2566" s="21">
        <f t="shared" si="44"/>
        <v>-8.18</v>
      </c>
      <c r="BO2566" s="106">
        <v>-8.18</v>
      </c>
    </row>
    <row r="2567" spans="1:199" x14ac:dyDescent="0.25">
      <c r="A2567" s="127">
        <v>44974</v>
      </c>
      <c r="B2567" s="24" t="s">
        <v>32</v>
      </c>
      <c r="C2567" s="21">
        <f t="shared" si="44"/>
        <v>0</v>
      </c>
    </row>
    <row r="2568" spans="1:199" x14ac:dyDescent="0.25">
      <c r="A2568" s="127">
        <v>44974</v>
      </c>
      <c r="B2568" s="24" t="s">
        <v>133</v>
      </c>
      <c r="C2568" s="21">
        <f t="shared" si="44"/>
        <v>-34.9</v>
      </c>
      <c r="CY2568" s="106">
        <v>-34.9</v>
      </c>
    </row>
    <row r="2569" spans="1:199" x14ac:dyDescent="0.25">
      <c r="A2569" s="127">
        <v>44975</v>
      </c>
      <c r="B2569" s="24" t="s">
        <v>78</v>
      </c>
      <c r="C2569" s="21">
        <f t="shared" si="44"/>
        <v>-140.54</v>
      </c>
      <c r="Z2569" s="79">
        <v>-8.5500000000000007</v>
      </c>
      <c r="AG2569" s="106">
        <v>-8.65</v>
      </c>
      <c r="AN2569" s="106">
        <v>-8</v>
      </c>
      <c r="AR2569" s="106">
        <v>-13.3</v>
      </c>
      <c r="AW2569" s="106">
        <v>-16.54</v>
      </c>
      <c r="BC2569" s="106">
        <v>-22.13</v>
      </c>
      <c r="BI2569" s="106">
        <v>-8.69</v>
      </c>
      <c r="BO2569" s="106">
        <v>-41.1</v>
      </c>
      <c r="BU2569" s="106">
        <v>-6.45</v>
      </c>
      <c r="CY2569" s="106">
        <v>-7.13</v>
      </c>
    </row>
    <row r="2570" spans="1:199" x14ac:dyDescent="0.25">
      <c r="A2570" s="127">
        <v>44975</v>
      </c>
      <c r="B2570" s="24" t="s">
        <v>44</v>
      </c>
      <c r="C2570" s="21">
        <f t="shared" si="44"/>
        <v>-28.8</v>
      </c>
      <c r="GQ2570" s="92">
        <v>-28.8</v>
      </c>
    </row>
    <row r="2571" spans="1:199" x14ac:dyDescent="0.25">
      <c r="A2571" s="127">
        <v>44977</v>
      </c>
      <c r="B2571" s="24" t="s">
        <v>48</v>
      </c>
      <c r="C2571" s="21">
        <f t="shared" si="44"/>
        <v>0</v>
      </c>
    </row>
    <row r="2572" spans="1:199" x14ac:dyDescent="0.25">
      <c r="A2572" s="127">
        <v>44977</v>
      </c>
      <c r="B2572" s="24" t="s">
        <v>31</v>
      </c>
      <c r="C2572" s="21">
        <f t="shared" si="44"/>
        <v>-8.51</v>
      </c>
      <c r="AC2572" s="106">
        <v>-8.51</v>
      </c>
    </row>
    <row r="2573" spans="1:199" x14ac:dyDescent="0.25">
      <c r="A2573" s="127">
        <v>44978</v>
      </c>
      <c r="B2573" s="24" t="s">
        <v>65</v>
      </c>
      <c r="C2573" s="21">
        <f t="shared" si="44"/>
        <v>-33.6</v>
      </c>
      <c r="AW2573" s="106">
        <v>-33.6</v>
      </c>
    </row>
    <row r="2574" spans="1:199" x14ac:dyDescent="0.25">
      <c r="A2574" s="127">
        <v>44978</v>
      </c>
      <c r="B2574" s="24" t="s">
        <v>149</v>
      </c>
      <c r="C2574" s="21">
        <f t="shared" si="44"/>
        <v>-16.14</v>
      </c>
      <c r="BO2574" s="106">
        <v>-8.2899999999999991</v>
      </c>
      <c r="BU2574" s="106">
        <v>-7.85</v>
      </c>
    </row>
    <row r="2575" spans="1:199" x14ac:dyDescent="0.25">
      <c r="A2575" s="127">
        <v>44978</v>
      </c>
      <c r="B2575" s="24" t="s">
        <v>79</v>
      </c>
      <c r="C2575" s="21">
        <f t="shared" si="44"/>
        <v>-23.41</v>
      </c>
      <c r="AG2575" s="106">
        <v>-8.5500000000000007</v>
      </c>
      <c r="AR2575" s="106">
        <v>-7.35</v>
      </c>
      <c r="BC2575" s="106">
        <v>-7.51</v>
      </c>
    </row>
    <row r="2576" spans="1:199" x14ac:dyDescent="0.25">
      <c r="A2576" s="127">
        <v>44978</v>
      </c>
      <c r="B2576" s="24" t="s">
        <v>173</v>
      </c>
      <c r="C2576" s="21">
        <f t="shared" si="44"/>
        <v>-7.35</v>
      </c>
      <c r="AR2576" s="106">
        <v>-7.35</v>
      </c>
    </row>
    <row r="2577" spans="1:238" x14ac:dyDescent="0.25">
      <c r="A2577" s="127">
        <v>44978</v>
      </c>
      <c r="B2577" s="24" t="s">
        <v>20</v>
      </c>
      <c r="C2577" s="21">
        <f t="shared" si="44"/>
        <v>-14.1</v>
      </c>
      <c r="AC2577" s="106">
        <v>-6.75</v>
      </c>
      <c r="AR2577" s="106">
        <v>-7.35</v>
      </c>
    </row>
    <row r="2578" spans="1:238" x14ac:dyDescent="0.25">
      <c r="A2578" s="127">
        <v>44979</v>
      </c>
      <c r="B2578" s="24" t="s">
        <v>113</v>
      </c>
      <c r="C2578" s="21">
        <f t="shared" si="44"/>
        <v>1564.14</v>
      </c>
      <c r="BI2578" s="106">
        <v>322.32</v>
      </c>
      <c r="BU2578" s="106">
        <v>213.1</v>
      </c>
      <c r="CA2578" s="106">
        <v>205.39</v>
      </c>
      <c r="CS2578" s="74">
        <v>204.05</v>
      </c>
      <c r="DU2578" s="106">
        <v>217.11</v>
      </c>
      <c r="EA2578" s="74">
        <v>193.25</v>
      </c>
      <c r="GQ2578" s="92">
        <v>208.92</v>
      </c>
    </row>
    <row r="2579" spans="1:238" x14ac:dyDescent="0.25">
      <c r="A2579" s="127">
        <v>44979</v>
      </c>
      <c r="B2579" s="24" t="s">
        <v>44</v>
      </c>
      <c r="C2579" s="21">
        <f t="shared" si="44"/>
        <v>-270.69</v>
      </c>
      <c r="GQ2579" s="92">
        <v>-208.92</v>
      </c>
      <c r="ID2579" s="42">
        <v>-61.77</v>
      </c>
    </row>
    <row r="2580" spans="1:238" x14ac:dyDescent="0.25">
      <c r="A2580" s="127">
        <v>44979</v>
      </c>
      <c r="B2580" s="24" t="s">
        <v>17</v>
      </c>
      <c r="C2580" s="21">
        <f t="shared" si="44"/>
        <v>-341.28</v>
      </c>
      <c r="AR2580" s="106">
        <v>-32</v>
      </c>
      <c r="AW2580" s="106">
        <f>-33.42-7.85</f>
        <v>-41.27</v>
      </c>
      <c r="BC2580" s="106">
        <v>-7.81</v>
      </c>
      <c r="BI2580" s="106">
        <f>-33.33-8.98</f>
        <v>-42.31</v>
      </c>
      <c r="BN2580" s="69">
        <v>-25.32</v>
      </c>
      <c r="BS2580" s="42">
        <v>-8.77</v>
      </c>
      <c r="BU2580" s="106">
        <v>-35.57</v>
      </c>
      <c r="CA2580" s="106">
        <v>-34.39</v>
      </c>
      <c r="CG2580" s="106">
        <v>-25.9</v>
      </c>
      <c r="CM2580" s="106">
        <v>-31.95</v>
      </c>
      <c r="CS2580" s="74">
        <v>-25.81</v>
      </c>
      <c r="CY2580" s="106">
        <v>-6.47</v>
      </c>
      <c r="DP2580" s="74">
        <v>-8.81</v>
      </c>
      <c r="EA2580" s="74">
        <v>-14.9</v>
      </c>
    </row>
    <row r="2581" spans="1:238" x14ac:dyDescent="0.25">
      <c r="A2581" s="127">
        <v>44979</v>
      </c>
      <c r="B2581" s="24" t="s">
        <v>78</v>
      </c>
      <c r="C2581" s="21">
        <f t="shared" si="44"/>
        <v>-33.51</v>
      </c>
      <c r="BI2581" s="106">
        <v>-8.65</v>
      </c>
      <c r="BO2581" s="106">
        <v>-8.31</v>
      </c>
      <c r="BU2581" s="106">
        <v>-8.98</v>
      </c>
      <c r="CA2581" s="106">
        <v>-7.57</v>
      </c>
    </row>
    <row r="2582" spans="1:238" x14ac:dyDescent="0.25">
      <c r="A2582" s="127">
        <v>44979</v>
      </c>
      <c r="B2582" s="24" t="s">
        <v>78</v>
      </c>
      <c r="C2582" s="21">
        <f t="shared" si="44"/>
        <v>-164.63</v>
      </c>
      <c r="AW2582" s="106">
        <v>-13.84</v>
      </c>
      <c r="BC2582" s="106">
        <v>-14.16</v>
      </c>
      <c r="BI2582" s="106">
        <v>-16.95</v>
      </c>
      <c r="BN2582" s="69">
        <v>-25.33</v>
      </c>
      <c r="BU2582" s="106">
        <v>-26.07</v>
      </c>
      <c r="CA2582" s="106">
        <v>-17.579999999999998</v>
      </c>
      <c r="CG2582" s="106">
        <v>-17.5</v>
      </c>
      <c r="CM2582" s="106">
        <v>-16.55</v>
      </c>
      <c r="CS2582" s="74">
        <v>-8.66</v>
      </c>
      <c r="CY2582" s="106">
        <v>-7.99</v>
      </c>
    </row>
    <row r="2583" spans="1:238" x14ac:dyDescent="0.25">
      <c r="A2583" s="127">
        <v>44979</v>
      </c>
      <c r="B2583" s="24" t="s">
        <v>32</v>
      </c>
      <c r="C2583" s="21">
        <f t="shared" si="44"/>
        <v>-68.36</v>
      </c>
      <c r="EL2583" s="106">
        <v>-68.36</v>
      </c>
    </row>
    <row r="2584" spans="1:238" x14ac:dyDescent="0.25">
      <c r="A2584" s="127">
        <v>44979</v>
      </c>
      <c r="B2584" s="24" t="s">
        <v>167</v>
      </c>
      <c r="C2584" s="21">
        <f t="shared" si="44"/>
        <v>-16.315000000000001</v>
      </c>
      <c r="D2584" s="386">
        <v>-8.1999999999999993</v>
      </c>
      <c r="E2584" s="386">
        <v>-8.1150000000000002</v>
      </c>
    </row>
    <row r="2585" spans="1:238" x14ac:dyDescent="0.25">
      <c r="A2585" s="127">
        <v>44979</v>
      </c>
      <c r="B2585" s="24" t="s">
        <v>32</v>
      </c>
      <c r="C2585" s="21">
        <f t="shared" si="44"/>
        <v>-55.255000000000003</v>
      </c>
      <c r="AR2585" s="106">
        <v>-33.65</v>
      </c>
      <c r="FX2585" s="34">
        <v>-21.605</v>
      </c>
    </row>
    <row r="2586" spans="1:238" x14ac:dyDescent="0.25">
      <c r="A2586" s="127">
        <v>44979</v>
      </c>
      <c r="B2586" s="24" t="s">
        <v>152</v>
      </c>
      <c r="C2586" s="21">
        <f t="shared" si="44"/>
        <v>-993.91</v>
      </c>
      <c r="AN2586" s="106">
        <v>-32.35</v>
      </c>
      <c r="AR2586" s="106">
        <v>-32.4</v>
      </c>
      <c r="AW2586" s="106">
        <v>-32.68</v>
      </c>
      <c r="BC2586" s="106">
        <v>-28.92</v>
      </c>
      <c r="BI2586" s="106">
        <v>-69.47</v>
      </c>
      <c r="BO2586" s="106">
        <v>-67.97</v>
      </c>
      <c r="BU2586" s="106">
        <v>-30.4</v>
      </c>
      <c r="CA2586" s="106">
        <v>-68.84</v>
      </c>
      <c r="CG2586" s="106">
        <v>-33.549999999999997</v>
      </c>
      <c r="CM2586" s="106">
        <v>-34.159999999999997</v>
      </c>
      <c r="CS2586" s="74">
        <v>-67.25</v>
      </c>
      <c r="CY2586" s="106">
        <v>-32.78</v>
      </c>
      <c r="DE2586" s="74">
        <v>-66.180000000000007</v>
      </c>
      <c r="DK2586" s="106">
        <v>-32</v>
      </c>
      <c r="DP2586" s="74">
        <v>-68.67</v>
      </c>
      <c r="DU2586" s="106">
        <v>-134.69</v>
      </c>
      <c r="EA2586" s="74">
        <v>-161.6</v>
      </c>
    </row>
    <row r="2587" spans="1:238" x14ac:dyDescent="0.25">
      <c r="A2587" s="127">
        <v>44980</v>
      </c>
      <c r="B2587" s="24" t="s">
        <v>133</v>
      </c>
      <c r="C2587" s="21">
        <f t="shared" si="44"/>
        <v>-138.56</v>
      </c>
      <c r="BI2587" s="106">
        <v>-34.6</v>
      </c>
      <c r="BU2587" s="106">
        <v>-35.5</v>
      </c>
      <c r="CA2587" s="106">
        <v>-34.71</v>
      </c>
      <c r="CG2587" s="106">
        <v>-33.75</v>
      </c>
    </row>
    <row r="2588" spans="1:238" x14ac:dyDescent="0.25">
      <c r="A2588" s="127">
        <v>44980</v>
      </c>
      <c r="B2588" s="24" t="s">
        <v>37</v>
      </c>
      <c r="C2588" s="21">
        <f t="shared" si="44"/>
        <v>-97.25</v>
      </c>
      <c r="HH2588" s="106">
        <v>-33.5</v>
      </c>
      <c r="HP2588" s="92">
        <v>-63.75</v>
      </c>
    </row>
    <row r="2589" spans="1:238" x14ac:dyDescent="0.25">
      <c r="A2589" s="127">
        <v>44980</v>
      </c>
      <c r="B2589" s="24" t="s">
        <v>78</v>
      </c>
      <c r="C2589" s="21">
        <f t="shared" si="44"/>
        <v>-189.13</v>
      </c>
      <c r="BC2589" s="106">
        <v>-29.74</v>
      </c>
      <c r="BI2589" s="106">
        <v>-30.75</v>
      </c>
      <c r="BU2589" s="106">
        <v>-35.869999999999997</v>
      </c>
      <c r="CA2589" s="106">
        <v>-33.369999999999997</v>
      </c>
      <c r="CG2589" s="106">
        <v>-50.6</v>
      </c>
      <c r="CS2589" s="74">
        <v>-8.8000000000000007</v>
      </c>
    </row>
    <row r="2590" spans="1:238" x14ac:dyDescent="0.25">
      <c r="A2590" s="127">
        <v>44980</v>
      </c>
      <c r="B2590" s="24" t="s">
        <v>78</v>
      </c>
      <c r="C2590" s="21">
        <f t="shared" si="44"/>
        <v>-16.989999999999998</v>
      </c>
      <c r="CS2590" s="74">
        <v>-8.8000000000000007</v>
      </c>
      <c r="CY2590" s="106">
        <v>-8.19</v>
      </c>
    </row>
    <row r="2591" spans="1:238" x14ac:dyDescent="0.25">
      <c r="A2591" s="127">
        <v>44980</v>
      </c>
      <c r="B2591" s="24" t="s">
        <v>78</v>
      </c>
      <c r="C2591" s="21">
        <f t="shared" si="44"/>
        <v>-16.95</v>
      </c>
      <c r="AG2591" s="106">
        <v>-8.6999999999999993</v>
      </c>
      <c r="AN2591" s="106">
        <v>-8.25</v>
      </c>
    </row>
    <row r="2592" spans="1:238" x14ac:dyDescent="0.25">
      <c r="A2592" s="127">
        <v>44980</v>
      </c>
      <c r="B2592" s="24" t="s">
        <v>17</v>
      </c>
      <c r="C2592" s="21">
        <f t="shared" si="44"/>
        <v>-8.65</v>
      </c>
      <c r="V2592" s="74">
        <v>-8.65</v>
      </c>
    </row>
    <row r="2593" spans="1:224" x14ac:dyDescent="0.25">
      <c r="A2593" s="127">
        <v>44980</v>
      </c>
      <c r="B2593" s="24" t="s">
        <v>68</v>
      </c>
      <c r="C2593" s="21">
        <f t="shared" si="44"/>
        <v>-68.709999999999994</v>
      </c>
      <c r="CA2593" s="106">
        <v>-33.71</v>
      </c>
      <c r="CG2593" s="106">
        <v>-35</v>
      </c>
    </row>
    <row r="2594" spans="1:224" x14ac:dyDescent="0.25">
      <c r="A2594" s="127">
        <v>44980</v>
      </c>
      <c r="B2594" s="24" t="s">
        <v>59</v>
      </c>
      <c r="C2594" s="21">
        <f t="shared" si="44"/>
        <v>-9.9700000000000006</v>
      </c>
      <c r="BU2594" s="106">
        <v>-2.8</v>
      </c>
      <c r="CA2594" s="106">
        <v>-3.18</v>
      </c>
      <c r="CY2594" s="106">
        <v>-3.99</v>
      </c>
    </row>
    <row r="2595" spans="1:224" x14ac:dyDescent="0.25">
      <c r="A2595" s="127">
        <v>44981</v>
      </c>
      <c r="B2595" s="24" t="s">
        <v>133</v>
      </c>
      <c r="C2595" s="21">
        <f t="shared" si="44"/>
        <v>-63.94</v>
      </c>
      <c r="BC2595" s="106">
        <v>-30.74</v>
      </c>
      <c r="CM2595" s="106">
        <v>-33.200000000000003</v>
      </c>
    </row>
    <row r="2596" spans="1:224" x14ac:dyDescent="0.25">
      <c r="A2596" s="127">
        <v>44981</v>
      </c>
      <c r="B2596" s="24" t="s">
        <v>17</v>
      </c>
      <c r="C2596" s="21">
        <f t="shared" si="44"/>
        <v>-59.76</v>
      </c>
      <c r="CY2596" s="106">
        <v>-17.34</v>
      </c>
      <c r="DE2596" s="74">
        <v>-33.42</v>
      </c>
      <c r="DK2596" s="106">
        <v>-9</v>
      </c>
    </row>
    <row r="2597" spans="1:224" x14ac:dyDescent="0.25">
      <c r="A2597" s="127">
        <v>44981</v>
      </c>
      <c r="B2597" s="24" t="s">
        <v>48</v>
      </c>
      <c r="C2597" s="21">
        <f t="shared" si="44"/>
        <v>133.54</v>
      </c>
      <c r="AL2597" s="42">
        <v>29.64</v>
      </c>
      <c r="AU2597" s="42">
        <v>34.78</v>
      </c>
      <c r="DC2597" s="42">
        <v>33.979999999999997</v>
      </c>
      <c r="DN2597" s="42">
        <v>35.14</v>
      </c>
    </row>
    <row r="2598" spans="1:224" x14ac:dyDescent="0.25">
      <c r="A2598" s="127">
        <v>44982</v>
      </c>
      <c r="B2598" s="24" t="s">
        <v>139</v>
      </c>
      <c r="C2598" s="21">
        <f t="shared" si="44"/>
        <v>-25.45</v>
      </c>
      <c r="CM2598" s="106">
        <v>-8.3000000000000007</v>
      </c>
      <c r="CS2598" s="74">
        <v>-8.3800000000000008</v>
      </c>
      <c r="CY2598" s="106">
        <v>-8.77</v>
      </c>
    </row>
    <row r="2599" spans="1:224" x14ac:dyDescent="0.25">
      <c r="A2599" s="127">
        <v>44982</v>
      </c>
      <c r="B2599" s="24" t="s">
        <v>113</v>
      </c>
      <c r="C2599" s="21">
        <f t="shared" si="44"/>
        <v>2065.85</v>
      </c>
      <c r="AN2599" s="106">
        <v>197.09</v>
      </c>
      <c r="AR2599" s="106">
        <v>190.7</v>
      </c>
      <c r="BC2599" s="106">
        <v>201.19</v>
      </c>
      <c r="BI2599" s="106">
        <v>203.45</v>
      </c>
      <c r="BO2599" s="106">
        <v>230.67</v>
      </c>
      <c r="BU2599" s="106">
        <v>202.96</v>
      </c>
      <c r="CA2599" s="106">
        <v>191.45</v>
      </c>
      <c r="DK2599" s="106">
        <v>203.75</v>
      </c>
      <c r="EA2599" s="74">
        <v>188.65</v>
      </c>
      <c r="EZ2599" s="92">
        <v>92.25</v>
      </c>
      <c r="GQ2599" s="92">
        <v>163.69</v>
      </c>
    </row>
    <row r="2600" spans="1:224" x14ac:dyDescent="0.25">
      <c r="A2600" s="127">
        <v>44982</v>
      </c>
      <c r="B2600" s="24" t="s">
        <v>78</v>
      </c>
      <c r="C2600" s="21">
        <f t="shared" si="44"/>
        <v>-8.83</v>
      </c>
      <c r="CY2600" s="106">
        <v>-8.83</v>
      </c>
    </row>
    <row r="2601" spans="1:224" x14ac:dyDescent="0.25">
      <c r="A2601" s="127">
        <v>44984</v>
      </c>
      <c r="B2601" s="24" t="s">
        <v>78</v>
      </c>
      <c r="C2601" s="21">
        <f t="shared" si="44"/>
        <v>-58.28</v>
      </c>
      <c r="AW2601" s="106">
        <v>-8.31</v>
      </c>
      <c r="BC2601" s="106">
        <v>-7.61</v>
      </c>
      <c r="BO2601" s="106">
        <v>-8.51</v>
      </c>
      <c r="BU2601" s="106">
        <v>-8.81</v>
      </c>
      <c r="CG2601" s="106">
        <v>-8.35</v>
      </c>
      <c r="CM2601" s="106">
        <v>-8.1999999999999993</v>
      </c>
      <c r="CS2601" s="74">
        <v>-8.49</v>
      </c>
    </row>
    <row r="2602" spans="1:224" x14ac:dyDescent="0.25">
      <c r="A2602" s="127">
        <v>44984</v>
      </c>
      <c r="B2602" s="24" t="s">
        <v>57</v>
      </c>
      <c r="C2602" s="21">
        <f t="shared" si="44"/>
        <v>-166.79</v>
      </c>
      <c r="V2602" s="74">
        <v>-8.0299999999999994</v>
      </c>
      <c r="AG2602" s="106">
        <v>-17.3</v>
      </c>
      <c r="AW2602" s="106">
        <v>-24.29</v>
      </c>
      <c r="BC2602" s="106">
        <v>-34.630000000000003</v>
      </c>
      <c r="BI2602" s="106">
        <v>-25.5</v>
      </c>
      <c r="BO2602" s="106">
        <v>-15.46</v>
      </c>
      <c r="BU2602" s="106">
        <v>-25.43</v>
      </c>
      <c r="CA2602" s="106">
        <v>-16.149999999999999</v>
      </c>
    </row>
    <row r="2603" spans="1:224" x14ac:dyDescent="0.25">
      <c r="A2603" s="127">
        <v>44985</v>
      </c>
      <c r="B2603" s="24" t="s">
        <v>113</v>
      </c>
      <c r="C2603" s="21">
        <f t="shared" si="44"/>
        <v>1339.53</v>
      </c>
      <c r="P2603" s="106">
        <v>172.55</v>
      </c>
      <c r="BO2603" s="106">
        <v>178.01</v>
      </c>
      <c r="DU2603" s="106">
        <v>132.59</v>
      </c>
      <c r="HF2603" s="92">
        <v>176.86</v>
      </c>
      <c r="HH2603" s="106">
        <v>245.09</v>
      </c>
      <c r="HJ2603" s="79">
        <v>165.59</v>
      </c>
      <c r="HM2603" s="106">
        <v>268.83999999999997</v>
      </c>
    </row>
    <row r="2604" spans="1:224" x14ac:dyDescent="0.25">
      <c r="A2604" s="127">
        <v>44985</v>
      </c>
      <c r="B2604" s="24" t="s">
        <v>37</v>
      </c>
      <c r="C2604" s="21">
        <f t="shared" si="44"/>
        <v>-401.63</v>
      </c>
      <c r="HH2604" s="106">
        <v>-68.92</v>
      </c>
      <c r="HJ2604" s="79">
        <v>-165.59</v>
      </c>
      <c r="HM2604" s="106">
        <v>-100.82</v>
      </c>
      <c r="HP2604" s="92">
        <v>-66.3</v>
      </c>
    </row>
    <row r="2605" spans="1:224" x14ac:dyDescent="0.25">
      <c r="A2605" s="127">
        <v>44985</v>
      </c>
      <c r="B2605" s="24" t="s">
        <v>68</v>
      </c>
      <c r="C2605" s="21">
        <f t="shared" si="44"/>
        <v>-64.510000000000005</v>
      </c>
      <c r="AW2605" s="106">
        <v>-31.6</v>
      </c>
      <c r="BU2605" s="106">
        <v>-32.909999999999997</v>
      </c>
    </row>
    <row r="2606" spans="1:224" x14ac:dyDescent="0.25">
      <c r="A2606" s="127">
        <v>44985</v>
      </c>
      <c r="B2606" s="24" t="s">
        <v>31</v>
      </c>
      <c r="C2606" s="21">
        <f t="shared" si="44"/>
        <v>-44.42</v>
      </c>
      <c r="HH2606" s="106">
        <v>-44.42</v>
      </c>
    </row>
    <row r="2607" spans="1:224" x14ac:dyDescent="0.25">
      <c r="A2607" s="127">
        <v>44985</v>
      </c>
      <c r="B2607" s="24" t="s">
        <v>27</v>
      </c>
      <c r="C2607" s="21">
        <f t="shared" si="44"/>
        <v>-16.75</v>
      </c>
      <c r="BI2607" s="106">
        <v>-16.75</v>
      </c>
    </row>
    <row r="2608" spans="1:224" x14ac:dyDescent="0.25">
      <c r="A2608" s="127">
        <v>44985</v>
      </c>
      <c r="B2608" s="24" t="s">
        <v>31</v>
      </c>
      <c r="C2608" s="21">
        <f t="shared" si="44"/>
        <v>-65.069999999999993</v>
      </c>
      <c r="GO2608" s="110">
        <v>-57.02</v>
      </c>
      <c r="HH2608" s="106">
        <v>-8.0500000000000007</v>
      </c>
    </row>
    <row r="2609" spans="1:199" x14ac:dyDescent="0.25">
      <c r="A2609" s="127">
        <v>44985</v>
      </c>
      <c r="B2609" s="24" t="s">
        <v>20</v>
      </c>
      <c r="C2609" s="21">
        <f t="shared" ref="C2609:C2672" si="45">SUM(D2609:JT2609)</f>
        <v>-39.25</v>
      </c>
      <c r="BC2609" s="106">
        <v>-5.61</v>
      </c>
      <c r="BU2609" s="106">
        <v>-8.4499999999999993</v>
      </c>
      <c r="CG2609" s="106">
        <v>-8.4</v>
      </c>
      <c r="CM2609" s="106">
        <v>-8.1999999999999993</v>
      </c>
      <c r="CS2609" s="74">
        <v>-8.59</v>
      </c>
    </row>
    <row r="2610" spans="1:199" x14ac:dyDescent="0.25">
      <c r="A2610" s="127">
        <v>44985</v>
      </c>
      <c r="B2610" s="24" t="s">
        <v>75</v>
      </c>
      <c r="C2610" s="21">
        <f t="shared" si="45"/>
        <v>-7.3</v>
      </c>
      <c r="AR2610" s="106">
        <v>-7.3</v>
      </c>
    </row>
    <row r="2611" spans="1:199" x14ac:dyDescent="0.25">
      <c r="A2611" s="127">
        <v>44985</v>
      </c>
      <c r="B2611" s="24" t="s">
        <v>138</v>
      </c>
      <c r="C2611" s="21">
        <f t="shared" si="45"/>
        <v>-8.76</v>
      </c>
      <c r="BS2611" s="42">
        <v>-8.76</v>
      </c>
    </row>
    <row r="2612" spans="1:199" x14ac:dyDescent="0.25">
      <c r="A2612" s="127">
        <v>44985</v>
      </c>
      <c r="B2612" s="24" t="s">
        <v>33</v>
      </c>
      <c r="C2612" s="21">
        <f t="shared" si="45"/>
        <v>-15.32</v>
      </c>
      <c r="AW2612" s="106">
        <v>-7.49</v>
      </c>
      <c r="BO2612" s="106">
        <v>-7.83</v>
      </c>
    </row>
    <row r="2613" spans="1:199" x14ac:dyDescent="0.25">
      <c r="A2613" s="127">
        <v>44985</v>
      </c>
      <c r="B2613" s="24" t="s">
        <v>79</v>
      </c>
      <c r="C2613" s="21">
        <f t="shared" si="45"/>
        <v>-32.85</v>
      </c>
      <c r="AG2613" s="106">
        <v>-8.75</v>
      </c>
      <c r="AR2613" s="106">
        <v>-6.95</v>
      </c>
      <c r="BI2613" s="106">
        <v>-8.5</v>
      </c>
      <c r="CY2613" s="106">
        <v>-8.65</v>
      </c>
    </row>
    <row r="2614" spans="1:199" x14ac:dyDescent="0.25">
      <c r="A2614" s="127">
        <v>44985</v>
      </c>
      <c r="B2614" s="24" t="s">
        <v>162</v>
      </c>
      <c r="C2614" s="21">
        <f t="shared" si="45"/>
        <v>-57.93</v>
      </c>
      <c r="AW2614" s="106">
        <v>-8.77</v>
      </c>
      <c r="BC2614" s="106">
        <v>-7.41</v>
      </c>
      <c r="BI2614" s="106">
        <v>-16.95</v>
      </c>
      <c r="BO2614" s="106">
        <v>-8.1999999999999993</v>
      </c>
      <c r="CG2614" s="106">
        <v>-8.4</v>
      </c>
      <c r="CM2614" s="106">
        <v>-8.1999999999999993</v>
      </c>
    </row>
    <row r="2615" spans="1:199" x14ac:dyDescent="0.25">
      <c r="A2615" s="127">
        <v>44985</v>
      </c>
      <c r="B2615" s="24" t="s">
        <v>25</v>
      </c>
      <c r="C2615" s="21">
        <f t="shared" si="45"/>
        <v>-42.14</v>
      </c>
      <c r="V2615" s="74">
        <v>-8.0299999999999994</v>
      </c>
      <c r="BI2615" s="106">
        <v>-9.23</v>
      </c>
      <c r="BO2615" s="106">
        <v>-8.2799999999999994</v>
      </c>
      <c r="BU2615" s="106">
        <v>-8.5</v>
      </c>
      <c r="CA2615" s="106">
        <v>-8.1</v>
      </c>
    </row>
    <row r="2616" spans="1:199" x14ac:dyDescent="0.25">
      <c r="A2616" s="127">
        <v>44985</v>
      </c>
      <c r="B2616" s="24" t="s">
        <v>151</v>
      </c>
      <c r="C2616" s="21">
        <f t="shared" si="45"/>
        <v>-29.35</v>
      </c>
      <c r="EA2616" s="74">
        <v>-29.35</v>
      </c>
    </row>
    <row r="2617" spans="1:199" x14ac:dyDescent="0.25">
      <c r="A2617" s="127">
        <v>44985</v>
      </c>
      <c r="B2617" s="24" t="s">
        <v>78</v>
      </c>
      <c r="C2617" s="21">
        <f t="shared" si="45"/>
        <v>-30.65</v>
      </c>
      <c r="V2617" s="74">
        <v>-8.0500000000000007</v>
      </c>
      <c r="AR2617" s="106">
        <v>-14.45</v>
      </c>
      <c r="BO2617" s="106">
        <v>-8.15</v>
      </c>
    </row>
    <row r="2618" spans="1:199" x14ac:dyDescent="0.25">
      <c r="A2618" s="127">
        <v>44985</v>
      </c>
      <c r="B2618" s="24" t="s">
        <v>133</v>
      </c>
      <c r="C2618" s="21">
        <f t="shared" si="45"/>
        <v>-260.69</v>
      </c>
      <c r="AN2618" s="106">
        <v>-30.7</v>
      </c>
      <c r="AR2618" s="106">
        <v>-33.75</v>
      </c>
      <c r="BC2618" s="106">
        <v>-32.090000000000003</v>
      </c>
      <c r="BI2618" s="106">
        <f>-33.95-33.85</f>
        <v>-67.8</v>
      </c>
      <c r="BO2618" s="106">
        <v>-29.3</v>
      </c>
      <c r="CA2618" s="106">
        <v>-32.299999999999997</v>
      </c>
      <c r="CG2618" s="106">
        <v>-34.75</v>
      </c>
    </row>
    <row r="2619" spans="1:199" x14ac:dyDescent="0.25">
      <c r="A2619" s="127">
        <v>44985</v>
      </c>
      <c r="B2619" s="24" t="s">
        <v>83</v>
      </c>
      <c r="C2619" s="21">
        <f t="shared" si="45"/>
        <v>-16.149999999999999</v>
      </c>
      <c r="S2619" s="74">
        <v>-16.149999999999999</v>
      </c>
    </row>
    <row r="2620" spans="1:199" x14ac:dyDescent="0.25">
      <c r="A2620" s="127">
        <v>44985</v>
      </c>
      <c r="B2620" s="24" t="s">
        <v>29</v>
      </c>
      <c r="C2620" s="21">
        <f t="shared" si="45"/>
        <v>-7.83</v>
      </c>
      <c r="DE2620" s="74">
        <v>-7.83</v>
      </c>
    </row>
    <row r="2621" spans="1:199" x14ac:dyDescent="0.25">
      <c r="A2621" s="127">
        <v>44987</v>
      </c>
      <c r="B2621" s="24" t="s">
        <v>113</v>
      </c>
      <c r="C2621" s="21">
        <f t="shared" si="45"/>
        <v>1075.78</v>
      </c>
      <c r="AN2621" s="106">
        <v>147.76</v>
      </c>
      <c r="AR2621" s="106">
        <v>160.75</v>
      </c>
      <c r="BC2621" s="106">
        <v>168.5</v>
      </c>
      <c r="BI2621" s="106">
        <v>207.57</v>
      </c>
      <c r="DK2621" s="106">
        <v>136</v>
      </c>
      <c r="EA2621" s="74">
        <v>126.68</v>
      </c>
      <c r="GQ2621" s="92">
        <v>128.52000000000001</v>
      </c>
    </row>
    <row r="2622" spans="1:199" x14ac:dyDescent="0.25">
      <c r="A2622" s="127">
        <v>44987</v>
      </c>
      <c r="B2622" s="24" t="s">
        <v>115</v>
      </c>
      <c r="C2622" s="21">
        <f t="shared" si="45"/>
        <v>0</v>
      </c>
    </row>
    <row r="2623" spans="1:199" x14ac:dyDescent="0.25">
      <c r="A2623" s="127">
        <v>44960</v>
      </c>
      <c r="B2623" s="24" t="s">
        <v>152</v>
      </c>
      <c r="C2623" s="21">
        <f t="shared" si="45"/>
        <v>-890.20500000000004</v>
      </c>
      <c r="L2623" s="69">
        <v>-16.995000000000001</v>
      </c>
      <c r="P2623" s="106">
        <v>-16.7</v>
      </c>
      <c r="AN2623" s="106">
        <v>-34.549999999999997</v>
      </c>
      <c r="AW2623" s="106">
        <v>-34.979999999999997</v>
      </c>
      <c r="BU2623" s="106">
        <v>-135.81</v>
      </c>
      <c r="CA2623" s="106">
        <v>-63.4</v>
      </c>
      <c r="CG2623" s="106">
        <v>-138.15</v>
      </c>
      <c r="CM2623" s="106">
        <v>-99.8</v>
      </c>
      <c r="CY2623" s="106">
        <v>-34.1</v>
      </c>
      <c r="DE2623" s="74">
        <v>-33.9</v>
      </c>
      <c r="DK2623" s="106">
        <v>-33.549999999999997</v>
      </c>
      <c r="DU2623" s="106">
        <v>-65.680000000000007</v>
      </c>
      <c r="EA2623" s="74">
        <v>-95.4</v>
      </c>
      <c r="EG2623" s="74">
        <v>-34.840000000000003</v>
      </c>
      <c r="EL2623" s="106">
        <v>-32.5</v>
      </c>
      <c r="FK2623" s="106">
        <v>-19.850000000000001</v>
      </c>
    </row>
    <row r="2624" spans="1:199" x14ac:dyDescent="0.25">
      <c r="A2624" s="127">
        <v>44960</v>
      </c>
      <c r="B2624" s="24" t="s">
        <v>78</v>
      </c>
      <c r="C2624" s="21">
        <f t="shared" si="45"/>
        <v>-172.73</v>
      </c>
      <c r="BC2624" s="106">
        <v>-34.71</v>
      </c>
      <c r="BI2624" s="106">
        <v>-104.77</v>
      </c>
      <c r="BO2624" s="106">
        <v>-33.25</v>
      </c>
    </row>
    <row r="2625" spans="1:221" x14ac:dyDescent="0.25">
      <c r="A2625" s="127">
        <v>44960</v>
      </c>
      <c r="B2625" s="24" t="s">
        <v>32</v>
      </c>
      <c r="C2625" s="21">
        <f t="shared" si="45"/>
        <v>-59.77</v>
      </c>
      <c r="CS2625" s="74">
        <v>-8.5399999999999991</v>
      </c>
      <c r="CY2625" s="106">
        <v>-16.84</v>
      </c>
      <c r="DK2625" s="106">
        <v>-17.05</v>
      </c>
      <c r="DU2625" s="106">
        <v>-8.65</v>
      </c>
      <c r="EE2625" s="42">
        <v>-8.69</v>
      </c>
    </row>
    <row r="2626" spans="1:221" x14ac:dyDescent="0.25">
      <c r="A2626" s="127">
        <v>44960</v>
      </c>
      <c r="B2626" s="24" t="s">
        <v>78</v>
      </c>
      <c r="C2626" s="21">
        <f t="shared" si="45"/>
        <v>-54.21</v>
      </c>
      <c r="AW2626" s="106">
        <v>-23.49</v>
      </c>
      <c r="BC2626" s="106">
        <v>-30.72</v>
      </c>
    </row>
    <row r="2627" spans="1:221" x14ac:dyDescent="0.25">
      <c r="A2627" s="127">
        <v>44989</v>
      </c>
      <c r="B2627" s="24" t="s">
        <v>113</v>
      </c>
      <c r="C2627" s="21">
        <f t="shared" si="45"/>
        <v>1757.87</v>
      </c>
      <c r="AW2627" s="106">
        <v>353.55</v>
      </c>
      <c r="BI2627" s="106">
        <v>308.66000000000003</v>
      </c>
      <c r="BU2627" s="106">
        <v>137.24</v>
      </c>
      <c r="CA2627" s="106">
        <v>150.43</v>
      </c>
      <c r="EA2627" s="74">
        <v>266.95999999999998</v>
      </c>
      <c r="HF2627" s="92">
        <v>141.16999999999999</v>
      </c>
      <c r="HJ2627" s="79">
        <v>148.1</v>
      </c>
      <c r="HM2627" s="106">
        <v>251.76</v>
      </c>
    </row>
    <row r="2628" spans="1:221" x14ac:dyDescent="0.25">
      <c r="A2628" s="127">
        <v>44989</v>
      </c>
      <c r="B2628" s="24" t="s">
        <v>139</v>
      </c>
      <c r="C2628" s="21">
        <f t="shared" si="45"/>
        <v>-68.08</v>
      </c>
      <c r="BI2628" s="106">
        <v>-8.57</v>
      </c>
      <c r="BO2628" s="106">
        <v>-8.1999999999999993</v>
      </c>
      <c r="BU2628" s="106">
        <v>-9.09</v>
      </c>
      <c r="CA2628" s="106">
        <v>-8.15</v>
      </c>
      <c r="CG2628" s="106">
        <v>-8.6999999999999993</v>
      </c>
      <c r="CM2628" s="106">
        <v>-8.25</v>
      </c>
      <c r="CS2628" s="74">
        <v>-8.3699999999999992</v>
      </c>
      <c r="CY2628" s="106">
        <v>-8.75</v>
      </c>
    </row>
    <row r="2629" spans="1:221" x14ac:dyDescent="0.25">
      <c r="A2629" s="127">
        <v>44991</v>
      </c>
      <c r="B2629" s="24" t="s">
        <v>48</v>
      </c>
      <c r="C2629" s="21">
        <f t="shared" si="45"/>
        <v>-32.65</v>
      </c>
      <c r="BO2629" s="106">
        <v>-32.65</v>
      </c>
    </row>
    <row r="2630" spans="1:221" x14ac:dyDescent="0.25">
      <c r="A2630" s="127">
        <v>44991</v>
      </c>
      <c r="B2630" s="24" t="s">
        <v>37</v>
      </c>
      <c r="C2630" s="21">
        <f t="shared" si="45"/>
        <v>-132.47999999999999</v>
      </c>
      <c r="HJ2630" s="79">
        <v>-98.81</v>
      </c>
      <c r="HM2630" s="106">
        <v>-33.67</v>
      </c>
    </row>
    <row r="2631" spans="1:221" x14ac:dyDescent="0.25">
      <c r="A2631" s="127">
        <v>44991</v>
      </c>
      <c r="B2631" s="24" t="s">
        <v>151</v>
      </c>
      <c r="C2631" s="21">
        <f t="shared" si="45"/>
        <v>-17.559999999999999</v>
      </c>
      <c r="DE2631" s="74">
        <v>-17.559999999999999</v>
      </c>
    </row>
    <row r="2632" spans="1:221" x14ac:dyDescent="0.25">
      <c r="A2632" s="127">
        <v>44992</v>
      </c>
      <c r="B2632" s="24" t="s">
        <v>14</v>
      </c>
      <c r="C2632" s="21">
        <f t="shared" si="45"/>
        <v>-318.19499999999999</v>
      </c>
      <c r="AC2632" s="106">
        <v>-17.04</v>
      </c>
      <c r="AG2632" s="106">
        <v>-17.5</v>
      </c>
      <c r="AN2632" s="106">
        <v>-13.65</v>
      </c>
      <c r="AU2632" s="42">
        <v>-34.78</v>
      </c>
      <c r="BF2632" s="182">
        <v>-28.95</v>
      </c>
      <c r="BI2632" s="106">
        <v>-35.85</v>
      </c>
      <c r="BR2632" s="182">
        <v>-33.704999999999998</v>
      </c>
      <c r="BX2632" s="182">
        <v>-33.74</v>
      </c>
      <c r="CC2632" s="126">
        <v>-34.520000000000003</v>
      </c>
      <c r="CE2632" s="42">
        <v>-8.6999999999999993</v>
      </c>
      <c r="CG2632" s="106">
        <v>-8.75</v>
      </c>
      <c r="CY2632" s="106">
        <v>-17.52</v>
      </c>
      <c r="DI2632" s="42">
        <v>-17.309999999999999</v>
      </c>
      <c r="DU2632" s="106">
        <v>-16.18</v>
      </c>
    </row>
    <row r="2633" spans="1:221" x14ac:dyDescent="0.25">
      <c r="A2633" s="127">
        <v>44992</v>
      </c>
      <c r="B2633" s="24" t="s">
        <v>174</v>
      </c>
      <c r="C2633" s="21">
        <f t="shared" si="45"/>
        <v>-25.59</v>
      </c>
      <c r="EA2633" s="74">
        <v>-25.59</v>
      </c>
    </row>
    <row r="2634" spans="1:221" x14ac:dyDescent="0.25">
      <c r="A2634" s="127">
        <v>44992</v>
      </c>
      <c r="B2634" s="24" t="s">
        <v>79</v>
      </c>
      <c r="C2634" s="21">
        <f t="shared" si="45"/>
        <v>-15.51</v>
      </c>
      <c r="BO2634" s="106">
        <v>-8.0500000000000007</v>
      </c>
      <c r="BU2634" s="106">
        <v>-7.46</v>
      </c>
    </row>
    <row r="2635" spans="1:221" x14ac:dyDescent="0.25">
      <c r="A2635" s="127">
        <v>44992</v>
      </c>
      <c r="B2635" s="24" t="s">
        <v>44</v>
      </c>
      <c r="C2635" s="21">
        <f t="shared" si="45"/>
        <v>-234.03</v>
      </c>
      <c r="GK2635" s="79">
        <v>-29.73</v>
      </c>
      <c r="GQ2635" s="92">
        <v>-168.88</v>
      </c>
      <c r="HF2635" s="92">
        <v>-35.42</v>
      </c>
    </row>
    <row r="2636" spans="1:221" x14ac:dyDescent="0.25">
      <c r="A2636" s="127">
        <v>44992</v>
      </c>
      <c r="B2636" s="24" t="s">
        <v>43</v>
      </c>
      <c r="C2636" s="21">
        <f t="shared" si="45"/>
        <v>-403.59</v>
      </c>
      <c r="AN2636" s="106">
        <v>-69.22</v>
      </c>
      <c r="AR2636" s="106">
        <v>-61.35</v>
      </c>
      <c r="BI2636" s="106">
        <v>-68.95</v>
      </c>
      <c r="BU2636" s="106">
        <v>-69.290000000000006</v>
      </c>
      <c r="CA2636" s="106">
        <v>-66.39</v>
      </c>
      <c r="CM2636" s="106">
        <v>-68.39</v>
      </c>
    </row>
    <row r="2637" spans="1:221" x14ac:dyDescent="0.25">
      <c r="A2637" s="127">
        <v>44992</v>
      </c>
      <c r="B2637" s="24" t="s">
        <v>20</v>
      </c>
      <c r="C2637" s="21">
        <f t="shared" si="45"/>
        <v>-41.85</v>
      </c>
      <c r="BC2637" s="106">
        <v>-8.81</v>
      </c>
      <c r="BI2637" s="106">
        <v>-8.5500000000000007</v>
      </c>
      <c r="BO2637" s="106">
        <v>-8.15</v>
      </c>
      <c r="BU2637" s="106">
        <v>-8.24</v>
      </c>
      <c r="CA2637" s="106">
        <v>-8.1</v>
      </c>
    </row>
    <row r="2638" spans="1:221" x14ac:dyDescent="0.25">
      <c r="A2638" s="127">
        <v>44992</v>
      </c>
      <c r="B2638" s="24" t="s">
        <v>84</v>
      </c>
      <c r="C2638" s="21">
        <f t="shared" si="45"/>
        <v>-60.51</v>
      </c>
      <c r="BC2638" s="106">
        <v>-8.8000000000000007</v>
      </c>
      <c r="BI2638" s="106">
        <v>-8.44</v>
      </c>
      <c r="BO2638" s="106">
        <v>-9.5</v>
      </c>
      <c r="BU2638" s="106">
        <v>-17.62</v>
      </c>
      <c r="CA2638" s="106">
        <v>-16.149999999999999</v>
      </c>
    </row>
    <row r="2639" spans="1:221" x14ac:dyDescent="0.25">
      <c r="A2639" s="127">
        <v>44992</v>
      </c>
      <c r="B2639" s="24" t="s">
        <v>27</v>
      </c>
      <c r="C2639" s="21">
        <f t="shared" si="45"/>
        <v>-8.5299999999999994</v>
      </c>
      <c r="AC2639" s="106">
        <v>-8.5299999999999994</v>
      </c>
    </row>
    <row r="2640" spans="1:221" x14ac:dyDescent="0.25">
      <c r="A2640" s="127">
        <v>44992</v>
      </c>
      <c r="B2640" s="24" t="s">
        <v>82</v>
      </c>
      <c r="C2640" s="21">
        <f t="shared" si="45"/>
        <v>-105.15</v>
      </c>
      <c r="HH2640" s="106">
        <v>-105.15</v>
      </c>
    </row>
    <row r="2641" spans="1:240" x14ac:dyDescent="0.25">
      <c r="A2641" s="127">
        <v>44992</v>
      </c>
      <c r="B2641" s="24" t="s">
        <v>26</v>
      </c>
      <c r="C2641" s="21">
        <f t="shared" si="45"/>
        <v>-77.7</v>
      </c>
      <c r="Z2641" s="79">
        <v>-8.5500000000000007</v>
      </c>
      <c r="BI2641" s="106">
        <v>-8.74</v>
      </c>
      <c r="BU2641" s="106">
        <v>-17.97</v>
      </c>
      <c r="CG2641" s="106">
        <v>-8.65</v>
      </c>
      <c r="CY2641" s="106">
        <v>-16.28</v>
      </c>
      <c r="DU2641" s="106">
        <v>-8.4499999999999993</v>
      </c>
      <c r="EA2641" s="74">
        <v>-9.06</v>
      </c>
    </row>
    <row r="2642" spans="1:240" x14ac:dyDescent="0.25">
      <c r="A2642" s="127">
        <v>44992</v>
      </c>
      <c r="B2642" s="24" t="s">
        <v>75</v>
      </c>
      <c r="C2642" s="21">
        <f t="shared" si="45"/>
        <v>-5.5</v>
      </c>
      <c r="AR2642" s="106">
        <v>-5.5</v>
      </c>
    </row>
    <row r="2643" spans="1:240" x14ac:dyDescent="0.25">
      <c r="A2643" s="127">
        <v>44992</v>
      </c>
      <c r="B2643" s="24" t="s">
        <v>57</v>
      </c>
      <c r="C2643" s="21">
        <f t="shared" si="45"/>
        <v>-25.71</v>
      </c>
      <c r="CY2643" s="106">
        <v>-17.059999999999999</v>
      </c>
      <c r="DE2643" s="74">
        <v>-8.65</v>
      </c>
    </row>
    <row r="2644" spans="1:240" x14ac:dyDescent="0.25">
      <c r="A2644" s="127">
        <v>44993</v>
      </c>
      <c r="B2644" s="24" t="s">
        <v>113</v>
      </c>
      <c r="C2644" s="21">
        <f t="shared" si="45"/>
        <v>3903.18</v>
      </c>
      <c r="BO2644" s="106">
        <v>517.05999999999995</v>
      </c>
      <c r="BU2644" s="106">
        <v>298.95999999999998</v>
      </c>
      <c r="CA2644" s="106">
        <v>365.77</v>
      </c>
      <c r="CS2644" s="74">
        <v>508.95</v>
      </c>
      <c r="DP2644" s="74">
        <v>417.37</v>
      </c>
      <c r="EA2644" s="74">
        <v>528.71</v>
      </c>
      <c r="GQ2644" s="92">
        <v>516.22</v>
      </c>
      <c r="HM2644" s="106">
        <v>334</v>
      </c>
      <c r="HR2644" s="92">
        <v>416.14</v>
      </c>
    </row>
    <row r="2645" spans="1:240" x14ac:dyDescent="0.25">
      <c r="A2645" s="127">
        <v>44993</v>
      </c>
      <c r="B2645" s="29" t="s">
        <v>12</v>
      </c>
      <c r="C2645" s="21">
        <f t="shared" si="45"/>
        <v>-118.16</v>
      </c>
      <c r="BU2645" s="106">
        <v>-36.83</v>
      </c>
      <c r="CM2645" s="106">
        <v>-31.05</v>
      </c>
      <c r="DN2645" s="42">
        <v>-8.84</v>
      </c>
      <c r="DU2645" s="106">
        <v>-16.399999999999999</v>
      </c>
      <c r="EA2645" s="74">
        <v>-25.04</v>
      </c>
    </row>
    <row r="2646" spans="1:240" x14ac:dyDescent="0.25">
      <c r="A2646" s="127">
        <v>44993</v>
      </c>
      <c r="B2646" s="29" t="s">
        <v>78</v>
      </c>
      <c r="C2646" s="21">
        <f t="shared" si="45"/>
        <v>-20.05</v>
      </c>
      <c r="FV2646" s="106">
        <v>-20.05</v>
      </c>
    </row>
    <row r="2647" spans="1:240" x14ac:dyDescent="0.25">
      <c r="A2647" s="127">
        <v>44993</v>
      </c>
      <c r="B2647" s="29" t="s">
        <v>19</v>
      </c>
      <c r="C2647" s="21">
        <f t="shared" si="45"/>
        <v>199.92</v>
      </c>
      <c r="X2647" s="42">
        <v>199.92</v>
      </c>
    </row>
    <row r="2648" spans="1:240" x14ac:dyDescent="0.25">
      <c r="A2648" s="127">
        <v>44993</v>
      </c>
      <c r="B2648" s="29" t="s">
        <v>134</v>
      </c>
      <c r="C2648" s="21">
        <f t="shared" si="45"/>
        <v>-47.65</v>
      </c>
      <c r="E2648" s="386">
        <v>-21.08</v>
      </c>
      <c r="F2648" s="145">
        <v>-26.57</v>
      </c>
    </row>
    <row r="2649" spans="1:240" x14ac:dyDescent="0.25">
      <c r="A2649" s="127">
        <v>44994</v>
      </c>
      <c r="B2649" s="24" t="s">
        <v>37</v>
      </c>
      <c r="C2649" s="21">
        <f t="shared" si="45"/>
        <v>-67.260000000000005</v>
      </c>
      <c r="HM2649" s="106">
        <v>-67.260000000000005</v>
      </c>
    </row>
    <row r="2650" spans="1:240" x14ac:dyDescent="0.25">
      <c r="A2650" s="127">
        <v>44994</v>
      </c>
      <c r="B2650" s="24" t="s">
        <v>37</v>
      </c>
      <c r="C2650" s="21">
        <f t="shared" si="45"/>
        <v>-49.29</v>
      </c>
      <c r="HJ2650" s="79">
        <v>-49.29</v>
      </c>
    </row>
    <row r="2651" spans="1:240" x14ac:dyDescent="0.25">
      <c r="A2651" s="127">
        <v>44994</v>
      </c>
      <c r="B2651" s="24" t="s">
        <v>40</v>
      </c>
      <c r="C2651" s="21">
        <f t="shared" si="45"/>
        <v>-401.55</v>
      </c>
      <c r="HM2651" s="106">
        <v>-401.55</v>
      </c>
    </row>
    <row r="2652" spans="1:240" x14ac:dyDescent="0.25">
      <c r="A2652" s="127">
        <v>44994</v>
      </c>
      <c r="B2652" s="24" t="s">
        <v>115</v>
      </c>
      <c r="C2652" s="21">
        <f t="shared" si="45"/>
        <v>74.25</v>
      </c>
      <c r="HI2652" s="182">
        <v>74.25</v>
      </c>
    </row>
    <row r="2653" spans="1:240" x14ac:dyDescent="0.25">
      <c r="A2653" s="127">
        <v>44994</v>
      </c>
      <c r="B2653" s="29" t="s">
        <v>65</v>
      </c>
      <c r="C2653" s="21">
        <f t="shared" si="45"/>
        <v>-16.399999999999999</v>
      </c>
      <c r="AN2653" s="106">
        <v>-16.399999999999999</v>
      </c>
    </row>
    <row r="2654" spans="1:240" x14ac:dyDescent="0.25">
      <c r="A2654" s="127">
        <v>44994</v>
      </c>
      <c r="B2654" s="29" t="s">
        <v>44</v>
      </c>
      <c r="C2654" s="21">
        <f t="shared" si="45"/>
        <v>-95.45</v>
      </c>
      <c r="GY2654" s="42">
        <v>-33</v>
      </c>
      <c r="ID2654" s="42">
        <v>-62.45</v>
      </c>
    </row>
    <row r="2655" spans="1:240" x14ac:dyDescent="0.25">
      <c r="A2655" s="127">
        <v>44995</v>
      </c>
      <c r="B2655" s="24" t="s">
        <v>113</v>
      </c>
      <c r="C2655" s="21">
        <f t="shared" si="45"/>
        <v>2456.7779999999998</v>
      </c>
      <c r="AC2655" s="106">
        <v>230.76</v>
      </c>
      <c r="BU2655" s="106">
        <v>199.58</v>
      </c>
      <c r="CA2655" s="106">
        <v>165.94</v>
      </c>
      <c r="CG2655" s="106">
        <v>506.92</v>
      </c>
      <c r="DE2655" s="74">
        <v>402.86</v>
      </c>
      <c r="DK2655" s="106">
        <v>306.89999999999998</v>
      </c>
      <c r="DU2655" s="106">
        <v>331.76799999999997</v>
      </c>
      <c r="EP2655" s="74">
        <v>312.05</v>
      </c>
    </row>
    <row r="2656" spans="1:240" x14ac:dyDescent="0.25">
      <c r="A2656" s="127">
        <v>44995</v>
      </c>
      <c r="B2656" s="29" t="s">
        <v>88</v>
      </c>
      <c r="C2656" s="21">
        <f t="shared" si="45"/>
        <v>-270.2</v>
      </c>
      <c r="DP2656" s="74">
        <v>-80.430000000000007</v>
      </c>
      <c r="HC2656" s="42">
        <v>-30.51</v>
      </c>
      <c r="HM2656" s="106">
        <v>-33.61</v>
      </c>
      <c r="HS2656" s="38">
        <v>-32.090000000000003</v>
      </c>
      <c r="HW2656" s="42">
        <v>-45.31</v>
      </c>
      <c r="IB2656" s="42">
        <v>-30.7</v>
      </c>
      <c r="IF2656" s="50">
        <v>-17.55</v>
      </c>
    </row>
    <row r="2657" spans="1:217" x14ac:dyDescent="0.25">
      <c r="A2657" s="127">
        <v>44995</v>
      </c>
      <c r="B2657" s="29" t="s">
        <v>31</v>
      </c>
      <c r="C2657" s="21">
        <f t="shared" si="45"/>
        <v>-104.485</v>
      </c>
      <c r="GO2657" s="110">
        <v>-49.21</v>
      </c>
      <c r="HI2657" s="182">
        <v>-55.274999999999999</v>
      </c>
    </row>
    <row r="2658" spans="1:217" x14ac:dyDescent="0.25">
      <c r="A2658" s="127">
        <v>44995</v>
      </c>
      <c r="B2658" s="29" t="s">
        <v>133</v>
      </c>
      <c r="C2658" s="21">
        <f t="shared" si="45"/>
        <v>-66.150000000000006</v>
      </c>
      <c r="AW2658" s="106">
        <v>-33.450000000000003</v>
      </c>
      <c r="BO2658" s="106">
        <v>-32.700000000000003</v>
      </c>
    </row>
    <row r="2659" spans="1:217" x14ac:dyDescent="0.25">
      <c r="A2659" s="127">
        <v>44995</v>
      </c>
      <c r="B2659" s="29" t="s">
        <v>78</v>
      </c>
      <c r="C2659" s="21">
        <f t="shared" si="45"/>
        <v>-134.85</v>
      </c>
      <c r="BO2659" s="106">
        <v>-34.14</v>
      </c>
      <c r="BU2659" s="106">
        <v>-32.72</v>
      </c>
      <c r="CG2659" s="106">
        <v>-35.049999999999997</v>
      </c>
      <c r="CY2659" s="106">
        <v>-32.94</v>
      </c>
    </row>
    <row r="2660" spans="1:217" x14ac:dyDescent="0.25">
      <c r="A2660" s="127">
        <v>44995</v>
      </c>
      <c r="B2660" s="29" t="s">
        <v>127</v>
      </c>
      <c r="C2660" s="21">
        <f t="shared" si="45"/>
        <v>-15.6</v>
      </c>
      <c r="AU2660" s="42">
        <v>-8.5</v>
      </c>
      <c r="BI2660" s="106">
        <v>-7.1</v>
      </c>
    </row>
    <row r="2661" spans="1:217" x14ac:dyDescent="0.25">
      <c r="A2661" s="127">
        <v>44995</v>
      </c>
      <c r="B2661" s="29" t="s">
        <v>25</v>
      </c>
      <c r="C2661" s="21">
        <f t="shared" si="45"/>
        <v>-93.49</v>
      </c>
      <c r="BO2661" s="106">
        <v>-8.75</v>
      </c>
      <c r="BU2661" s="106">
        <v>-8.9</v>
      </c>
      <c r="CA2661" s="106">
        <v>-8.0500000000000007</v>
      </c>
      <c r="CS2661" s="74">
        <v>-67.790000000000006</v>
      </c>
    </row>
    <row r="2662" spans="1:217" x14ac:dyDescent="0.25">
      <c r="A2662" s="127">
        <v>44995</v>
      </c>
      <c r="B2662" s="29" t="s">
        <v>48</v>
      </c>
      <c r="C2662" s="21">
        <f t="shared" si="45"/>
        <v>-259.38</v>
      </c>
      <c r="AC2662" s="106">
        <v>-17.12</v>
      </c>
      <c r="AU2662" s="42">
        <v>41.36</v>
      </c>
      <c r="AW2662" s="106">
        <v>-30.5</v>
      </c>
      <c r="BC2662" s="106">
        <v>-35.25</v>
      </c>
      <c r="BI2662" s="106">
        <v>-9</v>
      </c>
      <c r="BO2662" s="106">
        <v>-127.77</v>
      </c>
      <c r="BU2662" s="106">
        <v>-40.74</v>
      </c>
      <c r="CA2662" s="106">
        <v>-40.36</v>
      </c>
    </row>
    <row r="2663" spans="1:217" x14ac:dyDescent="0.25">
      <c r="A2663" s="127">
        <v>44995</v>
      </c>
      <c r="B2663" s="24" t="s">
        <v>68</v>
      </c>
      <c r="C2663" s="21">
        <f t="shared" si="45"/>
        <v>-67.88</v>
      </c>
      <c r="AR2663" s="106">
        <v>-33.1</v>
      </c>
      <c r="BI2663" s="106">
        <v>-34.78</v>
      </c>
    </row>
    <row r="2664" spans="1:217" x14ac:dyDescent="0.25">
      <c r="A2664" s="127">
        <v>44996</v>
      </c>
      <c r="B2664" s="24" t="s">
        <v>78</v>
      </c>
      <c r="C2664" s="21">
        <f t="shared" si="45"/>
        <v>-67.680000000000007</v>
      </c>
      <c r="DU2664" s="106">
        <v>-67.680000000000007</v>
      </c>
    </row>
    <row r="2665" spans="1:217" x14ac:dyDescent="0.25">
      <c r="A2665" s="127">
        <v>44996</v>
      </c>
      <c r="B2665" s="24" t="s">
        <v>151</v>
      </c>
      <c r="C2665" s="21">
        <f t="shared" si="45"/>
        <v>-41.91</v>
      </c>
      <c r="DU2665" s="106">
        <v>-41.91</v>
      </c>
    </row>
    <row r="2666" spans="1:217" x14ac:dyDescent="0.25">
      <c r="A2666" s="127">
        <v>44998</v>
      </c>
      <c r="B2666" s="24" t="s">
        <v>152</v>
      </c>
      <c r="C2666" s="21">
        <f t="shared" si="45"/>
        <v>-993.95</v>
      </c>
      <c r="V2666" s="74">
        <v>-32.159999999999997</v>
      </c>
      <c r="Z2666" s="79">
        <v>-34.119999999999997</v>
      </c>
      <c r="AC2666" s="106">
        <v>-33.130000000000003</v>
      </c>
      <c r="AR2666" s="106">
        <v>-33.200000000000003</v>
      </c>
      <c r="AW2666" s="106">
        <v>-32.85</v>
      </c>
      <c r="BI2666" s="106">
        <v>-172.41</v>
      </c>
      <c r="BO2666" s="106">
        <v>-129.47999999999999</v>
      </c>
      <c r="BU2666" s="106">
        <v>-131.63999999999999</v>
      </c>
      <c r="CA2666" s="106">
        <v>-100.75</v>
      </c>
      <c r="CG2666" s="106">
        <v>-95.2</v>
      </c>
      <c r="CM2666" s="106">
        <v>-100.05</v>
      </c>
      <c r="DK2666" s="106">
        <v>-34.299999999999997</v>
      </c>
      <c r="EL2666" s="106">
        <v>-64.66</v>
      </c>
    </row>
    <row r="2667" spans="1:217" x14ac:dyDescent="0.25">
      <c r="A2667" s="127">
        <v>44998</v>
      </c>
      <c r="B2667" s="24" t="s">
        <v>14</v>
      </c>
      <c r="C2667" s="21">
        <f t="shared" si="45"/>
        <v>-33.54</v>
      </c>
      <c r="BI2667" s="106">
        <v>-33.54</v>
      </c>
    </row>
    <row r="2668" spans="1:217" x14ac:dyDescent="0.25">
      <c r="A2668" s="127">
        <v>44998</v>
      </c>
      <c r="B2668" s="24" t="s">
        <v>149</v>
      </c>
      <c r="C2668" s="21">
        <f t="shared" si="45"/>
        <v>-9.01</v>
      </c>
      <c r="CA2668" s="106">
        <v>-9.01</v>
      </c>
    </row>
    <row r="2669" spans="1:217" x14ac:dyDescent="0.25">
      <c r="A2669" s="127">
        <v>44998</v>
      </c>
      <c r="B2669" s="24" t="s">
        <v>19</v>
      </c>
      <c r="C2669" s="21">
        <f t="shared" si="45"/>
        <v>0</v>
      </c>
    </row>
    <row r="2670" spans="1:217" x14ac:dyDescent="0.25">
      <c r="A2670" s="127">
        <v>44998</v>
      </c>
      <c r="B2670" s="24" t="s">
        <v>78</v>
      </c>
      <c r="C2670" s="21">
        <f t="shared" si="45"/>
        <v>-17.14</v>
      </c>
      <c r="BO2670" s="106">
        <v>-8.89</v>
      </c>
      <c r="CM2670" s="106">
        <v>-8.25</v>
      </c>
    </row>
    <row r="2671" spans="1:217" x14ac:dyDescent="0.25">
      <c r="A2671" s="127">
        <v>44999</v>
      </c>
      <c r="B2671" s="24" t="s">
        <v>48</v>
      </c>
      <c r="C2671" s="21">
        <f t="shared" si="45"/>
        <v>129.68</v>
      </c>
      <c r="BA2671" s="42">
        <v>35.14</v>
      </c>
      <c r="CK2671" s="42">
        <v>34.03</v>
      </c>
      <c r="CQ2671" s="42">
        <v>34.950000000000003</v>
      </c>
      <c r="CW2671" s="42">
        <v>34.21</v>
      </c>
      <c r="CY2671" s="106">
        <v>-8.65</v>
      </c>
    </row>
    <row r="2672" spans="1:217" x14ac:dyDescent="0.25">
      <c r="A2672" s="127">
        <v>44999</v>
      </c>
      <c r="B2672" s="24" t="s">
        <v>43</v>
      </c>
      <c r="C2672" s="21">
        <f t="shared" si="45"/>
        <v>-900.29</v>
      </c>
      <c r="Z2672" s="79">
        <v>-34.04</v>
      </c>
      <c r="AC2672" s="106">
        <v>-33.19</v>
      </c>
      <c r="AW2672" s="106">
        <v>-64.8</v>
      </c>
      <c r="BC2672" s="106">
        <v>-129.07</v>
      </c>
      <c r="BO2672" s="106">
        <v>-138.63</v>
      </c>
      <c r="BU2672" s="106">
        <v>-167.06</v>
      </c>
      <c r="CG2672" s="106">
        <v>-163.97</v>
      </c>
      <c r="CS2672" s="74">
        <v>-137.97999999999999</v>
      </c>
      <c r="EP2672" s="74">
        <v>-31.55</v>
      </c>
    </row>
    <row r="2673" spans="1:236" x14ac:dyDescent="0.25">
      <c r="A2673" s="127">
        <v>44999</v>
      </c>
      <c r="B2673" s="24" t="s">
        <v>43</v>
      </c>
      <c r="C2673" s="21">
        <f t="shared" ref="C2673:C2736" si="46">SUM(D2673:JT2673)</f>
        <v>-67.44</v>
      </c>
      <c r="EL2673" s="106">
        <v>-67.44</v>
      </c>
    </row>
    <row r="2674" spans="1:236" x14ac:dyDescent="0.25">
      <c r="A2674" s="127">
        <v>44999</v>
      </c>
      <c r="B2674" s="24" t="s">
        <v>75</v>
      </c>
      <c r="C2674" s="21">
        <f t="shared" si="46"/>
        <v>-8.7200000000000006</v>
      </c>
      <c r="BO2674" s="106">
        <v>-8.7200000000000006</v>
      </c>
    </row>
    <row r="2675" spans="1:236" x14ac:dyDescent="0.25">
      <c r="A2675" s="127">
        <v>44999</v>
      </c>
      <c r="B2675" s="24" t="s">
        <v>50</v>
      </c>
      <c r="C2675" s="21">
        <f t="shared" si="46"/>
        <v>-205.48</v>
      </c>
      <c r="DP2675" s="74">
        <v>-66.489999999999995</v>
      </c>
      <c r="IB2675" s="42">
        <v>-138.99</v>
      </c>
    </row>
    <row r="2676" spans="1:236" x14ac:dyDescent="0.25">
      <c r="A2676" s="127">
        <v>44999</v>
      </c>
      <c r="B2676" s="24" t="s">
        <v>152</v>
      </c>
      <c r="C2676" s="21">
        <f t="shared" si="46"/>
        <v>-67.92</v>
      </c>
      <c r="DP2676" s="74">
        <v>-67.92</v>
      </c>
    </row>
    <row r="2677" spans="1:236" x14ac:dyDescent="0.25">
      <c r="A2677" s="127">
        <v>44999</v>
      </c>
      <c r="B2677" s="24" t="s">
        <v>20</v>
      </c>
      <c r="C2677" s="21">
        <f t="shared" si="46"/>
        <v>-16.71</v>
      </c>
      <c r="Z2677" s="79">
        <v>-8.41</v>
      </c>
      <c r="AW2677" s="106">
        <v>-8.3000000000000007</v>
      </c>
    </row>
    <row r="2678" spans="1:236" x14ac:dyDescent="0.25">
      <c r="A2678" s="127">
        <v>44999</v>
      </c>
      <c r="B2678" s="24" t="s">
        <v>139</v>
      </c>
      <c r="C2678" s="21">
        <f t="shared" si="46"/>
        <v>-8.35</v>
      </c>
      <c r="CA2678" s="106">
        <v>-8.35</v>
      </c>
    </row>
    <row r="2679" spans="1:236" x14ac:dyDescent="0.25">
      <c r="A2679" s="127">
        <v>44999</v>
      </c>
      <c r="B2679" s="24" t="s">
        <v>83</v>
      </c>
      <c r="C2679" s="21">
        <f t="shared" si="46"/>
        <v>-15.27</v>
      </c>
      <c r="S2679" s="74">
        <v>-15.27</v>
      </c>
    </row>
    <row r="2680" spans="1:236" x14ac:dyDescent="0.25">
      <c r="A2680" s="127">
        <v>44999</v>
      </c>
      <c r="B2680" s="24" t="s">
        <v>27</v>
      </c>
      <c r="C2680" s="21">
        <f t="shared" si="46"/>
        <v>-9</v>
      </c>
      <c r="BU2680" s="106">
        <v>-9</v>
      </c>
    </row>
    <row r="2681" spans="1:236" x14ac:dyDescent="0.25">
      <c r="A2681" s="127">
        <v>44999</v>
      </c>
      <c r="B2681" s="24" t="s">
        <v>29</v>
      </c>
      <c r="C2681" s="21">
        <f t="shared" si="46"/>
        <v>-17.75</v>
      </c>
      <c r="BI2681" s="106">
        <v>-8.99</v>
      </c>
      <c r="BO2681" s="106">
        <v>-8.76</v>
      </c>
    </row>
    <row r="2682" spans="1:236" x14ac:dyDescent="0.25">
      <c r="A2682" s="127">
        <v>44999</v>
      </c>
      <c r="B2682" s="24" t="s">
        <v>138</v>
      </c>
      <c r="C2682" s="21">
        <f t="shared" si="46"/>
        <v>-92.33</v>
      </c>
      <c r="BA2682" s="42">
        <v>-17.5</v>
      </c>
      <c r="BI2682" s="106">
        <v>-6.73</v>
      </c>
      <c r="BY2682" s="42">
        <v>-16.39</v>
      </c>
      <c r="CK2682" s="42">
        <v>-17.010000000000002</v>
      </c>
      <c r="CQ2682" s="42">
        <v>-17.43</v>
      </c>
      <c r="CW2682" s="42">
        <v>-17.27</v>
      </c>
    </row>
    <row r="2683" spans="1:236" x14ac:dyDescent="0.25">
      <c r="A2683" s="127">
        <v>44999</v>
      </c>
      <c r="B2683" s="24" t="s">
        <v>37</v>
      </c>
      <c r="C2683" s="21">
        <f t="shared" si="46"/>
        <v>-132.9</v>
      </c>
      <c r="HM2683" s="106">
        <v>-67.150000000000006</v>
      </c>
      <c r="HP2683" s="92">
        <v>-65.75</v>
      </c>
    </row>
    <row r="2684" spans="1:236" x14ac:dyDescent="0.25">
      <c r="A2684" s="127">
        <v>45000</v>
      </c>
      <c r="B2684" s="24" t="s">
        <v>113</v>
      </c>
      <c r="C2684" s="21">
        <f t="shared" si="46"/>
        <v>827.4</v>
      </c>
      <c r="BI2684" s="106">
        <v>528.01</v>
      </c>
      <c r="FC2684" s="106">
        <v>299.39</v>
      </c>
    </row>
    <row r="2685" spans="1:236" x14ac:dyDescent="0.25">
      <c r="A2685" s="127">
        <v>45000</v>
      </c>
      <c r="B2685" s="24" t="s">
        <v>17</v>
      </c>
      <c r="C2685" s="21">
        <f t="shared" si="46"/>
        <v>-83.408000000000001</v>
      </c>
      <c r="DU2685" s="106">
        <v>-83.408000000000001</v>
      </c>
    </row>
    <row r="2686" spans="1:236" x14ac:dyDescent="0.25">
      <c r="A2686" s="127">
        <v>45001</v>
      </c>
      <c r="B2686" s="24" t="s">
        <v>133</v>
      </c>
      <c r="C2686" s="21">
        <f t="shared" si="46"/>
        <v>-133.91999999999999</v>
      </c>
      <c r="BC2686" s="106">
        <v>-31.45</v>
      </c>
      <c r="BI2686" s="106">
        <v>-34.32</v>
      </c>
      <c r="BO2686" s="106">
        <v>-34.24</v>
      </c>
      <c r="BU2686" s="106">
        <v>-33.909999999999997</v>
      </c>
    </row>
    <row r="2687" spans="1:236" x14ac:dyDescent="0.25">
      <c r="A2687" s="127">
        <v>45001</v>
      </c>
      <c r="B2687" s="24" t="s">
        <v>32</v>
      </c>
      <c r="C2687" s="21">
        <f t="shared" si="46"/>
        <v>-61.64</v>
      </c>
      <c r="BC2687" s="106">
        <v>-18.04</v>
      </c>
      <c r="BI2687" s="106">
        <v>-18.399999999999999</v>
      </c>
      <c r="CA2687" s="106">
        <v>-16.7</v>
      </c>
      <c r="DE2687" s="74">
        <v>-8.5</v>
      </c>
    </row>
    <row r="2688" spans="1:236" x14ac:dyDescent="0.25">
      <c r="A2688" s="127">
        <v>45001</v>
      </c>
      <c r="B2688" s="24" t="s">
        <v>78</v>
      </c>
      <c r="C2688" s="21">
        <f t="shared" si="46"/>
        <v>-60.21</v>
      </c>
      <c r="AW2688" s="106">
        <v>-8.4</v>
      </c>
      <c r="BC2688" s="106">
        <v>-17.64</v>
      </c>
      <c r="BI2688" s="106">
        <v>-16.95</v>
      </c>
      <c r="BO2688" s="106">
        <v>-8.74</v>
      </c>
      <c r="BU2688" s="106">
        <v>-8.48</v>
      </c>
    </row>
    <row r="2689" spans="1:224" x14ac:dyDescent="0.25">
      <c r="A2689" s="127">
        <v>45001</v>
      </c>
      <c r="B2689" s="24" t="s">
        <v>20</v>
      </c>
      <c r="C2689" s="21">
        <f t="shared" si="46"/>
        <v>-8.6999999999999993</v>
      </c>
      <c r="AG2689" s="106">
        <v>-8.6999999999999993</v>
      </c>
    </row>
    <row r="2690" spans="1:224" x14ac:dyDescent="0.25">
      <c r="A2690" s="127">
        <v>45001</v>
      </c>
      <c r="B2690" s="24" t="s">
        <v>44</v>
      </c>
      <c r="C2690" s="21">
        <f t="shared" si="46"/>
        <v>-158.41</v>
      </c>
      <c r="GQ2690" s="92">
        <v>-158.41</v>
      </c>
    </row>
    <row r="2691" spans="1:224" x14ac:dyDescent="0.25">
      <c r="A2691" s="127">
        <v>45001</v>
      </c>
      <c r="B2691" s="24" t="s">
        <v>115</v>
      </c>
      <c r="C2691" s="21">
        <f t="shared" si="46"/>
        <v>0</v>
      </c>
    </row>
    <row r="2692" spans="1:224" x14ac:dyDescent="0.25">
      <c r="A2692" s="127">
        <v>45002</v>
      </c>
      <c r="B2692" s="24" t="s">
        <v>163</v>
      </c>
      <c r="C2692" s="21">
        <f t="shared" si="46"/>
        <v>254.52500000000001</v>
      </c>
      <c r="BL2692" s="182">
        <v>33.825000000000003</v>
      </c>
      <c r="BR2692" s="182">
        <v>33.86</v>
      </c>
      <c r="BX2692" s="182">
        <v>33.085000000000001</v>
      </c>
      <c r="CJ2692" s="182">
        <v>33.325000000000003</v>
      </c>
      <c r="CP2692" s="182">
        <v>53.94</v>
      </c>
      <c r="CV2692" s="115">
        <v>33.195</v>
      </c>
      <c r="DB2692" s="115">
        <v>33.295000000000002</v>
      </c>
    </row>
    <row r="2693" spans="1:224" x14ac:dyDescent="0.25">
      <c r="A2693" s="127">
        <v>45002</v>
      </c>
      <c r="B2693" s="24" t="s">
        <v>17</v>
      </c>
      <c r="C2693" s="21">
        <f t="shared" si="46"/>
        <v>-49.78</v>
      </c>
      <c r="BO2693" s="106">
        <v>-15.61</v>
      </c>
      <c r="BU2693" s="106">
        <v>-17.100000000000001</v>
      </c>
      <c r="CA2693" s="106">
        <v>-17.07</v>
      </c>
    </row>
    <row r="2694" spans="1:224" x14ac:dyDescent="0.25">
      <c r="A2694" s="127">
        <v>45002</v>
      </c>
      <c r="B2694" s="24" t="s">
        <v>140</v>
      </c>
      <c r="C2694" s="21">
        <f t="shared" si="46"/>
        <v>-32.6</v>
      </c>
      <c r="D2694" s="386">
        <v>-32.6</v>
      </c>
    </row>
    <row r="2695" spans="1:224" x14ac:dyDescent="0.25">
      <c r="A2695" s="127">
        <v>45005</v>
      </c>
      <c r="B2695" s="24" t="s">
        <v>113</v>
      </c>
      <c r="C2695" s="21">
        <f t="shared" si="46"/>
        <v>1831.05</v>
      </c>
      <c r="AR2695" s="106">
        <v>264.64</v>
      </c>
      <c r="AW2695" s="106">
        <v>270.69</v>
      </c>
      <c r="BC2695" s="106">
        <v>518.79999999999995</v>
      </c>
      <c r="BO2695" s="106">
        <v>501.09</v>
      </c>
      <c r="CY2695" s="106">
        <v>275.83</v>
      </c>
    </row>
    <row r="2696" spans="1:224" x14ac:dyDescent="0.25">
      <c r="A2696" s="127">
        <v>45005</v>
      </c>
      <c r="B2696" s="24" t="s">
        <v>37</v>
      </c>
      <c r="C2696" s="21">
        <f t="shared" si="46"/>
        <v>-128.66999999999999</v>
      </c>
      <c r="HM2696" s="106">
        <v>-66.52</v>
      </c>
      <c r="HP2696" s="92">
        <v>-62.15</v>
      </c>
    </row>
    <row r="2697" spans="1:224" x14ac:dyDescent="0.25">
      <c r="A2697" s="127">
        <v>45005</v>
      </c>
      <c r="B2697" s="24" t="s">
        <v>37</v>
      </c>
      <c r="C2697" s="21">
        <f t="shared" si="46"/>
        <v>-70.3</v>
      </c>
      <c r="HF2697" s="92">
        <v>-70.3</v>
      </c>
    </row>
    <row r="2698" spans="1:224" x14ac:dyDescent="0.25">
      <c r="A2698" s="127">
        <v>45005</v>
      </c>
      <c r="B2698" s="24" t="s">
        <v>57</v>
      </c>
      <c r="C2698" s="21">
        <f t="shared" si="46"/>
        <v>-16.53</v>
      </c>
      <c r="DE2698" s="74">
        <v>-16.53</v>
      </c>
    </row>
    <row r="2699" spans="1:224" x14ac:dyDescent="0.25">
      <c r="A2699" s="127">
        <v>45005</v>
      </c>
      <c r="B2699" s="24" t="s">
        <v>65</v>
      </c>
      <c r="C2699" s="21">
        <f t="shared" si="46"/>
        <v>-33.96</v>
      </c>
      <c r="AN2699" s="106">
        <v>-16.89</v>
      </c>
      <c r="AW2699" s="106">
        <v>-17.07</v>
      </c>
    </row>
    <row r="2700" spans="1:224" x14ac:dyDescent="0.25">
      <c r="A2700" s="127">
        <v>45005</v>
      </c>
      <c r="B2700" s="24" t="s">
        <v>127</v>
      </c>
      <c r="C2700" s="21">
        <f t="shared" si="46"/>
        <v>-25.725000000000001</v>
      </c>
      <c r="AU2700" s="42">
        <v>-8.52</v>
      </c>
      <c r="BA2700" s="42">
        <v>-8.91</v>
      </c>
      <c r="BX2700" s="182">
        <v>-8.2949999999999999</v>
      </c>
    </row>
    <row r="2701" spans="1:224" x14ac:dyDescent="0.25">
      <c r="A2701" s="127">
        <v>45005</v>
      </c>
      <c r="B2701" s="24" t="s">
        <v>111</v>
      </c>
      <c r="C2701" s="21">
        <f t="shared" si="46"/>
        <v>-218.66</v>
      </c>
      <c r="AW2701" s="106">
        <v>-16.850000000000001</v>
      </c>
      <c r="BC2701" s="106">
        <v>-17.16</v>
      </c>
      <c r="BI2701" s="106">
        <v>-17</v>
      </c>
      <c r="BO2701" s="106">
        <v>-16</v>
      </c>
      <c r="BU2701" s="106">
        <v>-15.87</v>
      </c>
      <c r="CA2701" s="106">
        <v>-17.329999999999998</v>
      </c>
      <c r="CG2701" s="106">
        <v>-15.95</v>
      </c>
      <c r="CM2701" s="106">
        <v>-16.45</v>
      </c>
      <c r="CS2701" s="74">
        <v>-34.57</v>
      </c>
      <c r="CY2701" s="106">
        <v>-17.309999999999999</v>
      </c>
      <c r="DE2701" s="74">
        <v>-17.12</v>
      </c>
      <c r="DK2701" s="106">
        <v>-17.05</v>
      </c>
    </row>
    <row r="2702" spans="1:224" x14ac:dyDescent="0.25">
      <c r="A2702" s="127">
        <v>45006</v>
      </c>
      <c r="B2702" s="24" t="s">
        <v>43</v>
      </c>
      <c r="C2702" s="21">
        <f t="shared" si="46"/>
        <v>-543.37</v>
      </c>
      <c r="AC2702" s="106">
        <v>-33.090000000000003</v>
      </c>
      <c r="AG2702" s="106">
        <v>-34.75</v>
      </c>
      <c r="AN2702" s="106">
        <v>-34.590000000000003</v>
      </c>
      <c r="AR2702" s="106">
        <v>-33.479999999999997</v>
      </c>
      <c r="AW2702" s="106">
        <v>-34.049999999999997</v>
      </c>
      <c r="BC2702" s="106">
        <v>-35.409999999999997</v>
      </c>
      <c r="BI2702" s="106">
        <v>-100.96</v>
      </c>
      <c r="BO2702" s="106">
        <v>-103.46</v>
      </c>
      <c r="BU2702" s="106">
        <v>-33.65</v>
      </c>
      <c r="DE2702" s="74">
        <v>-32.46</v>
      </c>
      <c r="DK2702" s="106">
        <v>-32.9</v>
      </c>
      <c r="DP2702" s="74">
        <v>-34.57</v>
      </c>
    </row>
    <row r="2703" spans="1:224" x14ac:dyDescent="0.25">
      <c r="A2703" s="127">
        <v>45006</v>
      </c>
      <c r="B2703" s="24" t="s">
        <v>133</v>
      </c>
      <c r="C2703" s="21">
        <f t="shared" si="46"/>
        <v>-134.29</v>
      </c>
      <c r="AN2703" s="106">
        <v>-34.64</v>
      </c>
      <c r="CA2703" s="106">
        <v>-33.44</v>
      </c>
      <c r="DE2703" s="74">
        <v>-34.81</v>
      </c>
      <c r="DK2703" s="106">
        <v>-31.4</v>
      </c>
    </row>
    <row r="2704" spans="1:224" x14ac:dyDescent="0.25">
      <c r="A2704" s="127">
        <v>45006</v>
      </c>
      <c r="B2704" s="24" t="s">
        <v>78</v>
      </c>
      <c r="C2704" s="21">
        <f t="shared" si="46"/>
        <v>-67.5</v>
      </c>
      <c r="AC2704" s="106">
        <v>-17.079999999999998</v>
      </c>
      <c r="CM2704" s="106">
        <v>-33.1</v>
      </c>
      <c r="CY2704" s="106">
        <v>-17.32</v>
      </c>
    </row>
    <row r="2705" spans="1:241" x14ac:dyDescent="0.25">
      <c r="A2705" s="127">
        <v>45006</v>
      </c>
      <c r="B2705" s="24" t="s">
        <v>149</v>
      </c>
      <c r="C2705" s="21">
        <f t="shared" si="46"/>
        <v>-17.39</v>
      </c>
      <c r="BC2705" s="106">
        <v>-8.9499999999999993</v>
      </c>
      <c r="BU2705" s="106">
        <v>-8.44</v>
      </c>
    </row>
    <row r="2706" spans="1:241" x14ac:dyDescent="0.25">
      <c r="A2706" s="127">
        <v>45006</v>
      </c>
      <c r="B2706" s="24" t="s">
        <v>20</v>
      </c>
      <c r="C2706" s="21">
        <f t="shared" si="46"/>
        <v>-40.29</v>
      </c>
      <c r="AN2706" s="106">
        <v>-8.67</v>
      </c>
      <c r="CA2706" s="106">
        <v>-8.1</v>
      </c>
      <c r="CG2706" s="106">
        <v>-8.75</v>
      </c>
      <c r="GY2706" s="42">
        <v>-14.77</v>
      </c>
    </row>
    <row r="2707" spans="1:241" x14ac:dyDescent="0.25">
      <c r="A2707" s="127">
        <v>45006</v>
      </c>
      <c r="B2707" s="24" t="s">
        <v>138</v>
      </c>
      <c r="C2707" s="21">
        <f t="shared" si="46"/>
        <v>-16.75</v>
      </c>
      <c r="BR2707" s="182">
        <v>-8.48</v>
      </c>
      <c r="BX2707" s="182">
        <v>-8.27</v>
      </c>
    </row>
    <row r="2708" spans="1:241" x14ac:dyDescent="0.25">
      <c r="A2708" s="127">
        <v>45006</v>
      </c>
      <c r="B2708" s="24" t="s">
        <v>75</v>
      </c>
      <c r="C2708" s="21">
        <f t="shared" si="46"/>
        <v>-34.130000000000003</v>
      </c>
      <c r="BC2708" s="106">
        <v>-9.85</v>
      </c>
      <c r="BU2708" s="106">
        <v>-7.34</v>
      </c>
      <c r="CG2708" s="106">
        <v>-8.69</v>
      </c>
      <c r="CM2708" s="106">
        <v>-8.25</v>
      </c>
    </row>
    <row r="2709" spans="1:241" x14ac:dyDescent="0.25">
      <c r="A2709" s="127">
        <v>45006</v>
      </c>
      <c r="B2709" s="24" t="s">
        <v>79</v>
      </c>
      <c r="C2709" s="21">
        <f t="shared" si="46"/>
        <v>-16.920000000000002</v>
      </c>
      <c r="AC2709" s="106">
        <v>-8.33</v>
      </c>
      <c r="BU2709" s="106">
        <v>-8.59</v>
      </c>
    </row>
    <row r="2710" spans="1:241" x14ac:dyDescent="0.25">
      <c r="A2710" s="127">
        <v>45006</v>
      </c>
      <c r="B2710" s="24" t="s">
        <v>167</v>
      </c>
      <c r="C2710" s="21">
        <f t="shared" si="46"/>
        <v>-15.3</v>
      </c>
      <c r="D2710" s="386">
        <v>-8.26</v>
      </c>
      <c r="E2710" s="386">
        <v>-7.04</v>
      </c>
    </row>
    <row r="2711" spans="1:241" x14ac:dyDescent="0.25">
      <c r="A2711" s="127">
        <v>44979</v>
      </c>
      <c r="B2711" s="24" t="s">
        <v>57</v>
      </c>
      <c r="C2711" s="21">
        <f t="shared" si="46"/>
        <v>-8.68</v>
      </c>
      <c r="DE2711" s="74">
        <v>-8.68</v>
      </c>
    </row>
    <row r="2712" spans="1:241" x14ac:dyDescent="0.25">
      <c r="A2712" s="127">
        <v>44979</v>
      </c>
      <c r="B2712" s="24" t="s">
        <v>152</v>
      </c>
      <c r="C2712" s="21">
        <f t="shared" si="46"/>
        <v>-399.45</v>
      </c>
      <c r="AG2712" s="106">
        <v>-34.700000000000003</v>
      </c>
      <c r="AW2712" s="106">
        <v>-33.950000000000003</v>
      </c>
      <c r="BC2712" s="106">
        <v>-104.05</v>
      </c>
      <c r="DU2712" s="106">
        <v>-97.43</v>
      </c>
      <c r="EA2712" s="74">
        <v>-129.32</v>
      </c>
    </row>
    <row r="2713" spans="1:241" x14ac:dyDescent="0.25">
      <c r="A2713" s="127">
        <v>44979</v>
      </c>
      <c r="B2713" s="24" t="s">
        <v>43</v>
      </c>
      <c r="C2713" s="21">
        <f t="shared" si="46"/>
        <v>-101.25</v>
      </c>
      <c r="BI2713" s="106">
        <v>-101.25</v>
      </c>
    </row>
    <row r="2714" spans="1:241" x14ac:dyDescent="0.25">
      <c r="A2714" s="127">
        <v>44979</v>
      </c>
      <c r="B2714" s="24" t="s">
        <v>32</v>
      </c>
      <c r="C2714" s="21">
        <f t="shared" si="46"/>
        <v>-119.51</v>
      </c>
      <c r="AW2714" s="106">
        <v>-17.13</v>
      </c>
      <c r="BC2714" s="106">
        <v>-17.98</v>
      </c>
      <c r="BO2714" s="106">
        <v>-35.14</v>
      </c>
      <c r="CA2714" s="106">
        <v>-32.42</v>
      </c>
      <c r="CG2714" s="106">
        <v>-16.84</v>
      </c>
    </row>
    <row r="2715" spans="1:241" x14ac:dyDescent="0.25">
      <c r="A2715" s="127">
        <v>44979</v>
      </c>
      <c r="B2715" s="24" t="s">
        <v>111</v>
      </c>
      <c r="C2715" s="21">
        <f t="shared" si="46"/>
        <v>-6.65</v>
      </c>
      <c r="AN2715" s="106">
        <v>-6.65</v>
      </c>
    </row>
    <row r="2716" spans="1:241" x14ac:dyDescent="0.25">
      <c r="A2716" s="127">
        <v>44979</v>
      </c>
      <c r="B2716" s="24" t="s">
        <v>48</v>
      </c>
      <c r="C2716" s="21">
        <f t="shared" si="46"/>
        <v>63.01</v>
      </c>
      <c r="BG2716" s="42">
        <v>34.799999999999997</v>
      </c>
      <c r="BM2716" s="88">
        <v>28.21</v>
      </c>
    </row>
    <row r="2717" spans="1:241" x14ac:dyDescent="0.25">
      <c r="A2717" s="127">
        <v>45008</v>
      </c>
      <c r="B2717" s="24" t="s">
        <v>17</v>
      </c>
      <c r="C2717" s="21">
        <f t="shared" si="46"/>
        <v>-97.73</v>
      </c>
      <c r="CS2717" s="74">
        <v>-17.170000000000002</v>
      </c>
      <c r="CY2717" s="106">
        <v>-15.8</v>
      </c>
      <c r="DE2717" s="74">
        <v>-17.100000000000001</v>
      </c>
      <c r="DK2717" s="106">
        <v>-23.5</v>
      </c>
      <c r="DP2717" s="74">
        <v>-24.16</v>
      </c>
    </row>
    <row r="2718" spans="1:241" x14ac:dyDescent="0.25">
      <c r="A2718" s="127">
        <v>45008</v>
      </c>
      <c r="B2718" s="24" t="s">
        <v>17</v>
      </c>
      <c r="C2718" s="21">
        <f t="shared" si="46"/>
        <v>-32.49</v>
      </c>
      <c r="BI2718" s="106">
        <v>-8.5</v>
      </c>
      <c r="BO2718" s="106">
        <v>-8.0500000000000007</v>
      </c>
      <c r="BX2718" s="182">
        <v>-8.2799999999999994</v>
      </c>
      <c r="CG2718" s="106">
        <v>-7.66</v>
      </c>
    </row>
    <row r="2719" spans="1:241" x14ac:dyDescent="0.25">
      <c r="A2719" s="127">
        <v>45009</v>
      </c>
      <c r="B2719" s="24" t="s">
        <v>31</v>
      </c>
      <c r="C2719" s="21">
        <f t="shared" si="46"/>
        <v>-603.49</v>
      </c>
      <c r="GY2719" s="42">
        <v>-245.7</v>
      </c>
      <c r="IG2719" s="38">
        <v>-357.79</v>
      </c>
    </row>
    <row r="2720" spans="1:241" x14ac:dyDescent="0.25">
      <c r="A2720" s="127">
        <v>45009</v>
      </c>
      <c r="B2720" s="24" t="s">
        <v>75</v>
      </c>
      <c r="C2720" s="21">
        <f t="shared" si="46"/>
        <v>-133.36000000000001</v>
      </c>
      <c r="DP2720" s="74">
        <v>-32.54</v>
      </c>
      <c r="DU2720" s="106">
        <v>-50.78</v>
      </c>
      <c r="EA2720" s="74">
        <v>-50.04</v>
      </c>
    </row>
    <row r="2721" spans="1:238" x14ac:dyDescent="0.25">
      <c r="A2721" s="127">
        <v>45009</v>
      </c>
      <c r="B2721" s="24" t="s">
        <v>27</v>
      </c>
      <c r="C2721" s="21">
        <f t="shared" si="46"/>
        <v>-24.3</v>
      </c>
      <c r="AN2721" s="106">
        <v>-7.25</v>
      </c>
      <c r="AR2721" s="106">
        <v>-8.25</v>
      </c>
      <c r="AW2721" s="106">
        <v>-8.8000000000000007</v>
      </c>
    </row>
    <row r="2722" spans="1:238" x14ac:dyDescent="0.25">
      <c r="A2722" s="127">
        <v>45009</v>
      </c>
      <c r="B2722" s="24" t="s">
        <v>127</v>
      </c>
      <c r="C2722" s="21">
        <f t="shared" si="46"/>
        <v>-17.34</v>
      </c>
      <c r="BG2722" s="42">
        <v>-17.34</v>
      </c>
    </row>
    <row r="2723" spans="1:238" x14ac:dyDescent="0.25">
      <c r="A2723" s="127">
        <v>45009</v>
      </c>
      <c r="B2723" s="24" t="s">
        <v>151</v>
      </c>
      <c r="C2723" s="21">
        <f t="shared" si="46"/>
        <v>-16.25</v>
      </c>
      <c r="CG2723" s="106">
        <v>-16.25</v>
      </c>
    </row>
    <row r="2724" spans="1:238" x14ac:dyDescent="0.25">
      <c r="A2724" s="127">
        <v>45012</v>
      </c>
      <c r="B2724" s="24" t="s">
        <v>32</v>
      </c>
      <c r="C2724" s="21">
        <f t="shared" si="46"/>
        <v>-29.44</v>
      </c>
      <c r="EA2724" s="74">
        <v>-29.44</v>
      </c>
    </row>
    <row r="2725" spans="1:238" x14ac:dyDescent="0.25">
      <c r="A2725" s="127">
        <v>45012</v>
      </c>
      <c r="B2725" s="24" t="s">
        <v>133</v>
      </c>
      <c r="C2725" s="21">
        <f t="shared" si="46"/>
        <v>-68.47</v>
      </c>
      <c r="BI2725" s="106">
        <v>-35.880000000000003</v>
      </c>
      <c r="CA2725" s="106">
        <v>-32.590000000000003</v>
      </c>
    </row>
    <row r="2726" spans="1:238" x14ac:dyDescent="0.25">
      <c r="A2726" s="127">
        <v>45012</v>
      </c>
      <c r="B2726" s="24" t="s">
        <v>17</v>
      </c>
      <c r="C2726" s="21">
        <f t="shared" si="46"/>
        <v>-74.5</v>
      </c>
      <c r="CA2726" s="106">
        <v>-8.6199999999999992</v>
      </c>
      <c r="DU2726" s="106">
        <v>-65.88</v>
      </c>
    </row>
    <row r="2727" spans="1:238" x14ac:dyDescent="0.25">
      <c r="A2727" s="127">
        <v>45012</v>
      </c>
      <c r="B2727" s="24" t="s">
        <v>43</v>
      </c>
      <c r="C2727" s="21">
        <f t="shared" si="46"/>
        <v>-100</v>
      </c>
      <c r="CG2727" s="106">
        <v>-32.700000000000003</v>
      </c>
      <c r="CM2727" s="106">
        <v>-67.3</v>
      </c>
    </row>
    <row r="2728" spans="1:238" x14ac:dyDescent="0.25">
      <c r="A2728" s="127">
        <v>45012</v>
      </c>
      <c r="B2728" s="24" t="s">
        <v>44</v>
      </c>
      <c r="C2728" s="21">
        <f t="shared" si="46"/>
        <v>-214.35</v>
      </c>
      <c r="BO2728" s="106">
        <v>-7.98</v>
      </c>
      <c r="GQ2728" s="92">
        <v>-109.2</v>
      </c>
      <c r="GW2728" s="92">
        <v>-8.36</v>
      </c>
      <c r="GY2728" s="42">
        <v>-32.799999999999997</v>
      </c>
      <c r="HR2728" s="92">
        <v>-8.32</v>
      </c>
      <c r="HW2728" s="42">
        <v>-8.44</v>
      </c>
      <c r="ID2728" s="42">
        <v>-39.25</v>
      </c>
    </row>
    <row r="2729" spans="1:238" x14ac:dyDescent="0.25">
      <c r="A2729" s="127">
        <v>45013</v>
      </c>
      <c r="B2729" s="24" t="s">
        <v>79</v>
      </c>
      <c r="C2729" s="21">
        <f t="shared" si="46"/>
        <v>-8.25</v>
      </c>
      <c r="CM2729" s="106">
        <v>-8.25</v>
      </c>
    </row>
    <row r="2730" spans="1:238" x14ac:dyDescent="0.25">
      <c r="A2730" s="127">
        <v>45013</v>
      </c>
      <c r="B2730" s="24" t="s">
        <v>50</v>
      </c>
      <c r="C2730" s="21">
        <f t="shared" si="46"/>
        <v>-256.76</v>
      </c>
      <c r="EZ2730" s="92">
        <v>-92.25</v>
      </c>
      <c r="FC2730" s="106">
        <v>-64.459999999999994</v>
      </c>
      <c r="HM2730" s="106">
        <v>-100.05</v>
      </c>
    </row>
    <row r="2731" spans="1:238" x14ac:dyDescent="0.25">
      <c r="A2731" s="127">
        <v>45013</v>
      </c>
      <c r="B2731" s="24" t="s">
        <v>20</v>
      </c>
      <c r="C2731" s="21">
        <f t="shared" si="46"/>
        <v>-74.41</v>
      </c>
      <c r="AR2731" s="106">
        <v>-8.25</v>
      </c>
      <c r="BC2731" s="106">
        <v>-7.91</v>
      </c>
      <c r="BI2731" s="106">
        <v>-9.08</v>
      </c>
      <c r="BO2731" s="106">
        <v>-8</v>
      </c>
      <c r="BX2731" s="182">
        <v>-8.24</v>
      </c>
      <c r="CA2731" s="106">
        <v>-8.6999999999999993</v>
      </c>
      <c r="GY2731" s="42">
        <v>-24.23</v>
      </c>
    </row>
    <row r="2732" spans="1:238" x14ac:dyDescent="0.25">
      <c r="A2732" s="127">
        <v>45013</v>
      </c>
      <c r="B2732" s="24" t="s">
        <v>17</v>
      </c>
      <c r="C2732" s="21">
        <f t="shared" si="46"/>
        <v>-419.47</v>
      </c>
      <c r="AR2732" s="106">
        <v>-8.3000000000000007</v>
      </c>
      <c r="AW2732" s="106">
        <v>-14.25</v>
      </c>
      <c r="BC2732" s="106">
        <v>-26.95</v>
      </c>
      <c r="BI2732" s="106">
        <v>-25.15</v>
      </c>
      <c r="BO2732" s="106">
        <v>-34.04</v>
      </c>
      <c r="CA2732" s="106">
        <v>-64.790000000000006</v>
      </c>
      <c r="CG2732" s="106">
        <v>-49.83</v>
      </c>
      <c r="CM2732" s="106">
        <v>-41.25</v>
      </c>
      <c r="CS2732" s="74">
        <v>-34.72</v>
      </c>
      <c r="CY2732" s="106">
        <v>-51.81</v>
      </c>
      <c r="DP2732" s="74">
        <v>-17.37</v>
      </c>
      <c r="EA2732" s="74">
        <v>-8.0500000000000007</v>
      </c>
      <c r="EG2732" s="74">
        <v>-17.46</v>
      </c>
      <c r="EL2732" s="106">
        <v>-25.5</v>
      </c>
    </row>
    <row r="2733" spans="1:238" x14ac:dyDescent="0.25">
      <c r="A2733" s="127">
        <v>45013</v>
      </c>
      <c r="B2733" s="24" t="s">
        <v>139</v>
      </c>
      <c r="C2733" s="21">
        <f t="shared" si="46"/>
        <v>-28.31</v>
      </c>
      <c r="BU2733" s="106">
        <v>-4.3600000000000003</v>
      </c>
      <c r="CA2733" s="106">
        <v>-8.66</v>
      </c>
      <c r="CM2733" s="106">
        <v>-6.65</v>
      </c>
      <c r="CS2733" s="74">
        <v>-8.64</v>
      </c>
    </row>
    <row r="2734" spans="1:238" x14ac:dyDescent="0.25">
      <c r="A2734" s="127">
        <v>45013</v>
      </c>
      <c r="B2734" s="24" t="s">
        <v>48</v>
      </c>
      <c r="C2734" s="21">
        <f t="shared" si="46"/>
        <v>-34.979999999999997</v>
      </c>
      <c r="DP2734" s="74">
        <v>-34.979999999999997</v>
      </c>
    </row>
    <row r="2735" spans="1:238" x14ac:dyDescent="0.25">
      <c r="A2735" s="127">
        <v>45014</v>
      </c>
      <c r="B2735" s="24" t="s">
        <v>78</v>
      </c>
      <c r="C2735" s="21">
        <f t="shared" si="46"/>
        <v>-75.819999999999993</v>
      </c>
      <c r="BC2735" s="106">
        <v>-8.01</v>
      </c>
      <c r="BI2735" s="106">
        <v>-9.0500000000000007</v>
      </c>
      <c r="BO2735" s="106">
        <v>-42.01</v>
      </c>
      <c r="CG2735" s="106">
        <v>-16.75</v>
      </c>
    </row>
    <row r="2736" spans="1:238" x14ac:dyDescent="0.25">
      <c r="A2736" s="127">
        <v>45014</v>
      </c>
      <c r="B2736" s="24" t="s">
        <v>152</v>
      </c>
      <c r="C2736" s="21">
        <f t="shared" si="46"/>
        <v>-462.52</v>
      </c>
      <c r="CG2736" s="106">
        <v>-66.430000000000007</v>
      </c>
      <c r="DS2736" s="42">
        <v>-34.11</v>
      </c>
      <c r="DU2736" s="106">
        <v>-34.020000000000003</v>
      </c>
      <c r="EA2736" s="74">
        <v>-327.96</v>
      </c>
    </row>
    <row r="2737" spans="1:228" x14ac:dyDescent="0.25">
      <c r="A2737" s="127">
        <v>45014</v>
      </c>
      <c r="B2737" s="24" t="s">
        <v>17</v>
      </c>
      <c r="C2737" s="21">
        <f t="shared" ref="C2737:C2800" si="47">SUM(D2737:JT2737)</f>
        <v>-17.920000000000002</v>
      </c>
      <c r="BI2737" s="106">
        <v>-9.06</v>
      </c>
      <c r="BO2737" s="106">
        <v>-8.86</v>
      </c>
    </row>
    <row r="2738" spans="1:228" x14ac:dyDescent="0.25">
      <c r="A2738" s="127">
        <v>45014</v>
      </c>
      <c r="B2738" s="24" t="s">
        <v>48</v>
      </c>
      <c r="C2738" s="21">
        <f t="shared" si="47"/>
        <v>68.87</v>
      </c>
      <c r="DS2738" s="42">
        <f>34.76+34.11</f>
        <v>68.87</v>
      </c>
    </row>
    <row r="2739" spans="1:228" x14ac:dyDescent="0.25">
      <c r="A2739" s="127">
        <v>45014</v>
      </c>
      <c r="B2739" s="24" t="s">
        <v>37</v>
      </c>
      <c r="C2739" s="21">
        <f t="shared" si="47"/>
        <v>-196.36</v>
      </c>
      <c r="HF2739" s="92">
        <v>-35.409999999999997</v>
      </c>
      <c r="HP2739" s="92">
        <v>-99</v>
      </c>
      <c r="HT2739" s="84">
        <v>-61.95</v>
      </c>
    </row>
    <row r="2740" spans="1:228" x14ac:dyDescent="0.25">
      <c r="A2740" s="127">
        <v>45015</v>
      </c>
      <c r="B2740" s="24" t="s">
        <v>113</v>
      </c>
      <c r="C2740" s="21">
        <f t="shared" si="47"/>
        <v>1148.3599999999999</v>
      </c>
      <c r="BU2740" s="106">
        <v>498.88</v>
      </c>
      <c r="CG2740" s="106">
        <v>311.10000000000002</v>
      </c>
      <c r="DU2740" s="106">
        <v>338.38</v>
      </c>
    </row>
    <row r="2741" spans="1:228" x14ac:dyDescent="0.25">
      <c r="A2741" s="127">
        <v>45015</v>
      </c>
      <c r="B2741" s="24" t="s">
        <v>17</v>
      </c>
      <c r="C2741" s="21">
        <f t="shared" si="47"/>
        <v>-229.49</v>
      </c>
      <c r="AC2741" s="106">
        <v>-16.59</v>
      </c>
      <c r="AG2741" s="106">
        <v>-17.350000000000001</v>
      </c>
      <c r="AN2741" s="106">
        <v>-7.25</v>
      </c>
      <c r="AR2741" s="106">
        <v>-8.3800000000000008</v>
      </c>
      <c r="AW2741" s="106">
        <v>-8.85</v>
      </c>
      <c r="BC2741" s="106">
        <v>-7.18</v>
      </c>
      <c r="BI2741" s="106">
        <v>-33.76</v>
      </c>
      <c r="BO2741" s="106">
        <v>-31.15</v>
      </c>
      <c r="BU2741" s="106">
        <v>-33.450000000000003</v>
      </c>
      <c r="CA2741" s="106">
        <v>-22.95</v>
      </c>
      <c r="CG2741" s="106">
        <v>-17.25</v>
      </c>
      <c r="CM2741" s="106">
        <v>-16.600000000000001</v>
      </c>
      <c r="CS2741" s="74">
        <v>-8.73</v>
      </c>
    </row>
    <row r="2742" spans="1:228" x14ac:dyDescent="0.25">
      <c r="A2742" s="127">
        <v>45015</v>
      </c>
      <c r="B2742" s="24" t="s">
        <v>95</v>
      </c>
      <c r="C2742" s="21">
        <f t="shared" si="47"/>
        <v>-371.89</v>
      </c>
      <c r="BO2742" s="106">
        <v>-202.04</v>
      </c>
      <c r="CG2742" s="106">
        <v>-103.95</v>
      </c>
      <c r="CM2742" s="106">
        <v>-65.900000000000006</v>
      </c>
    </row>
    <row r="2743" spans="1:228" x14ac:dyDescent="0.25">
      <c r="A2743" s="127">
        <v>45015</v>
      </c>
      <c r="B2743" s="24" t="s">
        <v>59</v>
      </c>
      <c r="C2743" s="21">
        <f t="shared" si="47"/>
        <v>-5.43</v>
      </c>
      <c r="CG2743" s="106">
        <v>-5.43</v>
      </c>
    </row>
    <row r="2744" spans="1:228" x14ac:dyDescent="0.25">
      <c r="A2744" s="127">
        <v>45015</v>
      </c>
      <c r="B2744" s="24" t="s">
        <v>83</v>
      </c>
      <c r="C2744" s="21">
        <f t="shared" si="47"/>
        <v>-17.28</v>
      </c>
      <c r="HF2744" s="92">
        <v>-17.28</v>
      </c>
    </row>
    <row r="2745" spans="1:228" x14ac:dyDescent="0.25">
      <c r="A2745" s="127">
        <v>45015</v>
      </c>
      <c r="B2745" s="24" t="s">
        <v>152</v>
      </c>
      <c r="C2745" s="21">
        <f t="shared" si="47"/>
        <v>-674.03</v>
      </c>
      <c r="AR2745" s="106">
        <v>-33.090000000000003</v>
      </c>
      <c r="AW2745" s="106">
        <v>-32.68</v>
      </c>
      <c r="BC2745" s="106">
        <v>-33.53</v>
      </c>
      <c r="BI2745" s="106">
        <v>-66.41</v>
      </c>
      <c r="BO2745" s="106">
        <v>-67.94</v>
      </c>
      <c r="BU2745" s="106">
        <v>-65.099999999999994</v>
      </c>
      <c r="CA2745" s="106">
        <v>-102.63</v>
      </c>
      <c r="CG2745" s="106">
        <v>-34.549999999999997</v>
      </c>
      <c r="CS2745" s="74">
        <v>-33.869999999999997</v>
      </c>
      <c r="CY2745" s="106">
        <v>-35.159999999999997</v>
      </c>
      <c r="DE2745" s="74">
        <v>-32.74</v>
      </c>
      <c r="DU2745" s="106">
        <v>-68.3</v>
      </c>
      <c r="EA2745" s="74">
        <v>-68.03</v>
      </c>
    </row>
    <row r="2746" spans="1:228" x14ac:dyDescent="0.25">
      <c r="A2746" s="127">
        <v>45016</v>
      </c>
      <c r="B2746" s="24" t="s">
        <v>37</v>
      </c>
      <c r="C2746" s="21">
        <f t="shared" si="47"/>
        <v>-222.57</v>
      </c>
      <c r="HM2746" s="106">
        <v>-100</v>
      </c>
      <c r="HP2746" s="92">
        <v>-23</v>
      </c>
      <c r="HR2746" s="92">
        <v>-99.57</v>
      </c>
    </row>
    <row r="2747" spans="1:228" x14ac:dyDescent="0.25">
      <c r="A2747" s="127">
        <v>45016</v>
      </c>
      <c r="B2747" s="24" t="s">
        <v>48</v>
      </c>
      <c r="C2747" s="21">
        <f t="shared" si="47"/>
        <v>-160.13</v>
      </c>
      <c r="AW2747" s="106">
        <v>-8.8000000000000007</v>
      </c>
      <c r="BI2747" s="106">
        <v>-17.690000000000001</v>
      </c>
      <c r="BO2747" s="106">
        <v>-33.950000000000003</v>
      </c>
      <c r="BU2747" s="106">
        <v>-31.33</v>
      </c>
      <c r="CA2747" s="106">
        <v>-17.73</v>
      </c>
      <c r="CG2747" s="106">
        <v>-16.600000000000001</v>
      </c>
      <c r="CS2747" s="74">
        <v>-34.03</v>
      </c>
    </row>
    <row r="2748" spans="1:228" x14ac:dyDescent="0.25">
      <c r="A2748" s="127">
        <v>45016</v>
      </c>
      <c r="B2748" s="24" t="s">
        <v>133</v>
      </c>
      <c r="C2748" s="21">
        <f t="shared" si="47"/>
        <v>-171.51</v>
      </c>
      <c r="AW2748" s="106">
        <v>-34.54</v>
      </c>
      <c r="BI2748" s="106">
        <v>-34.74</v>
      </c>
      <c r="BO2748" s="106">
        <v>-34.01</v>
      </c>
      <c r="CM2748" s="106">
        <v>-34</v>
      </c>
      <c r="CS2748" s="74">
        <v>-34.22</v>
      </c>
    </row>
    <row r="2749" spans="1:228" x14ac:dyDescent="0.25">
      <c r="A2749" s="127">
        <v>45016</v>
      </c>
      <c r="B2749" s="24" t="s">
        <v>167</v>
      </c>
      <c r="C2749" s="21">
        <f t="shared" si="47"/>
        <v>-8.74</v>
      </c>
      <c r="D2749" s="386">
        <v>-8.74</v>
      </c>
    </row>
    <row r="2750" spans="1:228" x14ac:dyDescent="0.25">
      <c r="A2750" s="127">
        <v>45016</v>
      </c>
      <c r="B2750" s="24" t="s">
        <v>78</v>
      </c>
      <c r="C2750" s="21">
        <f t="shared" si="47"/>
        <v>-76.150000000000006</v>
      </c>
      <c r="CY2750" s="106">
        <v>-8.61</v>
      </c>
      <c r="DE2750" s="74">
        <v>-50.57</v>
      </c>
      <c r="DP2750" s="74">
        <v>-16.97</v>
      </c>
    </row>
    <row r="2751" spans="1:228" x14ac:dyDescent="0.25">
      <c r="A2751" s="127">
        <v>45016</v>
      </c>
      <c r="B2751" s="24" t="s">
        <v>17</v>
      </c>
      <c r="C2751" s="21">
        <f t="shared" si="47"/>
        <v>0</v>
      </c>
    </row>
    <row r="2752" spans="1:228" x14ac:dyDescent="0.25">
      <c r="A2752" s="127">
        <v>45016</v>
      </c>
      <c r="B2752" s="24" t="s">
        <v>161</v>
      </c>
      <c r="C2752" s="21">
        <f t="shared" si="47"/>
        <v>-33.56</v>
      </c>
      <c r="BU2752" s="106">
        <v>-33.56</v>
      </c>
    </row>
    <row r="2753" spans="1:221" x14ac:dyDescent="0.25">
      <c r="A2753" s="127">
        <v>45016</v>
      </c>
      <c r="B2753" s="24" t="s">
        <v>20</v>
      </c>
      <c r="C2753" s="21">
        <f t="shared" si="47"/>
        <v>-65</v>
      </c>
      <c r="HA2753" s="115">
        <v>-65</v>
      </c>
    </row>
    <row r="2754" spans="1:221" x14ac:dyDescent="0.25">
      <c r="A2754" s="127">
        <v>45016</v>
      </c>
      <c r="B2754" s="29" t="s">
        <v>37</v>
      </c>
      <c r="C2754" s="21">
        <f t="shared" si="47"/>
        <v>-16.2</v>
      </c>
      <c r="HM2754" s="106">
        <v>-16.2</v>
      </c>
    </row>
    <row r="2755" spans="1:221" x14ac:dyDescent="0.25">
      <c r="A2755" s="127">
        <v>45016</v>
      </c>
      <c r="B2755" s="29" t="s">
        <v>43</v>
      </c>
      <c r="C2755" s="21">
        <f t="shared" si="47"/>
        <v>-366.54</v>
      </c>
      <c r="BI2755" s="106">
        <v>-66.540000000000006</v>
      </c>
      <c r="BO2755" s="106">
        <v>-34.46</v>
      </c>
      <c r="BU2755" s="106">
        <v>-101.08</v>
      </c>
      <c r="CA2755" s="106">
        <v>-66.25</v>
      </c>
      <c r="CS2755" s="74">
        <v>-98.21</v>
      </c>
    </row>
    <row r="2756" spans="1:221" x14ac:dyDescent="0.25">
      <c r="A2756" s="127">
        <v>45017</v>
      </c>
      <c r="B2756" s="29" t="s">
        <v>48</v>
      </c>
      <c r="C2756" s="21">
        <f t="shared" si="47"/>
        <v>-48.93</v>
      </c>
      <c r="BU2756" s="106">
        <v>-16.170000000000002</v>
      </c>
      <c r="DE2756" s="74">
        <v>-8.61</v>
      </c>
      <c r="DK2756" s="106">
        <v>-24.15</v>
      </c>
    </row>
    <row r="2757" spans="1:221" x14ac:dyDescent="0.25">
      <c r="A2757" s="127">
        <v>45019</v>
      </c>
      <c r="B2757" s="24" t="s">
        <v>113</v>
      </c>
      <c r="C2757" s="21">
        <f t="shared" si="47"/>
        <v>1243.8900000000001</v>
      </c>
      <c r="DP2757" s="74">
        <v>337.03</v>
      </c>
      <c r="EL2757" s="106">
        <v>342.18</v>
      </c>
      <c r="HM2757" s="106">
        <v>564.67999999999995</v>
      </c>
    </row>
    <row r="2758" spans="1:221" x14ac:dyDescent="0.25">
      <c r="A2758" s="127">
        <v>45019</v>
      </c>
      <c r="B2758" s="29" t="s">
        <v>115</v>
      </c>
      <c r="C2758" s="21">
        <f t="shared" si="47"/>
        <v>101.94</v>
      </c>
      <c r="HA2758" s="115">
        <v>101.94</v>
      </c>
    </row>
    <row r="2759" spans="1:221" x14ac:dyDescent="0.25">
      <c r="A2759" s="127">
        <v>45020</v>
      </c>
      <c r="B2759" s="29" t="s">
        <v>65</v>
      </c>
      <c r="C2759" s="21">
        <f t="shared" si="47"/>
        <v>-27.36</v>
      </c>
      <c r="AL2759" s="42">
        <v>-3.4</v>
      </c>
      <c r="AN2759" s="106">
        <f>-8.65-8.66-6.65</f>
        <v>-23.96</v>
      </c>
    </row>
    <row r="2760" spans="1:221" x14ac:dyDescent="0.25">
      <c r="A2760" s="127">
        <v>45020</v>
      </c>
      <c r="B2760" s="29" t="s">
        <v>147</v>
      </c>
      <c r="C2760" s="21">
        <f t="shared" si="47"/>
        <v>-17.16</v>
      </c>
      <c r="AG2760" s="106">
        <v>-8.6999999999999993</v>
      </c>
      <c r="BU2760" s="106">
        <v>-8.4600000000000009</v>
      </c>
    </row>
    <row r="2761" spans="1:221" x14ac:dyDescent="0.25">
      <c r="A2761" s="127">
        <v>45020</v>
      </c>
      <c r="B2761" s="29" t="s">
        <v>20</v>
      </c>
      <c r="C2761" s="21">
        <f t="shared" si="47"/>
        <v>-19.53</v>
      </c>
      <c r="V2761" s="74">
        <v>-8.0299999999999994</v>
      </c>
      <c r="HA2761" s="115">
        <v>-11.5</v>
      </c>
    </row>
    <row r="2762" spans="1:221" x14ac:dyDescent="0.25">
      <c r="A2762" s="127">
        <v>45020</v>
      </c>
      <c r="B2762" s="29" t="s">
        <v>139</v>
      </c>
      <c r="C2762" s="21">
        <f t="shared" si="47"/>
        <v>-8.5299999999999994</v>
      </c>
      <c r="BU2762" s="106">
        <v>-8.5299999999999994</v>
      </c>
    </row>
    <row r="2763" spans="1:221" x14ac:dyDescent="0.25">
      <c r="A2763" s="127">
        <v>45021</v>
      </c>
      <c r="B2763" s="24" t="s">
        <v>115</v>
      </c>
      <c r="C2763" s="21">
        <f t="shared" si="47"/>
        <v>-13.85</v>
      </c>
      <c r="GB2763" s="106">
        <v>-13.85</v>
      </c>
    </row>
    <row r="2764" spans="1:221" x14ac:dyDescent="0.25">
      <c r="A2764" s="127">
        <v>45021</v>
      </c>
      <c r="B2764" s="24" t="s">
        <v>115</v>
      </c>
      <c r="C2764" s="21">
        <f t="shared" si="47"/>
        <v>197.17</v>
      </c>
      <c r="E2764" s="386">
        <v>197.17</v>
      </c>
    </row>
    <row r="2765" spans="1:221" x14ac:dyDescent="0.25">
      <c r="A2765" s="127">
        <v>45021</v>
      </c>
      <c r="B2765" s="24" t="s">
        <v>169</v>
      </c>
      <c r="C2765" s="21">
        <f t="shared" si="47"/>
        <v>-158.46</v>
      </c>
      <c r="E2765" s="386">
        <v>-158.46</v>
      </c>
    </row>
    <row r="2766" spans="1:221" x14ac:dyDescent="0.25">
      <c r="A2766" s="127">
        <v>45022</v>
      </c>
      <c r="B2766" s="24" t="s">
        <v>113</v>
      </c>
      <c r="C2766" s="21">
        <f t="shared" si="47"/>
        <v>1015.49</v>
      </c>
      <c r="BI2766" s="106">
        <v>504.82</v>
      </c>
      <c r="CS2766" s="74">
        <v>510.67</v>
      </c>
    </row>
    <row r="2767" spans="1:221" x14ac:dyDescent="0.25">
      <c r="A2767" s="127">
        <v>45022</v>
      </c>
      <c r="B2767" s="24" t="s">
        <v>113</v>
      </c>
      <c r="C2767" s="21">
        <f t="shared" si="47"/>
        <v>41.05</v>
      </c>
      <c r="GB2767" s="106">
        <v>41.05</v>
      </c>
    </row>
    <row r="2768" spans="1:221" x14ac:dyDescent="0.25">
      <c r="A2768" s="127">
        <v>45022</v>
      </c>
      <c r="B2768" s="24" t="s">
        <v>32</v>
      </c>
      <c r="C2768" s="21">
        <f t="shared" si="47"/>
        <v>-58.56</v>
      </c>
      <c r="AC2768" s="106">
        <v>-8.24</v>
      </c>
      <c r="AR2768" s="106">
        <v>-7.95</v>
      </c>
      <c r="BC2768" s="106">
        <v>-8.9700000000000006</v>
      </c>
      <c r="BI2768" s="106">
        <v>-17.37</v>
      </c>
      <c r="BU2768" s="106">
        <v>-16.03</v>
      </c>
    </row>
    <row r="2769" spans="1:199" x14ac:dyDescent="0.25">
      <c r="A2769" s="127">
        <v>45022</v>
      </c>
      <c r="B2769" s="24" t="s">
        <v>115</v>
      </c>
      <c r="C2769" s="21">
        <f t="shared" si="47"/>
        <v>-41.05</v>
      </c>
      <c r="GB2769" s="106">
        <v>-41.05</v>
      </c>
    </row>
    <row r="2770" spans="1:199" x14ac:dyDescent="0.25">
      <c r="A2770" s="127">
        <v>45022</v>
      </c>
      <c r="B2770" s="24" t="s">
        <v>14</v>
      </c>
      <c r="C2770" s="21">
        <f t="shared" si="47"/>
        <v>-170.42500000000001</v>
      </c>
      <c r="X2770" s="42">
        <v>-8</v>
      </c>
      <c r="AR2770" s="106">
        <v>-16.559999999999999</v>
      </c>
      <c r="BC2770" s="106">
        <v>-33.770000000000003</v>
      </c>
      <c r="BL2770" s="182">
        <v>-33.825000000000003</v>
      </c>
      <c r="BM2770" s="88">
        <v>-28.21</v>
      </c>
      <c r="BU2770" s="106">
        <v>-33.909999999999997</v>
      </c>
      <c r="DK2770" s="106">
        <v>-16.149999999999999</v>
      </c>
    </row>
    <row r="2771" spans="1:199" x14ac:dyDescent="0.25">
      <c r="A2771" s="127">
        <v>45022</v>
      </c>
      <c r="B2771" s="24" t="s">
        <v>115</v>
      </c>
      <c r="C2771" s="21">
        <f t="shared" si="47"/>
        <v>0</v>
      </c>
    </row>
    <row r="2772" spans="1:199" x14ac:dyDescent="0.25">
      <c r="A2772" s="127">
        <v>45022</v>
      </c>
      <c r="B2772" s="24" t="s">
        <v>83</v>
      </c>
      <c r="C2772" s="21">
        <f t="shared" si="47"/>
        <v>0</v>
      </c>
    </row>
    <row r="2773" spans="1:199" x14ac:dyDescent="0.25">
      <c r="A2773" s="127">
        <v>45022</v>
      </c>
      <c r="B2773" s="29" t="s">
        <v>39</v>
      </c>
      <c r="C2773" s="21">
        <f t="shared" si="47"/>
        <v>-60.67</v>
      </c>
      <c r="AC2773" s="106">
        <v>-5.2</v>
      </c>
      <c r="AG2773" s="106">
        <v>-8.75</v>
      </c>
      <c r="AN2773" s="106">
        <v>-7.75</v>
      </c>
      <c r="BC2773" s="106">
        <v>-6.87</v>
      </c>
      <c r="BI2773" s="106">
        <v>-8.77</v>
      </c>
      <c r="BO2773" s="106">
        <v>-8</v>
      </c>
      <c r="BU2773" s="106">
        <v>-8.36</v>
      </c>
      <c r="CA2773" s="106">
        <v>-6.97</v>
      </c>
    </row>
    <row r="2774" spans="1:199" x14ac:dyDescent="0.25">
      <c r="A2774" s="127">
        <v>45023</v>
      </c>
      <c r="B2774" s="29" t="s">
        <v>84</v>
      </c>
      <c r="C2774" s="21">
        <f t="shared" si="47"/>
        <v>-54.36</v>
      </c>
      <c r="H2774" s="84">
        <v>-4.55</v>
      </c>
      <c r="V2774" s="74">
        <v>-8.01</v>
      </c>
      <c r="AR2774" s="106">
        <v>-8.25</v>
      </c>
      <c r="BC2774" s="106">
        <v>-8.11</v>
      </c>
      <c r="BU2774" s="106">
        <v>-8.44</v>
      </c>
      <c r="CG2774" s="106">
        <v>-8.65</v>
      </c>
      <c r="CM2774" s="106">
        <v>-8.35</v>
      </c>
    </row>
    <row r="2775" spans="1:199" x14ac:dyDescent="0.25">
      <c r="A2775" s="127">
        <v>45023</v>
      </c>
      <c r="B2775" s="29" t="s">
        <v>133</v>
      </c>
      <c r="C2775" s="21">
        <f t="shared" si="47"/>
        <v>-233.41</v>
      </c>
      <c r="AR2775" s="106">
        <v>-33.200000000000003</v>
      </c>
      <c r="BC2775" s="106">
        <v>-32.700000000000003</v>
      </c>
      <c r="BI2775" s="106">
        <v>-34.19</v>
      </c>
      <c r="BU2775" s="106">
        <v>-34.15</v>
      </c>
      <c r="CA2775" s="106">
        <v>-33.81</v>
      </c>
      <c r="CM2775" s="106">
        <v>-32.9</v>
      </c>
      <c r="CY2775" s="106">
        <v>-32.46</v>
      </c>
    </row>
    <row r="2776" spans="1:199" x14ac:dyDescent="0.25">
      <c r="A2776" s="127">
        <v>45023</v>
      </c>
      <c r="B2776" s="29" t="s">
        <v>32</v>
      </c>
      <c r="C2776" s="21">
        <f t="shared" si="47"/>
        <v>-100.53</v>
      </c>
      <c r="BC2776" s="106">
        <v>-31.98</v>
      </c>
      <c r="BI2776" s="106">
        <v>-35.03</v>
      </c>
      <c r="BO2776" s="106">
        <v>-7.95</v>
      </c>
      <c r="CA2776" s="106">
        <v>-8.32</v>
      </c>
      <c r="CG2776" s="106">
        <v>-17.25</v>
      </c>
    </row>
    <row r="2777" spans="1:199" x14ac:dyDescent="0.25">
      <c r="A2777" s="127">
        <v>45023</v>
      </c>
      <c r="B2777" s="29" t="s">
        <v>44</v>
      </c>
      <c r="C2777" s="21">
        <f t="shared" si="47"/>
        <v>-203.47</v>
      </c>
      <c r="GQ2777" s="92">
        <v>-203.47</v>
      </c>
    </row>
    <row r="2778" spans="1:199" x14ac:dyDescent="0.25">
      <c r="A2778" s="127">
        <v>45023</v>
      </c>
      <c r="B2778" s="29" t="s">
        <v>175</v>
      </c>
      <c r="C2778" s="21">
        <f t="shared" si="47"/>
        <v>0</v>
      </c>
    </row>
    <row r="2779" spans="1:199" x14ac:dyDescent="0.25">
      <c r="A2779" s="127">
        <v>45023</v>
      </c>
      <c r="B2779" s="29" t="s">
        <v>68</v>
      </c>
      <c r="C2779" s="21">
        <f t="shared" si="47"/>
        <v>-93.08</v>
      </c>
      <c r="P2779" s="106">
        <v>-25.2</v>
      </c>
      <c r="AG2779" s="106">
        <v>-33.1</v>
      </c>
      <c r="BI2779" s="106">
        <v>-34.78</v>
      </c>
    </row>
    <row r="2780" spans="1:199" x14ac:dyDescent="0.25">
      <c r="A2780" s="127">
        <v>45023</v>
      </c>
      <c r="B2780" s="24" t="s">
        <v>149</v>
      </c>
      <c r="C2780" s="21">
        <f t="shared" si="47"/>
        <v>-8.3000000000000007</v>
      </c>
      <c r="AW2780" s="106">
        <v>-8.3000000000000007</v>
      </c>
    </row>
    <row r="2781" spans="1:199" x14ac:dyDescent="0.25">
      <c r="A2781" s="127">
        <v>45024</v>
      </c>
      <c r="B2781" s="24" t="s">
        <v>113</v>
      </c>
      <c r="C2781" s="21">
        <f t="shared" si="47"/>
        <v>1237.4100000000001</v>
      </c>
      <c r="CG2781" s="106">
        <v>184.8</v>
      </c>
      <c r="CY2781" s="106">
        <v>233.67</v>
      </c>
      <c r="DU2781" s="106">
        <v>170.95</v>
      </c>
      <c r="ET2781" s="106">
        <v>351.85</v>
      </c>
      <c r="EZ2781" s="92">
        <v>296.14</v>
      </c>
    </row>
    <row r="2782" spans="1:199" x14ac:dyDescent="0.25">
      <c r="A2782" s="127">
        <v>45024</v>
      </c>
      <c r="B2782" s="24" t="s">
        <v>152</v>
      </c>
      <c r="C2782" s="21">
        <f t="shared" si="47"/>
        <v>-1276.8699999999999</v>
      </c>
      <c r="AR2782" s="106">
        <v>-32.83</v>
      </c>
      <c r="AW2782" s="106">
        <v>-32.15</v>
      </c>
      <c r="BC2782" s="106">
        <v>-31.27</v>
      </c>
      <c r="BI2782" s="106">
        <v>-104.26</v>
      </c>
      <c r="BU2782" s="106">
        <v>-100.71</v>
      </c>
      <c r="CA2782" s="106">
        <v>-34.99</v>
      </c>
      <c r="CG2782" s="106">
        <v>-132.65</v>
      </c>
      <c r="CM2782" s="106">
        <v>-66.05</v>
      </c>
      <c r="CS2782" s="74">
        <v>-134.58000000000001</v>
      </c>
      <c r="DK2782" s="106">
        <v>-64.849999999999994</v>
      </c>
      <c r="DP2782" s="74">
        <v>-66.77</v>
      </c>
      <c r="DS2782" s="42">
        <v>-34.76</v>
      </c>
      <c r="DU2782" s="106">
        <v>-441</v>
      </c>
    </row>
    <row r="2783" spans="1:199" x14ac:dyDescent="0.25">
      <c r="A2783" s="127">
        <v>45026</v>
      </c>
      <c r="B2783" s="24" t="s">
        <v>78</v>
      </c>
      <c r="C2783" s="21">
        <f t="shared" si="47"/>
        <v>-34.130000000000003</v>
      </c>
      <c r="BI2783" s="106">
        <v>-34.130000000000003</v>
      </c>
    </row>
    <row r="2784" spans="1:199" x14ac:dyDescent="0.25">
      <c r="A2784" s="127">
        <v>45026</v>
      </c>
      <c r="B2784" s="24" t="s">
        <v>43</v>
      </c>
      <c r="C2784" s="21">
        <f t="shared" si="47"/>
        <v>-299.83</v>
      </c>
      <c r="CG2784" s="106">
        <v>-69.2</v>
      </c>
      <c r="CM2784" s="106">
        <v>-163.69999999999999</v>
      </c>
      <c r="CY2784" s="106">
        <v>-66.930000000000007</v>
      </c>
    </row>
    <row r="2785" spans="1:221" x14ac:dyDescent="0.25">
      <c r="A2785" s="127">
        <v>45026</v>
      </c>
      <c r="B2785" s="24" t="s">
        <v>95</v>
      </c>
      <c r="C2785" s="21">
        <f t="shared" si="47"/>
        <v>-702.45</v>
      </c>
      <c r="AG2785" s="106">
        <v>-34.799999999999997</v>
      </c>
      <c r="AN2785" s="106">
        <v>-34.729999999999997</v>
      </c>
      <c r="AR2785" s="106">
        <v>-33.200000000000003</v>
      </c>
      <c r="AW2785" s="106">
        <v>-64.849999999999994</v>
      </c>
      <c r="BC2785" s="106">
        <v>-30.26</v>
      </c>
      <c r="BI2785" s="106">
        <v>-97.5</v>
      </c>
      <c r="CG2785" s="106">
        <v>-69</v>
      </c>
      <c r="CM2785" s="106">
        <v>-66.78</v>
      </c>
      <c r="CS2785" s="74">
        <v>-69.05</v>
      </c>
      <c r="CY2785" s="106">
        <v>-68.03</v>
      </c>
      <c r="DE2785" s="74">
        <v>-66.5</v>
      </c>
      <c r="DK2785" s="106">
        <v>-67.75</v>
      </c>
    </row>
    <row r="2786" spans="1:221" x14ac:dyDescent="0.25">
      <c r="A2786" s="127">
        <v>45027</v>
      </c>
      <c r="B2786" s="24" t="s">
        <v>139</v>
      </c>
      <c r="C2786" s="21">
        <f t="shared" si="47"/>
        <v>-39.484999999999999</v>
      </c>
      <c r="BR2786" s="182">
        <v>-8.4149999999999991</v>
      </c>
      <c r="CA2786" s="106">
        <v>-5.26</v>
      </c>
      <c r="CG2786" s="106">
        <v>-8.6999999999999993</v>
      </c>
      <c r="CM2786" s="106">
        <v>-8.4700000000000006</v>
      </c>
      <c r="CS2786" s="74">
        <v>-8.64</v>
      </c>
    </row>
    <row r="2787" spans="1:221" x14ac:dyDescent="0.25">
      <c r="A2787" s="127">
        <v>45027</v>
      </c>
      <c r="B2787" s="24" t="s">
        <v>20</v>
      </c>
      <c r="C2787" s="21">
        <f t="shared" si="47"/>
        <v>-8.27</v>
      </c>
      <c r="AC2787" s="106">
        <v>-8.27</v>
      </c>
    </row>
    <row r="2788" spans="1:221" x14ac:dyDescent="0.25">
      <c r="A2788" s="127">
        <v>45027</v>
      </c>
      <c r="B2788" s="24" t="s">
        <v>33</v>
      </c>
      <c r="C2788" s="21">
        <f t="shared" si="47"/>
        <v>-8.9700000000000006</v>
      </c>
      <c r="BC2788" s="106">
        <v>-8.9700000000000006</v>
      </c>
    </row>
    <row r="2789" spans="1:221" x14ac:dyDescent="0.25">
      <c r="A2789" s="127">
        <v>45027</v>
      </c>
      <c r="B2789" s="24" t="s">
        <v>113</v>
      </c>
      <c r="C2789" s="21">
        <f t="shared" si="47"/>
        <v>1532.54</v>
      </c>
      <c r="Z2789" s="79">
        <v>353.01</v>
      </c>
      <c r="AN2789" s="106">
        <v>511.15</v>
      </c>
      <c r="AR2789" s="106">
        <v>236.61</v>
      </c>
      <c r="AW2789" s="106">
        <v>240.22</v>
      </c>
      <c r="DK2789" s="106">
        <v>191.55</v>
      </c>
    </row>
    <row r="2790" spans="1:221" x14ac:dyDescent="0.25">
      <c r="A2790" s="127">
        <v>45027</v>
      </c>
      <c r="B2790" s="24" t="s">
        <v>48</v>
      </c>
      <c r="C2790" s="21">
        <f t="shared" si="47"/>
        <v>75.97</v>
      </c>
      <c r="BS2790" s="42">
        <v>8.5299999999999994</v>
      </c>
      <c r="DS2790" s="42">
        <v>67.44</v>
      </c>
    </row>
    <row r="2791" spans="1:221" x14ac:dyDescent="0.25">
      <c r="A2791" s="127">
        <v>45028</v>
      </c>
      <c r="B2791" s="24" t="s">
        <v>32</v>
      </c>
      <c r="C2791" s="21">
        <f t="shared" si="47"/>
        <v>-36.020000000000003</v>
      </c>
      <c r="DP2791" s="74">
        <v>-8.7799999999999994</v>
      </c>
      <c r="DS2791" s="42">
        <v>-27.24</v>
      </c>
    </row>
    <row r="2792" spans="1:221" x14ac:dyDescent="0.25">
      <c r="A2792" s="127">
        <v>45029</v>
      </c>
      <c r="B2792" s="24" t="s">
        <v>139</v>
      </c>
      <c r="C2792" s="21">
        <f t="shared" si="47"/>
        <v>-25.14</v>
      </c>
      <c r="BS2792" s="42">
        <v>-8.5299999999999994</v>
      </c>
      <c r="CM2792" s="106">
        <v>-8.5500000000000007</v>
      </c>
      <c r="CS2792" s="74">
        <v>-8.06</v>
      </c>
    </row>
    <row r="2793" spans="1:221" x14ac:dyDescent="0.25">
      <c r="A2793" s="127">
        <v>45029</v>
      </c>
      <c r="B2793" s="24" t="s">
        <v>174</v>
      </c>
      <c r="C2793" s="21">
        <f t="shared" si="47"/>
        <v>-17.399999999999999</v>
      </c>
      <c r="CG2793" s="106">
        <v>-17.399999999999999</v>
      </c>
    </row>
    <row r="2794" spans="1:221" x14ac:dyDescent="0.25">
      <c r="A2794" s="127">
        <v>45030</v>
      </c>
      <c r="B2794" s="24" t="s">
        <v>37</v>
      </c>
      <c r="C2794" s="21">
        <f t="shared" si="47"/>
        <v>-139.215</v>
      </c>
      <c r="HF2794" s="92">
        <v>-35.24</v>
      </c>
      <c r="HH2794" s="106">
        <f>-9.29-8.61-8.7</f>
        <v>-26.6</v>
      </c>
      <c r="HI2794" s="182">
        <f>-6.33-6.33-6.315</f>
        <v>-18.975000000000001</v>
      </c>
      <c r="HM2794" s="106">
        <v>-58.4</v>
      </c>
    </row>
    <row r="2795" spans="1:221" x14ac:dyDescent="0.25">
      <c r="A2795" s="127">
        <v>45030</v>
      </c>
      <c r="B2795" s="24" t="s">
        <v>133</v>
      </c>
      <c r="C2795" s="21">
        <f t="shared" si="47"/>
        <v>-167.64</v>
      </c>
      <c r="BC2795" s="106">
        <v>-33.28</v>
      </c>
      <c r="BI2795" s="106">
        <v>-100.96</v>
      </c>
      <c r="CS2795" s="74">
        <v>-33.4</v>
      </c>
    </row>
    <row r="2796" spans="1:221" x14ac:dyDescent="0.25">
      <c r="A2796" s="127">
        <v>45030</v>
      </c>
      <c r="B2796" s="24" t="s">
        <v>78</v>
      </c>
      <c r="C2796" s="21">
        <f t="shared" si="47"/>
        <v>-141.23500000000001</v>
      </c>
      <c r="L2796" s="69">
        <v>-8.4550000000000001</v>
      </c>
      <c r="P2796" s="106">
        <v>-6.5</v>
      </c>
      <c r="V2796" s="74">
        <v>-16.059999999999999</v>
      </c>
      <c r="Z2796" s="79">
        <v>-8.51</v>
      </c>
      <c r="AG2796" s="106">
        <v>-8.6999999999999993</v>
      </c>
      <c r="AR2796" s="106">
        <v>-16.91</v>
      </c>
      <c r="AW2796" s="106">
        <v>-17.25</v>
      </c>
      <c r="BC2796" s="106">
        <v>-32.799999999999997</v>
      </c>
      <c r="BI2796" s="106">
        <v>-26.05</v>
      </c>
    </row>
    <row r="2797" spans="1:221" x14ac:dyDescent="0.25">
      <c r="A2797" s="127">
        <v>45030</v>
      </c>
      <c r="B2797" s="24" t="s">
        <v>152</v>
      </c>
      <c r="C2797" s="21">
        <f t="shared" si="47"/>
        <v>-199.96</v>
      </c>
      <c r="DS2797" s="42">
        <f>-31.2-9</f>
        <v>-40.200000000000003</v>
      </c>
      <c r="DU2797" s="106">
        <v>-7.61</v>
      </c>
      <c r="EA2797" s="74">
        <v>-152.15</v>
      </c>
    </row>
    <row r="2798" spans="1:221" x14ac:dyDescent="0.25">
      <c r="A2798" s="127">
        <v>45030</v>
      </c>
      <c r="B2798" s="24" t="s">
        <v>113</v>
      </c>
      <c r="C2798" s="21">
        <f t="shared" si="47"/>
        <v>868.01</v>
      </c>
      <c r="BC2798" s="106">
        <v>354.55</v>
      </c>
      <c r="BU2798" s="106">
        <v>513.46</v>
      </c>
    </row>
    <row r="2799" spans="1:221" x14ac:dyDescent="0.25">
      <c r="A2799" s="127">
        <v>45031</v>
      </c>
      <c r="B2799" s="24" t="s">
        <v>48</v>
      </c>
      <c r="C2799" s="21">
        <f t="shared" si="47"/>
        <v>-59.58</v>
      </c>
      <c r="BI2799" s="106">
        <v>-24.49</v>
      </c>
      <c r="BU2799" s="106">
        <v>-35.090000000000003</v>
      </c>
    </row>
    <row r="2800" spans="1:221" x14ac:dyDescent="0.25">
      <c r="A2800" s="127">
        <v>45031</v>
      </c>
      <c r="B2800" s="24" t="s">
        <v>133</v>
      </c>
      <c r="C2800" s="21">
        <f t="shared" si="47"/>
        <v>-32.33</v>
      </c>
      <c r="BU2800" s="106">
        <v>-32.33</v>
      </c>
    </row>
    <row r="2801" spans="1:146" x14ac:dyDescent="0.25">
      <c r="A2801" s="127">
        <v>45031</v>
      </c>
      <c r="B2801" s="24" t="s">
        <v>48</v>
      </c>
      <c r="C2801" s="21">
        <f t="shared" ref="C2801:C2864" si="48">SUM(D2801:JT2801)</f>
        <v>0</v>
      </c>
    </row>
    <row r="2802" spans="1:146" x14ac:dyDescent="0.25">
      <c r="A2802" s="127">
        <v>45033</v>
      </c>
      <c r="B2802" s="24" t="s">
        <v>115</v>
      </c>
      <c r="C2802" s="21">
        <f t="shared" si="48"/>
        <v>0</v>
      </c>
    </row>
    <row r="2803" spans="1:146" x14ac:dyDescent="0.25">
      <c r="A2803" s="127">
        <v>45033</v>
      </c>
      <c r="B2803" s="29" t="s">
        <v>115</v>
      </c>
      <c r="C2803" s="21">
        <f t="shared" si="48"/>
        <v>0</v>
      </c>
    </row>
    <row r="2804" spans="1:146" x14ac:dyDescent="0.25">
      <c r="A2804" s="127">
        <v>45033</v>
      </c>
      <c r="B2804" s="24" t="s">
        <v>78</v>
      </c>
      <c r="C2804" s="21">
        <f t="shared" si="48"/>
        <v>-34.17</v>
      </c>
      <c r="EL2804" s="106">
        <v>-34.17</v>
      </c>
    </row>
    <row r="2805" spans="1:146" x14ac:dyDescent="0.25">
      <c r="A2805" s="127">
        <v>45033</v>
      </c>
      <c r="B2805" s="24" t="s">
        <v>65</v>
      </c>
      <c r="C2805" s="21">
        <f t="shared" si="48"/>
        <v>-67.69</v>
      </c>
      <c r="AR2805" s="106">
        <v>-67.69</v>
      </c>
    </row>
    <row r="2806" spans="1:146" x14ac:dyDescent="0.25">
      <c r="A2806" s="127">
        <v>45034</v>
      </c>
      <c r="B2806" s="24" t="s">
        <v>152</v>
      </c>
      <c r="C2806" s="21">
        <f t="shared" si="48"/>
        <v>-326.83</v>
      </c>
      <c r="AN2806" s="106">
        <v>-32.299999999999997</v>
      </c>
      <c r="BC2806" s="106">
        <v>-58.1</v>
      </c>
      <c r="BI2806" s="106">
        <v>-66.959999999999994</v>
      </c>
      <c r="CY2806" s="106">
        <v>-66.34</v>
      </c>
      <c r="DP2806" s="74">
        <v>-103.13</v>
      </c>
    </row>
    <row r="2807" spans="1:146" x14ac:dyDescent="0.25">
      <c r="A2807" s="127">
        <v>45034</v>
      </c>
      <c r="B2807" s="24" t="s">
        <v>32</v>
      </c>
      <c r="C2807" s="21">
        <f t="shared" si="48"/>
        <v>-16.64</v>
      </c>
      <c r="EA2807" s="74">
        <v>-16.64</v>
      </c>
    </row>
    <row r="2808" spans="1:146" x14ac:dyDescent="0.25">
      <c r="A2808" s="127">
        <v>45034</v>
      </c>
      <c r="B2808" s="24" t="s">
        <v>27</v>
      </c>
      <c r="C2808" s="21">
        <f t="shared" si="48"/>
        <v>-26.27</v>
      </c>
      <c r="AG2808" s="106">
        <v>-8.6999999999999993</v>
      </c>
      <c r="AW2808" s="106">
        <v>-8.4</v>
      </c>
      <c r="CM2808" s="106">
        <v>-9.17</v>
      </c>
    </row>
    <row r="2809" spans="1:146" x14ac:dyDescent="0.25">
      <c r="A2809" s="127">
        <v>45034</v>
      </c>
      <c r="B2809" s="24" t="s">
        <v>17</v>
      </c>
      <c r="C2809" s="21">
        <f t="shared" si="48"/>
        <v>-33.1</v>
      </c>
      <c r="AN2809" s="106">
        <v>-33.1</v>
      </c>
    </row>
    <row r="2810" spans="1:146" x14ac:dyDescent="0.25">
      <c r="A2810" s="127">
        <v>45034</v>
      </c>
      <c r="B2810" s="24" t="s">
        <v>167</v>
      </c>
      <c r="C2810" s="21">
        <f t="shared" si="48"/>
        <v>-22.7</v>
      </c>
      <c r="E2810" s="386">
        <v>-22.7</v>
      </c>
    </row>
    <row r="2811" spans="1:146" x14ac:dyDescent="0.25">
      <c r="A2811" s="127">
        <v>45034</v>
      </c>
      <c r="B2811" s="24" t="s">
        <v>20</v>
      </c>
      <c r="C2811" s="21">
        <f t="shared" si="48"/>
        <v>-3.7</v>
      </c>
      <c r="P2811" s="106">
        <v>-3.7</v>
      </c>
    </row>
    <row r="2812" spans="1:146" x14ac:dyDescent="0.25">
      <c r="A2812" s="127">
        <v>45034</v>
      </c>
      <c r="B2812" s="24" t="s">
        <v>162</v>
      </c>
      <c r="C2812" s="21">
        <f t="shared" si="48"/>
        <v>-90.33</v>
      </c>
      <c r="AC2812" s="106">
        <v>-8.24</v>
      </c>
      <c r="AG2812" s="106">
        <v>-7.9</v>
      </c>
      <c r="AN2812" s="106">
        <v>-7.25</v>
      </c>
      <c r="AR2812" s="106">
        <v>-8.39</v>
      </c>
      <c r="AW2812" s="106">
        <v>-7.75</v>
      </c>
      <c r="BC2812" s="106">
        <v>-7.85</v>
      </c>
      <c r="BI2812" s="106">
        <v>-8.61</v>
      </c>
      <c r="BR2812" s="182">
        <v>-8.5</v>
      </c>
      <c r="BU2812" s="106">
        <v>-8.69</v>
      </c>
      <c r="CG2812" s="106">
        <v>-8.6999999999999993</v>
      </c>
      <c r="CM2812" s="106">
        <v>-8.4499999999999993</v>
      </c>
    </row>
    <row r="2813" spans="1:146" x14ac:dyDescent="0.25">
      <c r="A2813" s="127">
        <v>45034</v>
      </c>
      <c r="B2813" s="24" t="s">
        <v>48</v>
      </c>
      <c r="C2813" s="21">
        <f t="shared" si="48"/>
        <v>-0.47</v>
      </c>
      <c r="BC2813" s="106">
        <v>-34.15</v>
      </c>
      <c r="BM2813" s="88">
        <v>33.68</v>
      </c>
    </row>
    <row r="2814" spans="1:146" x14ac:dyDescent="0.25">
      <c r="A2814" s="127">
        <v>45034</v>
      </c>
      <c r="B2814" s="24" t="s">
        <v>68</v>
      </c>
      <c r="C2814" s="21">
        <f t="shared" si="48"/>
        <v>-69.540000000000006</v>
      </c>
      <c r="AW2814" s="106">
        <v>-35.86</v>
      </c>
      <c r="BM2814" s="88">
        <v>-33.68</v>
      </c>
    </row>
    <row r="2815" spans="1:146" x14ac:dyDescent="0.25">
      <c r="A2815" s="127">
        <v>45034</v>
      </c>
      <c r="B2815" s="24" t="s">
        <v>222</v>
      </c>
      <c r="C2815" s="21">
        <f t="shared" si="48"/>
        <v>-51.265000000000001</v>
      </c>
      <c r="AR2815" s="106">
        <v>-8.4700000000000006</v>
      </c>
      <c r="AW2815" s="106">
        <v>-8.4499999999999993</v>
      </c>
      <c r="BC2815" s="106">
        <v>-8.5</v>
      </c>
      <c r="BG2815" s="42">
        <v>-8.57</v>
      </c>
      <c r="BR2815" s="182">
        <v>-8.4649999999999999</v>
      </c>
      <c r="BU2815" s="106">
        <v>-8.81</v>
      </c>
    </row>
    <row r="2816" spans="1:146" x14ac:dyDescent="0.25">
      <c r="A2816" s="127">
        <v>45034</v>
      </c>
      <c r="B2816" s="24" t="s">
        <v>133</v>
      </c>
      <c r="C2816" s="21">
        <f t="shared" si="48"/>
        <v>-123.95</v>
      </c>
      <c r="EG2816" s="74">
        <v>-98.9</v>
      </c>
      <c r="EP2816" s="74">
        <v>-25.05</v>
      </c>
    </row>
    <row r="2817" spans="1:226" x14ac:dyDescent="0.25">
      <c r="A2817" s="127">
        <v>45040</v>
      </c>
      <c r="B2817" s="24" t="s">
        <v>44</v>
      </c>
      <c r="C2817" s="21">
        <f t="shared" si="48"/>
        <v>-209.95</v>
      </c>
      <c r="GQ2817" s="92">
        <f>-28.89-29.11-29.13-29.13-29.11-29.13</f>
        <v>-174.5</v>
      </c>
      <c r="HF2817" s="92">
        <v>-35.450000000000003</v>
      </c>
    </row>
    <row r="2818" spans="1:226" x14ac:dyDescent="0.25">
      <c r="A2818" s="127">
        <v>45040</v>
      </c>
      <c r="B2818" s="24" t="s">
        <v>37</v>
      </c>
      <c r="C2818" s="21">
        <f t="shared" si="48"/>
        <v>-309.7</v>
      </c>
      <c r="HF2818" s="92">
        <v>-35.28</v>
      </c>
      <c r="HM2818" s="106">
        <v>-208.04</v>
      </c>
      <c r="HR2818" s="92">
        <v>-66.38</v>
      </c>
    </row>
    <row r="2819" spans="1:226" x14ac:dyDescent="0.25">
      <c r="A2819" s="127">
        <v>45040</v>
      </c>
      <c r="B2819" s="24" t="s">
        <v>17</v>
      </c>
      <c r="C2819" s="21">
        <f t="shared" si="48"/>
        <v>-35.159999999999997</v>
      </c>
      <c r="BU2819" s="106">
        <v>-35.159999999999997</v>
      </c>
    </row>
    <row r="2820" spans="1:226" x14ac:dyDescent="0.25">
      <c r="A2820" s="127">
        <v>45040</v>
      </c>
      <c r="B2820" s="24" t="s">
        <v>174</v>
      </c>
      <c r="C2820" s="21">
        <f t="shared" si="48"/>
        <v>-14.24</v>
      </c>
      <c r="BG2820" s="42">
        <v>-8.89</v>
      </c>
      <c r="BI2820" s="106">
        <v>-5.35</v>
      </c>
    </row>
    <row r="2821" spans="1:226" x14ac:dyDescent="0.25">
      <c r="A2821" s="127">
        <v>45040</v>
      </c>
      <c r="B2821" s="24" t="s">
        <v>58</v>
      </c>
      <c r="C2821" s="21">
        <f t="shared" si="48"/>
        <v>-22.63</v>
      </c>
      <c r="EZ2821" s="92">
        <v>-22.63</v>
      </c>
    </row>
    <row r="2822" spans="1:226" x14ac:dyDescent="0.25">
      <c r="A2822" s="127">
        <v>45040</v>
      </c>
      <c r="B2822" s="24" t="s">
        <v>57</v>
      </c>
      <c r="C2822" s="21">
        <f t="shared" si="48"/>
        <v>-24.28</v>
      </c>
      <c r="DK2822" s="106">
        <v>-8.0500000000000007</v>
      </c>
      <c r="DP2822" s="74">
        <v>-16.23</v>
      </c>
    </row>
    <row r="2823" spans="1:226" x14ac:dyDescent="0.25">
      <c r="A2823" s="127">
        <v>45041</v>
      </c>
      <c r="B2823" s="24" t="s">
        <v>113</v>
      </c>
      <c r="C2823" s="21">
        <f t="shared" si="48"/>
        <v>1222.02</v>
      </c>
      <c r="BI2823" s="106">
        <v>199.15</v>
      </c>
      <c r="BO2823" s="106">
        <v>203.57</v>
      </c>
      <c r="CA2823" s="106">
        <v>199.15</v>
      </c>
      <c r="CG2823" s="106">
        <v>202.4</v>
      </c>
      <c r="DU2823" s="106">
        <v>169.5</v>
      </c>
      <c r="HJ2823" s="79">
        <v>248.25</v>
      </c>
    </row>
    <row r="2824" spans="1:226" x14ac:dyDescent="0.25">
      <c r="A2824" s="127">
        <v>45041</v>
      </c>
      <c r="B2824" s="24" t="s">
        <v>133</v>
      </c>
      <c r="C2824" s="21">
        <f t="shared" si="48"/>
        <v>-202.19</v>
      </c>
      <c r="AW2824" s="106">
        <v>-33.909999999999997</v>
      </c>
      <c r="BC2824" s="106">
        <v>-33.200000000000003</v>
      </c>
      <c r="BI2824" s="106">
        <v>-34.700000000000003</v>
      </c>
      <c r="BO2824" s="106">
        <v>-33.93</v>
      </c>
      <c r="CA2824" s="106">
        <v>-33.200000000000003</v>
      </c>
      <c r="CG2824" s="106">
        <v>-33.25</v>
      </c>
    </row>
    <row r="2825" spans="1:226" x14ac:dyDescent="0.25">
      <c r="A2825" s="127">
        <v>45041</v>
      </c>
      <c r="B2825" s="24" t="s">
        <v>43</v>
      </c>
      <c r="C2825" s="21">
        <f t="shared" si="48"/>
        <v>-502.69</v>
      </c>
      <c r="BC2825" s="106">
        <v>-64.599999999999994</v>
      </c>
      <c r="BI2825" s="106">
        <v>-65.75</v>
      </c>
      <c r="BO2825" s="106">
        <v>-101.34</v>
      </c>
      <c r="BU2825" s="106">
        <v>-171.3</v>
      </c>
      <c r="CA2825" s="106">
        <v>-33.1</v>
      </c>
      <c r="CG2825" s="106">
        <v>-66.599999999999994</v>
      </c>
    </row>
    <row r="2826" spans="1:226" x14ac:dyDescent="0.25">
      <c r="A2826" s="127">
        <v>45041</v>
      </c>
      <c r="B2826" s="24" t="s">
        <v>20</v>
      </c>
      <c r="C2826" s="21">
        <f t="shared" si="48"/>
        <v>-56.185000000000002</v>
      </c>
      <c r="Z2826" s="79">
        <v>-8.5500000000000007</v>
      </c>
      <c r="AW2826" s="106">
        <v>-5.5</v>
      </c>
      <c r="BC2826" s="106">
        <v>-8.25</v>
      </c>
      <c r="BU2826" s="106">
        <v>-8.7200000000000006</v>
      </c>
      <c r="CJ2826" s="182">
        <v>-8.2949999999999999</v>
      </c>
      <c r="CM2826" s="106">
        <v>-8.07</v>
      </c>
      <c r="CS2826" s="74">
        <v>-8.8000000000000007</v>
      </c>
    </row>
    <row r="2827" spans="1:226" x14ac:dyDescent="0.25">
      <c r="A2827" s="127">
        <v>45041</v>
      </c>
      <c r="B2827" s="24" t="s">
        <v>138</v>
      </c>
      <c r="C2827" s="21">
        <f t="shared" si="48"/>
        <v>-76.319999999999993</v>
      </c>
      <c r="AU2827" s="42">
        <v>-16.09</v>
      </c>
      <c r="CJ2827" s="182">
        <v>-16.649999999999999</v>
      </c>
      <c r="CQ2827" s="42">
        <v>-8.74</v>
      </c>
      <c r="CW2827" s="42">
        <v>-8.43</v>
      </c>
      <c r="DC2827" s="42">
        <v>-8.86</v>
      </c>
      <c r="DN2827" s="42">
        <v>-17.55</v>
      </c>
    </row>
    <row r="2828" spans="1:226" x14ac:dyDescent="0.25">
      <c r="A2828" s="127">
        <v>45041</v>
      </c>
      <c r="B2828" s="24" t="s">
        <v>75</v>
      </c>
      <c r="C2828" s="21">
        <f t="shared" si="48"/>
        <v>-8.49</v>
      </c>
      <c r="Z2828" s="79">
        <v>-8.49</v>
      </c>
    </row>
    <row r="2829" spans="1:226" x14ac:dyDescent="0.25">
      <c r="A2829" s="127">
        <v>45041</v>
      </c>
      <c r="B2829" s="24" t="s">
        <v>37</v>
      </c>
      <c r="C2829" s="21">
        <f t="shared" si="48"/>
        <v>-248.25</v>
      </c>
      <c r="HJ2829" s="79">
        <v>-248.25</v>
      </c>
    </row>
    <row r="2830" spans="1:226" x14ac:dyDescent="0.25">
      <c r="A2830" s="127">
        <v>45041</v>
      </c>
      <c r="B2830" s="24" t="s">
        <v>32</v>
      </c>
      <c r="C2830" s="21">
        <f t="shared" si="48"/>
        <v>-217.87</v>
      </c>
      <c r="AR2830" s="106">
        <v>-16.84</v>
      </c>
      <c r="AW2830" s="106">
        <v>-17.3</v>
      </c>
      <c r="BC2830" s="106">
        <v>-33.200000000000003</v>
      </c>
      <c r="BI2830" s="106">
        <v>-32.950000000000003</v>
      </c>
      <c r="BO2830" s="106">
        <v>-16.52</v>
      </c>
      <c r="BU2830" s="106">
        <v>-33.950000000000003</v>
      </c>
      <c r="CG2830" s="106">
        <v>-17.3</v>
      </c>
      <c r="CS2830" s="74">
        <v>-17.3</v>
      </c>
      <c r="CY2830" s="106">
        <v>-16.14</v>
      </c>
      <c r="DE2830" s="74">
        <v>-8.5500000000000007</v>
      </c>
      <c r="DP2830" s="74">
        <v>-7.82</v>
      </c>
    </row>
    <row r="2831" spans="1:226" x14ac:dyDescent="0.25">
      <c r="A2831" s="127">
        <v>45041</v>
      </c>
      <c r="B2831" s="24" t="s">
        <v>94</v>
      </c>
      <c r="C2831" s="21">
        <f t="shared" si="48"/>
        <v>-121.68</v>
      </c>
      <c r="EL2831" s="106">
        <v>-121.68</v>
      </c>
    </row>
    <row r="2832" spans="1:226" x14ac:dyDescent="0.25">
      <c r="A2832" s="127">
        <v>45041</v>
      </c>
      <c r="B2832" s="24" t="s">
        <v>17</v>
      </c>
      <c r="C2832" s="21">
        <f t="shared" si="48"/>
        <v>0</v>
      </c>
    </row>
    <row r="2833" spans="1:221" x14ac:dyDescent="0.25">
      <c r="A2833" s="127">
        <v>45041</v>
      </c>
      <c r="B2833" s="24" t="s">
        <v>17</v>
      </c>
      <c r="C2833" s="21">
        <f t="shared" si="48"/>
        <v>-502.82</v>
      </c>
      <c r="AR2833" s="106">
        <v>-67.59</v>
      </c>
      <c r="AW2833" s="106">
        <v>-66.3</v>
      </c>
      <c r="BC2833" s="106">
        <v>-35.450000000000003</v>
      </c>
      <c r="CG2833" s="106">
        <v>-68</v>
      </c>
      <c r="DK2833" s="106">
        <v>-63.8</v>
      </c>
      <c r="DU2833" s="106">
        <v>-103.3</v>
      </c>
      <c r="EA2833" s="74">
        <v>-98.38</v>
      </c>
    </row>
    <row r="2834" spans="1:221" x14ac:dyDescent="0.25">
      <c r="A2834" s="127">
        <v>45041</v>
      </c>
      <c r="B2834" s="24" t="s">
        <v>17</v>
      </c>
      <c r="C2834" s="21">
        <f t="shared" si="48"/>
        <v>-146.69999999999999</v>
      </c>
      <c r="AC2834" s="106">
        <v>-32</v>
      </c>
      <c r="BC2834" s="106">
        <v>-15.5</v>
      </c>
      <c r="BI2834" s="106">
        <v>-16.3</v>
      </c>
      <c r="BO2834" s="106">
        <v>-17.23</v>
      </c>
      <c r="BU2834" s="106">
        <v>-15.82</v>
      </c>
      <c r="CA2834" s="106">
        <v>-49.85</v>
      </c>
    </row>
    <row r="2835" spans="1:221" x14ac:dyDescent="0.25">
      <c r="A2835" s="127">
        <v>45041</v>
      </c>
      <c r="B2835" s="24" t="s">
        <v>68</v>
      </c>
      <c r="C2835" s="21">
        <f t="shared" si="48"/>
        <v>-67.22</v>
      </c>
      <c r="AC2835" s="106">
        <v>-33.130000000000003</v>
      </c>
      <c r="BU2835" s="106">
        <v>-34.090000000000003</v>
      </c>
    </row>
    <row r="2836" spans="1:221" x14ac:dyDescent="0.25">
      <c r="A2836" s="127">
        <v>45042</v>
      </c>
      <c r="B2836" s="24" t="s">
        <v>139</v>
      </c>
      <c r="C2836" s="21">
        <f t="shared" si="48"/>
        <v>-59.27</v>
      </c>
      <c r="BU2836" s="106">
        <f>-8.78-8.44</f>
        <v>-17.22</v>
      </c>
      <c r="CJ2836" s="182">
        <v>-8.3800000000000008</v>
      </c>
      <c r="CM2836" s="106">
        <f>-7.77-8.65</f>
        <v>-16.420000000000002</v>
      </c>
      <c r="CS2836" s="74">
        <f>-8.55-8.7</f>
        <v>-17.25</v>
      </c>
    </row>
    <row r="2837" spans="1:221" x14ac:dyDescent="0.25">
      <c r="A2837" s="127">
        <v>45042</v>
      </c>
      <c r="B2837" s="24" t="s">
        <v>115</v>
      </c>
      <c r="C2837" s="21">
        <f t="shared" si="48"/>
        <v>0</v>
      </c>
    </row>
    <row r="2838" spans="1:221" x14ac:dyDescent="0.25">
      <c r="A2838" s="127">
        <v>45042</v>
      </c>
      <c r="B2838" s="24" t="s">
        <v>161</v>
      </c>
      <c r="C2838" s="21">
        <f t="shared" si="48"/>
        <v>-26.21</v>
      </c>
      <c r="CQ2838" s="42">
        <v>-26.21</v>
      </c>
    </row>
    <row r="2839" spans="1:221" x14ac:dyDescent="0.25">
      <c r="A2839" s="127">
        <v>45042</v>
      </c>
      <c r="B2839" s="24" t="s">
        <v>43</v>
      </c>
      <c r="C2839" s="21">
        <f t="shared" si="48"/>
        <v>-34.68</v>
      </c>
      <c r="BU2839" s="106">
        <v>-34.68</v>
      </c>
    </row>
    <row r="2840" spans="1:221" x14ac:dyDescent="0.25">
      <c r="A2840" s="127">
        <v>45042</v>
      </c>
      <c r="B2840" s="24" t="s">
        <v>20</v>
      </c>
      <c r="C2840" s="21">
        <f t="shared" si="48"/>
        <v>-17.079999999999998</v>
      </c>
      <c r="BO2840" s="106">
        <v>-8.7799999999999994</v>
      </c>
      <c r="CA2840" s="106">
        <v>-8.3000000000000007</v>
      </c>
    </row>
    <row r="2841" spans="1:221" x14ac:dyDescent="0.25">
      <c r="A2841" s="127">
        <v>45042</v>
      </c>
      <c r="B2841" s="24" t="s">
        <v>139</v>
      </c>
      <c r="C2841" s="21">
        <f t="shared" si="48"/>
        <v>-33.83</v>
      </c>
      <c r="BO2841" s="106">
        <v>-8.6300000000000008</v>
      </c>
      <c r="CA2841" s="106">
        <v>-16.600000000000001</v>
      </c>
      <c r="CG2841" s="106">
        <v>-8.6</v>
      </c>
    </row>
    <row r="2842" spans="1:221" x14ac:dyDescent="0.25">
      <c r="A2842" s="127">
        <v>45042</v>
      </c>
      <c r="B2842" s="24" t="s">
        <v>40</v>
      </c>
      <c r="C2842" s="21">
        <f t="shared" si="48"/>
        <v>-149.77000000000001</v>
      </c>
      <c r="HM2842" s="106">
        <v>-149.77000000000001</v>
      </c>
    </row>
    <row r="2843" spans="1:221" x14ac:dyDescent="0.25">
      <c r="A2843" s="127">
        <v>45042</v>
      </c>
      <c r="B2843" s="24" t="s">
        <v>48</v>
      </c>
      <c r="C2843" s="21">
        <f t="shared" si="48"/>
        <v>-32.200000000000003</v>
      </c>
      <c r="DU2843" s="106">
        <v>-32.200000000000003</v>
      </c>
    </row>
    <row r="2844" spans="1:221" x14ac:dyDescent="0.25">
      <c r="A2844" s="127">
        <v>45042</v>
      </c>
      <c r="B2844" s="24" t="s">
        <v>83</v>
      </c>
      <c r="C2844" s="21">
        <f t="shared" si="48"/>
        <v>0</v>
      </c>
    </row>
    <row r="2845" spans="1:221" x14ac:dyDescent="0.25">
      <c r="A2845" s="127">
        <v>45042</v>
      </c>
      <c r="B2845" s="24" t="s">
        <v>68</v>
      </c>
      <c r="C2845" s="21">
        <f t="shared" si="48"/>
        <v>-33.200000000000003</v>
      </c>
      <c r="CA2845" s="106">
        <v>-33.200000000000003</v>
      </c>
    </row>
    <row r="2846" spans="1:221" x14ac:dyDescent="0.25">
      <c r="A2846" s="127">
        <v>45043</v>
      </c>
      <c r="B2846" s="24" t="s">
        <v>14</v>
      </c>
      <c r="C2846" s="21">
        <f t="shared" si="48"/>
        <v>-223.81</v>
      </c>
      <c r="AN2846" s="106">
        <v>-15.3</v>
      </c>
      <c r="AR2846" s="106">
        <v>-16.920000000000002</v>
      </c>
      <c r="AW2846" s="106">
        <v>-34.39</v>
      </c>
      <c r="BC2846" s="106">
        <f>-34.1-7.95-7.85-5.85</f>
        <v>-55.75</v>
      </c>
      <c r="BI2846" s="106">
        <v>-32.950000000000003</v>
      </c>
      <c r="BU2846" s="106">
        <v>-34.950000000000003</v>
      </c>
      <c r="CA2846" s="106">
        <v>-24.9</v>
      </c>
      <c r="CG2846" s="106">
        <v>-8.65</v>
      </c>
    </row>
    <row r="2847" spans="1:221" x14ac:dyDescent="0.25">
      <c r="A2847" s="127">
        <v>45043</v>
      </c>
      <c r="B2847" s="24" t="s">
        <v>48</v>
      </c>
      <c r="C2847" s="21">
        <f t="shared" si="48"/>
        <v>-8.0500000000000007</v>
      </c>
      <c r="H2847" s="84">
        <v>-8.0500000000000007</v>
      </c>
    </row>
    <row r="2848" spans="1:221" x14ac:dyDescent="0.25">
      <c r="A2848" s="127">
        <v>45043</v>
      </c>
      <c r="B2848" s="24" t="s">
        <v>149</v>
      </c>
      <c r="C2848" s="21">
        <f t="shared" si="48"/>
        <v>-8.65</v>
      </c>
      <c r="AG2848" s="106">
        <v>-8.65</v>
      </c>
    </row>
    <row r="2849" spans="1:237" x14ac:dyDescent="0.25">
      <c r="A2849" s="127">
        <v>45043</v>
      </c>
      <c r="B2849" s="24" t="s">
        <v>17</v>
      </c>
      <c r="C2849" s="21">
        <f t="shared" si="48"/>
        <v>-40.89</v>
      </c>
      <c r="BU2849" s="106">
        <v>-16.489999999999998</v>
      </c>
      <c r="CS2849" s="74">
        <v>-16.079999999999998</v>
      </c>
      <c r="CV2849" s="115">
        <v>-8.32</v>
      </c>
    </row>
    <row r="2850" spans="1:237" x14ac:dyDescent="0.25">
      <c r="A2850" s="127">
        <v>45043</v>
      </c>
      <c r="B2850" s="24" t="s">
        <v>59</v>
      </c>
      <c r="C2850" s="21">
        <f t="shared" si="48"/>
        <v>-7.06</v>
      </c>
      <c r="AW2850" s="106">
        <v>-2.84</v>
      </c>
      <c r="CS2850" s="74">
        <v>-2</v>
      </c>
      <c r="CY2850" s="106">
        <v>-2.2200000000000002</v>
      </c>
    </row>
    <row r="2851" spans="1:237" x14ac:dyDescent="0.25">
      <c r="A2851" s="127">
        <v>45044</v>
      </c>
      <c r="B2851" s="24" t="s">
        <v>43</v>
      </c>
      <c r="C2851" s="21">
        <f t="shared" si="48"/>
        <v>-234.43</v>
      </c>
      <c r="AR2851" s="106">
        <v>-32.299999999999997</v>
      </c>
      <c r="CS2851" s="74">
        <v>-32.85</v>
      </c>
      <c r="CY2851" s="106">
        <v>-34.54</v>
      </c>
      <c r="DE2851" s="74">
        <v>-34.36</v>
      </c>
      <c r="DP2851" s="74">
        <v>-34.72</v>
      </c>
      <c r="DU2851" s="106">
        <v>-34</v>
      </c>
      <c r="EA2851" s="74">
        <v>-31.66</v>
      </c>
    </row>
    <row r="2852" spans="1:237" x14ac:dyDescent="0.25">
      <c r="A2852" s="127">
        <v>45044</v>
      </c>
      <c r="B2852" s="24" t="s">
        <v>78</v>
      </c>
      <c r="C2852" s="21">
        <f t="shared" si="48"/>
        <v>-34.590000000000003</v>
      </c>
      <c r="BO2852" s="106">
        <v>-8.61</v>
      </c>
      <c r="BU2852" s="106">
        <v>-17.329999999999998</v>
      </c>
      <c r="CS2852" s="74">
        <v>-8.65</v>
      </c>
    </row>
    <row r="2853" spans="1:237" x14ac:dyDescent="0.25">
      <c r="A2853" s="127">
        <v>45044</v>
      </c>
      <c r="B2853" s="24" t="s">
        <v>138</v>
      </c>
      <c r="C2853" s="21">
        <f t="shared" si="48"/>
        <v>-8.5299999999999994</v>
      </c>
      <c r="BO2853" s="106">
        <v>-8.5299999999999994</v>
      </c>
    </row>
    <row r="2854" spans="1:237" x14ac:dyDescent="0.25">
      <c r="A2854" s="127">
        <v>45044</v>
      </c>
      <c r="B2854" s="24" t="s">
        <v>95</v>
      </c>
      <c r="C2854" s="21">
        <f t="shared" si="48"/>
        <v>-165.9</v>
      </c>
      <c r="AW2854" s="106">
        <v>-32.840000000000003</v>
      </c>
      <c r="CM2854" s="106">
        <v>-63.96</v>
      </c>
      <c r="CS2854" s="74">
        <v>-69.099999999999994</v>
      </c>
    </row>
    <row r="2855" spans="1:237" x14ac:dyDescent="0.25">
      <c r="A2855" s="127">
        <v>45045</v>
      </c>
      <c r="B2855" s="24" t="s">
        <v>151</v>
      </c>
      <c r="C2855" s="21">
        <f t="shared" si="48"/>
        <v>-49.8</v>
      </c>
      <c r="DK2855" s="106">
        <v>-49.8</v>
      </c>
    </row>
    <row r="2856" spans="1:237" x14ac:dyDescent="0.25">
      <c r="A2856" s="127">
        <v>45045</v>
      </c>
      <c r="B2856" s="24" t="s">
        <v>100</v>
      </c>
      <c r="C2856" s="21">
        <f t="shared" si="48"/>
        <v>-8.7200000000000006</v>
      </c>
      <c r="AW2856" s="106">
        <v>-8.7200000000000006</v>
      </c>
    </row>
    <row r="2857" spans="1:237" x14ac:dyDescent="0.25">
      <c r="A2857" s="127">
        <v>45045</v>
      </c>
      <c r="B2857" s="24" t="s">
        <v>113</v>
      </c>
      <c r="C2857" s="21">
        <f t="shared" si="48"/>
        <v>2871.23</v>
      </c>
      <c r="AC2857" s="106">
        <v>213.95</v>
      </c>
      <c r="AW2857" s="106">
        <v>234.54</v>
      </c>
      <c r="CM2857" s="106">
        <v>256.39999999999998</v>
      </c>
      <c r="CS2857" s="74">
        <v>272.24</v>
      </c>
      <c r="DE2857" s="74">
        <v>249.29</v>
      </c>
      <c r="EA2857" s="74">
        <v>309.23</v>
      </c>
      <c r="GQ2857" s="92">
        <v>263.07</v>
      </c>
      <c r="GZ2857" s="106">
        <v>306.36</v>
      </c>
      <c r="HP2857" s="92">
        <v>356.5</v>
      </c>
      <c r="IA2857" s="79">
        <v>200.65</v>
      </c>
      <c r="IC2857" s="92">
        <v>209</v>
      </c>
    </row>
    <row r="2858" spans="1:237" x14ac:dyDescent="0.25">
      <c r="A2858" s="127">
        <v>45045</v>
      </c>
      <c r="B2858" s="24" t="s">
        <v>113</v>
      </c>
      <c r="C2858" s="21">
        <f t="shared" si="48"/>
        <v>1552.64</v>
      </c>
      <c r="BI2858" s="106">
        <v>329.95</v>
      </c>
      <c r="BO2858" s="106">
        <v>136.44999999999999</v>
      </c>
      <c r="BU2858" s="106">
        <v>376.29</v>
      </c>
      <c r="CA2858" s="106">
        <v>183.1</v>
      </c>
      <c r="CG2858" s="106">
        <v>240.05</v>
      </c>
      <c r="DU2858" s="106">
        <v>194.55</v>
      </c>
      <c r="HJ2858" s="79">
        <v>92.25</v>
      </c>
    </row>
    <row r="2859" spans="1:237" x14ac:dyDescent="0.25">
      <c r="A2859" s="127">
        <v>45045</v>
      </c>
      <c r="B2859" s="24" t="s">
        <v>48</v>
      </c>
      <c r="C2859" s="21">
        <f t="shared" si="48"/>
        <v>-25.46</v>
      </c>
      <c r="AW2859" s="106">
        <v>-8.33</v>
      </c>
      <c r="BU2859" s="106">
        <v>-8.83</v>
      </c>
      <c r="CA2859" s="106">
        <v>-8.3000000000000007</v>
      </c>
    </row>
    <row r="2860" spans="1:237" x14ac:dyDescent="0.25">
      <c r="A2860" s="127">
        <v>45045</v>
      </c>
      <c r="B2860" s="24" t="s">
        <v>95</v>
      </c>
      <c r="C2860" s="21">
        <f t="shared" si="48"/>
        <v>-837.03</v>
      </c>
      <c r="AC2860" s="106">
        <v>-61.48</v>
      </c>
      <c r="AR2860" s="106">
        <v>-99.8</v>
      </c>
      <c r="BI2860" s="106">
        <v>-98.65</v>
      </c>
      <c r="BO2860" s="106">
        <v>-33.79</v>
      </c>
      <c r="BU2860" s="106">
        <v>-172.13</v>
      </c>
      <c r="CA2860" s="106">
        <v>-33.1</v>
      </c>
      <c r="CG2860" s="106">
        <v>-34.1</v>
      </c>
      <c r="CM2860" s="106">
        <v>-31.8</v>
      </c>
      <c r="CS2860" s="74">
        <v>-102.96</v>
      </c>
      <c r="CY2860" s="106">
        <v>-68.56</v>
      </c>
      <c r="DK2860" s="106">
        <v>-67.5</v>
      </c>
      <c r="DP2860" s="74">
        <v>-33.159999999999997</v>
      </c>
    </row>
    <row r="2861" spans="1:237" x14ac:dyDescent="0.25">
      <c r="A2861" s="127">
        <v>45045</v>
      </c>
      <c r="B2861" s="24" t="s">
        <v>84</v>
      </c>
      <c r="C2861" s="21">
        <f t="shared" si="48"/>
        <v>-83.65</v>
      </c>
      <c r="BI2861" s="106">
        <v>-16.5</v>
      </c>
      <c r="BO2861" s="106">
        <v>-17.53</v>
      </c>
      <c r="BU2861" s="106">
        <v>-17.47</v>
      </c>
      <c r="CG2861" s="106">
        <v>-17.25</v>
      </c>
      <c r="CM2861" s="106">
        <v>-14.9</v>
      </c>
    </row>
    <row r="2862" spans="1:237" x14ac:dyDescent="0.25">
      <c r="A2862" s="127">
        <v>45048</v>
      </c>
      <c r="B2862" s="24" t="s">
        <v>152</v>
      </c>
      <c r="C2862" s="21">
        <f t="shared" si="48"/>
        <v>-635.63</v>
      </c>
      <c r="AC2862" s="106">
        <v>-29.45</v>
      </c>
      <c r="AG2862" s="106">
        <v>-34.75</v>
      </c>
      <c r="AN2862" s="106">
        <v>-32.85</v>
      </c>
      <c r="BI2862" s="106">
        <v>-32.950000000000003</v>
      </c>
      <c r="BO2862" s="106">
        <v>-68.27</v>
      </c>
      <c r="BU2862" s="106">
        <v>-103</v>
      </c>
      <c r="CA2862" s="106">
        <v>-67</v>
      </c>
      <c r="CG2862" s="106">
        <v>-68.25</v>
      </c>
      <c r="CM2862" s="106">
        <v>-31.9</v>
      </c>
      <c r="DE2862" s="74">
        <v>-66.84</v>
      </c>
      <c r="EA2862" s="74">
        <v>-100.37</v>
      </c>
    </row>
    <row r="2863" spans="1:237" x14ac:dyDescent="0.25">
      <c r="A2863" s="127">
        <v>45048</v>
      </c>
      <c r="B2863" s="24" t="s">
        <v>152</v>
      </c>
      <c r="C2863" s="21">
        <f t="shared" si="48"/>
        <v>-1623.8</v>
      </c>
      <c r="AC2863" s="106">
        <v>-28.4</v>
      </c>
      <c r="CG2863" s="106">
        <v>-103.15</v>
      </c>
      <c r="CM2863" s="106">
        <v>-129</v>
      </c>
      <c r="CS2863" s="74">
        <v>-169.28</v>
      </c>
      <c r="CY2863" s="106">
        <v>-168.46</v>
      </c>
      <c r="DE2863" s="74">
        <v>-164.6</v>
      </c>
      <c r="DK2863" s="106">
        <v>-127.95</v>
      </c>
      <c r="DP2863" s="74">
        <v>-101.05</v>
      </c>
      <c r="DU2863" s="106">
        <v>-162</v>
      </c>
      <c r="EA2863" s="74">
        <v>-174.67</v>
      </c>
      <c r="EL2863" s="106">
        <v>-168.23</v>
      </c>
      <c r="FC2863" s="106">
        <v>-127.01</v>
      </c>
    </row>
    <row r="2864" spans="1:237" x14ac:dyDescent="0.25">
      <c r="A2864" s="127">
        <v>45048</v>
      </c>
      <c r="B2864" s="24" t="s">
        <v>32</v>
      </c>
      <c r="C2864" s="21">
        <f t="shared" si="48"/>
        <v>-49.4</v>
      </c>
      <c r="BI2864" s="106">
        <v>-32.799999999999997</v>
      </c>
      <c r="CA2864" s="106">
        <v>-16.600000000000001</v>
      </c>
    </row>
    <row r="2865" spans="1:226" x14ac:dyDescent="0.25">
      <c r="A2865" s="127">
        <v>45048</v>
      </c>
      <c r="B2865" s="24" t="s">
        <v>133</v>
      </c>
      <c r="C2865" s="21">
        <f t="shared" ref="C2865:C2928" si="49">SUM(D2865:JT2865)</f>
        <v>-135.25</v>
      </c>
      <c r="AW2865" s="106">
        <v>-34.86</v>
      </c>
      <c r="BI2865" s="106">
        <v>-32.85</v>
      </c>
      <c r="BU2865" s="106">
        <v>-34.340000000000003</v>
      </c>
      <c r="CA2865" s="106">
        <v>-33.200000000000003</v>
      </c>
    </row>
    <row r="2866" spans="1:226" x14ac:dyDescent="0.25">
      <c r="A2866" s="127">
        <v>45048</v>
      </c>
      <c r="B2866" s="24" t="s">
        <v>20</v>
      </c>
      <c r="C2866" s="21">
        <f t="shared" si="49"/>
        <v>-51.37</v>
      </c>
      <c r="AR2866" s="106">
        <v>-8.4499999999999993</v>
      </c>
      <c r="AW2866" s="106">
        <v>-8.7799999999999994</v>
      </c>
      <c r="CS2866" s="74">
        <v>-8.6999999999999993</v>
      </c>
      <c r="HA2866" s="115">
        <v>-25.44</v>
      </c>
    </row>
    <row r="2867" spans="1:226" x14ac:dyDescent="0.25">
      <c r="A2867" s="127">
        <v>45048</v>
      </c>
      <c r="B2867" s="24" t="s">
        <v>20</v>
      </c>
      <c r="C2867" s="21">
        <f t="shared" si="49"/>
        <v>-57.4</v>
      </c>
      <c r="GZ2867" s="106">
        <v>-57.4</v>
      </c>
    </row>
    <row r="2868" spans="1:226" x14ac:dyDescent="0.25">
      <c r="A2868" s="127">
        <v>45048</v>
      </c>
      <c r="B2868" s="24" t="s">
        <v>75</v>
      </c>
      <c r="C2868" s="21">
        <f t="shared" si="49"/>
        <v>-41.56</v>
      </c>
      <c r="BO2868" s="106">
        <v>-8.02</v>
      </c>
      <c r="BU2868" s="106">
        <v>-16.940000000000001</v>
      </c>
      <c r="CA2868" s="106">
        <v>-16.600000000000001</v>
      </c>
    </row>
    <row r="2869" spans="1:226" x14ac:dyDescent="0.25">
      <c r="A2869" s="127">
        <v>45048</v>
      </c>
      <c r="B2869" s="24" t="s">
        <v>82</v>
      </c>
      <c r="C2869" s="21">
        <f t="shared" si="49"/>
        <v>-83.35</v>
      </c>
      <c r="HM2869" s="106">
        <v>-33.270000000000003</v>
      </c>
      <c r="HR2869" s="92">
        <v>-50.08</v>
      </c>
    </row>
    <row r="2870" spans="1:226" x14ac:dyDescent="0.25">
      <c r="A2870" s="127">
        <v>45048</v>
      </c>
      <c r="B2870" s="24" t="s">
        <v>68</v>
      </c>
      <c r="C2870" s="21">
        <f t="shared" si="49"/>
        <v>-32.950000000000003</v>
      </c>
      <c r="BI2870" s="106">
        <v>-32.950000000000003</v>
      </c>
    </row>
    <row r="2871" spans="1:226" x14ac:dyDescent="0.25">
      <c r="A2871" s="127">
        <v>45049</v>
      </c>
      <c r="B2871" s="24" t="s">
        <v>17</v>
      </c>
      <c r="C2871" s="21">
        <f t="shared" si="49"/>
        <v>-91.35</v>
      </c>
      <c r="V2871" s="74">
        <v>-8.01</v>
      </c>
      <c r="AR2871" s="106">
        <v>-8.4</v>
      </c>
      <c r="AW2871" s="106">
        <v>-8.84</v>
      </c>
      <c r="BI2871" s="106">
        <v>-33</v>
      </c>
      <c r="BO2871" s="106">
        <v>-8.84</v>
      </c>
      <c r="BU2871" s="106">
        <v>-15.96</v>
      </c>
      <c r="CA2871" s="106">
        <v>-8.3000000000000007</v>
      </c>
    </row>
    <row r="2872" spans="1:226" x14ac:dyDescent="0.25">
      <c r="A2872" s="127">
        <v>45049</v>
      </c>
      <c r="B2872" s="24" t="s">
        <v>37</v>
      </c>
      <c r="C2872" s="21">
        <f t="shared" si="49"/>
        <v>-338.1</v>
      </c>
      <c r="HJ2872" s="79">
        <v>-92.25</v>
      </c>
      <c r="HP2872" s="92">
        <v>-245.85</v>
      </c>
    </row>
    <row r="2873" spans="1:226" x14ac:dyDescent="0.25">
      <c r="A2873" s="127">
        <v>45049</v>
      </c>
      <c r="B2873" s="29" t="s">
        <v>20</v>
      </c>
      <c r="C2873" s="21">
        <f t="shared" si="49"/>
        <v>-8.26</v>
      </c>
      <c r="BA2873" s="42">
        <v>-8.26</v>
      </c>
    </row>
    <row r="2874" spans="1:226" x14ac:dyDescent="0.25">
      <c r="A2874" s="127">
        <v>45049</v>
      </c>
      <c r="B2874" s="24" t="s">
        <v>151</v>
      </c>
      <c r="C2874" s="21">
        <f t="shared" si="49"/>
        <v>-8.25</v>
      </c>
      <c r="CV2874" s="115">
        <v>-8.25</v>
      </c>
    </row>
    <row r="2875" spans="1:226" x14ac:dyDescent="0.25">
      <c r="A2875" s="127">
        <v>45049</v>
      </c>
      <c r="B2875" s="24" t="s">
        <v>144</v>
      </c>
      <c r="C2875" s="21">
        <f t="shared" si="49"/>
        <v>-342.9</v>
      </c>
      <c r="V2875" s="74">
        <f>-32.16-32.18-32.06-32.22-32.2</f>
        <v>-160.82</v>
      </c>
      <c r="AC2875" s="106">
        <f>-31.9-31.3-31.4-8.26-8.29</f>
        <v>-111.15</v>
      </c>
      <c r="HF2875" s="92">
        <f>-35.42-35.51</f>
        <v>-70.930000000000007</v>
      </c>
    </row>
    <row r="2876" spans="1:226" x14ac:dyDescent="0.25">
      <c r="A2876" s="127">
        <v>45050</v>
      </c>
      <c r="B2876" s="24" t="s">
        <v>25</v>
      </c>
      <c r="C2876" s="21">
        <f t="shared" si="49"/>
        <v>-65.760000000000005</v>
      </c>
      <c r="AR2876" s="106">
        <v>-8.5</v>
      </c>
      <c r="AW2876" s="106">
        <v>-7.06</v>
      </c>
      <c r="BI2876" s="106">
        <v>-16.45</v>
      </c>
      <c r="BU2876" s="106">
        <v>-16.45</v>
      </c>
      <c r="CG2876" s="106">
        <v>-17.3</v>
      </c>
    </row>
    <row r="2877" spans="1:226" x14ac:dyDescent="0.25">
      <c r="A2877" s="127">
        <v>45050</v>
      </c>
      <c r="B2877" s="24" t="s">
        <v>48</v>
      </c>
      <c r="C2877" s="21">
        <f t="shared" si="49"/>
        <v>51.35</v>
      </c>
      <c r="BA2877" s="42">
        <v>8.26</v>
      </c>
      <c r="BS2877" s="42">
        <v>8.6300000000000008</v>
      </c>
      <c r="BY2877" s="42">
        <v>17.22</v>
      </c>
      <c r="CE2877" s="42">
        <v>17.239999999999998</v>
      </c>
    </row>
    <row r="2878" spans="1:226" x14ac:dyDescent="0.25">
      <c r="A2878" s="127">
        <v>45051</v>
      </c>
      <c r="B2878" s="24" t="s">
        <v>65</v>
      </c>
      <c r="C2878" s="21">
        <f t="shared" si="49"/>
        <v>0</v>
      </c>
    </row>
    <row r="2879" spans="1:226" x14ac:dyDescent="0.25">
      <c r="A2879" s="127">
        <v>45051</v>
      </c>
      <c r="B2879" s="24" t="s">
        <v>39</v>
      </c>
      <c r="C2879" s="21">
        <f t="shared" si="49"/>
        <v>-64.88</v>
      </c>
      <c r="Z2879" s="79">
        <v>-8.5299999999999994</v>
      </c>
      <c r="AG2879" s="106">
        <v>-8.75</v>
      </c>
      <c r="AN2879" s="106">
        <v>-7.9</v>
      </c>
      <c r="AR2879" s="106">
        <v>-5.15</v>
      </c>
      <c r="AW2879" s="106">
        <v>-8.8800000000000008</v>
      </c>
      <c r="BI2879" s="106">
        <v>-8.9499999999999993</v>
      </c>
      <c r="CM2879" s="106">
        <v>-8.07</v>
      </c>
      <c r="CS2879" s="74">
        <v>-8.65</v>
      </c>
    </row>
    <row r="2880" spans="1:226" x14ac:dyDescent="0.25">
      <c r="A2880" s="127">
        <v>45051</v>
      </c>
      <c r="B2880" s="24" t="s">
        <v>152</v>
      </c>
      <c r="C2880" s="21">
        <f t="shared" si="49"/>
        <v>-388.52</v>
      </c>
      <c r="P2880" s="106">
        <v>-32.4</v>
      </c>
      <c r="Z2880" s="79">
        <v>-64.64</v>
      </c>
      <c r="CM2880" s="106">
        <v>-63.7</v>
      </c>
      <c r="DK2880" s="106">
        <v>-68.25</v>
      </c>
      <c r="DU2880" s="106">
        <v>-60.11</v>
      </c>
      <c r="DY2880" s="42">
        <f>-8.9-8.79</f>
        <v>-17.690000000000001</v>
      </c>
      <c r="EA2880" s="74">
        <f>-31.9-34.19-8.46-7.18</f>
        <v>-81.73</v>
      </c>
    </row>
    <row r="2881" spans="1:237" x14ac:dyDescent="0.25">
      <c r="A2881" s="127">
        <v>45051</v>
      </c>
      <c r="B2881" s="24" t="s">
        <v>163</v>
      </c>
      <c r="C2881" s="21">
        <f t="shared" si="49"/>
        <v>200.17500000000001</v>
      </c>
      <c r="AZ2881" s="182">
        <v>32.674999999999997</v>
      </c>
      <c r="BF2881" s="182">
        <v>33.335000000000001</v>
      </c>
      <c r="BL2881" s="182">
        <v>32.18</v>
      </c>
      <c r="BR2881" s="182">
        <v>34.090000000000003</v>
      </c>
      <c r="BX2881" s="182">
        <v>34.645000000000003</v>
      </c>
      <c r="CJ2881" s="182">
        <v>33.25</v>
      </c>
    </row>
    <row r="2882" spans="1:237" x14ac:dyDescent="0.25">
      <c r="A2882" s="127">
        <v>45051</v>
      </c>
      <c r="B2882" s="24" t="s">
        <v>17</v>
      </c>
      <c r="C2882" s="21">
        <f t="shared" si="49"/>
        <v>-56.84</v>
      </c>
      <c r="AN2882" s="106">
        <v>-31.6</v>
      </c>
      <c r="AW2882" s="106">
        <v>-8.69</v>
      </c>
      <c r="BI2882" s="106">
        <v>-16.55</v>
      </c>
    </row>
    <row r="2883" spans="1:237" x14ac:dyDescent="0.25">
      <c r="A2883" s="127">
        <v>45051</v>
      </c>
      <c r="B2883" s="24" t="s">
        <v>31</v>
      </c>
      <c r="C2883" s="21">
        <f t="shared" si="49"/>
        <v>-17.239999999999998</v>
      </c>
      <c r="CE2883" s="42">
        <v>-17.239999999999998</v>
      </c>
    </row>
    <row r="2884" spans="1:237" x14ac:dyDescent="0.25">
      <c r="A2884" s="127">
        <v>45054</v>
      </c>
      <c r="B2884" s="24" t="s">
        <v>113</v>
      </c>
      <c r="C2884" s="21">
        <f t="shared" si="49"/>
        <v>2771.82</v>
      </c>
      <c r="CM2884" s="106">
        <v>224.85</v>
      </c>
      <c r="CS2884" s="74">
        <v>240.45</v>
      </c>
      <c r="CY2884" s="106">
        <v>481.03</v>
      </c>
      <c r="DE2884" s="74">
        <v>263.74</v>
      </c>
      <c r="DK2884" s="106">
        <v>464.35</v>
      </c>
      <c r="GQ2884" s="92">
        <v>257.35000000000002</v>
      </c>
      <c r="IA2884" s="79">
        <v>165.9</v>
      </c>
      <c r="IC2884" s="92">
        <v>674.15</v>
      </c>
    </row>
    <row r="2885" spans="1:237" x14ac:dyDescent="0.25">
      <c r="A2885" s="127">
        <v>45054</v>
      </c>
      <c r="B2885" s="24" t="s">
        <v>43</v>
      </c>
      <c r="C2885" s="21">
        <f t="shared" si="49"/>
        <v>-304.75</v>
      </c>
      <c r="AW2885" s="106">
        <v>-133.01</v>
      </c>
      <c r="CY2885" s="106">
        <v>-171.74</v>
      </c>
    </row>
    <row r="2886" spans="1:237" x14ac:dyDescent="0.25">
      <c r="A2886" s="127">
        <v>45054</v>
      </c>
      <c r="B2886" s="24" t="s">
        <v>133</v>
      </c>
      <c r="C2886" s="21">
        <f t="shared" si="49"/>
        <v>-161.4</v>
      </c>
      <c r="AR2886" s="106">
        <v>-33.65</v>
      </c>
      <c r="AW2886" s="106">
        <v>-33.590000000000003</v>
      </c>
      <c r="CM2886" s="106">
        <v>-64.650000000000006</v>
      </c>
      <c r="DE2886" s="74">
        <v>-29.51</v>
      </c>
    </row>
    <row r="2887" spans="1:237" x14ac:dyDescent="0.25">
      <c r="A2887" s="127">
        <v>45054</v>
      </c>
      <c r="B2887" s="24" t="s">
        <v>161</v>
      </c>
      <c r="C2887" s="21">
        <f t="shared" si="49"/>
        <v>-99.81</v>
      </c>
      <c r="X2887" s="42">
        <v>-99.81</v>
      </c>
    </row>
    <row r="2888" spans="1:237" x14ac:dyDescent="0.25">
      <c r="A2888" s="127">
        <v>45054</v>
      </c>
      <c r="B2888" s="24" t="s">
        <v>161</v>
      </c>
      <c r="C2888" s="21">
        <f t="shared" si="49"/>
        <v>-8.49</v>
      </c>
      <c r="X2888" s="42">
        <v>-8.49</v>
      </c>
    </row>
    <row r="2889" spans="1:237" x14ac:dyDescent="0.25">
      <c r="A2889" s="127">
        <v>45054</v>
      </c>
      <c r="B2889" s="24" t="s">
        <v>167</v>
      </c>
      <c r="C2889" s="21">
        <f t="shared" si="49"/>
        <v>-24.31</v>
      </c>
      <c r="D2889" s="386">
        <v>-8.3000000000000007</v>
      </c>
      <c r="E2889" s="386">
        <v>-16.010000000000002</v>
      </c>
    </row>
    <row r="2890" spans="1:237" x14ac:dyDescent="0.25">
      <c r="A2890" s="127">
        <v>45055</v>
      </c>
      <c r="B2890" s="24" t="s">
        <v>113</v>
      </c>
      <c r="C2890" s="21">
        <f t="shared" si="49"/>
        <v>1007.76</v>
      </c>
      <c r="BO2890" s="106">
        <v>167.6</v>
      </c>
      <c r="CA2890" s="106">
        <v>168.2</v>
      </c>
      <c r="CG2890" s="106">
        <v>172.7</v>
      </c>
      <c r="HF2890" s="92">
        <v>499.26</v>
      </c>
    </row>
    <row r="2891" spans="1:237" x14ac:dyDescent="0.25">
      <c r="A2891" s="127">
        <v>45055</v>
      </c>
      <c r="B2891" s="24" t="s">
        <v>144</v>
      </c>
      <c r="C2891" s="21">
        <f t="shared" si="49"/>
        <v>-499.26</v>
      </c>
      <c r="HF2891" s="92">
        <v>-499.26</v>
      </c>
    </row>
    <row r="2892" spans="1:237" x14ac:dyDescent="0.25">
      <c r="A2892" s="127">
        <v>45055</v>
      </c>
      <c r="B2892" s="24" t="s">
        <v>44</v>
      </c>
      <c r="C2892" s="21">
        <f t="shared" si="49"/>
        <v>-199.77</v>
      </c>
      <c r="GK2892" s="79">
        <v>-26.69</v>
      </c>
      <c r="GQ2892" s="92">
        <v>-173.08</v>
      </c>
    </row>
    <row r="2893" spans="1:237" x14ac:dyDescent="0.25">
      <c r="A2893" s="127">
        <v>45055</v>
      </c>
      <c r="B2893" s="24" t="s">
        <v>20</v>
      </c>
      <c r="C2893" s="21">
        <f t="shared" si="49"/>
        <v>-8.3000000000000007</v>
      </c>
      <c r="BI2893" s="106">
        <v>-8.3000000000000007</v>
      </c>
    </row>
    <row r="2894" spans="1:237" x14ac:dyDescent="0.25">
      <c r="A2894" s="127">
        <v>45055</v>
      </c>
      <c r="B2894" s="24" t="s">
        <v>33</v>
      </c>
      <c r="C2894" s="21">
        <f t="shared" si="49"/>
        <v>-24.65</v>
      </c>
      <c r="AN2894" s="106">
        <v>-7.95</v>
      </c>
      <c r="BI2894" s="106">
        <v>-8.25</v>
      </c>
      <c r="CA2894" s="106">
        <v>-8.4499999999999993</v>
      </c>
    </row>
    <row r="2895" spans="1:237" x14ac:dyDescent="0.25">
      <c r="A2895" s="127">
        <v>45055</v>
      </c>
      <c r="B2895" s="24" t="s">
        <v>139</v>
      </c>
      <c r="C2895" s="21">
        <f t="shared" si="49"/>
        <v>-8.6</v>
      </c>
      <c r="CG2895" s="106">
        <v>-8.6</v>
      </c>
    </row>
    <row r="2896" spans="1:237" x14ac:dyDescent="0.25">
      <c r="A2896" s="127">
        <v>45055</v>
      </c>
      <c r="B2896" s="24" t="s">
        <v>39</v>
      </c>
      <c r="C2896" s="21">
        <f t="shared" si="49"/>
        <v>-42.244999999999997</v>
      </c>
      <c r="BF2896" s="182">
        <v>-8.35</v>
      </c>
      <c r="BR2896" s="182">
        <v>-8.4600000000000009</v>
      </c>
      <c r="BX2896" s="182">
        <v>-8.6349999999999998</v>
      </c>
      <c r="BY2896" s="42">
        <v>-8.4499999999999993</v>
      </c>
      <c r="CJ2896" s="182">
        <v>-8.35</v>
      </c>
    </row>
    <row r="2897" spans="1:224" x14ac:dyDescent="0.25">
      <c r="A2897" s="127">
        <v>45055</v>
      </c>
      <c r="B2897" s="29" t="s">
        <v>59</v>
      </c>
      <c r="C2897" s="21">
        <f t="shared" si="49"/>
        <v>-12.4</v>
      </c>
      <c r="CY2897" s="106">
        <v>-7.53</v>
      </c>
      <c r="DE2897" s="74">
        <v>-4.87</v>
      </c>
    </row>
    <row r="2898" spans="1:224" x14ac:dyDescent="0.25">
      <c r="A2898" s="127">
        <v>45056</v>
      </c>
      <c r="B2898" s="24" t="s">
        <v>17</v>
      </c>
      <c r="C2898" s="21">
        <f t="shared" si="49"/>
        <v>-33.25</v>
      </c>
      <c r="BO2898" s="106">
        <v>-24.85</v>
      </c>
      <c r="CA2898" s="106">
        <v>-8.4</v>
      </c>
    </row>
    <row r="2899" spans="1:224" x14ac:dyDescent="0.25">
      <c r="A2899" s="127">
        <v>45056</v>
      </c>
      <c r="B2899" s="24" t="s">
        <v>133</v>
      </c>
      <c r="C2899" s="21">
        <f t="shared" si="49"/>
        <v>0</v>
      </c>
    </row>
    <row r="2900" spans="1:224" x14ac:dyDescent="0.25">
      <c r="A2900" s="127">
        <v>45056</v>
      </c>
      <c r="B2900" s="29" t="s">
        <v>32</v>
      </c>
      <c r="C2900" s="21">
        <f t="shared" si="49"/>
        <v>-42.274999999999999</v>
      </c>
      <c r="AU2900" s="42">
        <v>-16.77</v>
      </c>
      <c r="BR2900" s="182">
        <v>-8.4949999999999992</v>
      </c>
      <c r="CK2900" s="42">
        <v>-17.010000000000002</v>
      </c>
    </row>
    <row r="2901" spans="1:224" x14ac:dyDescent="0.25">
      <c r="A2901" s="127">
        <v>45056</v>
      </c>
      <c r="B2901" s="29" t="s">
        <v>152</v>
      </c>
      <c r="C2901" s="21">
        <f t="shared" si="49"/>
        <v>-665.8</v>
      </c>
      <c r="Z2901" s="79">
        <v>-65.650000000000006</v>
      </c>
      <c r="AW2901" s="106">
        <v>-59.7</v>
      </c>
      <c r="BO2901" s="106">
        <v>-32.5</v>
      </c>
      <c r="CA2901" s="106">
        <v>-67.45</v>
      </c>
      <c r="CG2901" s="106">
        <v>-103.9</v>
      </c>
      <c r="CM2901" s="106">
        <v>-96.55</v>
      </c>
      <c r="CS2901" s="74">
        <v>-136.96</v>
      </c>
      <c r="CY2901" s="106">
        <v>-103.09</v>
      </c>
    </row>
    <row r="2902" spans="1:224" x14ac:dyDescent="0.25">
      <c r="A2902" s="127">
        <v>45056</v>
      </c>
      <c r="B2902" s="29" t="s">
        <v>138</v>
      </c>
      <c r="C2902" s="21">
        <f t="shared" si="49"/>
        <v>-99.17</v>
      </c>
      <c r="AZ2902" s="182">
        <v>-8.2200000000000006</v>
      </c>
      <c r="BF2902" s="182">
        <v>-8.2850000000000001</v>
      </c>
      <c r="BL2902" s="182">
        <v>-16.12</v>
      </c>
      <c r="BO2902" s="106">
        <v>-8.1</v>
      </c>
      <c r="BR2902" s="182">
        <f>-8.565-8.57</f>
        <v>-17.135000000000002</v>
      </c>
      <c r="BX2902" s="182">
        <v>-8.83</v>
      </c>
      <c r="BY2902" s="42">
        <v>-8.77</v>
      </c>
      <c r="CW2902" s="42">
        <v>-8.51</v>
      </c>
      <c r="DK2902" s="106">
        <v>-15.2</v>
      </c>
    </row>
    <row r="2903" spans="1:224" x14ac:dyDescent="0.25">
      <c r="A2903" s="127">
        <v>45056</v>
      </c>
      <c r="B2903" s="29" t="s">
        <v>25</v>
      </c>
      <c r="C2903" s="21">
        <f t="shared" si="49"/>
        <v>-33.265000000000001</v>
      </c>
      <c r="V2903" s="74">
        <v>-8.0299999999999994</v>
      </c>
      <c r="AZ2903" s="182">
        <v>-8.19</v>
      </c>
      <c r="BF2903" s="182">
        <v>-8.4149999999999991</v>
      </c>
      <c r="BS2903" s="42">
        <v>-8.6300000000000008</v>
      </c>
    </row>
    <row r="2904" spans="1:224" x14ac:dyDescent="0.25">
      <c r="A2904" s="127">
        <v>45056</v>
      </c>
      <c r="B2904" s="29" t="s">
        <v>27</v>
      </c>
      <c r="C2904" s="21">
        <f t="shared" si="49"/>
        <v>-16.059999999999999</v>
      </c>
      <c r="BL2904" s="182">
        <v>-16.059999999999999</v>
      </c>
    </row>
    <row r="2905" spans="1:224" x14ac:dyDescent="0.25">
      <c r="A2905" s="127">
        <v>45056</v>
      </c>
      <c r="B2905" s="29" t="s">
        <v>75</v>
      </c>
      <c r="C2905" s="21">
        <f t="shared" si="49"/>
        <v>-43.62</v>
      </c>
      <c r="AN2905" s="106">
        <v>-15.85</v>
      </c>
      <c r="AR2905" s="106">
        <v>-14.45</v>
      </c>
      <c r="CM2905" s="106">
        <v>-13.32</v>
      </c>
    </row>
    <row r="2906" spans="1:224" x14ac:dyDescent="0.25">
      <c r="A2906" s="127">
        <v>45056</v>
      </c>
      <c r="B2906" s="24" t="s">
        <v>39</v>
      </c>
      <c r="C2906" s="21">
        <f t="shared" si="49"/>
        <v>-7.3</v>
      </c>
      <c r="AR2906" s="106">
        <v>-7.3</v>
      </c>
    </row>
    <row r="2907" spans="1:224" x14ac:dyDescent="0.25">
      <c r="A2907" s="127">
        <v>45057</v>
      </c>
      <c r="B2907" s="24" t="s">
        <v>133</v>
      </c>
      <c r="C2907" s="21">
        <f t="shared" si="49"/>
        <v>-52.27</v>
      </c>
      <c r="CG2907" s="106">
        <v>-17.3</v>
      </c>
      <c r="DE2907" s="74">
        <v>-34.97</v>
      </c>
    </row>
    <row r="2908" spans="1:224" x14ac:dyDescent="0.25">
      <c r="A2908" s="127">
        <v>45057</v>
      </c>
      <c r="B2908" s="24" t="s">
        <v>48</v>
      </c>
      <c r="C2908" s="21">
        <f t="shared" si="49"/>
        <v>-8.35</v>
      </c>
      <c r="BO2908" s="106">
        <v>-8.35</v>
      </c>
    </row>
    <row r="2909" spans="1:224" x14ac:dyDescent="0.25">
      <c r="A2909" s="127">
        <v>45057</v>
      </c>
      <c r="B2909" s="24" t="s">
        <v>37</v>
      </c>
      <c r="C2909" s="21">
        <f t="shared" si="49"/>
        <v>-183.11</v>
      </c>
      <c r="Z2909" s="79">
        <v>-71.66</v>
      </c>
      <c r="HP2909" s="92">
        <v>-111.45</v>
      </c>
    </row>
    <row r="2910" spans="1:224" x14ac:dyDescent="0.25">
      <c r="A2910" s="127">
        <v>45058</v>
      </c>
      <c r="B2910" s="24" t="s">
        <v>139</v>
      </c>
      <c r="C2910" s="21">
        <f t="shared" si="49"/>
        <v>-50.335000000000001</v>
      </c>
      <c r="BI2910" s="106">
        <v>-8.25</v>
      </c>
      <c r="BX2910" s="182">
        <v>-8.625</v>
      </c>
      <c r="CG2910" s="106">
        <v>-8.65</v>
      </c>
      <c r="CM2910" s="106">
        <v>-7.9</v>
      </c>
      <c r="CS2910" s="74">
        <v>-8.6</v>
      </c>
      <c r="CY2910" s="106">
        <v>-8.31</v>
      </c>
    </row>
    <row r="2911" spans="1:224" x14ac:dyDescent="0.25">
      <c r="A2911" s="127">
        <v>45058</v>
      </c>
      <c r="B2911" s="24" t="s">
        <v>68</v>
      </c>
      <c r="C2911" s="21">
        <f t="shared" si="49"/>
        <v>-81.564999999999998</v>
      </c>
      <c r="AN2911" s="106">
        <v>-31.7</v>
      </c>
      <c r="AR2911" s="106">
        <v>-33.6</v>
      </c>
      <c r="AZ2911" s="182">
        <v>-16.265000000000001</v>
      </c>
    </row>
    <row r="2912" spans="1:224" x14ac:dyDescent="0.25">
      <c r="A2912" s="127">
        <v>45059</v>
      </c>
      <c r="B2912" s="24" t="s">
        <v>113</v>
      </c>
      <c r="C2912" s="21">
        <f t="shared" si="49"/>
        <v>1637.05</v>
      </c>
      <c r="AW2912" s="106">
        <v>67.599999999999994</v>
      </c>
      <c r="BC2912" s="106">
        <v>268.2</v>
      </c>
      <c r="BI2912" s="106">
        <v>364.95</v>
      </c>
      <c r="BO2912" s="106">
        <v>244.65</v>
      </c>
      <c r="BU2912" s="106">
        <v>316.39999999999998</v>
      </c>
      <c r="CA2912" s="106">
        <v>120.45</v>
      </c>
      <c r="CG2912" s="106">
        <v>154.65</v>
      </c>
      <c r="DP2912" s="74">
        <v>100.15</v>
      </c>
    </row>
    <row r="2913" spans="1:178" x14ac:dyDescent="0.25">
      <c r="A2913" s="127">
        <v>45059</v>
      </c>
      <c r="B2913" s="24" t="s">
        <v>166</v>
      </c>
      <c r="C2913" s="21">
        <f t="shared" si="49"/>
        <v>-333.85</v>
      </c>
      <c r="BI2913" s="106">
        <v>-83.95</v>
      </c>
      <c r="BO2913" s="106">
        <v>-85.55</v>
      </c>
      <c r="BU2913" s="106">
        <v>-80.45</v>
      </c>
      <c r="CA2913" s="106">
        <v>-83.9</v>
      </c>
    </row>
    <row r="2914" spans="1:178" x14ac:dyDescent="0.25">
      <c r="A2914" s="127">
        <v>45059</v>
      </c>
      <c r="B2914" s="24" t="s">
        <v>115</v>
      </c>
      <c r="C2914" s="21">
        <f t="shared" si="49"/>
        <v>-193.7</v>
      </c>
      <c r="FV2914" s="106">
        <f>-21.85-16.2-20-23.05-19.95-23-24.5-22.15-23</f>
        <v>-193.7</v>
      </c>
    </row>
    <row r="2915" spans="1:178" x14ac:dyDescent="0.25">
      <c r="A2915" s="127">
        <v>45061</v>
      </c>
      <c r="B2915" s="24" t="s">
        <v>133</v>
      </c>
      <c r="C2915" s="21">
        <f t="shared" si="49"/>
        <v>-200.33</v>
      </c>
      <c r="AW2915" s="106">
        <v>-33.65</v>
      </c>
      <c r="BC2915" s="106">
        <v>-33.1</v>
      </c>
      <c r="BI2915" s="106">
        <v>-33.049999999999997</v>
      </c>
      <c r="BU2915" s="106">
        <v>-31.8</v>
      </c>
      <c r="CA2915" s="106">
        <v>-33.75</v>
      </c>
      <c r="CS2915" s="74">
        <v>-34.979999999999997</v>
      </c>
    </row>
    <row r="2916" spans="1:178" x14ac:dyDescent="0.25">
      <c r="A2916" s="127">
        <v>45061</v>
      </c>
      <c r="B2916" s="24" t="s">
        <v>95</v>
      </c>
      <c r="C2916" s="21">
        <f t="shared" si="49"/>
        <v>-119.79</v>
      </c>
      <c r="AW2916" s="106">
        <v>-33.950000000000003</v>
      </c>
      <c r="CM2916" s="106">
        <v>-31.9</v>
      </c>
      <c r="CP2916" s="182">
        <f>-26.975-26.965</f>
        <v>-53.94</v>
      </c>
    </row>
    <row r="2917" spans="1:178" x14ac:dyDescent="0.25">
      <c r="A2917" s="127">
        <v>45061</v>
      </c>
      <c r="B2917" s="24" t="s">
        <v>95</v>
      </c>
      <c r="C2917" s="21">
        <f t="shared" si="49"/>
        <v>-598.13</v>
      </c>
      <c r="AN2917" s="106">
        <v>-31.65</v>
      </c>
      <c r="BC2917" s="106">
        <v>-67.150000000000006</v>
      </c>
      <c r="BI2917" s="106">
        <v>-67.099999999999994</v>
      </c>
      <c r="BO2917" s="106">
        <v>-60.4</v>
      </c>
      <c r="BU2917" s="106">
        <v>-61.75</v>
      </c>
      <c r="CA2917" s="106">
        <v>-34.4</v>
      </c>
      <c r="CG2917" s="106">
        <v>-68.8</v>
      </c>
      <c r="CS2917" s="74">
        <v>-68.89</v>
      </c>
      <c r="CY2917" s="106">
        <v>-69.67</v>
      </c>
      <c r="DE2917" s="74">
        <v>-68.319999999999993</v>
      </c>
    </row>
    <row r="2918" spans="1:178" x14ac:dyDescent="0.25">
      <c r="A2918" s="127">
        <v>45061</v>
      </c>
      <c r="B2918" s="24" t="s">
        <v>14</v>
      </c>
      <c r="C2918" s="21">
        <f t="shared" si="49"/>
        <v>-133.59</v>
      </c>
      <c r="BI2918" s="106">
        <v>-32.65</v>
      </c>
      <c r="CS2918" s="74">
        <v>-34.22</v>
      </c>
      <c r="CY2918" s="106">
        <v>-25.4</v>
      </c>
      <c r="DE2918" s="74">
        <v>-24.22</v>
      </c>
      <c r="DK2918" s="106">
        <v>-17.100000000000001</v>
      </c>
    </row>
    <row r="2919" spans="1:178" x14ac:dyDescent="0.25">
      <c r="A2919" s="127">
        <v>45061</v>
      </c>
      <c r="B2919" s="24" t="s">
        <v>151</v>
      </c>
      <c r="C2919" s="21">
        <f t="shared" si="49"/>
        <v>-7.75</v>
      </c>
      <c r="BU2919" s="106">
        <v>-7.75</v>
      </c>
    </row>
    <row r="2920" spans="1:178" x14ac:dyDescent="0.25">
      <c r="A2920" s="127">
        <v>45061</v>
      </c>
      <c r="B2920" s="24" t="s">
        <v>17</v>
      </c>
      <c r="C2920" s="21">
        <f t="shared" si="49"/>
        <v>-8.49</v>
      </c>
      <c r="CS2920" s="74">
        <v>-8.49</v>
      </c>
    </row>
    <row r="2921" spans="1:178" x14ac:dyDescent="0.25">
      <c r="A2921" s="127">
        <v>45061</v>
      </c>
      <c r="B2921" s="24" t="s">
        <v>59</v>
      </c>
      <c r="C2921" s="21">
        <f t="shared" si="49"/>
        <v>-20.75</v>
      </c>
      <c r="P2921" s="106">
        <v>-20.75</v>
      </c>
    </row>
    <row r="2922" spans="1:178" x14ac:dyDescent="0.25">
      <c r="A2922" s="127">
        <v>45062</v>
      </c>
      <c r="B2922" s="24" t="s">
        <v>115</v>
      </c>
      <c r="C2922" s="21">
        <f t="shared" si="49"/>
        <v>94.99</v>
      </c>
      <c r="D2922" s="386">
        <v>46.115000000000002</v>
      </c>
      <c r="E2922" s="386">
        <v>48.875</v>
      </c>
    </row>
    <row r="2923" spans="1:178" x14ac:dyDescent="0.25">
      <c r="A2923" s="127">
        <v>45062</v>
      </c>
      <c r="B2923" s="24" t="s">
        <v>48</v>
      </c>
      <c r="C2923" s="21">
        <f t="shared" si="49"/>
        <v>34.520000000000003</v>
      </c>
      <c r="BY2923" s="42">
        <v>34.520000000000003</v>
      </c>
    </row>
    <row r="2924" spans="1:178" x14ac:dyDescent="0.25">
      <c r="A2924" s="127">
        <v>45062</v>
      </c>
      <c r="B2924" s="24" t="s">
        <v>127</v>
      </c>
      <c r="C2924" s="21">
        <f t="shared" si="49"/>
        <v>-25.535</v>
      </c>
      <c r="BF2924" s="182">
        <v>-8.2850000000000001</v>
      </c>
      <c r="BY2924" s="42">
        <v>-17.25</v>
      </c>
    </row>
    <row r="2925" spans="1:178" x14ac:dyDescent="0.25">
      <c r="A2925" s="127">
        <v>45062</v>
      </c>
      <c r="B2925" s="24" t="s">
        <v>138</v>
      </c>
      <c r="C2925" s="21">
        <f t="shared" si="49"/>
        <v>-7.41</v>
      </c>
      <c r="AL2925" s="42">
        <v>-7.41</v>
      </c>
    </row>
    <row r="2926" spans="1:178" x14ac:dyDescent="0.25">
      <c r="A2926" s="127">
        <v>45062</v>
      </c>
      <c r="B2926" s="24" t="s">
        <v>134</v>
      </c>
      <c r="C2926" s="21">
        <f t="shared" si="49"/>
        <v>-70.11</v>
      </c>
      <c r="E2926" s="386">
        <v>-43.2</v>
      </c>
      <c r="F2926" s="145">
        <v>-26.91</v>
      </c>
    </row>
    <row r="2927" spans="1:178" x14ac:dyDescent="0.25">
      <c r="A2927" s="127">
        <v>45062</v>
      </c>
      <c r="B2927" s="24" t="s">
        <v>84</v>
      </c>
      <c r="C2927" s="21">
        <f t="shared" si="49"/>
        <v>-26.2</v>
      </c>
      <c r="CA2927" s="106">
        <v>-17.600000000000001</v>
      </c>
      <c r="CG2927" s="106">
        <v>-8.6</v>
      </c>
    </row>
    <row r="2928" spans="1:178" x14ac:dyDescent="0.25">
      <c r="A2928" s="127">
        <v>45062</v>
      </c>
      <c r="B2928" s="24" t="s">
        <v>20</v>
      </c>
      <c r="C2928" s="21">
        <f t="shared" si="49"/>
        <v>-59.79</v>
      </c>
      <c r="BC2928" s="106">
        <v>-8.4499999999999993</v>
      </c>
      <c r="BI2928" s="106">
        <v>-8.4</v>
      </c>
      <c r="BO2928" s="106">
        <v>-8.3000000000000007</v>
      </c>
      <c r="BU2928" s="106">
        <v>-7.8</v>
      </c>
      <c r="CA2928" s="106">
        <v>-9.4499999999999993</v>
      </c>
      <c r="CG2928" s="106">
        <v>-8.6</v>
      </c>
      <c r="CS2928" s="74">
        <v>-8.7899999999999991</v>
      </c>
    </row>
    <row r="2929" spans="1:237" x14ac:dyDescent="0.25">
      <c r="A2929" s="127">
        <v>45062</v>
      </c>
      <c r="B2929" s="24" t="s">
        <v>65</v>
      </c>
      <c r="C2929" s="21">
        <f t="shared" ref="C2929:C2992" si="50">SUM(D2929:JT2929)</f>
        <v>-7.42</v>
      </c>
      <c r="AL2929" s="42">
        <v>-7.42</v>
      </c>
    </row>
    <row r="2930" spans="1:237" x14ac:dyDescent="0.25">
      <c r="A2930" s="127">
        <v>45062</v>
      </c>
      <c r="B2930" s="24" t="s">
        <v>48</v>
      </c>
      <c r="C2930" s="21">
        <f t="shared" si="50"/>
        <v>-44.45</v>
      </c>
      <c r="BO2930" s="106">
        <v>-16.5</v>
      </c>
      <c r="CG2930" s="106">
        <v>-16.89</v>
      </c>
      <c r="CS2930" s="74">
        <v>-11.06</v>
      </c>
    </row>
    <row r="2931" spans="1:237" x14ac:dyDescent="0.25">
      <c r="A2931" s="127">
        <v>45062</v>
      </c>
      <c r="B2931" s="24" t="s">
        <v>32</v>
      </c>
      <c r="C2931" s="21">
        <f t="shared" si="50"/>
        <v>-23.7</v>
      </c>
      <c r="BI2931" s="106">
        <v>-7.95</v>
      </c>
      <c r="BU2931" s="106">
        <v>-15.75</v>
      </c>
    </row>
    <row r="2932" spans="1:237" x14ac:dyDescent="0.25">
      <c r="A2932" s="127">
        <v>45062</v>
      </c>
      <c r="B2932" s="24" t="s">
        <v>17</v>
      </c>
      <c r="C2932" s="21">
        <f t="shared" si="50"/>
        <v>-33.6</v>
      </c>
      <c r="ET2932" s="106">
        <v>-33.6</v>
      </c>
    </row>
    <row r="2933" spans="1:237" x14ac:dyDescent="0.25">
      <c r="A2933" s="127">
        <v>45063</v>
      </c>
      <c r="B2933" s="24" t="s">
        <v>32</v>
      </c>
      <c r="C2933" s="21">
        <f t="shared" si="50"/>
        <v>-141.38999999999999</v>
      </c>
      <c r="CY2933" s="106">
        <v>-84.15</v>
      </c>
      <c r="DE2933" s="74">
        <v>-57.24</v>
      </c>
    </row>
    <row r="2934" spans="1:237" x14ac:dyDescent="0.25">
      <c r="A2934" s="127">
        <v>45063</v>
      </c>
      <c r="B2934" s="24" t="s">
        <v>48</v>
      </c>
      <c r="C2934" s="21">
        <f t="shared" si="50"/>
        <v>0</v>
      </c>
    </row>
    <row r="2935" spans="1:237" x14ac:dyDescent="0.25">
      <c r="A2935" s="127">
        <v>45063</v>
      </c>
      <c r="B2935" s="24" t="s">
        <v>43</v>
      </c>
      <c r="C2935" s="21">
        <f t="shared" si="50"/>
        <v>-66.97</v>
      </c>
      <c r="Z2935" s="79">
        <v>-66.97</v>
      </c>
    </row>
    <row r="2936" spans="1:237" x14ac:dyDescent="0.25">
      <c r="A2936" s="127">
        <v>45063</v>
      </c>
      <c r="B2936" s="24" t="s">
        <v>115</v>
      </c>
      <c r="C2936" s="21">
        <f t="shared" si="50"/>
        <v>102.38500000000001</v>
      </c>
      <c r="E2936" s="386">
        <v>102.38500000000001</v>
      </c>
    </row>
    <row r="2937" spans="1:237" x14ac:dyDescent="0.25">
      <c r="A2937" s="127">
        <v>45064</v>
      </c>
      <c r="B2937" s="24" t="s">
        <v>17</v>
      </c>
      <c r="C2937" s="21">
        <f t="shared" si="50"/>
        <v>-58.9</v>
      </c>
      <c r="BC2937" s="106">
        <v>-16.8</v>
      </c>
      <c r="BO2937" s="106">
        <v>-9.1999999999999993</v>
      </c>
      <c r="BU2937" s="106">
        <v>-15.7</v>
      </c>
      <c r="CG2937" s="106">
        <v>-17.2</v>
      </c>
    </row>
    <row r="2938" spans="1:237" x14ac:dyDescent="0.25">
      <c r="A2938" s="127">
        <v>45064</v>
      </c>
      <c r="B2938" s="24" t="s">
        <v>75</v>
      </c>
      <c r="C2938" s="21">
        <f t="shared" si="50"/>
        <v>-24.2</v>
      </c>
      <c r="BI2938" s="106">
        <v>-7.15</v>
      </c>
      <c r="BO2938" s="106">
        <v>-17.05</v>
      </c>
    </row>
    <row r="2939" spans="1:237" x14ac:dyDescent="0.25">
      <c r="A2939" s="127">
        <v>45064</v>
      </c>
      <c r="B2939" s="24" t="s">
        <v>27</v>
      </c>
      <c r="C2939" s="21">
        <f t="shared" si="50"/>
        <v>-33.6</v>
      </c>
      <c r="BC2939" s="106">
        <v>-16.8</v>
      </c>
      <c r="CA2939" s="106">
        <v>-16.8</v>
      </c>
    </row>
    <row r="2940" spans="1:237" x14ac:dyDescent="0.25">
      <c r="A2940" s="127">
        <v>45064</v>
      </c>
      <c r="B2940" s="24" t="s">
        <v>127</v>
      </c>
      <c r="C2940" s="21">
        <f t="shared" si="50"/>
        <v>-33.549999999999997</v>
      </c>
      <c r="BI2940" s="106">
        <v>-16.75</v>
      </c>
      <c r="BO2940" s="106">
        <v>-16.8</v>
      </c>
    </row>
    <row r="2941" spans="1:237" x14ac:dyDescent="0.25">
      <c r="A2941" s="127">
        <v>45064</v>
      </c>
      <c r="B2941" s="24" t="s">
        <v>44</v>
      </c>
      <c r="C2941" s="21">
        <f t="shared" si="50"/>
        <v>-49.33</v>
      </c>
      <c r="GK2941" s="79">
        <v>-6.23</v>
      </c>
      <c r="IC2941" s="92">
        <v>-43.1</v>
      </c>
    </row>
    <row r="2942" spans="1:237" x14ac:dyDescent="0.25">
      <c r="A2942" s="127">
        <v>45064</v>
      </c>
      <c r="B2942" s="24" t="s">
        <v>78</v>
      </c>
      <c r="C2942" s="21">
        <f t="shared" si="50"/>
        <v>-55.44</v>
      </c>
      <c r="DE2942" s="74">
        <v>-15.03</v>
      </c>
      <c r="DK2942" s="106">
        <v>-33.1</v>
      </c>
      <c r="DP2942" s="74">
        <v>-7.31</v>
      </c>
    </row>
    <row r="2943" spans="1:237" x14ac:dyDescent="0.25">
      <c r="A2943" s="127">
        <v>45065</v>
      </c>
      <c r="B2943" s="24" t="s">
        <v>19</v>
      </c>
      <c r="C2943" s="21">
        <f t="shared" si="50"/>
        <v>290.19</v>
      </c>
      <c r="AX2943" s="121">
        <v>30.58</v>
      </c>
      <c r="BE2943" s="126">
        <v>32.549999999999997</v>
      </c>
      <c r="BK2943" s="126">
        <v>33.39</v>
      </c>
      <c r="BP2943" s="121">
        <v>30.22</v>
      </c>
      <c r="BW2943" s="126">
        <v>31.92</v>
      </c>
      <c r="CC2943" s="126">
        <v>33</v>
      </c>
      <c r="CI2943" s="126">
        <v>34.81</v>
      </c>
      <c r="CO2943" s="126">
        <v>31.66</v>
      </c>
      <c r="CT2943" s="121">
        <v>32.06</v>
      </c>
    </row>
    <row r="2944" spans="1:237" x14ac:dyDescent="0.25">
      <c r="A2944" s="127">
        <v>45065</v>
      </c>
      <c r="B2944" s="24" t="s">
        <v>19</v>
      </c>
      <c r="C2944" s="21">
        <f t="shared" si="50"/>
        <v>0</v>
      </c>
    </row>
    <row r="2945" spans="1:230" x14ac:dyDescent="0.25">
      <c r="A2945" s="127">
        <v>45065</v>
      </c>
      <c r="B2945" s="24" t="s">
        <v>20</v>
      </c>
      <c r="C2945" s="21">
        <f t="shared" si="50"/>
        <v>-65.3</v>
      </c>
      <c r="GZ2945" s="106">
        <v>-65.3</v>
      </c>
    </row>
    <row r="2946" spans="1:230" x14ac:dyDescent="0.25">
      <c r="A2946" s="127">
        <v>45065</v>
      </c>
      <c r="B2946" s="24" t="s">
        <v>19</v>
      </c>
      <c r="C2946" s="21">
        <f t="shared" si="50"/>
        <v>-276.43</v>
      </c>
      <c r="H2946" s="84">
        <v>-14.65</v>
      </c>
      <c r="J2946" s="110">
        <v>-15.45</v>
      </c>
      <c r="GQ2946" s="92">
        <v>-14.43</v>
      </c>
      <c r="GR2946" s="50">
        <v>-8.0500000000000007</v>
      </c>
      <c r="GS2946" s="110">
        <v>-6.9</v>
      </c>
      <c r="GT2946" s="110">
        <v>-30.75</v>
      </c>
      <c r="GW2946" s="92">
        <v>-28.62</v>
      </c>
      <c r="HS2946" s="38">
        <v>-62.58</v>
      </c>
      <c r="HT2946" s="84">
        <v>-29.45</v>
      </c>
      <c r="HV2946" s="92">
        <v>-65.55</v>
      </c>
    </row>
    <row r="2947" spans="1:230" x14ac:dyDescent="0.25">
      <c r="A2947" s="127">
        <v>45066</v>
      </c>
      <c r="B2947" s="24" t="s">
        <v>50</v>
      </c>
      <c r="C2947" s="21">
        <f t="shared" si="50"/>
        <v>-34.450000000000003</v>
      </c>
      <c r="DE2947" s="74">
        <v>-34.450000000000003</v>
      </c>
    </row>
    <row r="2948" spans="1:230" x14ac:dyDescent="0.25">
      <c r="A2948" s="127">
        <v>45068</v>
      </c>
      <c r="B2948" s="24" t="s">
        <v>59</v>
      </c>
      <c r="C2948" s="21">
        <f t="shared" si="50"/>
        <v>-7.4</v>
      </c>
      <c r="CG2948" s="106">
        <v>-3.2</v>
      </c>
      <c r="CY2948" s="106">
        <v>-4.2</v>
      </c>
    </row>
    <row r="2949" spans="1:230" x14ac:dyDescent="0.25">
      <c r="A2949" s="127">
        <v>45068</v>
      </c>
      <c r="B2949" s="24" t="s">
        <v>161</v>
      </c>
      <c r="C2949" s="21">
        <f t="shared" si="50"/>
        <v>-8.52</v>
      </c>
      <c r="X2949" s="42">
        <v>-8.52</v>
      </c>
    </row>
    <row r="2950" spans="1:230" x14ac:dyDescent="0.25">
      <c r="A2950" s="127">
        <v>45068</v>
      </c>
      <c r="B2950" s="24" t="s">
        <v>127</v>
      </c>
      <c r="C2950" s="21">
        <f t="shared" si="50"/>
        <v>-82.08</v>
      </c>
      <c r="BW2950" s="126">
        <v>-23.35</v>
      </c>
      <c r="CC2950" s="126">
        <v>-24.77</v>
      </c>
      <c r="CI2950" s="126">
        <v>-26</v>
      </c>
      <c r="CT2950" s="121">
        <v>-7.96</v>
      </c>
    </row>
    <row r="2951" spans="1:230" x14ac:dyDescent="0.25">
      <c r="A2951" s="127">
        <v>45069</v>
      </c>
      <c r="B2951" s="24" t="s">
        <v>115</v>
      </c>
      <c r="C2951" s="21">
        <f t="shared" si="50"/>
        <v>0</v>
      </c>
    </row>
    <row r="2952" spans="1:230" x14ac:dyDescent="0.25">
      <c r="A2952" s="127">
        <v>45069</v>
      </c>
      <c r="B2952" s="24" t="s">
        <v>25</v>
      </c>
      <c r="C2952" s="21">
        <f t="shared" si="50"/>
        <v>-25.31</v>
      </c>
      <c r="Z2952" s="79">
        <v>-8.51</v>
      </c>
      <c r="CA2952" s="106">
        <v>-8.4499999999999993</v>
      </c>
      <c r="CG2952" s="106">
        <v>-8.35</v>
      </c>
    </row>
    <row r="2953" spans="1:230" x14ac:dyDescent="0.25">
      <c r="A2953" s="127">
        <v>45069</v>
      </c>
      <c r="B2953" s="24" t="s">
        <v>75</v>
      </c>
      <c r="C2953" s="21">
        <f t="shared" si="50"/>
        <v>-41.29</v>
      </c>
      <c r="AN2953" s="106">
        <v>-7.95</v>
      </c>
      <c r="CG2953" s="106">
        <v>-8.9</v>
      </c>
      <c r="DE2953" s="74">
        <v>-8.49</v>
      </c>
      <c r="DK2953" s="106">
        <v>-8.5</v>
      </c>
      <c r="DP2953" s="74">
        <v>-7.45</v>
      </c>
    </row>
    <row r="2954" spans="1:230" x14ac:dyDescent="0.25">
      <c r="A2954" s="127">
        <v>45069</v>
      </c>
      <c r="B2954" s="24" t="s">
        <v>79</v>
      </c>
      <c r="C2954" s="21">
        <f t="shared" si="50"/>
        <v>-37.200000000000003</v>
      </c>
      <c r="P2954" s="106">
        <v>-3.7</v>
      </c>
      <c r="BI2954" s="106">
        <v>-25.1</v>
      </c>
      <c r="BO2954" s="106">
        <v>-8.4</v>
      </c>
    </row>
    <row r="2955" spans="1:230" x14ac:dyDescent="0.25">
      <c r="A2955" s="127">
        <v>45069</v>
      </c>
      <c r="B2955" s="24" t="s">
        <v>133</v>
      </c>
      <c r="C2955" s="21">
        <f t="shared" si="50"/>
        <v>-98.81</v>
      </c>
      <c r="AN2955" s="106">
        <v>-31.85</v>
      </c>
      <c r="CG2955" s="106">
        <v>-34.25</v>
      </c>
      <c r="CY2955" s="106">
        <v>-32.71</v>
      </c>
    </row>
    <row r="2956" spans="1:230" x14ac:dyDescent="0.25">
      <c r="A2956" s="127">
        <v>45069</v>
      </c>
      <c r="B2956" s="24" t="s">
        <v>113</v>
      </c>
      <c r="C2956" s="21">
        <f t="shared" si="50"/>
        <v>1934.6</v>
      </c>
      <c r="V2956" s="74">
        <v>65.2</v>
      </c>
      <c r="AC2956" s="106">
        <v>94.5</v>
      </c>
      <c r="AG2956" s="106">
        <v>99</v>
      </c>
      <c r="AR2956" s="106">
        <v>99.45</v>
      </c>
      <c r="AW2956" s="106">
        <v>100.85</v>
      </c>
      <c r="BC2956" s="106">
        <v>95.15</v>
      </c>
      <c r="BI2956" s="106">
        <v>98.05</v>
      </c>
      <c r="BO2956" s="106">
        <v>101.8</v>
      </c>
      <c r="BU2956" s="106">
        <v>200.2</v>
      </c>
      <c r="CA2956" s="106">
        <v>136.15</v>
      </c>
      <c r="CG2956" s="106">
        <v>136.4</v>
      </c>
      <c r="CM2956" s="106">
        <v>134.94999999999999</v>
      </c>
      <c r="CS2956" s="74">
        <v>141.80000000000001</v>
      </c>
      <c r="CY2956" s="106">
        <v>102.45</v>
      </c>
      <c r="DE2956" s="74">
        <v>95.3</v>
      </c>
      <c r="DP2956" s="74">
        <v>97.5</v>
      </c>
      <c r="HJ2956" s="79">
        <v>67.75</v>
      </c>
      <c r="HM2956" s="106">
        <v>68.099999999999994</v>
      </c>
    </row>
    <row r="2957" spans="1:230" x14ac:dyDescent="0.25">
      <c r="A2957" s="127">
        <v>45069</v>
      </c>
      <c r="B2957" s="24" t="s">
        <v>37</v>
      </c>
      <c r="C2957" s="21">
        <f t="shared" si="50"/>
        <v>-101.35</v>
      </c>
      <c r="HJ2957" s="79">
        <v>-67.75</v>
      </c>
      <c r="HM2957" s="106">
        <v>-33.6</v>
      </c>
    </row>
    <row r="2958" spans="1:230" x14ac:dyDescent="0.25">
      <c r="A2958" s="127">
        <v>45070</v>
      </c>
      <c r="B2958" s="24" t="s">
        <v>17</v>
      </c>
      <c r="C2958" s="21">
        <f t="shared" si="50"/>
        <v>-91.24</v>
      </c>
      <c r="AR2958" s="106">
        <v>-7.35</v>
      </c>
      <c r="AW2958" s="106">
        <v>-8.35</v>
      </c>
      <c r="BI2958" s="106">
        <f>-7.6-8.35</f>
        <v>-15.95</v>
      </c>
      <c r="BO2958" s="106">
        <v>-9.1</v>
      </c>
      <c r="BU2958" s="106">
        <v>-6.85</v>
      </c>
      <c r="CA2958" s="106">
        <v>-8.75</v>
      </c>
      <c r="CG2958" s="106">
        <v>-25.7</v>
      </c>
      <c r="DY2958" s="42">
        <v>-9.19</v>
      </c>
    </row>
    <row r="2959" spans="1:230" x14ac:dyDescent="0.25">
      <c r="A2959" s="127">
        <v>45070</v>
      </c>
      <c r="B2959" s="24" t="s">
        <v>17</v>
      </c>
      <c r="C2959" s="21">
        <f t="shared" si="50"/>
        <v>-8.6</v>
      </c>
      <c r="AN2959" s="106">
        <v>-8.6</v>
      </c>
    </row>
    <row r="2960" spans="1:230" x14ac:dyDescent="0.25">
      <c r="A2960" s="127">
        <v>45070</v>
      </c>
      <c r="B2960" s="24" t="s">
        <v>65</v>
      </c>
      <c r="C2960" s="21">
        <f t="shared" si="50"/>
        <v>-97.71</v>
      </c>
      <c r="AN2960" s="106">
        <v>-63.6</v>
      </c>
      <c r="AR2960" s="106">
        <v>-34.11</v>
      </c>
    </row>
    <row r="2961" spans="1:221" x14ac:dyDescent="0.25">
      <c r="A2961" s="127">
        <v>45070</v>
      </c>
      <c r="B2961" s="24" t="s">
        <v>83</v>
      </c>
      <c r="C2961" s="21">
        <f t="shared" si="50"/>
        <v>0</v>
      </c>
    </row>
    <row r="2962" spans="1:221" x14ac:dyDescent="0.25">
      <c r="A2962" s="127">
        <v>45070</v>
      </c>
      <c r="B2962" s="24" t="s">
        <v>82</v>
      </c>
      <c r="C2962" s="21">
        <f t="shared" si="50"/>
        <v>-17.25</v>
      </c>
      <c r="HM2962" s="106">
        <v>-17.25</v>
      </c>
    </row>
    <row r="2963" spans="1:221" x14ac:dyDescent="0.25">
      <c r="A2963" s="127">
        <v>45070</v>
      </c>
      <c r="B2963" s="24" t="s">
        <v>133</v>
      </c>
      <c r="C2963" s="21">
        <f t="shared" si="50"/>
        <v>-98.54</v>
      </c>
      <c r="AC2963" s="106">
        <v>-31.95</v>
      </c>
      <c r="AG2963" s="106">
        <v>-32.69</v>
      </c>
      <c r="CA2963" s="106">
        <v>-33.9</v>
      </c>
    </row>
    <row r="2964" spans="1:221" x14ac:dyDescent="0.25">
      <c r="A2964" s="127">
        <v>45070</v>
      </c>
      <c r="B2964" s="24" t="s">
        <v>59</v>
      </c>
      <c r="C2964" s="21">
        <f t="shared" si="50"/>
        <v>-11.1</v>
      </c>
      <c r="CM2964" s="106">
        <v>-6.23</v>
      </c>
      <c r="CS2964" s="74">
        <v>-4.87</v>
      </c>
    </row>
    <row r="2965" spans="1:221" x14ac:dyDescent="0.25">
      <c r="A2965" s="127">
        <v>45071</v>
      </c>
      <c r="B2965" s="24" t="s">
        <v>113</v>
      </c>
      <c r="C2965" s="21">
        <f t="shared" si="50"/>
        <v>1252.93</v>
      </c>
      <c r="AG2965" s="106">
        <v>128.18</v>
      </c>
      <c r="AW2965" s="106">
        <v>232.2</v>
      </c>
      <c r="CA2965" s="106">
        <v>155.65</v>
      </c>
      <c r="CG2965" s="106">
        <v>221.05</v>
      </c>
      <c r="CS2965" s="74">
        <v>141.85</v>
      </c>
      <c r="HJ2965" s="79">
        <v>273.75</v>
      </c>
      <c r="HM2965" s="106">
        <v>100.25</v>
      </c>
    </row>
    <row r="2966" spans="1:221" x14ac:dyDescent="0.25">
      <c r="A2966" s="127">
        <v>45071</v>
      </c>
      <c r="B2966" s="24" t="s">
        <v>29</v>
      </c>
      <c r="C2966" s="21">
        <f t="shared" si="50"/>
        <v>-16.55</v>
      </c>
      <c r="AW2966" s="106">
        <v>-8.4499999999999993</v>
      </c>
      <c r="BI2966" s="106">
        <v>-8.1</v>
      </c>
    </row>
    <row r="2967" spans="1:221" x14ac:dyDescent="0.25">
      <c r="A2967" s="127">
        <v>45071</v>
      </c>
      <c r="B2967" s="24" t="s">
        <v>144</v>
      </c>
      <c r="C2967" s="21">
        <f t="shared" si="50"/>
        <v>-103.55</v>
      </c>
      <c r="AG2967" s="106">
        <v>-103.55</v>
      </c>
    </row>
    <row r="2968" spans="1:221" x14ac:dyDescent="0.25">
      <c r="A2968" s="127">
        <v>45071</v>
      </c>
      <c r="B2968" s="24" t="s">
        <v>37</v>
      </c>
      <c r="C2968" s="21">
        <f t="shared" si="50"/>
        <v>-273.75</v>
      </c>
      <c r="HJ2968" s="79">
        <v>-273.75</v>
      </c>
    </row>
    <row r="2969" spans="1:221" x14ac:dyDescent="0.25">
      <c r="A2969" s="127">
        <v>45072</v>
      </c>
      <c r="B2969" s="24" t="s">
        <v>53</v>
      </c>
      <c r="C2969" s="21">
        <f t="shared" si="50"/>
        <v>-637.29</v>
      </c>
      <c r="BC2969" s="106">
        <v>-63.95</v>
      </c>
      <c r="BI2969" s="106">
        <v>-32.9</v>
      </c>
      <c r="BO2969" s="106">
        <v>-34.700000000000003</v>
      </c>
      <c r="CA2969" s="106">
        <v>-34.6</v>
      </c>
      <c r="CM2969" s="106">
        <v>-33.85</v>
      </c>
      <c r="CS2969" s="74">
        <v>-70.900000000000006</v>
      </c>
      <c r="CY2969" s="106">
        <v>-33.950000000000003</v>
      </c>
      <c r="DK2969" s="106">
        <v>-33.049999999999997</v>
      </c>
      <c r="DP2969" s="74">
        <v>-164.75</v>
      </c>
      <c r="EL2969" s="106">
        <v>-34.04</v>
      </c>
      <c r="EP2969" s="74">
        <v>-67.55</v>
      </c>
      <c r="ET2969" s="106">
        <v>-33.049999999999997</v>
      </c>
    </row>
    <row r="2970" spans="1:221" x14ac:dyDescent="0.25">
      <c r="A2970" s="127">
        <v>45072</v>
      </c>
      <c r="B2970" s="24" t="s">
        <v>152</v>
      </c>
      <c r="C2970" s="21">
        <f t="shared" si="50"/>
        <v>-737.6</v>
      </c>
      <c r="AR2970" s="106">
        <v>-31.55</v>
      </c>
      <c r="AW2970" s="106">
        <v>-29.95</v>
      </c>
      <c r="BI2970" s="106">
        <v>-64.849999999999994</v>
      </c>
      <c r="BO2970" s="106">
        <v>-99.9</v>
      </c>
      <c r="BU2970" s="106">
        <v>-133.75</v>
      </c>
      <c r="CA2970" s="106">
        <v>-69.25</v>
      </c>
      <c r="CG2970" s="106">
        <v>-135.85</v>
      </c>
      <c r="CM2970" s="106">
        <v>-34.1</v>
      </c>
      <c r="CS2970" s="74">
        <v>-71</v>
      </c>
      <c r="CY2970" s="106">
        <v>-34.299999999999997</v>
      </c>
      <c r="DK2970" s="106">
        <v>-33.1</v>
      </c>
    </row>
    <row r="2971" spans="1:221" x14ac:dyDescent="0.25">
      <c r="A2971" s="127">
        <v>45072</v>
      </c>
      <c r="B2971" s="24" t="s">
        <v>149</v>
      </c>
      <c r="C2971" s="21">
        <f t="shared" si="50"/>
        <v>-16.45</v>
      </c>
      <c r="CG2971" s="106">
        <v>-8.5</v>
      </c>
      <c r="CM2971" s="106">
        <v>-7.95</v>
      </c>
    </row>
    <row r="2972" spans="1:221" x14ac:dyDescent="0.25">
      <c r="A2972" s="127">
        <v>45072</v>
      </c>
      <c r="B2972" s="24" t="s">
        <v>20</v>
      </c>
      <c r="C2972" s="21">
        <f t="shared" si="50"/>
        <v>-15.9</v>
      </c>
      <c r="AC2972" s="106">
        <v>-8</v>
      </c>
      <c r="BU2972" s="106">
        <v>-7.9</v>
      </c>
    </row>
    <row r="2973" spans="1:221" x14ac:dyDescent="0.25">
      <c r="A2973" s="127">
        <v>45072</v>
      </c>
      <c r="B2973" s="24" t="s">
        <v>18</v>
      </c>
      <c r="C2973" s="21">
        <f t="shared" si="50"/>
        <v>-409.75</v>
      </c>
      <c r="AN2973" s="106">
        <v>-32.25</v>
      </c>
      <c r="BI2973" s="106">
        <v>-33.450000000000003</v>
      </c>
      <c r="BU2973" s="106">
        <v>-66.45</v>
      </c>
      <c r="CA2973" s="106">
        <v>-68.8</v>
      </c>
      <c r="CG2973" s="106">
        <v>-102.45</v>
      </c>
      <c r="CS2973" s="74">
        <v>-106.35</v>
      </c>
    </row>
    <row r="2974" spans="1:221" x14ac:dyDescent="0.25">
      <c r="A2974" s="127">
        <v>45073</v>
      </c>
      <c r="B2974" s="24" t="s">
        <v>32</v>
      </c>
      <c r="C2974" s="21">
        <f t="shared" si="50"/>
        <v>-86.34</v>
      </c>
      <c r="CM2974" s="106">
        <v>-33.9</v>
      </c>
      <c r="CS2974" s="74">
        <f>-35.4-8.73</f>
        <v>-44.13</v>
      </c>
      <c r="CV2974" s="115">
        <v>-8.31</v>
      </c>
    </row>
    <row r="2975" spans="1:221" x14ac:dyDescent="0.25">
      <c r="A2975" s="127">
        <v>45073</v>
      </c>
      <c r="B2975" s="24" t="s">
        <v>44</v>
      </c>
      <c r="C2975" s="21">
        <f t="shared" si="50"/>
        <v>-170.01</v>
      </c>
      <c r="GQ2975" s="92">
        <v>-170.01</v>
      </c>
    </row>
    <row r="2976" spans="1:221" x14ac:dyDescent="0.25">
      <c r="A2976" s="127">
        <v>45075</v>
      </c>
      <c r="B2976" s="24" t="s">
        <v>65</v>
      </c>
      <c r="C2976" s="21">
        <f t="shared" si="50"/>
        <v>-95</v>
      </c>
      <c r="AN2976" s="106">
        <v>-95</v>
      </c>
    </row>
    <row r="2977" spans="1:221" x14ac:dyDescent="0.25">
      <c r="A2977" s="127">
        <v>45075</v>
      </c>
      <c r="B2977" s="24" t="s">
        <v>25</v>
      </c>
      <c r="C2977" s="21">
        <f t="shared" si="50"/>
        <v>-41.16</v>
      </c>
      <c r="BI2977" s="106">
        <v>-7.55</v>
      </c>
      <c r="BO2977" s="106">
        <v>-8.25</v>
      </c>
      <c r="BU2977" s="106">
        <v>-7.9</v>
      </c>
      <c r="DE2977" s="74">
        <v>-17.46</v>
      </c>
    </row>
    <row r="2978" spans="1:221" x14ac:dyDescent="0.25">
      <c r="A2978" s="127">
        <v>45076</v>
      </c>
      <c r="B2978" s="24" t="s">
        <v>43</v>
      </c>
      <c r="C2978" s="21">
        <f t="shared" si="50"/>
        <v>-97.75</v>
      </c>
      <c r="BC2978" s="106">
        <v>-64.7</v>
      </c>
      <c r="BO2978" s="106">
        <v>-33.049999999999997</v>
      </c>
    </row>
    <row r="2979" spans="1:221" x14ac:dyDescent="0.25">
      <c r="A2979" s="127">
        <v>45076</v>
      </c>
      <c r="B2979" s="24" t="s">
        <v>75</v>
      </c>
      <c r="C2979" s="21">
        <f t="shared" si="50"/>
        <v>-34.950000000000003</v>
      </c>
      <c r="BC2979" s="106">
        <v>-8.35</v>
      </c>
      <c r="BI2979" s="106">
        <v>-9.5500000000000007</v>
      </c>
      <c r="CG2979" s="106">
        <v>-8.5</v>
      </c>
      <c r="CY2979" s="106">
        <v>-8.5500000000000007</v>
      </c>
    </row>
    <row r="2980" spans="1:221" x14ac:dyDescent="0.25">
      <c r="A2980" s="127">
        <v>45076</v>
      </c>
      <c r="B2980" s="24" t="s">
        <v>113</v>
      </c>
      <c r="C2980" s="21">
        <f t="shared" si="50"/>
        <v>233.95</v>
      </c>
      <c r="BI2980" s="106">
        <v>28.8</v>
      </c>
      <c r="DP2980" s="74">
        <v>32.65</v>
      </c>
      <c r="DU2980" s="106">
        <v>34.049999999999997</v>
      </c>
      <c r="EA2980" s="74">
        <v>138.44999999999999</v>
      </c>
    </row>
    <row r="2981" spans="1:221" x14ac:dyDescent="0.25">
      <c r="A2981" s="127">
        <v>45076</v>
      </c>
      <c r="B2981" s="24" t="s">
        <v>27</v>
      </c>
      <c r="C2981" s="21">
        <f t="shared" si="50"/>
        <v>-23.15</v>
      </c>
      <c r="BP2981" s="121">
        <v>-23.15</v>
      </c>
    </row>
    <row r="2982" spans="1:221" x14ac:dyDescent="0.25">
      <c r="A2982" s="127">
        <v>45076</v>
      </c>
      <c r="B2982" s="24" t="s">
        <v>37</v>
      </c>
      <c r="C2982" s="21">
        <f t="shared" si="50"/>
        <v>-201.64</v>
      </c>
      <c r="GU2982" s="110">
        <v>-84.14</v>
      </c>
      <c r="HM2982" s="106">
        <v>-117.5</v>
      </c>
    </row>
    <row r="2983" spans="1:221" x14ac:dyDescent="0.25">
      <c r="A2983" s="127">
        <v>45076</v>
      </c>
      <c r="B2983" s="24" t="s">
        <v>48</v>
      </c>
      <c r="C2983" s="21">
        <f t="shared" si="50"/>
        <v>76.2</v>
      </c>
      <c r="AU2983" s="42">
        <v>16.95</v>
      </c>
      <c r="BA2983" s="42">
        <v>16.64</v>
      </c>
      <c r="BM2983" s="88">
        <v>8.1199999999999992</v>
      </c>
      <c r="DI2983" s="42">
        <v>17.190000000000001</v>
      </c>
      <c r="DS2983" s="42">
        <v>17.3</v>
      </c>
    </row>
    <row r="2984" spans="1:221" x14ac:dyDescent="0.25">
      <c r="A2984" s="127">
        <v>45076</v>
      </c>
      <c r="B2984" s="24" t="s">
        <v>138</v>
      </c>
      <c r="C2984" s="21">
        <f t="shared" si="50"/>
        <v>-68.209999999999994</v>
      </c>
      <c r="AU2984" s="42">
        <v>-8.4499999999999993</v>
      </c>
      <c r="BA2984" s="42">
        <v>-16.64</v>
      </c>
      <c r="BY2984" s="42">
        <v>-17.27</v>
      </c>
      <c r="DI2984" s="42">
        <v>-8.5500000000000007</v>
      </c>
      <c r="DS2984" s="42">
        <v>-17.3</v>
      </c>
    </row>
    <row r="2985" spans="1:221" x14ac:dyDescent="0.25">
      <c r="A2985" s="127">
        <v>45076</v>
      </c>
      <c r="B2985" s="24" t="s">
        <v>53</v>
      </c>
      <c r="C2985" s="21">
        <f t="shared" si="50"/>
        <v>-233.95</v>
      </c>
      <c r="BI2985" s="106">
        <v>-28.8</v>
      </c>
      <c r="DP2985" s="74">
        <v>-32.65</v>
      </c>
      <c r="DU2985" s="106">
        <v>-34.049999999999997</v>
      </c>
      <c r="EA2985" s="74">
        <v>-138.44999999999999</v>
      </c>
    </row>
    <row r="2986" spans="1:221" x14ac:dyDescent="0.25">
      <c r="A2986" s="127">
        <v>45076</v>
      </c>
      <c r="B2986" s="24" t="s">
        <v>84</v>
      </c>
      <c r="C2986" s="21">
        <f t="shared" si="50"/>
        <v>-58.104999999999997</v>
      </c>
      <c r="AC2986" s="106">
        <v>-7.95</v>
      </c>
      <c r="BI2986" s="106">
        <v>-8.5500000000000007</v>
      </c>
      <c r="BU2986" s="106">
        <v>-7.9</v>
      </c>
      <c r="BX2986" s="182">
        <v>-8.5549999999999997</v>
      </c>
      <c r="CA2986" s="106">
        <v>-17.2</v>
      </c>
      <c r="CM2986" s="106">
        <v>-7.95</v>
      </c>
    </row>
    <row r="2987" spans="1:221" x14ac:dyDescent="0.25">
      <c r="A2987" s="127">
        <v>45076</v>
      </c>
      <c r="B2987" s="24" t="s">
        <v>20</v>
      </c>
      <c r="C2987" s="21">
        <f t="shared" si="50"/>
        <v>-16.47</v>
      </c>
      <c r="AW2987" s="106">
        <v>-8.35</v>
      </c>
      <c r="BM2987" s="88">
        <v>-8.1199999999999992</v>
      </c>
    </row>
    <row r="2988" spans="1:221" x14ac:dyDescent="0.25">
      <c r="A2988" s="127">
        <v>45076</v>
      </c>
      <c r="B2988" s="24" t="s">
        <v>68</v>
      </c>
      <c r="C2988" s="21">
        <f t="shared" si="50"/>
        <v>-61.984999999999999</v>
      </c>
      <c r="AG2988" s="106">
        <v>-16.41</v>
      </c>
      <c r="BO2988" s="106">
        <v>-33.4</v>
      </c>
      <c r="CS2988" s="74">
        <v>-3.86</v>
      </c>
      <c r="CV2988" s="115">
        <v>-8.3149999999999995</v>
      </c>
    </row>
    <row r="2989" spans="1:221" x14ac:dyDescent="0.25">
      <c r="A2989" s="127">
        <v>45076</v>
      </c>
      <c r="B2989" s="24" t="s">
        <v>59</v>
      </c>
      <c r="C2989" s="21">
        <f t="shared" si="50"/>
        <v>0</v>
      </c>
    </row>
    <row r="2990" spans="1:221" x14ac:dyDescent="0.25">
      <c r="A2990" s="127">
        <v>45077</v>
      </c>
      <c r="B2990" s="24" t="s">
        <v>167</v>
      </c>
      <c r="C2990" s="21">
        <f t="shared" si="50"/>
        <v>-5.6749999999999998</v>
      </c>
      <c r="E2990" s="386">
        <v>-5.6749999999999998</v>
      </c>
    </row>
    <row r="2991" spans="1:221" x14ac:dyDescent="0.25">
      <c r="A2991" s="127">
        <v>45077</v>
      </c>
      <c r="B2991" s="24" t="s">
        <v>167</v>
      </c>
      <c r="C2991" s="21">
        <f t="shared" si="50"/>
        <v>-14.62</v>
      </c>
      <c r="E2991" s="386">
        <v>-14.62</v>
      </c>
    </row>
    <row r="2992" spans="1:221" x14ac:dyDescent="0.25">
      <c r="A2992" s="127">
        <v>45077</v>
      </c>
      <c r="B2992" s="24" t="s">
        <v>78</v>
      </c>
      <c r="C2992" s="21">
        <f t="shared" si="50"/>
        <v>-166.05</v>
      </c>
      <c r="BC2992" s="106">
        <v>-67.3</v>
      </c>
      <c r="BU2992" s="106">
        <v>-64.849999999999994</v>
      </c>
      <c r="CA2992" s="106">
        <v>-33.9</v>
      </c>
    </row>
    <row r="2993" spans="1:221" x14ac:dyDescent="0.25">
      <c r="A2993" s="127">
        <v>45078</v>
      </c>
      <c r="B2993" s="24" t="s">
        <v>78</v>
      </c>
      <c r="C2993" s="21">
        <f t="shared" ref="C2993:C3056" si="51">SUM(D2993:JT2993)</f>
        <v>-33.299999999999997</v>
      </c>
      <c r="ET2993" s="106">
        <v>-33.299999999999997</v>
      </c>
    </row>
    <row r="2994" spans="1:221" x14ac:dyDescent="0.25">
      <c r="A2994" s="127">
        <v>45078</v>
      </c>
      <c r="B2994" s="24" t="s">
        <v>149</v>
      </c>
      <c r="C2994" s="21">
        <f t="shared" si="51"/>
        <v>-7.08</v>
      </c>
      <c r="Z2994" s="79">
        <v>-7.08</v>
      </c>
    </row>
    <row r="2995" spans="1:221" x14ac:dyDescent="0.25">
      <c r="A2995" s="127">
        <v>45078</v>
      </c>
      <c r="B2995" s="24" t="s">
        <v>176</v>
      </c>
      <c r="C2995" s="21">
        <f t="shared" si="51"/>
        <v>-16.52</v>
      </c>
      <c r="D2995" s="386">
        <v>-16.52</v>
      </c>
    </row>
    <row r="2996" spans="1:221" x14ac:dyDescent="0.25">
      <c r="A2996" s="127">
        <v>45079</v>
      </c>
      <c r="B2996" s="24" t="s">
        <v>133</v>
      </c>
      <c r="C2996" s="21">
        <f t="shared" si="51"/>
        <v>-51</v>
      </c>
      <c r="CA2996" s="106">
        <v>-16.95</v>
      </c>
      <c r="CG2996" s="106">
        <v>-34.049999999999997</v>
      </c>
    </row>
    <row r="2997" spans="1:221" x14ac:dyDescent="0.25">
      <c r="A2997" s="127">
        <v>45079</v>
      </c>
      <c r="B2997" s="24" t="s">
        <v>139</v>
      </c>
      <c r="C2997" s="21">
        <f t="shared" si="51"/>
        <v>-78.36</v>
      </c>
      <c r="L2997" s="69">
        <v>-4</v>
      </c>
      <c r="V2997" s="74">
        <v>-8.0299999999999994</v>
      </c>
      <c r="Z2997" s="79">
        <v>-8.43</v>
      </c>
      <c r="AC2997" s="106">
        <v>-7.95</v>
      </c>
      <c r="AN2997" s="106">
        <v>-7.95</v>
      </c>
      <c r="AW2997" s="106">
        <v>-8.5500000000000007</v>
      </c>
      <c r="CA2997" s="106">
        <v>-8.4499999999999993</v>
      </c>
      <c r="CG2997" s="106">
        <v>-8.5</v>
      </c>
      <c r="CM2997" s="106">
        <v>-7.95</v>
      </c>
      <c r="CY2997" s="106">
        <v>-8.5500000000000007</v>
      </c>
    </row>
    <row r="2998" spans="1:221" x14ac:dyDescent="0.25">
      <c r="A2998" s="127">
        <v>45079</v>
      </c>
      <c r="B2998" s="24" t="s">
        <v>138</v>
      </c>
      <c r="C2998" s="21">
        <f t="shared" si="51"/>
        <v>-16.649999999999999</v>
      </c>
      <c r="X2998" s="42">
        <v>-8.6999999999999993</v>
      </c>
      <c r="AC2998" s="106">
        <v>-7.95</v>
      </c>
    </row>
    <row r="2999" spans="1:221" x14ac:dyDescent="0.25">
      <c r="A2999" s="127">
        <v>45079</v>
      </c>
      <c r="B2999" s="24" t="s">
        <v>20</v>
      </c>
      <c r="C2999" s="21">
        <f t="shared" si="51"/>
        <v>-28.05</v>
      </c>
      <c r="GZ2999" s="106">
        <v>-28.05</v>
      </c>
    </row>
    <row r="3000" spans="1:221" x14ac:dyDescent="0.25">
      <c r="A3000" s="127">
        <v>45079</v>
      </c>
      <c r="B3000" s="24" t="s">
        <v>169</v>
      </c>
      <c r="C3000" s="21">
        <f t="shared" si="51"/>
        <v>-51.2</v>
      </c>
      <c r="F3000" s="145">
        <v>-51.2</v>
      </c>
    </row>
    <row r="3001" spans="1:221" x14ac:dyDescent="0.25">
      <c r="A3001" s="127">
        <v>45079</v>
      </c>
      <c r="B3001" s="24" t="s">
        <v>177</v>
      </c>
      <c r="C3001" s="21">
        <f t="shared" si="51"/>
        <v>-24.87</v>
      </c>
      <c r="Z3001" s="79">
        <v>-24.87</v>
      </c>
    </row>
    <row r="3002" spans="1:221" x14ac:dyDescent="0.25">
      <c r="A3002" s="127">
        <v>45079</v>
      </c>
      <c r="B3002" s="24" t="s">
        <v>113</v>
      </c>
      <c r="C3002" s="21">
        <f t="shared" si="51"/>
        <v>1773.45</v>
      </c>
      <c r="V3002" s="74">
        <v>129.44999999999999</v>
      </c>
      <c r="AC3002" s="106">
        <v>110.65</v>
      </c>
      <c r="AR3002" s="106">
        <v>216.15</v>
      </c>
      <c r="AW3002" s="106">
        <v>171.25</v>
      </c>
      <c r="CM3002" s="106">
        <v>206.35</v>
      </c>
      <c r="CY3002" s="106">
        <v>80.8</v>
      </c>
      <c r="DE3002" s="74">
        <v>142.85</v>
      </c>
      <c r="DP3002" s="74">
        <v>99.75</v>
      </c>
      <c r="DU3002" s="106">
        <v>202.9</v>
      </c>
      <c r="EA3002" s="74">
        <v>69.400000000000006</v>
      </c>
      <c r="HM3002" s="106">
        <v>343.9</v>
      </c>
    </row>
    <row r="3003" spans="1:221" x14ac:dyDescent="0.25">
      <c r="A3003" s="127">
        <v>45079</v>
      </c>
      <c r="B3003" s="24" t="s">
        <v>78</v>
      </c>
      <c r="C3003" s="21">
        <f t="shared" si="51"/>
        <v>-58.65</v>
      </c>
      <c r="DU3003" s="106">
        <v>-41.2</v>
      </c>
      <c r="EA3003" s="74">
        <v>-17.45</v>
      </c>
    </row>
    <row r="3004" spans="1:221" x14ac:dyDescent="0.25">
      <c r="A3004" s="127">
        <v>45080</v>
      </c>
      <c r="B3004" s="24" t="s">
        <v>59</v>
      </c>
      <c r="C3004" s="21">
        <f t="shared" si="51"/>
        <v>-12.44</v>
      </c>
      <c r="CY3004" s="106">
        <v>-7.51</v>
      </c>
      <c r="DE3004" s="74">
        <v>-4.93</v>
      </c>
    </row>
    <row r="3005" spans="1:221" x14ac:dyDescent="0.25">
      <c r="A3005" s="127">
        <v>45082</v>
      </c>
      <c r="B3005" s="24" t="s">
        <v>43</v>
      </c>
      <c r="C3005" s="21">
        <f t="shared" si="51"/>
        <v>-231.27</v>
      </c>
      <c r="AR3005" s="106">
        <v>-65.819999999999993</v>
      </c>
      <c r="CG3005" s="106">
        <v>-34</v>
      </c>
      <c r="CM3005" s="106">
        <v>-68.5</v>
      </c>
      <c r="DE3005" s="74">
        <v>-62.95</v>
      </c>
    </row>
    <row r="3006" spans="1:221" x14ac:dyDescent="0.25">
      <c r="A3006" s="127">
        <v>45082</v>
      </c>
      <c r="B3006" s="24" t="s">
        <v>133</v>
      </c>
      <c r="C3006" s="21">
        <f t="shared" si="51"/>
        <v>-63.35</v>
      </c>
      <c r="AW3006" s="106">
        <v>-31.5</v>
      </c>
      <c r="DE3006" s="74">
        <v>-31.85</v>
      </c>
    </row>
    <row r="3007" spans="1:221" x14ac:dyDescent="0.25">
      <c r="A3007" s="127">
        <v>45082</v>
      </c>
      <c r="B3007" s="24" t="s">
        <v>44</v>
      </c>
      <c r="C3007" s="21">
        <f t="shared" si="51"/>
        <v>-107.39</v>
      </c>
      <c r="GK3007" s="79">
        <v>-32.020000000000003</v>
      </c>
      <c r="GQ3007" s="92">
        <v>-59.78</v>
      </c>
      <c r="HC3007" s="42">
        <v>-15.59</v>
      </c>
    </row>
    <row r="3008" spans="1:221" x14ac:dyDescent="0.25">
      <c r="A3008" s="127">
        <v>45082</v>
      </c>
      <c r="B3008" s="24" t="s">
        <v>32</v>
      </c>
      <c r="C3008" s="21">
        <f t="shared" si="51"/>
        <v>0</v>
      </c>
    </row>
    <row r="3009" spans="1:232" x14ac:dyDescent="0.25">
      <c r="A3009" s="127">
        <v>45082</v>
      </c>
      <c r="B3009" s="24" t="s">
        <v>64</v>
      </c>
      <c r="C3009" s="21">
        <f t="shared" si="51"/>
        <v>30.22</v>
      </c>
      <c r="HC3009" s="42">
        <v>30.22</v>
      </c>
    </row>
    <row r="3010" spans="1:232" x14ac:dyDescent="0.25">
      <c r="A3010" s="127">
        <v>45082</v>
      </c>
      <c r="B3010" s="24" t="s">
        <v>162</v>
      </c>
      <c r="C3010" s="21">
        <f t="shared" si="51"/>
        <v>-24.5</v>
      </c>
      <c r="CT3010" s="121">
        <v>-7.65</v>
      </c>
      <c r="CY3010" s="106">
        <v>-16.850000000000001</v>
      </c>
    </row>
    <row r="3011" spans="1:232" x14ac:dyDescent="0.25">
      <c r="A3011" s="127">
        <v>45082</v>
      </c>
      <c r="B3011" s="24" t="s">
        <v>57</v>
      </c>
      <c r="C3011" s="21">
        <f t="shared" si="51"/>
        <v>-16.84</v>
      </c>
      <c r="AN3011" s="106">
        <v>-7.9</v>
      </c>
      <c r="AR3011" s="106">
        <v>-8.94</v>
      </c>
    </row>
    <row r="3012" spans="1:232" x14ac:dyDescent="0.25">
      <c r="A3012" s="127">
        <v>45082</v>
      </c>
      <c r="B3012" s="24" t="s">
        <v>29</v>
      </c>
      <c r="C3012" s="21">
        <f t="shared" si="51"/>
        <v>-11.6</v>
      </c>
      <c r="P3012" s="106">
        <v>-3.2</v>
      </c>
      <c r="BC3012" s="106">
        <v>-8.4</v>
      </c>
    </row>
    <row r="3013" spans="1:232" x14ac:dyDescent="0.25">
      <c r="A3013" s="127">
        <v>45083</v>
      </c>
      <c r="B3013" s="24" t="s">
        <v>68</v>
      </c>
      <c r="C3013" s="21">
        <f t="shared" si="51"/>
        <v>-61.99</v>
      </c>
      <c r="Z3013" s="79">
        <f>-8.24-8.25</f>
        <v>-16.489999999999998</v>
      </c>
      <c r="AN3013" s="106">
        <v>-15.3</v>
      </c>
      <c r="AW3013" s="106">
        <v>-30.2</v>
      </c>
    </row>
    <row r="3014" spans="1:232" x14ac:dyDescent="0.25">
      <c r="A3014" s="127">
        <v>45083</v>
      </c>
      <c r="B3014" s="24" t="s">
        <v>65</v>
      </c>
      <c r="C3014" s="21">
        <f t="shared" si="51"/>
        <v>0</v>
      </c>
    </row>
    <row r="3015" spans="1:232" x14ac:dyDescent="0.25">
      <c r="A3015" s="127">
        <v>45083</v>
      </c>
      <c r="B3015" s="24" t="s">
        <v>139</v>
      </c>
      <c r="C3015" s="21">
        <f t="shared" si="51"/>
        <v>-8.5500000000000007</v>
      </c>
      <c r="CY3015" s="106">
        <v>-8.5500000000000007</v>
      </c>
    </row>
    <row r="3016" spans="1:232" x14ac:dyDescent="0.25">
      <c r="A3016" s="127">
        <v>45083</v>
      </c>
      <c r="B3016" s="24" t="s">
        <v>20</v>
      </c>
      <c r="C3016" s="21">
        <f t="shared" si="51"/>
        <v>-49.36</v>
      </c>
      <c r="AR3016" s="106">
        <v>-7.96</v>
      </c>
      <c r="AW3016" s="106">
        <v>-9.25</v>
      </c>
      <c r="BE3016" s="126">
        <v>-8.2200000000000006</v>
      </c>
      <c r="BK3016" s="126">
        <v>-8.2899999999999991</v>
      </c>
      <c r="BP3016" s="121">
        <v>-7.07</v>
      </c>
      <c r="BW3016" s="126">
        <v>-8.57</v>
      </c>
    </row>
    <row r="3017" spans="1:232" x14ac:dyDescent="0.25">
      <c r="A3017" s="127">
        <v>45083</v>
      </c>
      <c r="B3017" s="24" t="s">
        <v>84</v>
      </c>
      <c r="C3017" s="21">
        <f t="shared" si="51"/>
        <v>-17.899999999999999</v>
      </c>
      <c r="AW3017" s="106">
        <v>-9.8000000000000007</v>
      </c>
      <c r="BE3017" s="126">
        <v>-8.1</v>
      </c>
    </row>
    <row r="3018" spans="1:232" x14ac:dyDescent="0.25">
      <c r="A3018" s="127">
        <v>45083</v>
      </c>
      <c r="B3018" s="24" t="s">
        <v>50</v>
      </c>
      <c r="C3018" s="21">
        <f t="shared" si="51"/>
        <v>-191</v>
      </c>
      <c r="DE3018" s="74">
        <v>-95.5</v>
      </c>
      <c r="HV3018" s="92">
        <v>-95.5</v>
      </c>
    </row>
    <row r="3019" spans="1:232" x14ac:dyDescent="0.25">
      <c r="A3019" s="127">
        <v>45083</v>
      </c>
      <c r="B3019" s="24" t="s">
        <v>75</v>
      </c>
      <c r="C3019" s="21">
        <f t="shared" si="51"/>
        <v>-16.45</v>
      </c>
      <c r="AN3019" s="106">
        <v>-7.95</v>
      </c>
      <c r="CG3019" s="106">
        <v>-8.5</v>
      </c>
    </row>
    <row r="3020" spans="1:232" x14ac:dyDescent="0.25">
      <c r="A3020" s="127">
        <v>45083</v>
      </c>
      <c r="B3020" s="24" t="s">
        <v>17</v>
      </c>
      <c r="C3020" s="21">
        <f t="shared" si="51"/>
        <v>-16.75</v>
      </c>
      <c r="BC3020" s="106">
        <v>-8.35</v>
      </c>
      <c r="CM3020" s="106">
        <v>-8.4</v>
      </c>
    </row>
    <row r="3021" spans="1:232" x14ac:dyDescent="0.25">
      <c r="A3021" s="127">
        <v>45084</v>
      </c>
      <c r="B3021" s="24" t="s">
        <v>37</v>
      </c>
      <c r="C3021" s="21">
        <f t="shared" si="51"/>
        <v>-197.13</v>
      </c>
      <c r="HM3021" s="106">
        <v>-98</v>
      </c>
      <c r="HR3021" s="92">
        <v>-99.13</v>
      </c>
    </row>
    <row r="3022" spans="1:232" x14ac:dyDescent="0.25">
      <c r="A3022" s="127">
        <v>45084</v>
      </c>
      <c r="B3022" s="24" t="s">
        <v>50</v>
      </c>
      <c r="C3022" s="21">
        <f t="shared" si="51"/>
        <v>-94.55</v>
      </c>
      <c r="HX3022" s="92">
        <v>-94.55</v>
      </c>
    </row>
    <row r="3023" spans="1:232" x14ac:dyDescent="0.25">
      <c r="A3023" s="127">
        <v>45084</v>
      </c>
      <c r="B3023" s="24" t="s">
        <v>177</v>
      </c>
      <c r="C3023" s="21">
        <f t="shared" si="51"/>
        <v>-67.5</v>
      </c>
      <c r="X3023" s="42">
        <f>-8.31-8.26-8.2</f>
        <v>-24.77</v>
      </c>
      <c r="Z3023" s="79">
        <f>-34.53-8.2</f>
        <v>-42.73</v>
      </c>
    </row>
    <row r="3024" spans="1:232" x14ac:dyDescent="0.25">
      <c r="A3024" s="127">
        <v>45084</v>
      </c>
      <c r="B3024" s="24" t="s">
        <v>127</v>
      </c>
      <c r="C3024" s="21">
        <f t="shared" si="51"/>
        <v>-16.77</v>
      </c>
      <c r="X3024" s="42">
        <v>-8.27</v>
      </c>
      <c r="AW3024" s="106">
        <v>-8.5</v>
      </c>
    </row>
    <row r="3025" spans="1:226" x14ac:dyDescent="0.25">
      <c r="A3025" s="127">
        <v>45085</v>
      </c>
      <c r="B3025" s="24" t="s">
        <v>113</v>
      </c>
      <c r="C3025" s="21">
        <f t="shared" si="51"/>
        <v>877.02</v>
      </c>
      <c r="BC3025" s="106">
        <v>128.80000000000001</v>
      </c>
      <c r="BI3025" s="106">
        <v>143.88</v>
      </c>
      <c r="BO3025" s="106">
        <v>131.75</v>
      </c>
      <c r="CA3025" s="106">
        <v>135.84</v>
      </c>
      <c r="CG3025" s="106">
        <v>134.07</v>
      </c>
      <c r="CY3025" s="106">
        <v>97.19</v>
      </c>
      <c r="DE3025" s="74">
        <v>105.49</v>
      </c>
    </row>
    <row r="3026" spans="1:226" x14ac:dyDescent="0.25">
      <c r="A3026" s="127">
        <v>45086</v>
      </c>
      <c r="B3026" s="24" t="s">
        <v>48</v>
      </c>
      <c r="C3026" s="21">
        <f t="shared" si="51"/>
        <v>-93.54</v>
      </c>
      <c r="X3026" s="42">
        <v>-8.32</v>
      </c>
      <c r="AG3026" s="106">
        <v>-16.38</v>
      </c>
      <c r="BI3026" s="106">
        <v>-35.49</v>
      </c>
      <c r="BO3026" s="106">
        <v>-33.35</v>
      </c>
    </row>
    <row r="3027" spans="1:226" x14ac:dyDescent="0.25">
      <c r="A3027" s="127">
        <v>45086</v>
      </c>
      <c r="B3027" s="24" t="s">
        <v>57</v>
      </c>
      <c r="C3027" s="21">
        <f t="shared" si="51"/>
        <v>-49.22</v>
      </c>
      <c r="BI3027" s="106">
        <f>-9-9.02</f>
        <v>-18.02</v>
      </c>
      <c r="BO3027" s="106">
        <v>-31.2</v>
      </c>
    </row>
    <row r="3028" spans="1:226" x14ac:dyDescent="0.25">
      <c r="A3028" s="127">
        <v>45086</v>
      </c>
      <c r="B3028" s="24" t="s">
        <v>65</v>
      </c>
      <c r="C3028" s="21">
        <f t="shared" si="51"/>
        <v>-77.650000000000006</v>
      </c>
      <c r="AW3028" s="106">
        <v>-77.650000000000006</v>
      </c>
    </row>
    <row r="3029" spans="1:226" x14ac:dyDescent="0.25">
      <c r="A3029" s="127">
        <v>45086</v>
      </c>
      <c r="B3029" s="24" t="s">
        <v>17</v>
      </c>
      <c r="C3029" s="21">
        <f t="shared" si="51"/>
        <v>-25.22</v>
      </c>
      <c r="AR3029" s="106">
        <v>-8.52</v>
      </c>
      <c r="AW3029" s="106">
        <v>-7.75</v>
      </c>
      <c r="BI3029" s="106">
        <v>-8.9499999999999993</v>
      </c>
    </row>
    <row r="3030" spans="1:226" x14ac:dyDescent="0.25">
      <c r="A3030" s="127">
        <v>45086</v>
      </c>
      <c r="B3030" s="24" t="s">
        <v>17</v>
      </c>
      <c r="C3030" s="21">
        <f t="shared" si="51"/>
        <v>-26.17</v>
      </c>
      <c r="BI3030" s="106">
        <v>-9</v>
      </c>
      <c r="BO3030" s="106">
        <v>-8.4499999999999993</v>
      </c>
      <c r="CA3030" s="106">
        <v>-8.7200000000000006</v>
      </c>
    </row>
    <row r="3031" spans="1:226" x14ac:dyDescent="0.25">
      <c r="A3031" s="127">
        <v>45087</v>
      </c>
      <c r="B3031" s="24" t="s">
        <v>50</v>
      </c>
      <c r="C3031" s="21">
        <f t="shared" si="51"/>
        <v>-149.81</v>
      </c>
      <c r="DP3031" s="74">
        <v>-99.75</v>
      </c>
      <c r="HR3031" s="92">
        <v>-50.06</v>
      </c>
    </row>
    <row r="3032" spans="1:226" x14ac:dyDescent="0.25">
      <c r="A3032" s="127">
        <v>45087</v>
      </c>
      <c r="B3032" s="24" t="s">
        <v>78</v>
      </c>
      <c r="C3032" s="21">
        <f t="shared" si="51"/>
        <v>-17.059999999999999</v>
      </c>
      <c r="BC3032" s="106">
        <v>-8.0500000000000007</v>
      </c>
      <c r="BI3032" s="106">
        <v>-9.01</v>
      </c>
    </row>
    <row r="3033" spans="1:226" x14ac:dyDescent="0.25">
      <c r="A3033" s="127">
        <v>45087</v>
      </c>
      <c r="B3033" s="24" t="s">
        <v>113</v>
      </c>
      <c r="C3033" s="21">
        <f t="shared" si="51"/>
        <v>978.64</v>
      </c>
      <c r="AN3033" s="106">
        <v>106.1</v>
      </c>
      <c r="BC3033" s="106">
        <v>96.85</v>
      </c>
      <c r="BI3033" s="106">
        <v>126.3</v>
      </c>
      <c r="BO3033" s="106">
        <v>164.13</v>
      </c>
      <c r="BU3033" s="106">
        <v>151.66</v>
      </c>
      <c r="CA3033" s="106">
        <v>134.83000000000001</v>
      </c>
      <c r="CG3033" s="106">
        <v>102.09</v>
      </c>
      <c r="CM3033" s="106">
        <v>96.68</v>
      </c>
    </row>
    <row r="3034" spans="1:226" x14ac:dyDescent="0.25">
      <c r="A3034" s="127">
        <v>45089</v>
      </c>
      <c r="B3034" s="24" t="s">
        <v>17</v>
      </c>
      <c r="C3034" s="21">
        <f t="shared" si="51"/>
        <v>-66.959999999999994</v>
      </c>
      <c r="AW3034" s="106">
        <v>-16.850000000000001</v>
      </c>
      <c r="BC3034" s="106">
        <v>-16</v>
      </c>
      <c r="BO3034" s="106">
        <v>-16.8</v>
      </c>
      <c r="CA3034" s="106">
        <v>-17.309999999999999</v>
      </c>
    </row>
    <row r="3035" spans="1:226" x14ac:dyDescent="0.25">
      <c r="A3035" s="127">
        <v>45089</v>
      </c>
      <c r="B3035" s="24" t="s">
        <v>133</v>
      </c>
      <c r="C3035" s="21">
        <f t="shared" si="51"/>
        <v>-168.58</v>
      </c>
      <c r="AR3035" s="106">
        <v>-31.69</v>
      </c>
      <c r="AW3035" s="106">
        <v>-33.75</v>
      </c>
      <c r="BI3035" s="106">
        <v>-35.89</v>
      </c>
      <c r="CG3035" s="106">
        <v>-32.75</v>
      </c>
      <c r="CM3035" s="106">
        <v>-34.5</v>
      </c>
    </row>
    <row r="3036" spans="1:226" x14ac:dyDescent="0.25">
      <c r="A3036" s="127">
        <v>45090</v>
      </c>
      <c r="B3036" s="24" t="s">
        <v>48</v>
      </c>
      <c r="C3036" s="21">
        <f t="shared" si="51"/>
        <v>8.2799999999999994</v>
      </c>
      <c r="AA3036" s="42">
        <v>8.0399999999999991</v>
      </c>
      <c r="BI3036" s="106">
        <v>-36.18</v>
      </c>
      <c r="BO3036" s="106">
        <v>-32.89</v>
      </c>
      <c r="CQ3036" s="42">
        <v>34.909999999999997</v>
      </c>
      <c r="CW3036" s="42">
        <v>17.3</v>
      </c>
      <c r="DI3036" s="42">
        <v>17.100000000000001</v>
      </c>
    </row>
    <row r="3037" spans="1:226" x14ac:dyDescent="0.25">
      <c r="A3037" s="127">
        <v>45090</v>
      </c>
      <c r="B3037" s="24" t="s">
        <v>32</v>
      </c>
      <c r="C3037" s="21">
        <f t="shared" si="51"/>
        <v>-8.17</v>
      </c>
      <c r="V3037" s="74">
        <v>-8.17</v>
      </c>
    </row>
    <row r="3038" spans="1:226" x14ac:dyDescent="0.25">
      <c r="A3038" s="127">
        <v>45090</v>
      </c>
      <c r="B3038" s="24" t="s">
        <v>138</v>
      </c>
      <c r="C3038" s="21">
        <f t="shared" si="51"/>
        <v>-24.07</v>
      </c>
      <c r="AR3038" s="106">
        <v>-8.92</v>
      </c>
      <c r="BU3038" s="106">
        <v>-15.15</v>
      </c>
    </row>
    <row r="3039" spans="1:226" x14ac:dyDescent="0.25">
      <c r="A3039" s="127">
        <v>45090</v>
      </c>
      <c r="B3039" s="24" t="s">
        <v>75</v>
      </c>
      <c r="C3039" s="21">
        <f t="shared" si="51"/>
        <v>-8.4</v>
      </c>
      <c r="CM3039" s="106">
        <v>-8.4</v>
      </c>
    </row>
    <row r="3040" spans="1:226" x14ac:dyDescent="0.25">
      <c r="A3040" s="127">
        <v>45090</v>
      </c>
      <c r="B3040" s="24" t="s">
        <v>139</v>
      </c>
      <c r="C3040" s="21">
        <f t="shared" si="51"/>
        <v>-66.78</v>
      </c>
      <c r="BU3040" s="106">
        <v>-7.66</v>
      </c>
      <c r="CA3040" s="106">
        <v>-8.7200000000000006</v>
      </c>
      <c r="CM3040" s="106">
        <v>-26.25</v>
      </c>
      <c r="CY3040" s="106">
        <v>-24.15</v>
      </c>
    </row>
    <row r="3041" spans="1:224" x14ac:dyDescent="0.25">
      <c r="A3041" s="127">
        <v>45090</v>
      </c>
      <c r="B3041" s="24" t="s">
        <v>20</v>
      </c>
      <c r="C3041" s="21">
        <f t="shared" si="51"/>
        <v>-16.329999999999998</v>
      </c>
      <c r="BU3041" s="106">
        <v>-7.71</v>
      </c>
      <c r="CA3041" s="106">
        <v>-8.6199999999999992</v>
      </c>
    </row>
    <row r="3042" spans="1:224" x14ac:dyDescent="0.25">
      <c r="A3042" s="127">
        <v>45090</v>
      </c>
      <c r="B3042" s="24" t="s">
        <v>25</v>
      </c>
      <c r="C3042" s="21">
        <f t="shared" si="51"/>
        <v>-41.29</v>
      </c>
      <c r="AW3042" s="106">
        <v>-8.25</v>
      </c>
      <c r="BC3042" s="106">
        <v>-8</v>
      </c>
      <c r="BI3042" s="106">
        <v>-9.09</v>
      </c>
      <c r="BO3042" s="106">
        <v>-8.1999999999999993</v>
      </c>
      <c r="BU3042" s="106">
        <v>-7.75</v>
      </c>
    </row>
    <row r="3043" spans="1:224" x14ac:dyDescent="0.25">
      <c r="A3043" s="127">
        <v>45090</v>
      </c>
      <c r="B3043" s="24" t="s">
        <v>58</v>
      </c>
      <c r="C3043" s="21">
        <f t="shared" si="51"/>
        <v>-19.899999999999999</v>
      </c>
      <c r="FC3043" s="106">
        <v>-19.899999999999999</v>
      </c>
    </row>
    <row r="3044" spans="1:224" x14ac:dyDescent="0.25">
      <c r="A3044" s="127">
        <v>45090</v>
      </c>
      <c r="B3044" s="24" t="s">
        <v>113</v>
      </c>
      <c r="C3044" s="21">
        <f t="shared" si="51"/>
        <v>1322.03</v>
      </c>
      <c r="BU3044" s="106">
        <v>148.41999999999999</v>
      </c>
      <c r="CG3044" s="106">
        <v>34.299999999999997</v>
      </c>
      <c r="CS3044" s="74">
        <v>323.18</v>
      </c>
      <c r="DP3044" s="74">
        <v>170.79</v>
      </c>
      <c r="EA3044" s="74">
        <v>206.42</v>
      </c>
      <c r="EG3044" s="74">
        <v>210.43</v>
      </c>
      <c r="EL3044" s="106">
        <v>133.38999999999999</v>
      </c>
      <c r="HF3044" s="92">
        <v>95.1</v>
      </c>
    </row>
    <row r="3045" spans="1:224" x14ac:dyDescent="0.25">
      <c r="A3045" s="127">
        <v>45090</v>
      </c>
      <c r="B3045" s="24" t="s">
        <v>37</v>
      </c>
      <c r="C3045" s="21">
        <f t="shared" si="51"/>
        <v>-63.81</v>
      </c>
      <c r="HF3045" s="92">
        <v>-63.81</v>
      </c>
    </row>
    <row r="3046" spans="1:224" x14ac:dyDescent="0.25">
      <c r="A3046" s="127">
        <v>45090</v>
      </c>
      <c r="B3046" s="24" t="s">
        <v>152</v>
      </c>
      <c r="C3046" s="21">
        <f t="shared" si="51"/>
        <v>-1849.74</v>
      </c>
      <c r="AN3046" s="106">
        <v>-70.47</v>
      </c>
      <c r="AR3046" s="106">
        <v>-67.760000000000005</v>
      </c>
      <c r="BC3046" s="106">
        <v>-161.1</v>
      </c>
      <c r="BO3046" s="106">
        <v>-98.11</v>
      </c>
      <c r="BU3046" s="106">
        <v>-91.19</v>
      </c>
      <c r="CA3046" s="106">
        <v>-68.98</v>
      </c>
      <c r="CG3046" s="106">
        <v>-102.09</v>
      </c>
      <c r="CM3046" s="106">
        <v>-131.58000000000001</v>
      </c>
      <c r="CS3046" s="74">
        <v>-175.36</v>
      </c>
      <c r="CY3046" s="106">
        <v>-97.19</v>
      </c>
      <c r="DE3046" s="74">
        <v>-105.49</v>
      </c>
      <c r="DK3046" s="106">
        <v>-99.15</v>
      </c>
      <c r="DP3046" s="74">
        <v>-101.09</v>
      </c>
      <c r="DU3046" s="106">
        <v>-136.75</v>
      </c>
      <c r="EA3046" s="74">
        <v>-206.42</v>
      </c>
      <c r="EG3046" s="74">
        <v>-104.31</v>
      </c>
      <c r="EL3046" s="106">
        <v>-32.700000000000003</v>
      </c>
    </row>
    <row r="3047" spans="1:224" x14ac:dyDescent="0.25">
      <c r="A3047" s="127">
        <v>45091</v>
      </c>
      <c r="B3047" s="24" t="s">
        <v>14</v>
      </c>
      <c r="C3047" s="21">
        <f t="shared" si="51"/>
        <v>-7.625</v>
      </c>
      <c r="AA3047" s="42">
        <v>-8.0399999999999991</v>
      </c>
      <c r="AC3047" s="106">
        <v>8.51</v>
      </c>
      <c r="AL3047" s="42">
        <v>-7.4</v>
      </c>
      <c r="AN3047" s="106">
        <v>8.0500000000000007</v>
      </c>
      <c r="CG3047" s="106">
        <v>8.75</v>
      </c>
      <c r="CJ3047" s="182">
        <v>-8.26</v>
      </c>
      <c r="CQ3047" s="42">
        <v>-34.909999999999997</v>
      </c>
      <c r="CS3047" s="74">
        <v>34.22</v>
      </c>
      <c r="CW3047" s="42">
        <v>-8.65</v>
      </c>
      <c r="CY3047" s="106">
        <v>42.94</v>
      </c>
      <c r="DB3047" s="115">
        <v>-33.295000000000002</v>
      </c>
      <c r="DC3047" s="42">
        <v>-25.12</v>
      </c>
      <c r="DE3047" s="74">
        <v>24.22</v>
      </c>
      <c r="DI3047" s="42">
        <f>-8.55-8.64-8.55</f>
        <v>-25.74</v>
      </c>
      <c r="DK3047" s="106">
        <v>17.100000000000001</v>
      </c>
    </row>
    <row r="3048" spans="1:224" x14ac:dyDescent="0.25">
      <c r="A3048" s="127">
        <v>45091</v>
      </c>
      <c r="B3048" s="24" t="s">
        <v>113</v>
      </c>
      <c r="C3048" s="21">
        <f t="shared" si="51"/>
        <v>1378.75</v>
      </c>
      <c r="BC3048" s="106">
        <v>137.85</v>
      </c>
      <c r="BI3048" s="106">
        <v>70.459999999999994</v>
      </c>
      <c r="BO3048" s="106">
        <v>16.8</v>
      </c>
      <c r="CM3048" s="106">
        <v>101.51</v>
      </c>
      <c r="CS3048" s="74">
        <v>92.86</v>
      </c>
      <c r="DP3048" s="74">
        <v>161.44999999999999</v>
      </c>
      <c r="DU3048" s="106">
        <v>167.75</v>
      </c>
      <c r="EA3048" s="74">
        <v>206.66</v>
      </c>
      <c r="GQ3048" s="92">
        <v>141.56</v>
      </c>
      <c r="HJ3048" s="79">
        <v>113.7</v>
      </c>
      <c r="HP3048" s="92">
        <v>168.15</v>
      </c>
    </row>
    <row r="3049" spans="1:224" x14ac:dyDescent="0.25">
      <c r="A3049" s="127">
        <v>45091</v>
      </c>
      <c r="B3049" s="24" t="s">
        <v>44</v>
      </c>
      <c r="C3049" s="21">
        <f t="shared" si="51"/>
        <v>-120.05</v>
      </c>
      <c r="GQ3049" s="92">
        <v>-88.75</v>
      </c>
      <c r="HF3049" s="92">
        <v>-31.3</v>
      </c>
    </row>
    <row r="3050" spans="1:224" x14ac:dyDescent="0.25">
      <c r="A3050" s="127">
        <v>45091</v>
      </c>
      <c r="B3050" s="24" t="s">
        <v>53</v>
      </c>
      <c r="C3050" s="21">
        <f t="shared" si="51"/>
        <v>-206.81</v>
      </c>
      <c r="EG3050" s="74">
        <v>-106.12</v>
      </c>
      <c r="EL3050" s="106">
        <v>-100.69</v>
      </c>
    </row>
    <row r="3051" spans="1:224" x14ac:dyDescent="0.25">
      <c r="A3051" s="127">
        <v>45091</v>
      </c>
      <c r="B3051" s="24" t="s">
        <v>17</v>
      </c>
      <c r="C3051" s="21">
        <f t="shared" si="51"/>
        <v>-73.59</v>
      </c>
      <c r="AW3051" s="106">
        <v>-8.3000000000000007</v>
      </c>
      <c r="BC3051" s="106">
        <v>-8.49</v>
      </c>
      <c r="BI3051" s="106">
        <v>-8.94</v>
      </c>
      <c r="BO3051" s="106">
        <v>-8.4</v>
      </c>
      <c r="BU3051" s="106">
        <v>-14.52</v>
      </c>
      <c r="CA3051" s="106">
        <v>-7.44</v>
      </c>
      <c r="CG3051" s="106">
        <v>-8.75</v>
      </c>
      <c r="CM3051" s="106">
        <v>-8.75</v>
      </c>
    </row>
    <row r="3052" spans="1:224" x14ac:dyDescent="0.25">
      <c r="A3052" s="127">
        <v>45091</v>
      </c>
      <c r="B3052" s="24" t="s">
        <v>14</v>
      </c>
      <c r="C3052" s="21">
        <f t="shared" si="51"/>
        <v>0</v>
      </c>
    </row>
    <row r="3053" spans="1:224" x14ac:dyDescent="0.25">
      <c r="A3053" s="127">
        <v>45092</v>
      </c>
      <c r="B3053" s="24" t="s">
        <v>178</v>
      </c>
      <c r="C3053" s="21">
        <f t="shared" si="51"/>
        <v>-15.48</v>
      </c>
      <c r="BU3053" s="106">
        <v>-15.48</v>
      </c>
    </row>
    <row r="3054" spans="1:224" x14ac:dyDescent="0.25">
      <c r="A3054" s="127">
        <v>45092</v>
      </c>
      <c r="B3054" s="24" t="s">
        <v>37</v>
      </c>
      <c r="C3054" s="21">
        <f t="shared" si="51"/>
        <v>-224.35</v>
      </c>
      <c r="HJ3054" s="79">
        <v>-56.2</v>
      </c>
      <c r="HP3054" s="92">
        <v>-168.15</v>
      </c>
    </row>
    <row r="3055" spans="1:224" x14ac:dyDescent="0.25">
      <c r="A3055" s="127">
        <v>45092</v>
      </c>
      <c r="B3055" s="24" t="s">
        <v>33</v>
      </c>
      <c r="C3055" s="21">
        <f t="shared" si="51"/>
        <v>-7.35</v>
      </c>
      <c r="DP3055" s="74">
        <v>-7.35</v>
      </c>
    </row>
    <row r="3056" spans="1:224" x14ac:dyDescent="0.25">
      <c r="A3056" s="127">
        <v>45092</v>
      </c>
      <c r="B3056" s="24" t="s">
        <v>48</v>
      </c>
      <c r="C3056" s="21">
        <f t="shared" si="51"/>
        <v>-26.25</v>
      </c>
      <c r="X3056" s="42">
        <v>-8.25</v>
      </c>
      <c r="ET3056" s="106">
        <v>-18</v>
      </c>
    </row>
    <row r="3057" spans="1:226" x14ac:dyDescent="0.25">
      <c r="A3057" s="127">
        <v>45092</v>
      </c>
      <c r="B3057" s="24" t="s">
        <v>48</v>
      </c>
      <c r="C3057" s="21">
        <f t="shared" ref="C3057:C3120" si="52">SUM(D3057:JT3057)</f>
        <v>333.08</v>
      </c>
      <c r="AP3057" s="42">
        <f>8.31+5.81</f>
        <v>14.12</v>
      </c>
      <c r="AU3057" s="42">
        <v>34.29</v>
      </c>
      <c r="BG3057" s="42">
        <v>28.14</v>
      </c>
      <c r="BM3057" s="88">
        <f>8.09+8.04+32.77</f>
        <v>48.9</v>
      </c>
      <c r="BS3057" s="42">
        <f>9.53+8.59+34.49</f>
        <v>52.61</v>
      </c>
      <c r="BY3057" s="42">
        <f>9.07+8.65+33.93</f>
        <v>51.65</v>
      </c>
      <c r="CE3057" s="42">
        <f>7.74+9.17+34.75</f>
        <v>51.66</v>
      </c>
      <c r="CK3057" s="42">
        <f>8.39+8.47</f>
        <v>16.86</v>
      </c>
      <c r="CQ3057" s="42">
        <v>34.85</v>
      </c>
    </row>
    <row r="3058" spans="1:226" x14ac:dyDescent="0.25">
      <c r="A3058" s="127">
        <v>45093</v>
      </c>
      <c r="B3058" s="24" t="s">
        <v>178</v>
      </c>
      <c r="C3058" s="21">
        <f t="shared" si="52"/>
        <v>-15.21</v>
      </c>
      <c r="BU3058" s="106">
        <v>-15.21</v>
      </c>
    </row>
    <row r="3059" spans="1:226" x14ac:dyDescent="0.25">
      <c r="A3059" s="127">
        <v>45093</v>
      </c>
      <c r="B3059" s="24" t="s">
        <v>82</v>
      </c>
      <c r="C3059" s="21">
        <f t="shared" si="52"/>
        <v>-90.9</v>
      </c>
      <c r="HM3059" s="106">
        <v>-49.3</v>
      </c>
      <c r="HR3059" s="92">
        <v>-41.6</v>
      </c>
    </row>
    <row r="3060" spans="1:226" x14ac:dyDescent="0.25">
      <c r="A3060" s="127">
        <v>45093</v>
      </c>
      <c r="B3060" s="24" t="s">
        <v>17</v>
      </c>
      <c r="C3060" s="21">
        <f t="shared" si="52"/>
        <v>-135.65</v>
      </c>
      <c r="BO3060" s="106">
        <v>-8.4</v>
      </c>
      <c r="BU3060" s="106">
        <v>-7.22</v>
      </c>
      <c r="CG3060" s="106">
        <v>-17.100000000000001</v>
      </c>
      <c r="DU3060" s="106">
        <v>-50</v>
      </c>
      <c r="EA3060" s="74">
        <v>-52.93</v>
      </c>
    </row>
    <row r="3061" spans="1:226" x14ac:dyDescent="0.25">
      <c r="A3061" s="127">
        <v>45093</v>
      </c>
      <c r="B3061" s="24" t="s">
        <v>59</v>
      </c>
      <c r="C3061" s="21">
        <f t="shared" si="52"/>
        <v>-19.399999999999999</v>
      </c>
      <c r="CA3061" s="106">
        <v>-5.07</v>
      </c>
      <c r="CG3061" s="106">
        <v>-2.84</v>
      </c>
      <c r="CM3061" s="106">
        <v>-8.7899999999999991</v>
      </c>
      <c r="CY3061" s="106">
        <v>-2.7</v>
      </c>
    </row>
    <row r="3062" spans="1:226" x14ac:dyDescent="0.25">
      <c r="A3062" s="127">
        <v>45096</v>
      </c>
      <c r="B3062" s="24" t="s">
        <v>12</v>
      </c>
      <c r="C3062" s="21">
        <f t="shared" si="52"/>
        <v>0</v>
      </c>
    </row>
    <row r="3063" spans="1:226" x14ac:dyDescent="0.25">
      <c r="A3063" s="127">
        <v>45096</v>
      </c>
      <c r="B3063" s="24" t="s">
        <v>17</v>
      </c>
      <c r="C3063" s="21">
        <f t="shared" si="52"/>
        <v>-16.43</v>
      </c>
      <c r="BO3063" s="106">
        <v>-16.43</v>
      </c>
    </row>
    <row r="3064" spans="1:226" x14ac:dyDescent="0.25">
      <c r="A3064" s="127">
        <v>45096</v>
      </c>
      <c r="B3064" s="24" t="s">
        <v>68</v>
      </c>
      <c r="C3064" s="21">
        <f t="shared" si="52"/>
        <v>-62.16</v>
      </c>
      <c r="AG3064" s="106">
        <v>-33.17</v>
      </c>
      <c r="BU3064" s="106">
        <v>-28.99</v>
      </c>
    </row>
    <row r="3065" spans="1:226" x14ac:dyDescent="0.25">
      <c r="A3065" s="127">
        <v>45096</v>
      </c>
      <c r="B3065" s="24" t="s">
        <v>20</v>
      </c>
      <c r="C3065" s="21">
        <f t="shared" si="52"/>
        <v>-24.85</v>
      </c>
      <c r="AG3065" s="106">
        <v>-8.11</v>
      </c>
      <c r="AN3065" s="106">
        <v>-7.9</v>
      </c>
      <c r="BC3065" s="106">
        <v>-8.84</v>
      </c>
    </row>
    <row r="3066" spans="1:226" x14ac:dyDescent="0.25">
      <c r="A3066" s="127">
        <v>45096</v>
      </c>
      <c r="B3066" s="24" t="s">
        <v>32</v>
      </c>
      <c r="C3066" s="21">
        <f t="shared" si="52"/>
        <v>-36.46</v>
      </c>
      <c r="BI3066" s="106">
        <v>-36.46</v>
      </c>
    </row>
    <row r="3067" spans="1:226" x14ac:dyDescent="0.25">
      <c r="A3067" s="127">
        <v>45096</v>
      </c>
      <c r="B3067" s="24" t="s">
        <v>133</v>
      </c>
      <c r="C3067" s="21">
        <f t="shared" si="52"/>
        <v>-34</v>
      </c>
      <c r="BI3067" s="106">
        <v>-34</v>
      </c>
    </row>
    <row r="3068" spans="1:226" x14ac:dyDescent="0.25">
      <c r="A3068" s="127">
        <v>45097</v>
      </c>
      <c r="B3068" s="24" t="s">
        <v>83</v>
      </c>
      <c r="C3068" s="21">
        <f t="shared" si="52"/>
        <v>0</v>
      </c>
    </row>
    <row r="3069" spans="1:226" x14ac:dyDescent="0.25">
      <c r="A3069" s="127">
        <v>45097</v>
      </c>
      <c r="B3069" s="24" t="s">
        <v>174</v>
      </c>
      <c r="C3069" s="21">
        <f t="shared" si="52"/>
        <v>-17.23</v>
      </c>
      <c r="CA3069" s="106">
        <v>-8.34</v>
      </c>
      <c r="CG3069" s="106">
        <v>-8.89</v>
      </c>
    </row>
    <row r="3070" spans="1:226" x14ac:dyDescent="0.25">
      <c r="A3070" s="127">
        <v>45097</v>
      </c>
      <c r="B3070" s="24" t="s">
        <v>27</v>
      </c>
      <c r="C3070" s="21">
        <f t="shared" si="52"/>
        <v>-46.64</v>
      </c>
      <c r="BU3070" s="106">
        <v>-21.92</v>
      </c>
      <c r="CM3070" s="106">
        <v>-24.72</v>
      </c>
    </row>
    <row r="3071" spans="1:226" x14ac:dyDescent="0.25">
      <c r="A3071" s="127">
        <v>45097</v>
      </c>
      <c r="B3071" s="24" t="s">
        <v>25</v>
      </c>
      <c r="C3071" s="21">
        <f t="shared" si="52"/>
        <v>-8.07</v>
      </c>
      <c r="V3071" s="74">
        <v>-8.07</v>
      </c>
    </row>
    <row r="3072" spans="1:226" x14ac:dyDescent="0.25">
      <c r="A3072" s="127">
        <v>45097</v>
      </c>
      <c r="B3072" s="24" t="s">
        <v>20</v>
      </c>
      <c r="C3072" s="21">
        <f t="shared" si="52"/>
        <v>-30.66</v>
      </c>
      <c r="GZ3072" s="106">
        <v>-30.66</v>
      </c>
    </row>
    <row r="3073" spans="1:199" x14ac:dyDescent="0.25">
      <c r="A3073" s="127">
        <v>45097</v>
      </c>
      <c r="B3073" s="24" t="s">
        <v>17</v>
      </c>
      <c r="C3073" s="21">
        <f t="shared" si="52"/>
        <v>-34.43</v>
      </c>
      <c r="DE3073" s="74">
        <v>-34.43</v>
      </c>
    </row>
    <row r="3074" spans="1:199" x14ac:dyDescent="0.25">
      <c r="A3074" s="127">
        <v>45097</v>
      </c>
      <c r="B3074" s="24" t="s">
        <v>32</v>
      </c>
      <c r="C3074" s="21">
        <f t="shared" si="52"/>
        <v>-34.64</v>
      </c>
      <c r="EA3074" s="74">
        <v>-34.64</v>
      </c>
    </row>
    <row r="3075" spans="1:199" x14ac:dyDescent="0.25">
      <c r="A3075" s="127">
        <v>45097</v>
      </c>
      <c r="B3075" s="24" t="s">
        <v>151</v>
      </c>
      <c r="C3075" s="21">
        <f t="shared" si="52"/>
        <v>-8.23</v>
      </c>
      <c r="BO3075" s="106">
        <v>-8.23</v>
      </c>
    </row>
    <row r="3076" spans="1:199" x14ac:dyDescent="0.25">
      <c r="A3076" s="127">
        <v>45097</v>
      </c>
      <c r="B3076" s="24" t="s">
        <v>111</v>
      </c>
      <c r="C3076" s="21">
        <f t="shared" si="52"/>
        <v>-29.1</v>
      </c>
      <c r="BU3076" s="106">
        <v>-29.1</v>
      </c>
    </row>
    <row r="3077" spans="1:199" x14ac:dyDescent="0.25">
      <c r="A3077" s="127">
        <v>45097</v>
      </c>
      <c r="B3077" s="24" t="s">
        <v>44</v>
      </c>
      <c r="C3077" s="21">
        <f t="shared" si="52"/>
        <v>-100.29</v>
      </c>
      <c r="GQ3077" s="92">
        <v>-100.29</v>
      </c>
    </row>
    <row r="3078" spans="1:199" x14ac:dyDescent="0.25">
      <c r="A3078" s="127">
        <v>45097</v>
      </c>
      <c r="B3078" s="24" t="s">
        <v>113</v>
      </c>
      <c r="C3078" s="21">
        <f t="shared" si="52"/>
        <v>1458.48</v>
      </c>
      <c r="AN3078" s="106">
        <v>245.93</v>
      </c>
      <c r="BI3078" s="106">
        <f>38.6+171.46</f>
        <v>210.06</v>
      </c>
      <c r="CM3078" s="106">
        <v>234.91</v>
      </c>
      <c r="CY3078" s="106">
        <v>211.41</v>
      </c>
      <c r="DE3078" s="74">
        <v>309.92</v>
      </c>
      <c r="DU3078" s="106">
        <v>246.25</v>
      </c>
    </row>
    <row r="3079" spans="1:199" x14ac:dyDescent="0.25">
      <c r="A3079" s="127">
        <v>44947</v>
      </c>
      <c r="B3079" s="24" t="s">
        <v>20</v>
      </c>
      <c r="C3079" s="21">
        <f t="shared" si="52"/>
        <v>-8.4700000000000006</v>
      </c>
      <c r="BO3079" s="106">
        <v>-8.4700000000000006</v>
      </c>
    </row>
    <row r="3080" spans="1:199" x14ac:dyDescent="0.25">
      <c r="A3080" s="127">
        <v>44947</v>
      </c>
      <c r="B3080" s="24" t="s">
        <v>48</v>
      </c>
      <c r="C3080" s="21">
        <f t="shared" si="52"/>
        <v>-45.32</v>
      </c>
      <c r="EZ3080" s="92">
        <v>-45.32</v>
      </c>
    </row>
    <row r="3081" spans="1:199" x14ac:dyDescent="0.25">
      <c r="A3081" s="127">
        <v>45099</v>
      </c>
      <c r="B3081" s="24" t="s">
        <v>48</v>
      </c>
      <c r="C3081" s="21">
        <f t="shared" si="52"/>
        <v>-8.4</v>
      </c>
      <c r="BO3081" s="106">
        <v>-8.4</v>
      </c>
    </row>
    <row r="3082" spans="1:199" x14ac:dyDescent="0.25">
      <c r="A3082" s="127">
        <v>45100</v>
      </c>
      <c r="B3082" s="24" t="s">
        <v>17</v>
      </c>
      <c r="C3082" s="21">
        <f t="shared" si="52"/>
        <v>-17.510000000000002</v>
      </c>
      <c r="BC3082" s="106">
        <v>-17.510000000000002</v>
      </c>
    </row>
    <row r="3083" spans="1:199" x14ac:dyDescent="0.25">
      <c r="A3083" s="127">
        <v>45100</v>
      </c>
      <c r="B3083" s="24" t="s">
        <v>48</v>
      </c>
      <c r="C3083" s="21">
        <f t="shared" si="52"/>
        <v>-36.07</v>
      </c>
      <c r="BI3083" s="106">
        <v>-36.07</v>
      </c>
    </row>
    <row r="3084" spans="1:199" x14ac:dyDescent="0.25">
      <c r="A3084" s="127">
        <v>45100</v>
      </c>
      <c r="B3084" s="24" t="s">
        <v>32</v>
      </c>
      <c r="C3084" s="21">
        <f t="shared" si="52"/>
        <v>-32.61</v>
      </c>
      <c r="DU3084" s="106">
        <v>-16.55</v>
      </c>
      <c r="EA3084" s="74">
        <v>-16.059999999999999</v>
      </c>
    </row>
    <row r="3085" spans="1:199" x14ac:dyDescent="0.25">
      <c r="A3085" s="127">
        <v>45104</v>
      </c>
      <c r="B3085" s="24" t="s">
        <v>20</v>
      </c>
      <c r="C3085" s="21">
        <f t="shared" si="52"/>
        <v>-33.659999999999997</v>
      </c>
      <c r="CA3085" s="106">
        <v>-8.2899999999999991</v>
      </c>
      <c r="CG3085" s="106">
        <v>-8.02</v>
      </c>
      <c r="CM3085" s="106">
        <v>-8.73</v>
      </c>
      <c r="CS3085" s="74">
        <v>-8.6199999999999992</v>
      </c>
    </row>
    <row r="3086" spans="1:199" x14ac:dyDescent="0.25">
      <c r="A3086" s="127">
        <v>45104</v>
      </c>
      <c r="B3086" s="24" t="s">
        <v>65</v>
      </c>
      <c r="C3086" s="21">
        <f t="shared" si="52"/>
        <v>0</v>
      </c>
    </row>
    <row r="3087" spans="1:199" x14ac:dyDescent="0.25">
      <c r="A3087" s="127">
        <v>45110</v>
      </c>
      <c r="B3087" s="24" t="s">
        <v>152</v>
      </c>
      <c r="C3087" s="21">
        <f t="shared" si="52"/>
        <v>-1713.48</v>
      </c>
      <c r="V3087" s="74">
        <v>-31.87</v>
      </c>
      <c r="AC3087" s="106">
        <v>-31.35</v>
      </c>
      <c r="AN3087" s="106">
        <v>-35.270000000000003</v>
      </c>
      <c r="AR3087" s="106">
        <v>-33.79</v>
      </c>
      <c r="AW3087" s="106">
        <v>-66.55</v>
      </c>
      <c r="BC3087" s="106">
        <v>-33.6</v>
      </c>
      <c r="BI3087" s="106">
        <v>-174.11</v>
      </c>
      <c r="CA3087" s="106">
        <v>-67.2</v>
      </c>
      <c r="CG3087" s="106">
        <v>-68.98</v>
      </c>
      <c r="CM3087" s="106">
        <v>-171.41</v>
      </c>
      <c r="CS3087" s="74">
        <v>-157.66999999999999</v>
      </c>
      <c r="CY3087" s="106">
        <v>-163.87</v>
      </c>
      <c r="DE3087" s="74">
        <v>-103.24</v>
      </c>
      <c r="DK3087" s="106">
        <v>-99.25</v>
      </c>
      <c r="DP3087" s="74">
        <v>-65.75</v>
      </c>
      <c r="DU3087" s="106">
        <v>-262.39999999999998</v>
      </c>
      <c r="EA3087" s="74">
        <v>-103.57</v>
      </c>
      <c r="EZ3087" s="92">
        <v>-23.45</v>
      </c>
      <c r="FC3087" s="106">
        <v>-20.149999999999999</v>
      </c>
    </row>
    <row r="3088" spans="1:199" x14ac:dyDescent="0.25">
      <c r="A3088" s="127">
        <v>45111</v>
      </c>
      <c r="B3088" s="24" t="s">
        <v>75</v>
      </c>
      <c r="C3088" s="21">
        <f t="shared" si="52"/>
        <v>-23.47</v>
      </c>
      <c r="BM3088" s="88">
        <v>-16.13</v>
      </c>
      <c r="CA3088" s="106">
        <v>-7.34</v>
      </c>
    </row>
    <row r="3089" spans="1:211" x14ac:dyDescent="0.25">
      <c r="A3089" s="127">
        <v>45111</v>
      </c>
      <c r="B3089" s="24" t="s">
        <v>20</v>
      </c>
      <c r="C3089" s="21">
        <f t="shared" si="52"/>
        <v>-40.96</v>
      </c>
      <c r="BG3089" s="42">
        <v>-7.06</v>
      </c>
      <c r="BU3089" s="106">
        <v>-7.75</v>
      </c>
      <c r="CG3089" s="106">
        <v>-8.15</v>
      </c>
      <c r="CM3089" s="106">
        <v>-9.32</v>
      </c>
      <c r="CS3089" s="74">
        <v>-8.68</v>
      </c>
    </row>
    <row r="3090" spans="1:211" x14ac:dyDescent="0.25">
      <c r="A3090" s="127">
        <v>45111</v>
      </c>
      <c r="B3090" s="24" t="s">
        <v>79</v>
      </c>
      <c r="C3090" s="21">
        <f t="shared" si="52"/>
        <v>-14.2</v>
      </c>
      <c r="AN3090" s="106">
        <v>-8.0500000000000007</v>
      </c>
      <c r="AW3090" s="106">
        <v>-6.15</v>
      </c>
    </row>
    <row r="3091" spans="1:211" x14ac:dyDescent="0.25">
      <c r="A3091" s="127">
        <v>45111</v>
      </c>
      <c r="B3091" s="24" t="s">
        <v>17</v>
      </c>
      <c r="C3091" s="21">
        <f t="shared" si="52"/>
        <v>-132.16999999999999</v>
      </c>
      <c r="AC3091" s="106">
        <v>-7.95</v>
      </c>
      <c r="BC3091" s="106">
        <v>-17.809999999999999</v>
      </c>
      <c r="BO3091" s="106">
        <v>-16.899999999999999</v>
      </c>
      <c r="CG3091" s="106">
        <v>-17.47</v>
      </c>
      <c r="CM3091" s="106">
        <v>-14.78</v>
      </c>
      <c r="CS3091" s="74">
        <v>-16.920000000000002</v>
      </c>
      <c r="CY3091" s="106">
        <v>-16.13</v>
      </c>
      <c r="DE3091" s="74">
        <v>-15.36</v>
      </c>
      <c r="DK3091" s="106">
        <v>-8.85</v>
      </c>
    </row>
    <row r="3092" spans="1:211" x14ac:dyDescent="0.25">
      <c r="A3092" s="127">
        <v>45111</v>
      </c>
      <c r="B3092" s="24" t="s">
        <v>32</v>
      </c>
      <c r="C3092" s="21">
        <f t="shared" si="52"/>
        <v>-8.33</v>
      </c>
      <c r="X3092" s="42">
        <v>-8.33</v>
      </c>
    </row>
    <row r="3093" spans="1:211" x14ac:dyDescent="0.25">
      <c r="A3093" s="127">
        <v>45111</v>
      </c>
      <c r="B3093" s="24" t="s">
        <v>83</v>
      </c>
      <c r="C3093" s="21">
        <f t="shared" si="52"/>
        <v>-8.52</v>
      </c>
      <c r="CQ3093" s="42">
        <v>-8.52</v>
      </c>
    </row>
    <row r="3094" spans="1:211" x14ac:dyDescent="0.25">
      <c r="A3094" s="127">
        <v>45111</v>
      </c>
      <c r="B3094" s="24" t="s">
        <v>17</v>
      </c>
      <c r="C3094" s="21">
        <f t="shared" si="52"/>
        <v>-42.8</v>
      </c>
      <c r="AR3094" s="106">
        <v>-9.08</v>
      </c>
      <c r="BI3094" s="106">
        <v>-9.07</v>
      </c>
      <c r="BO3094" s="106">
        <v>-8.4499999999999993</v>
      </c>
      <c r="BU3094" s="106">
        <v>-7.66</v>
      </c>
      <c r="CA3094" s="106">
        <v>-8.5399999999999991</v>
      </c>
    </row>
    <row r="3095" spans="1:211" x14ac:dyDescent="0.25">
      <c r="A3095" s="127">
        <v>45112</v>
      </c>
      <c r="B3095" s="24" t="s">
        <v>48</v>
      </c>
      <c r="C3095" s="21">
        <f t="shared" si="52"/>
        <v>0</v>
      </c>
    </row>
    <row r="3096" spans="1:211" x14ac:dyDescent="0.25">
      <c r="A3096" s="127">
        <v>45112</v>
      </c>
      <c r="B3096" s="24" t="s">
        <v>37</v>
      </c>
      <c r="C3096" s="21">
        <f t="shared" si="52"/>
        <v>-30.22</v>
      </c>
      <c r="HC3096" s="42">
        <v>-30.22</v>
      </c>
    </row>
    <row r="3097" spans="1:211" x14ac:dyDescent="0.25">
      <c r="A3097" s="127">
        <v>45112</v>
      </c>
      <c r="B3097" s="24" t="s">
        <v>65</v>
      </c>
      <c r="C3097" s="21">
        <f t="shared" si="52"/>
        <v>-70.849999999999994</v>
      </c>
      <c r="AN3097" s="106">
        <v>-70.849999999999994</v>
      </c>
    </row>
    <row r="3098" spans="1:211" x14ac:dyDescent="0.25">
      <c r="A3098" s="127">
        <v>45112</v>
      </c>
      <c r="B3098" s="24" t="s">
        <v>127</v>
      </c>
      <c r="C3098" s="21">
        <f t="shared" si="52"/>
        <v>-7.41</v>
      </c>
      <c r="AL3098" s="42">
        <v>-7.41</v>
      </c>
    </row>
    <row r="3099" spans="1:211" x14ac:dyDescent="0.25">
      <c r="A3099" s="127">
        <v>45112</v>
      </c>
      <c r="B3099" s="24" t="s">
        <v>48</v>
      </c>
      <c r="C3099" s="21">
        <f t="shared" si="52"/>
        <v>127.605</v>
      </c>
      <c r="BT3099" s="69">
        <v>33.875</v>
      </c>
      <c r="BZ3099" s="69">
        <v>32.555</v>
      </c>
      <c r="CF3099" s="69">
        <v>16.875</v>
      </c>
      <c r="FI3099" s="42">
        <f>22.15*2</f>
        <v>44.3</v>
      </c>
    </row>
    <row r="3100" spans="1:211" x14ac:dyDescent="0.25">
      <c r="A3100" s="127">
        <v>45112</v>
      </c>
      <c r="B3100" s="24" t="s">
        <v>139</v>
      </c>
      <c r="C3100" s="21">
        <f t="shared" si="52"/>
        <v>-41.67</v>
      </c>
      <c r="BM3100" s="88">
        <v>-8.07</v>
      </c>
      <c r="BS3100" s="42">
        <v>-8.59</v>
      </c>
      <c r="CG3100" s="106">
        <v>-8</v>
      </c>
      <c r="CM3100" s="106">
        <v>-8.3000000000000007</v>
      </c>
      <c r="CY3100" s="106">
        <v>-8.7100000000000009</v>
      </c>
    </row>
    <row r="3101" spans="1:211" x14ac:dyDescent="0.25">
      <c r="A3101" s="127">
        <v>45112</v>
      </c>
      <c r="B3101" s="24" t="s">
        <v>44</v>
      </c>
      <c r="C3101" s="21">
        <f t="shared" si="52"/>
        <v>-71.78</v>
      </c>
      <c r="GK3101" s="79">
        <f>-8.01-8.13</f>
        <v>-16.14</v>
      </c>
      <c r="GQ3101" s="92">
        <f>-26.38-29.26</f>
        <v>-55.64</v>
      </c>
    </row>
    <row r="3102" spans="1:211" x14ac:dyDescent="0.25">
      <c r="A3102" s="127">
        <v>45112</v>
      </c>
      <c r="B3102" s="24" t="s">
        <v>19</v>
      </c>
      <c r="C3102" s="21">
        <f t="shared" si="52"/>
        <v>0</v>
      </c>
    </row>
    <row r="3103" spans="1:211" x14ac:dyDescent="0.25">
      <c r="A3103" s="127">
        <v>45112</v>
      </c>
      <c r="B3103" s="24" t="s">
        <v>111</v>
      </c>
      <c r="C3103" s="21">
        <f t="shared" si="52"/>
        <v>-16.07</v>
      </c>
      <c r="AP3103" s="42">
        <v>-8.31</v>
      </c>
      <c r="AR3103" s="106">
        <v>-7.76</v>
      </c>
    </row>
    <row r="3104" spans="1:211" x14ac:dyDescent="0.25">
      <c r="A3104" s="127">
        <v>45113</v>
      </c>
      <c r="B3104" s="24" t="s">
        <v>178</v>
      </c>
      <c r="C3104" s="21">
        <f t="shared" si="52"/>
        <v>-34.49</v>
      </c>
      <c r="BS3104" s="42">
        <v>-34.49</v>
      </c>
    </row>
    <row r="3105" spans="1:237" x14ac:dyDescent="0.25">
      <c r="A3105" s="127">
        <v>45113</v>
      </c>
      <c r="B3105" s="24" t="s">
        <v>167</v>
      </c>
      <c r="C3105" s="21">
        <f t="shared" si="52"/>
        <v>-33.86</v>
      </c>
      <c r="D3105" s="386">
        <v>-8.92</v>
      </c>
      <c r="E3105" s="386">
        <f>-8.31-8.31-8.32</f>
        <v>-24.94</v>
      </c>
    </row>
    <row r="3106" spans="1:237" x14ac:dyDescent="0.25">
      <c r="A3106" s="127">
        <v>45113</v>
      </c>
      <c r="B3106" s="24" t="s">
        <v>167</v>
      </c>
      <c r="C3106" s="21">
        <f t="shared" si="52"/>
        <v>-7.31</v>
      </c>
      <c r="E3106" s="386">
        <v>-7.31</v>
      </c>
    </row>
    <row r="3107" spans="1:237" x14ac:dyDescent="0.25">
      <c r="A3107" s="127">
        <v>45113</v>
      </c>
      <c r="B3107" s="24" t="s">
        <v>68</v>
      </c>
      <c r="C3107" s="21">
        <f t="shared" si="52"/>
        <v>-100.28</v>
      </c>
      <c r="AR3107" s="106">
        <v>-31.45</v>
      </c>
      <c r="AW3107" s="106">
        <v>-34.950000000000003</v>
      </c>
      <c r="BC3107" s="106">
        <v>-33.880000000000003</v>
      </c>
    </row>
    <row r="3108" spans="1:237" x14ac:dyDescent="0.25">
      <c r="A3108" s="127">
        <v>45113</v>
      </c>
      <c r="B3108" s="24" t="s">
        <v>44</v>
      </c>
      <c r="C3108" s="21">
        <f t="shared" si="52"/>
        <v>-55.01</v>
      </c>
      <c r="BM3108" s="88">
        <v>-16.309999999999999</v>
      </c>
      <c r="GZ3108" s="106">
        <v>-38.700000000000003</v>
      </c>
    </row>
    <row r="3109" spans="1:237" x14ac:dyDescent="0.25">
      <c r="A3109" s="127">
        <v>45114</v>
      </c>
      <c r="B3109" s="24" t="s">
        <v>78</v>
      </c>
      <c r="C3109" s="21">
        <f t="shared" si="52"/>
        <v>-50.04</v>
      </c>
      <c r="AW3109" s="106">
        <v>-8.4</v>
      </c>
      <c r="BI3109" s="106">
        <v>-9.01</v>
      </c>
      <c r="BM3109" s="88">
        <v>-8.39</v>
      </c>
      <c r="BU3109" s="106">
        <v>-7.6</v>
      </c>
      <c r="CA3109" s="106">
        <v>-8.65</v>
      </c>
      <c r="CF3109" s="69">
        <v>-7.99</v>
      </c>
    </row>
    <row r="3110" spans="1:237" x14ac:dyDescent="0.25">
      <c r="A3110" s="127">
        <v>45114</v>
      </c>
      <c r="B3110" s="24" t="s">
        <v>50</v>
      </c>
      <c r="C3110" s="21">
        <f t="shared" si="52"/>
        <v>-787.99</v>
      </c>
      <c r="DE3110" s="74">
        <v>-252.69</v>
      </c>
      <c r="GZ3110" s="106">
        <v>-86.15</v>
      </c>
      <c r="HX3110" s="92">
        <v>-249</v>
      </c>
      <c r="IC3110" s="92">
        <v>-200.15</v>
      </c>
    </row>
    <row r="3111" spans="1:237" x14ac:dyDescent="0.25">
      <c r="A3111" s="127">
        <v>45114</v>
      </c>
      <c r="B3111" s="24" t="s">
        <v>39</v>
      </c>
      <c r="C3111" s="21">
        <f t="shared" si="52"/>
        <v>-68.05</v>
      </c>
      <c r="AU3111" s="42">
        <v>-8.5</v>
      </c>
      <c r="AW3111" s="106">
        <v>-8.3000000000000007</v>
      </c>
      <c r="BC3111" s="106">
        <v>-8.8699999999999992</v>
      </c>
      <c r="BI3111" s="106">
        <v>-9.0299999999999994</v>
      </c>
      <c r="BT3111" s="69">
        <v>-8.15</v>
      </c>
      <c r="CA3111" s="106">
        <v>-8.58</v>
      </c>
      <c r="CF3111" s="69">
        <v>-8.43</v>
      </c>
      <c r="CM3111" s="106">
        <v>-8.19</v>
      </c>
    </row>
    <row r="3112" spans="1:237" x14ac:dyDescent="0.25">
      <c r="A3112" s="127">
        <v>45114</v>
      </c>
      <c r="B3112" s="24" t="s">
        <v>151</v>
      </c>
      <c r="C3112" s="21">
        <f t="shared" si="52"/>
        <v>-51.41</v>
      </c>
      <c r="EA3112" s="74">
        <v>-51.41</v>
      </c>
    </row>
    <row r="3113" spans="1:237" x14ac:dyDescent="0.25">
      <c r="A3113" s="127">
        <v>45114</v>
      </c>
      <c r="B3113" s="24" t="s">
        <v>27</v>
      </c>
      <c r="C3113" s="21">
        <f t="shared" si="52"/>
        <v>-24.85</v>
      </c>
      <c r="BC3113" s="106">
        <v>-24.85</v>
      </c>
    </row>
    <row r="3114" spans="1:237" x14ac:dyDescent="0.25">
      <c r="A3114" s="127">
        <v>45114</v>
      </c>
      <c r="B3114" s="24" t="s">
        <v>65</v>
      </c>
      <c r="C3114" s="21">
        <f t="shared" si="52"/>
        <v>-34.1</v>
      </c>
      <c r="AN3114" s="106">
        <v>-34.1</v>
      </c>
    </row>
    <row r="3115" spans="1:237" x14ac:dyDescent="0.25">
      <c r="A3115" s="127">
        <v>45114</v>
      </c>
      <c r="B3115" s="24" t="s">
        <v>115</v>
      </c>
      <c r="C3115" s="21">
        <f t="shared" si="52"/>
        <v>63.43</v>
      </c>
      <c r="FT3115" s="115">
        <v>63.43</v>
      </c>
    </row>
    <row r="3116" spans="1:237" x14ac:dyDescent="0.25">
      <c r="A3116" s="127">
        <v>45114</v>
      </c>
      <c r="B3116" s="24" t="s">
        <v>113</v>
      </c>
      <c r="C3116" s="21">
        <f t="shared" si="52"/>
        <v>1504.15</v>
      </c>
      <c r="GQ3116" s="92">
        <v>171.95</v>
      </c>
      <c r="GZ3116" s="106">
        <v>315.2</v>
      </c>
      <c r="HF3116" s="92">
        <v>234.1</v>
      </c>
      <c r="HJ3116" s="79">
        <v>241.5</v>
      </c>
      <c r="HP3116" s="92">
        <v>197.4</v>
      </c>
      <c r="HV3116" s="92">
        <v>344</v>
      </c>
    </row>
    <row r="3117" spans="1:237" x14ac:dyDescent="0.25">
      <c r="A3117" s="127">
        <v>45115</v>
      </c>
      <c r="B3117" s="24" t="s">
        <v>113</v>
      </c>
      <c r="C3117" s="21">
        <f t="shared" si="52"/>
        <v>722.79</v>
      </c>
      <c r="AW3117" s="106">
        <v>336.81</v>
      </c>
      <c r="DK3117" s="106">
        <v>321.3</v>
      </c>
      <c r="DP3117" s="74">
        <v>64.680000000000007</v>
      </c>
    </row>
    <row r="3118" spans="1:237" x14ac:dyDescent="0.25">
      <c r="A3118" s="127">
        <v>45117</v>
      </c>
      <c r="B3118" s="24" t="s">
        <v>27</v>
      </c>
      <c r="C3118" s="21">
        <f t="shared" si="52"/>
        <v>-26.11</v>
      </c>
      <c r="AW3118" s="106">
        <v>-26.11</v>
      </c>
    </row>
    <row r="3119" spans="1:237" x14ac:dyDescent="0.25">
      <c r="A3119" s="127">
        <v>45117</v>
      </c>
      <c r="B3119" s="24" t="s">
        <v>20</v>
      </c>
      <c r="C3119" s="21">
        <f t="shared" si="52"/>
        <v>-22.86</v>
      </c>
      <c r="AP3119" s="42">
        <v>-5.81</v>
      </c>
      <c r="BE3119" s="126">
        <v>-7.97</v>
      </c>
      <c r="BI3119" s="106">
        <v>-9.08</v>
      </c>
    </row>
    <row r="3120" spans="1:237" x14ac:dyDescent="0.25">
      <c r="A3120" s="127">
        <v>45117</v>
      </c>
      <c r="B3120" s="24" t="s">
        <v>152</v>
      </c>
      <c r="C3120" s="21">
        <f t="shared" si="52"/>
        <v>-343.56</v>
      </c>
      <c r="P3120" s="106">
        <v>-17.05</v>
      </c>
      <c r="AG3120" s="106">
        <v>-16.329999999999998</v>
      </c>
      <c r="CY3120" s="106">
        <v>-33.58</v>
      </c>
      <c r="DP3120" s="74">
        <v>-101.45</v>
      </c>
      <c r="DU3120" s="106">
        <v>-67.42</v>
      </c>
      <c r="FI3120" s="42">
        <v>-44.3</v>
      </c>
      <c r="FT3120" s="115">
        <v>-63.43</v>
      </c>
    </row>
    <row r="3121" spans="1:224" x14ac:dyDescent="0.25">
      <c r="A3121" s="127">
        <v>45117</v>
      </c>
      <c r="B3121" s="24" t="s">
        <v>57</v>
      </c>
      <c r="C3121" s="21">
        <f t="shared" ref="C3121:C3184" si="53">SUM(D3121:JT3121)</f>
        <v>-563.84500000000003</v>
      </c>
      <c r="AN3121" s="106">
        <v>-70.45</v>
      </c>
      <c r="AW3121" s="106">
        <v>-68.95</v>
      </c>
      <c r="BI3121" s="106">
        <v>-63.3</v>
      </c>
      <c r="BY3121" s="42">
        <v>-33.93</v>
      </c>
      <c r="BZ3121" s="69">
        <v>-32.555</v>
      </c>
      <c r="CE3121" s="42">
        <v>-34.75</v>
      </c>
      <c r="CS3121" s="74">
        <v>-67.569999999999993</v>
      </c>
      <c r="CY3121" s="106">
        <v>-63.01</v>
      </c>
      <c r="DK3121" s="106">
        <v>-64.650000000000006</v>
      </c>
      <c r="DP3121" s="74">
        <v>-64.680000000000007</v>
      </c>
    </row>
    <row r="3122" spans="1:224" x14ac:dyDescent="0.25">
      <c r="A3122" s="127">
        <v>45117</v>
      </c>
      <c r="B3122" s="24" t="s">
        <v>178</v>
      </c>
      <c r="C3122" s="21">
        <f t="shared" si="53"/>
        <v>-16.5</v>
      </c>
      <c r="BC3122" s="106">
        <v>-16.5</v>
      </c>
    </row>
    <row r="3123" spans="1:224" x14ac:dyDescent="0.25">
      <c r="A3123" s="127">
        <v>45117</v>
      </c>
      <c r="B3123" s="24" t="s">
        <v>161</v>
      </c>
      <c r="C3123" s="21">
        <f t="shared" si="53"/>
        <v>-14.05</v>
      </c>
      <c r="BG3123" s="42">
        <v>-14.05</v>
      </c>
    </row>
    <row r="3124" spans="1:224" x14ac:dyDescent="0.25">
      <c r="A3124" s="127">
        <v>45118</v>
      </c>
      <c r="B3124" s="24" t="s">
        <v>25</v>
      </c>
      <c r="C3124" s="21">
        <f t="shared" si="53"/>
        <v>-41.52</v>
      </c>
      <c r="BE3124" s="126">
        <v>-8.26</v>
      </c>
      <c r="BG3124" s="42">
        <v>-7.03</v>
      </c>
      <c r="BT3124" s="69">
        <v>-8.41</v>
      </c>
      <c r="CA3124" s="106">
        <v>-8.65</v>
      </c>
      <c r="CE3124" s="42">
        <v>-9.17</v>
      </c>
    </row>
    <row r="3125" spans="1:224" x14ac:dyDescent="0.25">
      <c r="A3125" s="127">
        <v>45118</v>
      </c>
      <c r="B3125" s="24" t="s">
        <v>75</v>
      </c>
      <c r="C3125" s="21">
        <f t="shared" si="53"/>
        <v>-34.380000000000003</v>
      </c>
      <c r="AW3125" s="106">
        <v>-17.25</v>
      </c>
      <c r="BT3125" s="69">
        <v>-8.43</v>
      </c>
      <c r="CA3125" s="106">
        <v>-8.6999999999999993</v>
      </c>
    </row>
    <row r="3126" spans="1:224" x14ac:dyDescent="0.25">
      <c r="A3126" s="127">
        <v>45118</v>
      </c>
      <c r="B3126" s="24" t="s">
        <v>50</v>
      </c>
      <c r="C3126" s="21">
        <f t="shared" si="53"/>
        <v>-64.2</v>
      </c>
      <c r="GZ3126" s="106">
        <v>-64.2</v>
      </c>
    </row>
    <row r="3127" spans="1:224" x14ac:dyDescent="0.25">
      <c r="A3127" s="127">
        <v>45118</v>
      </c>
      <c r="B3127" s="24" t="s">
        <v>113</v>
      </c>
      <c r="C3127" s="21">
        <f t="shared" si="53"/>
        <v>919.45</v>
      </c>
      <c r="BC3127" s="106">
        <v>93.77</v>
      </c>
      <c r="BI3127" s="106">
        <v>162.25</v>
      </c>
      <c r="BO3127" s="106">
        <v>152.30000000000001</v>
      </c>
      <c r="BU3127" s="106">
        <v>161.62</v>
      </c>
      <c r="CG3127" s="106">
        <v>108.61</v>
      </c>
      <c r="CS3127" s="74">
        <v>104.16</v>
      </c>
      <c r="EA3127" s="74">
        <v>136.74</v>
      </c>
    </row>
    <row r="3128" spans="1:224" x14ac:dyDescent="0.25">
      <c r="A3128" s="127">
        <v>45120</v>
      </c>
      <c r="B3128" s="24" t="s">
        <v>17</v>
      </c>
      <c r="C3128" s="21">
        <f t="shared" si="53"/>
        <v>-109.63500000000001</v>
      </c>
      <c r="L3128" s="69">
        <v>-4.5599999999999996</v>
      </c>
      <c r="V3128" s="74">
        <v>-8.17</v>
      </c>
      <c r="AN3128" s="106">
        <v>-17.64</v>
      </c>
      <c r="AR3128" s="106">
        <v>-5.12</v>
      </c>
      <c r="AW3128" s="106">
        <v>-15.33</v>
      </c>
      <c r="BI3128" s="106">
        <v>-16.329999999999998</v>
      </c>
      <c r="BO3128" s="106">
        <v>-17.37</v>
      </c>
      <c r="BT3128" s="69">
        <v>-8.3249999999999993</v>
      </c>
      <c r="CG3128" s="106">
        <v>-8.61</v>
      </c>
      <c r="CS3128" s="74">
        <v>-8.18</v>
      </c>
    </row>
    <row r="3129" spans="1:224" x14ac:dyDescent="0.25">
      <c r="A3129" s="127">
        <v>45120</v>
      </c>
      <c r="B3129" s="24" t="s">
        <v>44</v>
      </c>
      <c r="C3129" s="21">
        <f t="shared" si="53"/>
        <v>-171.95</v>
      </c>
      <c r="GQ3129" s="92">
        <v>-171.95</v>
      </c>
    </row>
    <row r="3130" spans="1:224" x14ac:dyDescent="0.25">
      <c r="A3130" s="127">
        <v>45120</v>
      </c>
      <c r="B3130" s="24" t="s">
        <v>78</v>
      </c>
      <c r="C3130" s="21">
        <f t="shared" si="53"/>
        <v>-33.68</v>
      </c>
      <c r="BI3130" s="106">
        <v>-7.91</v>
      </c>
      <c r="DU3130" s="106">
        <v>-8.5500000000000007</v>
      </c>
      <c r="EA3130" s="74">
        <v>-17.22</v>
      </c>
    </row>
    <row r="3131" spans="1:224" x14ac:dyDescent="0.25">
      <c r="A3131" s="127">
        <v>45120</v>
      </c>
      <c r="B3131" s="24" t="s">
        <v>37</v>
      </c>
      <c r="C3131" s="21">
        <f t="shared" si="53"/>
        <v>-412.95</v>
      </c>
      <c r="GO3131" s="110">
        <v>-8.1999999999999993</v>
      </c>
      <c r="HF3131" s="92">
        <v>-62.75</v>
      </c>
      <c r="HJ3131" s="79">
        <v>-114.15</v>
      </c>
      <c r="HM3131" s="106">
        <v>-97.85</v>
      </c>
      <c r="HP3131" s="92">
        <v>-130</v>
      </c>
    </row>
    <row r="3132" spans="1:224" x14ac:dyDescent="0.25">
      <c r="A3132" s="127">
        <v>45120</v>
      </c>
      <c r="B3132" s="24" t="s">
        <v>65</v>
      </c>
      <c r="C3132" s="21">
        <f t="shared" si="53"/>
        <v>0</v>
      </c>
    </row>
    <row r="3133" spans="1:224" x14ac:dyDescent="0.25">
      <c r="A3133" s="127">
        <v>45120</v>
      </c>
      <c r="B3133" s="24" t="s">
        <v>48</v>
      </c>
      <c r="C3133" s="21">
        <f t="shared" si="53"/>
        <v>-170.13</v>
      </c>
      <c r="BI3133" s="106">
        <v>-33.79</v>
      </c>
      <c r="BO3133" s="106">
        <v>-33.07</v>
      </c>
      <c r="BU3133" s="106">
        <v>-31.95</v>
      </c>
      <c r="CG3133" s="106">
        <v>-34.97</v>
      </c>
      <c r="CS3133" s="74">
        <v>-36.35</v>
      </c>
    </row>
    <row r="3134" spans="1:224" x14ac:dyDescent="0.25">
      <c r="A3134" s="127">
        <v>45121</v>
      </c>
      <c r="B3134" s="24" t="s">
        <v>144</v>
      </c>
      <c r="C3134" s="21">
        <f t="shared" si="53"/>
        <v>-110.56</v>
      </c>
      <c r="AC3134" s="106">
        <v>-110.56</v>
      </c>
    </row>
    <row r="3135" spans="1:224" x14ac:dyDescent="0.25">
      <c r="A3135" s="127">
        <v>45121</v>
      </c>
      <c r="B3135" s="24" t="s">
        <v>20</v>
      </c>
      <c r="C3135" s="21">
        <f t="shared" si="53"/>
        <v>-17.285</v>
      </c>
      <c r="BC3135" s="106">
        <v>-8.1999999999999993</v>
      </c>
      <c r="BO3135" s="106">
        <v>-9.0850000000000009</v>
      </c>
    </row>
    <row r="3136" spans="1:224" x14ac:dyDescent="0.25">
      <c r="A3136" s="127">
        <v>45121</v>
      </c>
      <c r="B3136" s="24" t="s">
        <v>17</v>
      </c>
      <c r="C3136" s="21">
        <f t="shared" si="53"/>
        <v>-8</v>
      </c>
      <c r="BU3136" s="106">
        <v>-8</v>
      </c>
    </row>
    <row r="3137" spans="1:226" x14ac:dyDescent="0.25">
      <c r="A3137" s="127">
        <v>45121</v>
      </c>
      <c r="B3137" s="24" t="s">
        <v>84</v>
      </c>
      <c r="C3137" s="21">
        <f t="shared" si="53"/>
        <v>-43.67</v>
      </c>
      <c r="BC3137" s="106">
        <v>-8.2200000000000006</v>
      </c>
      <c r="BI3137" s="106">
        <v>-6.77</v>
      </c>
      <c r="BO3137" s="106">
        <v>-8.35</v>
      </c>
      <c r="BU3137" s="106">
        <v>-17.09</v>
      </c>
      <c r="CA3137" s="106">
        <v>-3.24</v>
      </c>
    </row>
    <row r="3138" spans="1:226" x14ac:dyDescent="0.25">
      <c r="A3138" s="127">
        <v>45121</v>
      </c>
      <c r="B3138" s="24" t="s">
        <v>68</v>
      </c>
      <c r="C3138" s="21">
        <f t="shared" si="53"/>
        <v>-17.72</v>
      </c>
      <c r="BY3138" s="42">
        <f>-9.07-8.65</f>
        <v>-17.72</v>
      </c>
    </row>
    <row r="3139" spans="1:226" x14ac:dyDescent="0.25">
      <c r="A3139" s="127">
        <v>45121</v>
      </c>
      <c r="B3139" s="24" t="s">
        <v>48</v>
      </c>
      <c r="C3139" s="21">
        <f t="shared" si="53"/>
        <v>100.14</v>
      </c>
      <c r="AU3139" s="42">
        <v>33.1</v>
      </c>
      <c r="CF3139" s="69">
        <v>33.72</v>
      </c>
      <c r="CR3139" s="69">
        <v>33.32</v>
      </c>
    </row>
    <row r="3140" spans="1:226" x14ac:dyDescent="0.25">
      <c r="A3140" s="127">
        <v>45121</v>
      </c>
      <c r="B3140" s="24" t="s">
        <v>58</v>
      </c>
      <c r="C3140" s="21">
        <f t="shared" si="53"/>
        <v>-7.26</v>
      </c>
      <c r="CS3140" s="74">
        <v>-7.26</v>
      </c>
    </row>
    <row r="3141" spans="1:226" x14ac:dyDescent="0.25">
      <c r="A3141" s="127">
        <v>45121</v>
      </c>
      <c r="B3141" s="24" t="s">
        <v>25</v>
      </c>
      <c r="C3141" s="21">
        <f t="shared" si="53"/>
        <v>-16.649999999999999</v>
      </c>
      <c r="CT3141" s="121">
        <f>-8.3-8.35</f>
        <v>-16.649999999999999</v>
      </c>
    </row>
    <row r="3142" spans="1:226" x14ac:dyDescent="0.25">
      <c r="A3142" s="127">
        <v>45121</v>
      </c>
      <c r="B3142" s="24" t="s">
        <v>174</v>
      </c>
      <c r="C3142" s="21">
        <f t="shared" si="53"/>
        <v>-33.14</v>
      </c>
      <c r="CG3142" s="106">
        <v>-17.670000000000002</v>
      </c>
      <c r="CM3142" s="106">
        <v>-15.47</v>
      </c>
    </row>
    <row r="3143" spans="1:226" x14ac:dyDescent="0.25">
      <c r="A3143" s="127">
        <v>45122</v>
      </c>
      <c r="B3143" s="24" t="s">
        <v>32</v>
      </c>
      <c r="C3143" s="21">
        <f t="shared" si="53"/>
        <v>-131.32</v>
      </c>
      <c r="AN3143" s="106">
        <v>-17.62</v>
      </c>
      <c r="AW3143" s="106">
        <v>-34.270000000000003</v>
      </c>
      <c r="BC3143" s="106">
        <v>-32.01</v>
      </c>
      <c r="BU3143" s="106">
        <v>-47.42</v>
      </c>
    </row>
    <row r="3144" spans="1:226" x14ac:dyDescent="0.25">
      <c r="A3144" s="127">
        <v>45122</v>
      </c>
      <c r="B3144" s="24" t="s">
        <v>32</v>
      </c>
      <c r="C3144" s="21">
        <f t="shared" si="53"/>
        <v>-42.09</v>
      </c>
      <c r="BU3144" s="106">
        <v>-16.420000000000002</v>
      </c>
      <c r="CC3144" s="126">
        <v>-8.23</v>
      </c>
      <c r="CS3144" s="74">
        <v>-17.440000000000001</v>
      </c>
    </row>
    <row r="3145" spans="1:226" x14ac:dyDescent="0.25">
      <c r="A3145" s="127">
        <v>45122</v>
      </c>
      <c r="B3145" s="24" t="s">
        <v>139</v>
      </c>
      <c r="C3145" s="21">
        <f t="shared" si="53"/>
        <v>-54.09</v>
      </c>
      <c r="BU3145" s="106">
        <v>-8.9499999999999993</v>
      </c>
      <c r="CG3145" s="106">
        <f>-9.39-9.62</f>
        <v>-19.010000000000002</v>
      </c>
      <c r="CM3145" s="106">
        <f>-8.69-8.85</f>
        <v>-17.54</v>
      </c>
      <c r="CS3145" s="74">
        <v>-8.59</v>
      </c>
    </row>
    <row r="3146" spans="1:226" x14ac:dyDescent="0.25">
      <c r="A3146" s="127">
        <v>45123</v>
      </c>
      <c r="B3146" s="24" t="s">
        <v>178</v>
      </c>
      <c r="C3146" s="21">
        <f t="shared" si="53"/>
        <v>-62.38</v>
      </c>
      <c r="BC3146" s="106">
        <v>-30.59</v>
      </c>
      <c r="BU3146" s="106">
        <v>-31.79</v>
      </c>
    </row>
    <row r="3147" spans="1:226" x14ac:dyDescent="0.25">
      <c r="A3147" s="127">
        <v>45123</v>
      </c>
      <c r="B3147" s="24" t="s">
        <v>65</v>
      </c>
      <c r="C3147" s="21">
        <f t="shared" si="53"/>
        <v>0</v>
      </c>
    </row>
    <row r="3148" spans="1:226" x14ac:dyDescent="0.25">
      <c r="A3148" s="127">
        <v>45124</v>
      </c>
      <c r="B3148" s="24" t="s">
        <v>59</v>
      </c>
      <c r="C3148" s="21">
        <f t="shared" si="53"/>
        <v>-3.27</v>
      </c>
      <c r="CG3148" s="106">
        <v>-3.27</v>
      </c>
    </row>
    <row r="3149" spans="1:226" x14ac:dyDescent="0.25">
      <c r="A3149" s="127">
        <v>45124</v>
      </c>
      <c r="B3149" s="24" t="s">
        <v>113</v>
      </c>
      <c r="C3149" s="21">
        <f t="shared" si="53"/>
        <v>1033.45</v>
      </c>
      <c r="AR3149" s="106">
        <v>93.76</v>
      </c>
      <c r="BC3149" s="106">
        <v>166.27</v>
      </c>
      <c r="BI3149" s="106">
        <v>195.1</v>
      </c>
      <c r="BO3149" s="106">
        <v>103.74</v>
      </c>
      <c r="BU3149" s="106">
        <v>29.95</v>
      </c>
      <c r="CA3149" s="106">
        <v>205.15</v>
      </c>
      <c r="HH3149" s="106">
        <v>170.17</v>
      </c>
      <c r="HR3149" s="92">
        <v>69.31</v>
      </c>
    </row>
    <row r="3150" spans="1:226" x14ac:dyDescent="0.25">
      <c r="A3150" s="127">
        <v>45124</v>
      </c>
      <c r="B3150" s="24" t="s">
        <v>82</v>
      </c>
      <c r="C3150" s="21">
        <f t="shared" si="53"/>
        <v>-162.66</v>
      </c>
      <c r="HH3150" s="106">
        <v>-152.83000000000001</v>
      </c>
      <c r="HR3150" s="92">
        <v>-9.83</v>
      </c>
    </row>
    <row r="3151" spans="1:226" x14ac:dyDescent="0.25">
      <c r="A3151" s="127">
        <v>45124</v>
      </c>
      <c r="B3151" s="24" t="s">
        <v>138</v>
      </c>
      <c r="C3151" s="21">
        <f t="shared" si="53"/>
        <v>-96.24</v>
      </c>
      <c r="BC3151" s="106">
        <v>-14.75</v>
      </c>
      <c r="BI3151" s="106">
        <v>-24.02</v>
      </c>
      <c r="BO3151" s="106">
        <v>-25.19</v>
      </c>
      <c r="BU3151" s="106">
        <v>-15.04</v>
      </c>
      <c r="CA3151" s="106">
        <v>-8.4600000000000009</v>
      </c>
      <c r="CS3151" s="74">
        <v>-8.7799999999999994</v>
      </c>
    </row>
    <row r="3152" spans="1:226" x14ac:dyDescent="0.25">
      <c r="A3152" s="127">
        <v>45124</v>
      </c>
      <c r="B3152" s="24" t="s">
        <v>20</v>
      </c>
      <c r="C3152" s="21">
        <f t="shared" si="53"/>
        <v>-23.1</v>
      </c>
      <c r="AW3152" s="106">
        <v>-8.01</v>
      </c>
      <c r="BI3152" s="106">
        <v>-7.63</v>
      </c>
      <c r="BU3152" s="106">
        <v>-7.46</v>
      </c>
    </row>
    <row r="3153" spans="1:131" x14ac:dyDescent="0.25">
      <c r="A3153" s="127">
        <v>45124</v>
      </c>
      <c r="B3153" s="24" t="s">
        <v>139</v>
      </c>
      <c r="C3153" s="21">
        <f t="shared" si="53"/>
        <v>-16.989999999999998</v>
      </c>
      <c r="CA3153" s="106">
        <v>-16.989999999999998</v>
      </c>
    </row>
    <row r="3154" spans="1:131" x14ac:dyDescent="0.25">
      <c r="A3154" s="127">
        <v>45124</v>
      </c>
      <c r="B3154" s="24" t="s">
        <v>65</v>
      </c>
      <c r="C3154" s="21">
        <f t="shared" si="53"/>
        <v>-134.24</v>
      </c>
      <c r="AW3154" s="106">
        <v>-134.24</v>
      </c>
    </row>
    <row r="3155" spans="1:131" x14ac:dyDescent="0.25">
      <c r="A3155" s="127">
        <v>45124</v>
      </c>
      <c r="B3155" s="24" t="s">
        <v>33</v>
      </c>
      <c r="C3155" s="21">
        <f t="shared" si="53"/>
        <v>-8.4499999999999993</v>
      </c>
      <c r="BO3155" s="106">
        <v>-8.4499999999999993</v>
      </c>
    </row>
    <row r="3156" spans="1:131" x14ac:dyDescent="0.25">
      <c r="A3156" s="127">
        <v>45124</v>
      </c>
      <c r="B3156" s="24" t="s">
        <v>162</v>
      </c>
      <c r="C3156" s="21">
        <f t="shared" si="53"/>
        <v>-142.83000000000001</v>
      </c>
      <c r="V3156" s="74">
        <v>-8.18</v>
      </c>
      <c r="AN3156" s="106">
        <v>-26.86</v>
      </c>
      <c r="AR3156" s="106">
        <v>-30.97</v>
      </c>
      <c r="BC3156" s="106">
        <v>-26.44</v>
      </c>
      <c r="BI3156" s="106">
        <v>-24.69</v>
      </c>
      <c r="BO3156" s="106">
        <v>-17.190000000000001</v>
      </c>
      <c r="CA3156" s="106">
        <v>-8.5</v>
      </c>
    </row>
    <row r="3157" spans="1:131" x14ac:dyDescent="0.25">
      <c r="A3157" s="127">
        <v>45124</v>
      </c>
      <c r="B3157" s="24" t="s">
        <v>25</v>
      </c>
      <c r="C3157" s="21">
        <f t="shared" si="53"/>
        <v>-49.185000000000002</v>
      </c>
      <c r="BI3157" s="106">
        <v>-7.95</v>
      </c>
      <c r="BO3157" s="106">
        <v>-7.4550000000000001</v>
      </c>
      <c r="BU3157" s="106">
        <v>-7.45</v>
      </c>
      <c r="CA3157" s="106">
        <v>-8.5299999999999994</v>
      </c>
      <c r="CG3157" s="106">
        <v>-9.39</v>
      </c>
      <c r="CM3157" s="106">
        <v>-8.41</v>
      </c>
    </row>
    <row r="3158" spans="1:131" x14ac:dyDescent="0.25">
      <c r="A3158" s="127">
        <v>45124</v>
      </c>
      <c r="B3158" s="24" t="s">
        <v>17</v>
      </c>
      <c r="C3158" s="21">
        <f t="shared" si="53"/>
        <v>-24.98</v>
      </c>
      <c r="AR3158" s="106">
        <v>-24.98</v>
      </c>
    </row>
    <row r="3159" spans="1:131" x14ac:dyDescent="0.25">
      <c r="A3159" s="127">
        <v>45124</v>
      </c>
      <c r="B3159" s="24" t="s">
        <v>133</v>
      </c>
      <c r="C3159" s="21">
        <f t="shared" si="53"/>
        <v>-266.48</v>
      </c>
      <c r="BC3159" s="106">
        <v>-34.130000000000003</v>
      </c>
      <c r="BI3159" s="106">
        <v>-64.64</v>
      </c>
      <c r="BO3159" s="106">
        <v>-68.040000000000006</v>
      </c>
      <c r="CF3159" s="69">
        <v>-33.72</v>
      </c>
      <c r="CM3159" s="106">
        <v>-32.950000000000003</v>
      </c>
      <c r="CS3159" s="74">
        <v>-33</v>
      </c>
    </row>
    <row r="3160" spans="1:131" x14ac:dyDescent="0.25">
      <c r="A3160" s="127">
        <v>45126</v>
      </c>
      <c r="B3160" s="24" t="s">
        <v>17</v>
      </c>
      <c r="C3160" s="21">
        <f t="shared" si="53"/>
        <v>-16.149999999999999</v>
      </c>
      <c r="BI3160" s="106">
        <v>-16.149999999999999</v>
      </c>
    </row>
    <row r="3161" spans="1:131" x14ac:dyDescent="0.25">
      <c r="A3161" s="127">
        <v>45126</v>
      </c>
      <c r="B3161" s="24" t="s">
        <v>48</v>
      </c>
      <c r="C3161" s="21">
        <f t="shared" si="53"/>
        <v>0</v>
      </c>
    </row>
    <row r="3162" spans="1:131" x14ac:dyDescent="0.25">
      <c r="A3162" s="127">
        <v>45127</v>
      </c>
      <c r="B3162" s="24" t="s">
        <v>48</v>
      </c>
      <c r="C3162" s="21">
        <f t="shared" si="53"/>
        <v>-35.83</v>
      </c>
      <c r="BC3162" s="106">
        <v>-8.92</v>
      </c>
      <c r="BI3162" s="106">
        <f>-9.11-8.97</f>
        <v>-18.079999999999998</v>
      </c>
      <c r="BO3162" s="106">
        <v>-8.83</v>
      </c>
    </row>
    <row r="3163" spans="1:131" x14ac:dyDescent="0.25">
      <c r="A3163" s="127">
        <v>45127</v>
      </c>
      <c r="B3163" s="24" t="s">
        <v>113</v>
      </c>
      <c r="C3163" s="21">
        <f t="shared" si="53"/>
        <v>1215.67</v>
      </c>
      <c r="AC3163" s="106">
        <v>157.72</v>
      </c>
      <c r="AN3163" s="106">
        <v>103.71</v>
      </c>
      <c r="AR3163" s="106">
        <v>98.08</v>
      </c>
      <c r="BO3163" s="106">
        <v>103.82</v>
      </c>
      <c r="BU3163" s="106">
        <v>91.08</v>
      </c>
      <c r="CG3163" s="106">
        <v>101.69</v>
      </c>
      <c r="CM3163" s="106">
        <v>97.92</v>
      </c>
      <c r="CS3163" s="74">
        <v>102.21</v>
      </c>
      <c r="CY3163" s="106">
        <v>97.24</v>
      </c>
      <c r="DE3163" s="74">
        <v>99.9</v>
      </c>
      <c r="DU3163" s="106">
        <v>95.94</v>
      </c>
      <c r="EA3163" s="74">
        <v>66.36</v>
      </c>
    </row>
    <row r="3164" spans="1:131" x14ac:dyDescent="0.25">
      <c r="A3164" s="127">
        <v>45127</v>
      </c>
      <c r="B3164" s="24" t="s">
        <v>65</v>
      </c>
      <c r="C3164" s="21">
        <f t="shared" si="53"/>
        <v>-69.13</v>
      </c>
      <c r="AN3164" s="106">
        <v>-69.13</v>
      </c>
    </row>
    <row r="3165" spans="1:131" x14ac:dyDescent="0.25">
      <c r="A3165" s="127">
        <v>45127</v>
      </c>
      <c r="B3165" s="24" t="s">
        <v>133</v>
      </c>
      <c r="C3165" s="21">
        <f t="shared" si="53"/>
        <v>-129.5</v>
      </c>
      <c r="AW3165" s="106">
        <v>-33.31</v>
      </c>
      <c r="BC3165" s="106">
        <v>-32.54</v>
      </c>
      <c r="BO3165" s="106">
        <v>-33.86</v>
      </c>
      <c r="BU3165" s="106">
        <v>-29.79</v>
      </c>
    </row>
    <row r="3166" spans="1:131" x14ac:dyDescent="0.25">
      <c r="A3166" s="127">
        <v>45127</v>
      </c>
      <c r="B3166" s="24" t="s">
        <v>48</v>
      </c>
      <c r="C3166" s="21">
        <f t="shared" si="53"/>
        <v>-7.65</v>
      </c>
      <c r="J3166" s="110">
        <v>-7.65</v>
      </c>
    </row>
    <row r="3167" spans="1:131" x14ac:dyDescent="0.25">
      <c r="A3167" s="127">
        <v>45127</v>
      </c>
      <c r="B3167" s="24" t="s">
        <v>152</v>
      </c>
      <c r="C3167" s="21">
        <f t="shared" si="53"/>
        <v>-69</v>
      </c>
      <c r="EA3167" s="74">
        <v>-69</v>
      </c>
    </row>
    <row r="3168" spans="1:131" x14ac:dyDescent="0.25">
      <c r="A3168" s="127">
        <v>45128</v>
      </c>
      <c r="B3168" s="24" t="s">
        <v>151</v>
      </c>
      <c r="C3168" s="21">
        <f t="shared" si="53"/>
        <v>-2.42</v>
      </c>
      <c r="AW3168" s="106">
        <v>-2.42</v>
      </c>
    </row>
    <row r="3169" spans="1:228" x14ac:dyDescent="0.25">
      <c r="A3169" s="127">
        <v>45128</v>
      </c>
      <c r="B3169" s="24" t="s">
        <v>20</v>
      </c>
      <c r="C3169" s="21">
        <f t="shared" si="53"/>
        <v>-24.96</v>
      </c>
      <c r="BO3169" s="106">
        <v>-8.83</v>
      </c>
      <c r="BU3169" s="106">
        <v>-7.63</v>
      </c>
      <c r="CA3169" s="106">
        <v>-8.5</v>
      </c>
    </row>
    <row r="3170" spans="1:228" x14ac:dyDescent="0.25">
      <c r="A3170" s="127">
        <v>45128</v>
      </c>
      <c r="B3170" s="24" t="s">
        <v>68</v>
      </c>
      <c r="C3170" s="21">
        <f t="shared" si="53"/>
        <v>-136.24</v>
      </c>
      <c r="AN3170" s="106">
        <v>-34.58</v>
      </c>
      <c r="BC3170" s="106">
        <v>-33.950000000000003</v>
      </c>
      <c r="BI3170" s="106">
        <v>-31.83</v>
      </c>
      <c r="BO3170" s="106">
        <v>-35.880000000000003</v>
      </c>
    </row>
    <row r="3171" spans="1:228" x14ac:dyDescent="0.25">
      <c r="A3171" s="127">
        <v>45128</v>
      </c>
      <c r="B3171" s="24" t="s">
        <v>139</v>
      </c>
      <c r="C3171" s="21">
        <f t="shared" si="53"/>
        <v>-58.27</v>
      </c>
      <c r="BO3171" s="106">
        <v>-8.48</v>
      </c>
      <c r="BU3171" s="106">
        <v>-7.39</v>
      </c>
      <c r="CA3171" s="106">
        <v>-8.4600000000000009</v>
      </c>
      <c r="CG3171" s="106">
        <f>-8.42-8.61</f>
        <v>-17.03</v>
      </c>
      <c r="CS3171" s="74">
        <v>-8.69</v>
      </c>
      <c r="CY3171" s="106">
        <v>-8.2200000000000006</v>
      </c>
    </row>
    <row r="3172" spans="1:228" x14ac:dyDescent="0.25">
      <c r="A3172" s="127">
        <v>45128</v>
      </c>
      <c r="B3172" s="24" t="s">
        <v>25</v>
      </c>
      <c r="C3172" s="21">
        <f t="shared" si="53"/>
        <v>-43.09</v>
      </c>
      <c r="BU3172" s="106">
        <v>-7.52</v>
      </c>
      <c r="CG3172" s="106">
        <v>-9.86</v>
      </c>
      <c r="CM3172" s="106">
        <v>-17.05</v>
      </c>
      <c r="CS3172" s="74">
        <v>-8.66</v>
      </c>
    </row>
    <row r="3173" spans="1:228" x14ac:dyDescent="0.25">
      <c r="A3173" s="127">
        <v>45128</v>
      </c>
      <c r="B3173" s="24" t="s">
        <v>37</v>
      </c>
      <c r="C3173" s="21">
        <f t="shared" si="53"/>
        <v>-566.38</v>
      </c>
      <c r="HF3173" s="92">
        <v>-90.8</v>
      </c>
      <c r="HJ3173" s="79">
        <v>-184.85</v>
      </c>
      <c r="HM3173" s="106">
        <v>-98.75</v>
      </c>
      <c r="HP3173" s="92">
        <v>-67.400000000000006</v>
      </c>
      <c r="HR3173" s="92">
        <v>-59.48</v>
      </c>
      <c r="HT3173" s="84">
        <v>-65.099999999999994</v>
      </c>
    </row>
    <row r="3174" spans="1:228" x14ac:dyDescent="0.25">
      <c r="A3174" s="127">
        <v>45129</v>
      </c>
      <c r="B3174" s="24" t="s">
        <v>161</v>
      </c>
      <c r="C3174" s="21">
        <f t="shared" si="53"/>
        <v>0</v>
      </c>
    </row>
    <row r="3175" spans="1:228" x14ac:dyDescent="0.25">
      <c r="A3175" s="127">
        <v>45129</v>
      </c>
      <c r="B3175" s="24" t="s">
        <v>113</v>
      </c>
      <c r="C3175" s="21">
        <f t="shared" si="53"/>
        <v>972.68499999999995</v>
      </c>
      <c r="AN3175" s="106">
        <v>103.82</v>
      </c>
      <c r="AW3175" s="106">
        <v>97.275000000000006</v>
      </c>
      <c r="BC3175" s="106">
        <v>94.04</v>
      </c>
      <c r="BI3175" s="106">
        <v>47.84</v>
      </c>
      <c r="BO3175" s="106">
        <v>104.05</v>
      </c>
      <c r="BU3175" s="106">
        <v>91.5</v>
      </c>
      <c r="CA3175" s="106">
        <v>101.81</v>
      </c>
      <c r="CG3175" s="106">
        <v>96.97</v>
      </c>
      <c r="CY3175" s="106">
        <v>66.635000000000005</v>
      </c>
      <c r="DE3175" s="74">
        <v>68.894999999999996</v>
      </c>
      <c r="EA3175" s="74">
        <v>99.85</v>
      </c>
    </row>
    <row r="3176" spans="1:228" x14ac:dyDescent="0.25">
      <c r="A3176" s="127">
        <v>45129</v>
      </c>
      <c r="B3176" s="24" t="s">
        <v>161</v>
      </c>
      <c r="C3176" s="21">
        <f t="shared" si="53"/>
        <v>-15.78</v>
      </c>
      <c r="AC3176" s="106">
        <f>-7.94-7.84</f>
        <v>-15.78</v>
      </c>
    </row>
    <row r="3177" spans="1:228" x14ac:dyDescent="0.25">
      <c r="A3177" s="127">
        <v>45129</v>
      </c>
      <c r="B3177" s="24" t="s">
        <v>78</v>
      </c>
      <c r="C3177" s="21">
        <f t="shared" si="53"/>
        <v>-80.23</v>
      </c>
      <c r="BC3177" s="106">
        <v>-32.4</v>
      </c>
      <c r="BI3177" s="106">
        <v>-15.85</v>
      </c>
      <c r="BO3177" s="106">
        <v>-17.04</v>
      </c>
      <c r="BU3177" s="106">
        <v>-14.94</v>
      </c>
    </row>
    <row r="3178" spans="1:228" x14ac:dyDescent="0.25">
      <c r="A3178" s="127">
        <v>45131</v>
      </c>
      <c r="B3178" s="24" t="s">
        <v>29</v>
      </c>
      <c r="C3178" s="21">
        <f t="shared" si="53"/>
        <v>-25.04</v>
      </c>
      <c r="BC3178" s="106">
        <v>-8</v>
      </c>
      <c r="BI3178" s="106">
        <v>-8.8699999999999992</v>
      </c>
      <c r="BO3178" s="106">
        <v>-8.17</v>
      </c>
    </row>
    <row r="3179" spans="1:228" x14ac:dyDescent="0.25">
      <c r="A3179" s="127">
        <v>45131</v>
      </c>
      <c r="B3179" s="24" t="s">
        <v>178</v>
      </c>
      <c r="C3179" s="21">
        <f t="shared" si="53"/>
        <v>-61.3</v>
      </c>
      <c r="BC3179" s="106">
        <v>-32</v>
      </c>
      <c r="BU3179" s="106">
        <v>-29.3</v>
      </c>
    </row>
    <row r="3180" spans="1:228" x14ac:dyDescent="0.25">
      <c r="A3180" s="127">
        <v>45132</v>
      </c>
      <c r="B3180" s="24" t="s">
        <v>127</v>
      </c>
      <c r="C3180" s="21">
        <f t="shared" si="53"/>
        <v>-8</v>
      </c>
      <c r="BC3180" s="106">
        <v>-8</v>
      </c>
    </row>
    <row r="3181" spans="1:228" x14ac:dyDescent="0.25">
      <c r="A3181" s="127">
        <v>45132</v>
      </c>
      <c r="B3181" s="24" t="s">
        <v>20</v>
      </c>
      <c r="C3181" s="21">
        <f t="shared" si="53"/>
        <v>-85.275000000000006</v>
      </c>
      <c r="L3181" s="69">
        <v>-8.4949999999999992</v>
      </c>
      <c r="P3181" s="106">
        <v>-6.45</v>
      </c>
      <c r="V3181" s="74">
        <v>-8.08</v>
      </c>
      <c r="GZ3181" s="106">
        <v>-62.25</v>
      </c>
    </row>
    <row r="3182" spans="1:228" x14ac:dyDescent="0.25">
      <c r="A3182" s="127">
        <v>45132</v>
      </c>
      <c r="B3182" s="24" t="s">
        <v>144</v>
      </c>
      <c r="C3182" s="21">
        <f t="shared" si="53"/>
        <v>-94.22</v>
      </c>
      <c r="AC3182" s="106">
        <v>-94.22</v>
      </c>
    </row>
    <row r="3183" spans="1:228" x14ac:dyDescent="0.25">
      <c r="A3183" s="127">
        <v>45132</v>
      </c>
      <c r="B3183" s="24" t="s">
        <v>75</v>
      </c>
      <c r="C3183" s="21">
        <f t="shared" si="53"/>
        <v>-49.48</v>
      </c>
      <c r="BU3183" s="106">
        <v>-6.66</v>
      </c>
      <c r="CG3183" s="106">
        <v>-9.61</v>
      </c>
      <c r="CM3183" s="106">
        <v>-8.33</v>
      </c>
      <c r="EA3183" s="74">
        <v>-24.88</v>
      </c>
    </row>
    <row r="3184" spans="1:228" x14ac:dyDescent="0.25">
      <c r="A3184" s="127">
        <v>45132</v>
      </c>
      <c r="B3184" s="24" t="s">
        <v>17</v>
      </c>
      <c r="C3184" s="21">
        <f t="shared" si="53"/>
        <v>-48.95</v>
      </c>
      <c r="BC3184" s="106">
        <v>-6.31</v>
      </c>
      <c r="BO3184" s="106">
        <v>-8.82</v>
      </c>
      <c r="BU3184" s="106">
        <v>-7.96</v>
      </c>
      <c r="CS3184" s="74">
        <v>-9.0299999999999994</v>
      </c>
      <c r="CY3184" s="106">
        <v>-16.829999999999998</v>
      </c>
    </row>
    <row r="3185" spans="1:186" x14ac:dyDescent="0.25">
      <c r="A3185" s="127">
        <v>45132</v>
      </c>
      <c r="B3185" s="24" t="s">
        <v>17</v>
      </c>
      <c r="C3185" s="21">
        <f t="shared" ref="C3185:C3248" si="54">SUM(D3185:JT3185)</f>
        <v>-66.125</v>
      </c>
      <c r="AW3185" s="106">
        <v>-18.024999999999999</v>
      </c>
      <c r="BC3185" s="106">
        <v>-14.97</v>
      </c>
      <c r="BO3185" s="106">
        <v>-17.690000000000001</v>
      </c>
      <c r="BU3185" s="106">
        <v>-15.44</v>
      </c>
    </row>
    <row r="3186" spans="1:186" x14ac:dyDescent="0.25">
      <c r="A3186" s="127">
        <v>45132</v>
      </c>
      <c r="B3186" s="24" t="s">
        <v>162</v>
      </c>
      <c r="C3186" s="21">
        <f t="shared" si="54"/>
        <v>-23.49</v>
      </c>
      <c r="BU3186" s="106">
        <v>-23.49</v>
      </c>
    </row>
    <row r="3187" spans="1:186" x14ac:dyDescent="0.25">
      <c r="A3187" s="127">
        <v>45132</v>
      </c>
      <c r="B3187" s="24" t="s">
        <v>25</v>
      </c>
      <c r="C3187" s="21">
        <f t="shared" si="54"/>
        <v>-47.41</v>
      </c>
      <c r="AN3187" s="106">
        <v>-8.77</v>
      </c>
      <c r="AR3187" s="106">
        <v>-6.26</v>
      </c>
      <c r="AW3187" s="106">
        <v>-7.84</v>
      </c>
      <c r="BU3187" s="106">
        <v>-7.94</v>
      </c>
      <c r="CA3187" s="106">
        <v>-8.49</v>
      </c>
      <c r="CG3187" s="106">
        <v>-8.11</v>
      </c>
    </row>
    <row r="3188" spans="1:186" x14ac:dyDescent="0.25">
      <c r="A3188" s="127">
        <v>45132</v>
      </c>
      <c r="B3188" s="24" t="s">
        <v>147</v>
      </c>
      <c r="C3188" s="21">
        <f t="shared" si="54"/>
        <v>-25.28</v>
      </c>
      <c r="BI3188" s="106">
        <v>-8.4700000000000006</v>
      </c>
      <c r="BO3188" s="106">
        <v>-8.83</v>
      </c>
      <c r="BU3188" s="106">
        <v>-7.98</v>
      </c>
    </row>
    <row r="3189" spans="1:186" x14ac:dyDescent="0.25">
      <c r="A3189" s="127">
        <v>45132</v>
      </c>
      <c r="B3189" s="24" t="s">
        <v>147</v>
      </c>
      <c r="C3189" s="21">
        <f t="shared" si="54"/>
        <v>-22.88</v>
      </c>
      <c r="AR3189" s="106">
        <v>-8.26</v>
      </c>
      <c r="AW3189" s="106">
        <v>-7.29</v>
      </c>
      <c r="BC3189" s="106">
        <v>-7.33</v>
      </c>
    </row>
    <row r="3190" spans="1:186" x14ac:dyDescent="0.25">
      <c r="A3190" s="127">
        <v>45132</v>
      </c>
      <c r="B3190" s="24" t="s">
        <v>84</v>
      </c>
      <c r="C3190" s="21">
        <f t="shared" si="54"/>
        <v>-16.68</v>
      </c>
      <c r="BI3190" s="106">
        <v>-7.86</v>
      </c>
      <c r="BO3190" s="106">
        <v>-8.82</v>
      </c>
    </row>
    <row r="3191" spans="1:186" x14ac:dyDescent="0.25">
      <c r="A3191" s="127">
        <v>45132</v>
      </c>
      <c r="B3191" s="24" t="s">
        <v>59</v>
      </c>
      <c r="C3191" s="21">
        <f t="shared" si="54"/>
        <v>-11.87</v>
      </c>
      <c r="CA3191" s="106">
        <v>-2.35</v>
      </c>
      <c r="CG3191" s="106">
        <v>-2.68</v>
      </c>
      <c r="DK3191" s="106">
        <v>-4.43</v>
      </c>
      <c r="DP3191" s="74">
        <v>-2.41</v>
      </c>
    </row>
    <row r="3192" spans="1:186" x14ac:dyDescent="0.25">
      <c r="A3192" s="127">
        <v>45133</v>
      </c>
      <c r="B3192" s="24" t="s">
        <v>133</v>
      </c>
      <c r="C3192" s="21">
        <f t="shared" si="54"/>
        <v>-329.875</v>
      </c>
      <c r="AN3192" s="106">
        <v>-34.729999999999997</v>
      </c>
      <c r="AR3192" s="106">
        <v>-32.68</v>
      </c>
      <c r="BI3192" s="106">
        <v>-62.34</v>
      </c>
      <c r="BO3192" s="106">
        <v>-34.08</v>
      </c>
      <c r="CA3192" s="106">
        <v>-33.99</v>
      </c>
      <c r="CM3192" s="106">
        <v>-64.62</v>
      </c>
      <c r="CS3192" s="74">
        <v>-33.83</v>
      </c>
      <c r="DE3192" s="74">
        <v>-33.604999999999997</v>
      </c>
    </row>
    <row r="3193" spans="1:186" x14ac:dyDescent="0.25">
      <c r="A3193" s="127">
        <v>45133</v>
      </c>
      <c r="B3193" s="24" t="s">
        <v>152</v>
      </c>
      <c r="C3193" s="21">
        <f t="shared" si="54"/>
        <v>-751.77</v>
      </c>
      <c r="I3193" s="84">
        <v>-12</v>
      </c>
      <c r="L3193" s="69">
        <v>-16.965</v>
      </c>
      <c r="P3193" s="106">
        <v>-15.65</v>
      </c>
      <c r="AC3193" s="106">
        <v>-31.9</v>
      </c>
      <c r="AW3193" s="106">
        <v>-31.9</v>
      </c>
      <c r="BC3193" s="106">
        <v>-15.32</v>
      </c>
      <c r="BI3193" s="106">
        <v>-33.159999999999997</v>
      </c>
      <c r="BO3193" s="106">
        <v>-70.38</v>
      </c>
      <c r="CA3193" s="106">
        <v>-34.9</v>
      </c>
      <c r="CG3193" s="106">
        <v>-69.760000000000005</v>
      </c>
      <c r="CM3193" s="106">
        <v>-35.31</v>
      </c>
      <c r="CQ3193" s="42">
        <v>-26.33</v>
      </c>
      <c r="CS3193" s="74">
        <f>-33.51-8.49</f>
        <v>-42</v>
      </c>
      <c r="CY3193" s="106">
        <v>-66.635000000000005</v>
      </c>
      <c r="DP3193" s="74">
        <v>-34.43</v>
      </c>
      <c r="DU3193" s="106">
        <v>-95.94</v>
      </c>
      <c r="EG3193" s="74">
        <v>-16.72</v>
      </c>
      <c r="EL3193" s="106">
        <v>-18.100000000000001</v>
      </c>
      <c r="EP3193" s="74">
        <v>-64.900000000000006</v>
      </c>
      <c r="GD3193" s="115">
        <v>-19.47</v>
      </c>
    </row>
    <row r="3194" spans="1:186" x14ac:dyDescent="0.25">
      <c r="A3194" s="127">
        <v>45133</v>
      </c>
      <c r="B3194" s="24" t="s">
        <v>140</v>
      </c>
      <c r="C3194" s="21">
        <f t="shared" si="54"/>
        <v>-71.885000000000005</v>
      </c>
      <c r="D3194" s="386">
        <v>-49.965000000000003</v>
      </c>
      <c r="E3194" s="386">
        <v>-21.92</v>
      </c>
    </row>
    <row r="3195" spans="1:186" x14ac:dyDescent="0.25">
      <c r="A3195" s="127">
        <v>45133</v>
      </c>
      <c r="B3195" s="24" t="s">
        <v>48</v>
      </c>
      <c r="C3195" s="21">
        <f t="shared" si="54"/>
        <v>-22.66</v>
      </c>
      <c r="EZ3195" s="92">
        <v>-22.66</v>
      </c>
    </row>
    <row r="3196" spans="1:186" x14ac:dyDescent="0.25">
      <c r="A3196" s="127">
        <v>45134</v>
      </c>
      <c r="B3196" s="24" t="s">
        <v>113</v>
      </c>
      <c r="C3196" s="21">
        <f t="shared" si="54"/>
        <v>1456.26</v>
      </c>
      <c r="Z3196" s="79">
        <v>178.48</v>
      </c>
      <c r="AG3196" s="106">
        <v>105.92</v>
      </c>
      <c r="AN3196" s="106">
        <v>69.16</v>
      </c>
      <c r="AR3196" s="106">
        <v>179.95</v>
      </c>
      <c r="BC3196" s="106">
        <v>78.58</v>
      </c>
      <c r="BI3196" s="106">
        <v>168.84</v>
      </c>
      <c r="CA3196" s="106">
        <v>167.75</v>
      </c>
      <c r="CM3196" s="106">
        <v>303.99</v>
      </c>
      <c r="CS3196" s="74">
        <v>203.59</v>
      </c>
    </row>
    <row r="3197" spans="1:186" x14ac:dyDescent="0.25">
      <c r="A3197" s="127">
        <v>45134</v>
      </c>
      <c r="B3197" s="24" t="s">
        <v>32</v>
      </c>
      <c r="C3197" s="21">
        <f t="shared" si="54"/>
        <v>-224.61</v>
      </c>
      <c r="AR3197" s="106">
        <v>-16.2</v>
      </c>
      <c r="AW3197" s="106">
        <v>-16.670000000000002</v>
      </c>
      <c r="BC3197" s="106">
        <v>-31.61</v>
      </c>
      <c r="BI3197" s="106">
        <v>-31.32</v>
      </c>
      <c r="CG3197" s="106">
        <v>-31.1</v>
      </c>
      <c r="CM3197" s="106">
        <v>-15.93</v>
      </c>
      <c r="CS3197" s="74">
        <v>-34.81</v>
      </c>
      <c r="CY3197" s="106">
        <v>-14.5</v>
      </c>
      <c r="DE3197" s="74">
        <v>-16.97</v>
      </c>
      <c r="DK3197" s="106">
        <v>-15.5</v>
      </c>
    </row>
    <row r="3198" spans="1:186" x14ac:dyDescent="0.25">
      <c r="A3198" s="127">
        <v>45134</v>
      </c>
      <c r="B3198" s="24" t="s">
        <v>17</v>
      </c>
      <c r="C3198" s="21">
        <f t="shared" si="54"/>
        <v>-139.17500000000001</v>
      </c>
      <c r="Z3198" s="79">
        <v>-8.2850000000000001</v>
      </c>
      <c r="AC3198" s="106">
        <v>-7.95</v>
      </c>
      <c r="AN3198" s="106">
        <v>-8.64</v>
      </c>
      <c r="BI3198" s="106">
        <v>-16.760000000000002</v>
      </c>
      <c r="CA3198" s="106">
        <v>-33.97</v>
      </c>
      <c r="CG3198" s="106">
        <v>-29.95</v>
      </c>
      <c r="DE3198" s="74">
        <v>-18.32</v>
      </c>
      <c r="DK3198" s="106">
        <v>-15.3</v>
      </c>
    </row>
    <row r="3199" spans="1:186" x14ac:dyDescent="0.25">
      <c r="A3199" s="127">
        <v>45134</v>
      </c>
      <c r="B3199" s="24" t="s">
        <v>133</v>
      </c>
      <c r="C3199" s="21">
        <f t="shared" si="54"/>
        <v>-169.72</v>
      </c>
      <c r="AG3199" s="106">
        <v>-35.35</v>
      </c>
      <c r="BI3199" s="106">
        <v>-35.630000000000003</v>
      </c>
      <c r="CA3199" s="106">
        <v>-31.89</v>
      </c>
      <c r="CS3199" s="74">
        <v>-33.04</v>
      </c>
      <c r="CY3199" s="106">
        <v>-33.81</v>
      </c>
    </row>
    <row r="3200" spans="1:186" x14ac:dyDescent="0.25">
      <c r="A3200" s="127">
        <v>45135</v>
      </c>
      <c r="B3200" s="24" t="s">
        <v>17</v>
      </c>
      <c r="C3200" s="21">
        <f t="shared" si="54"/>
        <v>-50.76</v>
      </c>
      <c r="AR3200" s="106">
        <v>-7.91</v>
      </c>
      <c r="BC3200" s="106">
        <v>-7.59</v>
      </c>
      <c r="BI3200" s="106">
        <f>-8.91-8.37</f>
        <v>-17.28</v>
      </c>
      <c r="CS3200" s="74">
        <v>-17.98</v>
      </c>
    </row>
    <row r="3201" spans="1:231" x14ac:dyDescent="0.25">
      <c r="A3201" s="127">
        <v>45135</v>
      </c>
      <c r="B3201" s="24" t="s">
        <v>48</v>
      </c>
      <c r="C3201" s="21">
        <f t="shared" si="54"/>
        <v>-50.77</v>
      </c>
      <c r="BC3201" s="106">
        <v>-6.3</v>
      </c>
      <c r="BI3201" s="106">
        <f>-35.46-9.01</f>
        <v>-44.47</v>
      </c>
    </row>
    <row r="3202" spans="1:231" x14ac:dyDescent="0.25">
      <c r="A3202" s="127">
        <v>45135</v>
      </c>
      <c r="B3202" s="24" t="s">
        <v>113</v>
      </c>
      <c r="C3202" s="21">
        <f t="shared" si="54"/>
        <v>1528.47</v>
      </c>
      <c r="AC3202" s="106">
        <v>31.84</v>
      </c>
      <c r="AW3202" s="106">
        <v>176.16499999999999</v>
      </c>
      <c r="BI3202" s="106">
        <v>71.09</v>
      </c>
      <c r="CG3202" s="106">
        <v>192.9</v>
      </c>
      <c r="CS3202" s="74">
        <v>175.58</v>
      </c>
      <c r="DE3202" s="74">
        <v>105.94499999999999</v>
      </c>
      <c r="DP3202" s="74">
        <v>255.91</v>
      </c>
      <c r="GQ3202" s="92">
        <v>156.61000000000001</v>
      </c>
      <c r="HD3202" s="92">
        <v>258.68</v>
      </c>
      <c r="HR3202" s="92">
        <v>103.75</v>
      </c>
    </row>
    <row r="3203" spans="1:231" x14ac:dyDescent="0.25">
      <c r="A3203" s="127">
        <v>45135</v>
      </c>
      <c r="B3203" s="24" t="s">
        <v>139</v>
      </c>
      <c r="C3203" s="21">
        <f t="shared" si="54"/>
        <v>-58.23</v>
      </c>
      <c r="AC3203" s="106">
        <v>-7.87</v>
      </c>
      <c r="BC3203" s="106">
        <v>-8.32</v>
      </c>
      <c r="CA3203" s="106">
        <v>-8.44</v>
      </c>
      <c r="CM3203" s="106">
        <v>-15.65</v>
      </c>
      <c r="CS3203" s="74">
        <v>-17.95</v>
      </c>
    </row>
    <row r="3204" spans="1:231" x14ac:dyDescent="0.25">
      <c r="A3204" s="127">
        <v>45135</v>
      </c>
      <c r="B3204" s="24" t="s">
        <v>44</v>
      </c>
      <c r="C3204" s="21">
        <f t="shared" si="54"/>
        <v>-221.215</v>
      </c>
      <c r="GK3204" s="79">
        <v>-8.1</v>
      </c>
      <c r="GQ3204" s="92">
        <v>-156.61000000000001</v>
      </c>
      <c r="GW3204" s="92">
        <v>-7.89</v>
      </c>
      <c r="HF3204" s="92">
        <v>-32.049999999999997</v>
      </c>
      <c r="HR3204" s="92">
        <v>-8.3650000000000002</v>
      </c>
      <c r="HW3204" s="42">
        <v>-8.1999999999999993</v>
      </c>
    </row>
    <row r="3205" spans="1:231" x14ac:dyDescent="0.25">
      <c r="A3205" s="127">
        <v>45136</v>
      </c>
      <c r="B3205" s="24" t="s">
        <v>152</v>
      </c>
      <c r="C3205" s="21">
        <f t="shared" si="54"/>
        <v>-602.27499999999998</v>
      </c>
      <c r="AW3205" s="106">
        <v>-33.664999999999999</v>
      </c>
      <c r="BI3205" s="106">
        <v>-67.92</v>
      </c>
      <c r="CA3205" s="106">
        <v>-67.89</v>
      </c>
      <c r="CG3205" s="106">
        <v>-32.909999999999997</v>
      </c>
      <c r="CM3205" s="106">
        <v>-66.39</v>
      </c>
      <c r="CS3205" s="74">
        <v>-69.53</v>
      </c>
      <c r="CY3205" s="106">
        <v>-32.53</v>
      </c>
      <c r="DP3205" s="74">
        <v>-65.47</v>
      </c>
      <c r="EA3205" s="74">
        <v>-165.97</v>
      </c>
    </row>
    <row r="3206" spans="1:231" x14ac:dyDescent="0.25">
      <c r="A3206" s="127">
        <v>45136</v>
      </c>
      <c r="B3206" s="24" t="s">
        <v>149</v>
      </c>
      <c r="C3206" s="21">
        <f t="shared" si="54"/>
        <v>-11.62</v>
      </c>
      <c r="AG3206" s="106">
        <v>-8.82</v>
      </c>
      <c r="AM3206" s="69">
        <v>-2.8</v>
      </c>
    </row>
    <row r="3207" spans="1:231" x14ac:dyDescent="0.25">
      <c r="A3207" s="127">
        <v>45136</v>
      </c>
      <c r="B3207" s="24" t="s">
        <v>25</v>
      </c>
      <c r="C3207" s="21">
        <f t="shared" si="54"/>
        <v>-52.02</v>
      </c>
      <c r="CG3207" s="106">
        <v>-25.8</v>
      </c>
      <c r="CM3207" s="106">
        <v>-26.22</v>
      </c>
    </row>
    <row r="3208" spans="1:231" x14ac:dyDescent="0.25">
      <c r="A3208" s="127">
        <v>45136</v>
      </c>
      <c r="B3208" s="24" t="s">
        <v>59</v>
      </c>
      <c r="C3208" s="21">
        <f t="shared" si="54"/>
        <v>0</v>
      </c>
      <c r="CA3208" s="106">
        <v>-8.44</v>
      </c>
      <c r="CG3208" s="106">
        <v>8.44</v>
      </c>
    </row>
    <row r="3209" spans="1:231" x14ac:dyDescent="0.25">
      <c r="A3209" s="127">
        <v>45138</v>
      </c>
      <c r="B3209" s="24" t="s">
        <v>37</v>
      </c>
      <c r="C3209" s="21">
        <f t="shared" si="54"/>
        <v>-68.83</v>
      </c>
      <c r="HD3209" s="92">
        <v>-68.83</v>
      </c>
    </row>
    <row r="3210" spans="1:231" x14ac:dyDescent="0.25">
      <c r="A3210" s="127">
        <v>45138</v>
      </c>
      <c r="B3210" s="24" t="s">
        <v>19</v>
      </c>
      <c r="C3210" s="21">
        <f t="shared" si="54"/>
        <v>0</v>
      </c>
    </row>
    <row r="3211" spans="1:231" x14ac:dyDescent="0.25">
      <c r="A3211" s="127">
        <v>45138</v>
      </c>
      <c r="B3211" s="24" t="s">
        <v>222</v>
      </c>
      <c r="C3211" s="21">
        <f t="shared" si="54"/>
        <v>-17.309999999999999</v>
      </c>
      <c r="BC3211" s="106">
        <v>-8.26</v>
      </c>
      <c r="BI3211" s="106">
        <v>-9.0500000000000007</v>
      </c>
    </row>
    <row r="3212" spans="1:231" x14ac:dyDescent="0.25">
      <c r="A3212" s="127">
        <v>45138</v>
      </c>
      <c r="B3212" s="24" t="s">
        <v>17</v>
      </c>
      <c r="C3212" s="21">
        <f t="shared" si="54"/>
        <v>-16.66</v>
      </c>
      <c r="AW3212" s="106">
        <v>-8.44</v>
      </c>
      <c r="BU3212" s="106">
        <v>-8.2200000000000006</v>
      </c>
    </row>
    <row r="3213" spans="1:231" x14ac:dyDescent="0.25">
      <c r="A3213" s="127">
        <v>45138</v>
      </c>
      <c r="B3213" s="24" t="s">
        <v>33</v>
      </c>
      <c r="C3213" s="21">
        <f t="shared" si="54"/>
        <v>-16.05</v>
      </c>
      <c r="AR3213" s="106">
        <v>-7.01</v>
      </c>
      <c r="BI3213" s="106">
        <v>-9.0399999999999991</v>
      </c>
    </row>
    <row r="3214" spans="1:231" x14ac:dyDescent="0.25">
      <c r="A3214" s="127">
        <v>45138</v>
      </c>
      <c r="B3214" s="24" t="s">
        <v>138</v>
      </c>
      <c r="C3214" s="21">
        <f t="shared" si="54"/>
        <v>-15.88</v>
      </c>
      <c r="CM3214" s="106">
        <v>-15.88</v>
      </c>
    </row>
    <row r="3215" spans="1:231" x14ac:dyDescent="0.25">
      <c r="A3215" s="127">
        <v>45139</v>
      </c>
      <c r="B3215" s="24" t="s">
        <v>75</v>
      </c>
      <c r="C3215" s="21">
        <f t="shared" si="54"/>
        <v>-39.78</v>
      </c>
      <c r="V3215" s="74">
        <v>-8.1300000000000008</v>
      </c>
      <c r="AC3215" s="106">
        <v>-8</v>
      </c>
      <c r="AR3215" s="106">
        <v>-6.3</v>
      </c>
      <c r="BC3215" s="106">
        <v>-8.24</v>
      </c>
      <c r="BI3215" s="106">
        <v>-9.11</v>
      </c>
    </row>
    <row r="3216" spans="1:231" x14ac:dyDescent="0.25">
      <c r="A3216" s="127">
        <v>45139</v>
      </c>
      <c r="B3216" s="24" t="s">
        <v>20</v>
      </c>
      <c r="C3216" s="21">
        <f t="shared" si="54"/>
        <v>-30.824999999999999</v>
      </c>
      <c r="Z3216" s="79">
        <v>-7.5650000000000004</v>
      </c>
      <c r="AC3216" s="106">
        <v>-6.58</v>
      </c>
      <c r="BI3216" s="106">
        <v>-8.1999999999999993</v>
      </c>
      <c r="CA3216" s="106">
        <v>-8.48</v>
      </c>
    </row>
    <row r="3217" spans="1:212" x14ac:dyDescent="0.25">
      <c r="A3217" s="127">
        <v>45139</v>
      </c>
      <c r="B3217" s="24" t="s">
        <v>79</v>
      </c>
      <c r="C3217" s="21">
        <f t="shared" si="54"/>
        <v>-42.73</v>
      </c>
      <c r="BS3217" s="42">
        <v>-8.5299999999999994</v>
      </c>
      <c r="BU3217" s="106">
        <v>-8.2100000000000009</v>
      </c>
      <c r="CA3217" s="106">
        <v>-8.49</v>
      </c>
      <c r="CG3217" s="106">
        <v>-9.01</v>
      </c>
      <c r="DE3217" s="74">
        <v>-8.49</v>
      </c>
    </row>
    <row r="3218" spans="1:212" x14ac:dyDescent="0.25">
      <c r="A3218" s="127">
        <v>45139</v>
      </c>
      <c r="B3218" s="24" t="s">
        <v>144</v>
      </c>
      <c r="C3218" s="21">
        <f t="shared" si="54"/>
        <v>-189.85</v>
      </c>
      <c r="HD3218" s="92">
        <v>-189.85</v>
      </c>
    </row>
    <row r="3219" spans="1:212" x14ac:dyDescent="0.25">
      <c r="A3219" s="127">
        <v>45139</v>
      </c>
      <c r="B3219" s="24" t="s">
        <v>113</v>
      </c>
      <c r="C3219" s="21">
        <f t="shared" si="54"/>
        <v>330.81</v>
      </c>
      <c r="GQ3219" s="92">
        <v>330.81</v>
      </c>
    </row>
    <row r="3220" spans="1:212" x14ac:dyDescent="0.25">
      <c r="A3220" s="127">
        <v>45139</v>
      </c>
      <c r="B3220" s="24" t="s">
        <v>113</v>
      </c>
      <c r="C3220" s="21">
        <f t="shared" si="54"/>
        <v>587.45000000000005</v>
      </c>
      <c r="AR3220" s="106">
        <v>254.23</v>
      </c>
      <c r="CM3220" s="106">
        <v>182.41</v>
      </c>
      <c r="GQ3220" s="92">
        <v>150.81</v>
      </c>
    </row>
    <row r="3221" spans="1:212" x14ac:dyDescent="0.25">
      <c r="A3221" s="127">
        <v>45140</v>
      </c>
      <c r="B3221" s="24" t="s">
        <v>176</v>
      </c>
      <c r="C3221" s="21">
        <f t="shared" si="54"/>
        <v>-8.2799999999999994</v>
      </c>
      <c r="D3221" s="386">
        <v>-8.2799999999999994</v>
      </c>
    </row>
    <row r="3222" spans="1:212" x14ac:dyDescent="0.25">
      <c r="A3222" s="127">
        <v>45140</v>
      </c>
      <c r="B3222" s="24" t="s">
        <v>48</v>
      </c>
      <c r="C3222" s="21">
        <f t="shared" si="54"/>
        <v>-8.16</v>
      </c>
      <c r="V3222" s="74">
        <v>-8.16</v>
      </c>
    </row>
    <row r="3223" spans="1:212" x14ac:dyDescent="0.25">
      <c r="A3223" s="127">
        <v>45140</v>
      </c>
      <c r="B3223" s="24" t="s">
        <v>65</v>
      </c>
      <c r="C3223" s="21">
        <f t="shared" si="54"/>
        <v>-77.739999999999995</v>
      </c>
      <c r="AC3223" s="106">
        <v>-8.6300000000000008</v>
      </c>
      <c r="AN3223" s="106">
        <v>-69.11</v>
      </c>
    </row>
    <row r="3224" spans="1:212" x14ac:dyDescent="0.25">
      <c r="A3224" s="127">
        <v>45141</v>
      </c>
      <c r="B3224" s="24" t="s">
        <v>84</v>
      </c>
      <c r="C3224" s="21">
        <f t="shared" si="54"/>
        <v>-17.2</v>
      </c>
      <c r="AG3224" s="106">
        <v>-8.81</v>
      </c>
      <c r="AW3224" s="106">
        <v>-8.39</v>
      </c>
    </row>
    <row r="3225" spans="1:212" x14ac:dyDescent="0.25">
      <c r="A3225" s="127">
        <v>45141</v>
      </c>
      <c r="B3225" s="24" t="s">
        <v>149</v>
      </c>
      <c r="C3225" s="21">
        <f t="shared" si="54"/>
        <v>-8.2899999999999991</v>
      </c>
      <c r="BK3225" s="126">
        <v>-8.2899999999999991</v>
      </c>
    </row>
    <row r="3226" spans="1:212" x14ac:dyDescent="0.25">
      <c r="A3226" s="127">
        <v>45141</v>
      </c>
      <c r="B3226" s="24" t="s">
        <v>156</v>
      </c>
      <c r="C3226" s="21">
        <f t="shared" si="54"/>
        <v>-17.489999999999998</v>
      </c>
      <c r="F3226" s="145">
        <v>-17.489999999999998</v>
      </c>
    </row>
    <row r="3227" spans="1:212" x14ac:dyDescent="0.25">
      <c r="A3227" s="127">
        <v>45141</v>
      </c>
      <c r="B3227" s="24" t="s">
        <v>25</v>
      </c>
      <c r="C3227" s="21">
        <f t="shared" si="54"/>
        <v>-41.21</v>
      </c>
      <c r="BK3227" s="126">
        <v>-16.809999999999999</v>
      </c>
      <c r="CA3227" s="106">
        <v>-16.98</v>
      </c>
      <c r="CG3227" s="106">
        <v>-7.42</v>
      </c>
    </row>
    <row r="3228" spans="1:212" x14ac:dyDescent="0.25">
      <c r="A3228" s="127">
        <v>45141</v>
      </c>
      <c r="B3228" s="24" t="s">
        <v>32</v>
      </c>
      <c r="C3228" s="21">
        <f t="shared" si="54"/>
        <v>-17.36</v>
      </c>
      <c r="DP3228" s="74">
        <v>-8.5</v>
      </c>
      <c r="EA3228" s="74">
        <v>-8.86</v>
      </c>
    </row>
    <row r="3229" spans="1:212" x14ac:dyDescent="0.25">
      <c r="A3229" s="127">
        <v>45141</v>
      </c>
      <c r="B3229" s="24" t="s">
        <v>133</v>
      </c>
      <c r="C3229" s="21">
        <f t="shared" si="54"/>
        <v>-132.97</v>
      </c>
      <c r="AW3229" s="106">
        <v>-65.099999999999994</v>
      </c>
      <c r="CA3229" s="106">
        <v>-67.87</v>
      </c>
    </row>
    <row r="3230" spans="1:212" x14ac:dyDescent="0.25">
      <c r="A3230" s="127">
        <v>45141</v>
      </c>
      <c r="B3230" s="24" t="s">
        <v>20</v>
      </c>
      <c r="C3230" s="21">
        <f t="shared" si="54"/>
        <v>-63.3</v>
      </c>
      <c r="GZ3230" s="106">
        <v>-63.3</v>
      </c>
    </row>
    <row r="3231" spans="1:212" x14ac:dyDescent="0.25">
      <c r="A3231" s="127">
        <v>45141</v>
      </c>
      <c r="B3231" s="24" t="s">
        <v>17</v>
      </c>
      <c r="C3231" s="21">
        <f t="shared" si="54"/>
        <v>-8.9499999999999993</v>
      </c>
      <c r="CS3231" s="74">
        <v>-8.9499999999999993</v>
      </c>
    </row>
    <row r="3232" spans="1:212" x14ac:dyDescent="0.25">
      <c r="A3232" s="127">
        <v>45142</v>
      </c>
      <c r="B3232" s="24" t="s">
        <v>65</v>
      </c>
      <c r="C3232" s="21">
        <f t="shared" si="54"/>
        <v>-34.56</v>
      </c>
      <c r="AN3232" s="106">
        <v>-34.56</v>
      </c>
    </row>
    <row r="3233" spans="1:230" x14ac:dyDescent="0.25">
      <c r="A3233" s="127">
        <v>45142</v>
      </c>
      <c r="B3233" s="24" t="s">
        <v>133</v>
      </c>
      <c r="C3233" s="21">
        <f t="shared" si="54"/>
        <v>-15.66</v>
      </c>
      <c r="Z3233" s="79">
        <v>-15.66</v>
      </c>
    </row>
    <row r="3234" spans="1:230" x14ac:dyDescent="0.25">
      <c r="A3234" s="127">
        <v>45142</v>
      </c>
      <c r="B3234" s="24" t="s">
        <v>19</v>
      </c>
      <c r="C3234" s="21">
        <f t="shared" si="54"/>
        <v>-178.93</v>
      </c>
      <c r="AR3234" s="106">
        <v>-63.04</v>
      </c>
      <c r="AW3234" s="106">
        <v>-53.8</v>
      </c>
      <c r="GQ3234" s="92">
        <v>-33.479999999999997</v>
      </c>
      <c r="GW3234" s="92">
        <v>-28.61</v>
      </c>
    </row>
    <row r="3235" spans="1:230" x14ac:dyDescent="0.25">
      <c r="A3235" s="127">
        <v>45142</v>
      </c>
      <c r="B3235" s="24" t="s">
        <v>151</v>
      </c>
      <c r="C3235" s="21">
        <f t="shared" si="54"/>
        <v>-8.11</v>
      </c>
      <c r="EA3235" s="74">
        <v>-8.11</v>
      </c>
    </row>
    <row r="3236" spans="1:230" x14ac:dyDescent="0.25">
      <c r="A3236" s="127">
        <v>45142</v>
      </c>
      <c r="B3236" s="24" t="s">
        <v>19</v>
      </c>
      <c r="C3236" s="21">
        <f t="shared" si="54"/>
        <v>152.72999999999999</v>
      </c>
      <c r="N3236" s="42">
        <v>15.52</v>
      </c>
      <c r="BM3236" s="88">
        <v>67</v>
      </c>
      <c r="CW3236" s="42">
        <v>34.74</v>
      </c>
      <c r="EE3236" s="42">
        <v>35.47</v>
      </c>
    </row>
    <row r="3237" spans="1:230" x14ac:dyDescent="0.25">
      <c r="A3237" s="127">
        <v>45142</v>
      </c>
      <c r="B3237" s="24" t="s">
        <v>19</v>
      </c>
      <c r="C3237" s="21">
        <f t="shared" si="54"/>
        <v>0</v>
      </c>
    </row>
    <row r="3238" spans="1:230" x14ac:dyDescent="0.25">
      <c r="A3238" s="127">
        <v>45142</v>
      </c>
      <c r="B3238" s="24" t="s">
        <v>179</v>
      </c>
      <c r="C3238" s="21">
        <f t="shared" si="54"/>
        <v>-2.04</v>
      </c>
      <c r="HH3238" s="106">
        <v>-2.04</v>
      </c>
    </row>
    <row r="3239" spans="1:230" x14ac:dyDescent="0.25">
      <c r="A3239" s="127">
        <v>45142</v>
      </c>
      <c r="B3239" s="24" t="s">
        <v>68</v>
      </c>
      <c r="C3239" s="21">
        <f t="shared" si="54"/>
        <v>-65.3</v>
      </c>
      <c r="CA3239" s="106">
        <v>-34.01</v>
      </c>
      <c r="CG3239" s="106">
        <v>-31.29</v>
      </c>
    </row>
    <row r="3240" spans="1:230" x14ac:dyDescent="0.25">
      <c r="A3240" s="127">
        <v>45143</v>
      </c>
      <c r="B3240" s="24" t="s">
        <v>139</v>
      </c>
      <c r="C3240" s="21">
        <f t="shared" si="54"/>
        <v>-7.76</v>
      </c>
      <c r="N3240" s="42">
        <v>-7.76</v>
      </c>
    </row>
    <row r="3241" spans="1:230" x14ac:dyDescent="0.25">
      <c r="A3241" s="127">
        <v>45143</v>
      </c>
      <c r="B3241" s="24" t="s">
        <v>115</v>
      </c>
      <c r="C3241" s="21">
        <f t="shared" si="54"/>
        <v>4.62</v>
      </c>
      <c r="HV3241" s="92">
        <v>4.62</v>
      </c>
    </row>
    <row r="3242" spans="1:230" x14ac:dyDescent="0.25">
      <c r="A3242" s="127">
        <v>45145</v>
      </c>
      <c r="B3242" s="24" t="s">
        <v>44</v>
      </c>
      <c r="C3242" s="21">
        <f t="shared" si="54"/>
        <v>-100.35</v>
      </c>
      <c r="GQ3242" s="92">
        <v>-100.35</v>
      </c>
    </row>
    <row r="3243" spans="1:230" x14ac:dyDescent="0.25">
      <c r="A3243" s="127">
        <v>45146</v>
      </c>
      <c r="B3243" s="24" t="s">
        <v>113</v>
      </c>
      <c r="C3243" s="21">
        <f t="shared" si="54"/>
        <v>956.02499999999998</v>
      </c>
      <c r="BI3243" s="106">
        <v>100.85</v>
      </c>
      <c r="BO3243" s="106">
        <v>163.76</v>
      </c>
      <c r="CA3243" s="106">
        <v>129.94</v>
      </c>
      <c r="CY3243" s="106">
        <v>65.364999999999995</v>
      </c>
      <c r="DU3243" s="106">
        <v>100.91</v>
      </c>
      <c r="EA3243" s="74">
        <v>103.77</v>
      </c>
      <c r="GK3243" s="79">
        <v>55.96</v>
      </c>
      <c r="GQ3243" s="92">
        <v>15.51</v>
      </c>
      <c r="HP3243" s="92">
        <v>219.96</v>
      </c>
    </row>
    <row r="3244" spans="1:230" x14ac:dyDescent="0.25">
      <c r="A3244" s="127">
        <v>45146</v>
      </c>
      <c r="B3244" s="24" t="s">
        <v>147</v>
      </c>
      <c r="C3244" s="21">
        <f t="shared" si="54"/>
        <v>-33.49</v>
      </c>
      <c r="BI3244" s="106">
        <v>-8.27</v>
      </c>
      <c r="BO3244" s="106">
        <v>-8.2899999999999991</v>
      </c>
      <c r="CA3244" s="106">
        <v>-8.5</v>
      </c>
      <c r="CM3244" s="106">
        <v>-8.43</v>
      </c>
    </row>
    <row r="3245" spans="1:230" x14ac:dyDescent="0.25">
      <c r="A3245" s="127">
        <v>45146</v>
      </c>
      <c r="B3245" s="24" t="s">
        <v>44</v>
      </c>
      <c r="C3245" s="21">
        <f t="shared" si="54"/>
        <v>-55.96</v>
      </c>
      <c r="GK3245" s="79">
        <v>-55.96</v>
      </c>
    </row>
    <row r="3246" spans="1:230" x14ac:dyDescent="0.25">
      <c r="A3246" s="127">
        <v>45146</v>
      </c>
      <c r="B3246" s="24" t="s">
        <v>149</v>
      </c>
      <c r="C3246" s="21">
        <f t="shared" si="54"/>
        <v>-7.55</v>
      </c>
      <c r="AR3246" s="106">
        <v>-7.55</v>
      </c>
    </row>
    <row r="3247" spans="1:230" x14ac:dyDescent="0.25">
      <c r="A3247" s="127">
        <v>45146</v>
      </c>
      <c r="B3247" s="24" t="s">
        <v>174</v>
      </c>
      <c r="C3247" s="21">
        <f t="shared" si="54"/>
        <v>-25.76</v>
      </c>
      <c r="EA3247" s="74">
        <v>-25.76</v>
      </c>
    </row>
    <row r="3248" spans="1:230" x14ac:dyDescent="0.25">
      <c r="A3248" s="127">
        <v>45146</v>
      </c>
      <c r="B3248" s="24" t="s">
        <v>152</v>
      </c>
      <c r="C3248" s="21">
        <f t="shared" si="54"/>
        <v>-267.10500000000002</v>
      </c>
      <c r="AR3248" s="106">
        <v>-32.5</v>
      </c>
      <c r="CG3248" s="106">
        <v>-62.23</v>
      </c>
      <c r="CM3248" s="106">
        <v>-89.02</v>
      </c>
      <c r="CY3248" s="106">
        <v>-65.364999999999995</v>
      </c>
      <c r="EE3248" s="42">
        <v>-17.989999999999998</v>
      </c>
    </row>
    <row r="3249" spans="1:227" x14ac:dyDescent="0.25">
      <c r="A3249" s="127">
        <v>45146</v>
      </c>
      <c r="B3249" s="24" t="s">
        <v>20</v>
      </c>
      <c r="C3249" s="21">
        <f t="shared" ref="C3249:C3312" si="55">SUM(D3249:JT3249)</f>
        <v>-41.92</v>
      </c>
      <c r="AN3249" s="106">
        <v>-8.64</v>
      </c>
      <c r="AR3249" s="106">
        <v>-8.31</v>
      </c>
      <c r="BC3249" s="106">
        <v>-8.26</v>
      </c>
      <c r="BI3249" s="106">
        <v>-8.41</v>
      </c>
      <c r="BO3249" s="106">
        <v>-8.3000000000000007</v>
      </c>
    </row>
    <row r="3250" spans="1:227" x14ac:dyDescent="0.25">
      <c r="A3250" s="127">
        <v>45146</v>
      </c>
      <c r="B3250" s="24" t="s">
        <v>127</v>
      </c>
      <c r="C3250" s="21">
        <f t="shared" si="55"/>
        <v>-17.329999999999998</v>
      </c>
      <c r="BI3250" s="106">
        <v>-8.42</v>
      </c>
      <c r="BM3250" s="88">
        <v>-8.91</v>
      </c>
    </row>
    <row r="3251" spans="1:227" x14ac:dyDescent="0.25">
      <c r="A3251" s="127">
        <v>45146</v>
      </c>
      <c r="B3251" s="24" t="s">
        <v>75</v>
      </c>
      <c r="C3251" s="21">
        <f t="shared" si="55"/>
        <v>-34.340000000000003</v>
      </c>
      <c r="V3251" s="74">
        <v>-8.1199999999999992</v>
      </c>
      <c r="EE3251" s="42">
        <v>-17.48</v>
      </c>
      <c r="EP3251" s="74">
        <v>-8.74</v>
      </c>
    </row>
    <row r="3252" spans="1:227" x14ac:dyDescent="0.25">
      <c r="A3252" s="127">
        <v>45146</v>
      </c>
      <c r="B3252" s="24" t="s">
        <v>37</v>
      </c>
      <c r="C3252" s="21">
        <f t="shared" si="55"/>
        <v>-219.96</v>
      </c>
      <c r="HP3252" s="92">
        <v>-219.96</v>
      </c>
    </row>
    <row r="3253" spans="1:227" x14ac:dyDescent="0.25">
      <c r="A3253" s="127">
        <v>45146</v>
      </c>
      <c r="B3253" s="24" t="s">
        <v>65</v>
      </c>
      <c r="C3253" s="21">
        <f t="shared" si="55"/>
        <v>-17.3</v>
      </c>
      <c r="AN3253" s="106">
        <f>-8.65-8.65</f>
        <v>-17.3</v>
      </c>
    </row>
    <row r="3254" spans="1:227" x14ac:dyDescent="0.25">
      <c r="A3254" s="127">
        <v>45146</v>
      </c>
      <c r="B3254" s="24" t="s">
        <v>48</v>
      </c>
      <c r="C3254" s="21">
        <f t="shared" si="55"/>
        <v>-32.81</v>
      </c>
      <c r="AL3254" s="42">
        <v>33.409999999999997</v>
      </c>
      <c r="CA3254" s="106">
        <v>-66.22</v>
      </c>
    </row>
    <row r="3255" spans="1:227" x14ac:dyDescent="0.25">
      <c r="A3255" s="127">
        <v>45147</v>
      </c>
      <c r="B3255" s="24" t="s">
        <v>180</v>
      </c>
      <c r="C3255" s="21">
        <f t="shared" si="55"/>
        <v>-49.36</v>
      </c>
      <c r="GO3255" s="110">
        <v>-49.36</v>
      </c>
    </row>
    <row r="3256" spans="1:227" x14ac:dyDescent="0.25">
      <c r="A3256" s="127">
        <v>45147</v>
      </c>
      <c r="B3256" s="24" t="s">
        <v>17</v>
      </c>
      <c r="C3256" s="21">
        <f t="shared" si="55"/>
        <v>-22.98</v>
      </c>
      <c r="BI3256" s="106">
        <v>-8.43</v>
      </c>
      <c r="BO3256" s="106">
        <v>-8.32</v>
      </c>
      <c r="CM3256" s="106">
        <v>-6.23</v>
      </c>
    </row>
    <row r="3257" spans="1:227" x14ac:dyDescent="0.25">
      <c r="A3257" s="127">
        <v>45147</v>
      </c>
      <c r="B3257" s="24" t="s">
        <v>167</v>
      </c>
      <c r="C3257" s="21">
        <f t="shared" si="55"/>
        <v>-26.9</v>
      </c>
      <c r="D3257" s="386">
        <v>-12.27</v>
      </c>
      <c r="E3257" s="386">
        <v>-14.63</v>
      </c>
    </row>
    <row r="3258" spans="1:227" x14ac:dyDescent="0.25">
      <c r="A3258" s="127">
        <v>45148</v>
      </c>
      <c r="B3258" s="24" t="s">
        <v>53</v>
      </c>
      <c r="C3258" s="21">
        <f t="shared" si="55"/>
        <v>-589.37</v>
      </c>
      <c r="AW3258" s="106">
        <v>-23.6</v>
      </c>
      <c r="BI3258" s="106">
        <v>-33.67</v>
      </c>
      <c r="BO3258" s="106">
        <v>-33.020000000000003</v>
      </c>
      <c r="CA3258" s="106">
        <v>-30.99</v>
      </c>
      <c r="CG3258" s="106">
        <v>-64.83</v>
      </c>
      <c r="CM3258" s="106">
        <v>-61.21</v>
      </c>
      <c r="CS3258" s="74">
        <v>-70.2</v>
      </c>
      <c r="CW3258" s="42">
        <v>-34.74</v>
      </c>
      <c r="DE3258" s="74">
        <v>-70.849999999999994</v>
      </c>
      <c r="DK3258" s="106">
        <v>-33.15</v>
      </c>
      <c r="DP3258" s="74">
        <v>-64.680000000000007</v>
      </c>
      <c r="EA3258" s="74">
        <v>-68.430000000000007</v>
      </c>
    </row>
    <row r="3259" spans="1:227" x14ac:dyDescent="0.25">
      <c r="A3259" s="127">
        <v>45148</v>
      </c>
      <c r="B3259" s="24" t="s">
        <v>82</v>
      </c>
      <c r="C3259" s="21">
        <f t="shared" si="55"/>
        <v>-7.85</v>
      </c>
      <c r="HS3259" s="38">
        <v>-7.85</v>
      </c>
    </row>
    <row r="3260" spans="1:227" x14ac:dyDescent="0.25">
      <c r="A3260" s="127">
        <v>45148</v>
      </c>
      <c r="B3260" s="24" t="s">
        <v>68</v>
      </c>
      <c r="C3260" s="21">
        <f t="shared" si="55"/>
        <v>-42.49</v>
      </c>
      <c r="BO3260" s="106">
        <v>-33.14</v>
      </c>
      <c r="CS3260" s="74">
        <v>-9.35</v>
      </c>
    </row>
    <row r="3261" spans="1:227" x14ac:dyDescent="0.25">
      <c r="A3261" s="127">
        <v>45149</v>
      </c>
      <c r="B3261" s="24" t="s">
        <v>113</v>
      </c>
      <c r="C3261" s="21">
        <f t="shared" si="55"/>
        <v>0</v>
      </c>
    </row>
    <row r="3262" spans="1:227" x14ac:dyDescent="0.25">
      <c r="A3262" s="127">
        <v>45149</v>
      </c>
      <c r="B3262" s="24" t="s">
        <v>181</v>
      </c>
      <c r="C3262" s="21">
        <f t="shared" si="55"/>
        <v>-14.15</v>
      </c>
      <c r="I3262" s="84">
        <v>-14.15</v>
      </c>
    </row>
    <row r="3263" spans="1:227" x14ac:dyDescent="0.25">
      <c r="A3263" s="127">
        <v>45149</v>
      </c>
      <c r="B3263" s="24" t="s">
        <v>152</v>
      </c>
      <c r="C3263" s="21">
        <f t="shared" si="55"/>
        <v>-559.20000000000005</v>
      </c>
      <c r="H3263" s="84">
        <v>-18.899999999999999</v>
      </c>
      <c r="V3263" s="74">
        <v>-32.5</v>
      </c>
      <c r="AR3263" s="106">
        <v>-32.090000000000003</v>
      </c>
      <c r="BI3263" s="106">
        <v>-101.08</v>
      </c>
      <c r="CS3263" s="74">
        <v>-99.81</v>
      </c>
      <c r="DK3263" s="106">
        <v>-31.8</v>
      </c>
      <c r="DP3263" s="74">
        <v>-68.06</v>
      </c>
      <c r="EA3263" s="74">
        <v>-174.96</v>
      </c>
    </row>
    <row r="3264" spans="1:227" x14ac:dyDescent="0.25">
      <c r="A3264" s="127">
        <v>45149</v>
      </c>
      <c r="B3264" s="24" t="s">
        <v>59</v>
      </c>
      <c r="C3264" s="21">
        <f t="shared" si="55"/>
        <v>-7.3</v>
      </c>
      <c r="CG3264" s="106">
        <v>-3.24</v>
      </c>
      <c r="CS3264" s="74">
        <v>-1.92</v>
      </c>
      <c r="CY3264" s="106">
        <v>-2.14</v>
      </c>
    </row>
    <row r="3265" spans="1:226" x14ac:dyDescent="0.25">
      <c r="A3265" s="127">
        <v>45149</v>
      </c>
      <c r="B3265" s="24" t="s">
        <v>37</v>
      </c>
      <c r="C3265" s="21">
        <f t="shared" si="55"/>
        <v>-390.72500000000002</v>
      </c>
      <c r="GN3265" s="110">
        <v>-56.53</v>
      </c>
      <c r="HF3265" s="92">
        <v>-33.4</v>
      </c>
      <c r="HJ3265" s="79">
        <v>-107.56</v>
      </c>
      <c r="HM3265" s="106">
        <v>-97.85</v>
      </c>
      <c r="HR3265" s="92">
        <v>-95.385000000000005</v>
      </c>
    </row>
    <row r="3266" spans="1:226" x14ac:dyDescent="0.25">
      <c r="A3266" s="127">
        <v>45149</v>
      </c>
      <c r="B3266" s="24" t="s">
        <v>113</v>
      </c>
      <c r="C3266" s="21">
        <f t="shared" si="55"/>
        <v>886.97</v>
      </c>
      <c r="AL3266" s="42">
        <v>104.5</v>
      </c>
      <c r="BI3266" s="106">
        <v>101.08</v>
      </c>
      <c r="CA3266" s="106">
        <v>101.8</v>
      </c>
      <c r="CY3266" s="106">
        <v>101.25</v>
      </c>
      <c r="EA3266" s="74">
        <v>174.96</v>
      </c>
      <c r="GN3266" s="110">
        <v>97.97</v>
      </c>
      <c r="HJ3266" s="79">
        <v>107.56</v>
      </c>
      <c r="HM3266" s="106">
        <v>97.85</v>
      </c>
    </row>
    <row r="3267" spans="1:226" x14ac:dyDescent="0.25">
      <c r="A3267" s="127">
        <v>45149</v>
      </c>
      <c r="B3267" s="24" t="s">
        <v>17</v>
      </c>
      <c r="C3267" s="21">
        <f t="shared" si="55"/>
        <v>-103.84</v>
      </c>
      <c r="AL3267" s="42">
        <v>-34.67</v>
      </c>
      <c r="CY3267" s="106">
        <v>-34.54</v>
      </c>
      <c r="DE3267" s="74">
        <v>-34.630000000000003</v>
      </c>
    </row>
    <row r="3268" spans="1:226" x14ac:dyDescent="0.25">
      <c r="A3268" s="127">
        <v>45149</v>
      </c>
      <c r="B3268" s="24" t="s">
        <v>68</v>
      </c>
      <c r="C3268" s="21">
        <f t="shared" si="55"/>
        <v>-33.799999999999997</v>
      </c>
      <c r="AW3268" s="106">
        <v>-33.799999999999997</v>
      </c>
    </row>
    <row r="3269" spans="1:226" x14ac:dyDescent="0.25">
      <c r="A3269" s="127">
        <v>45149</v>
      </c>
      <c r="B3269" s="24" t="s">
        <v>65</v>
      </c>
      <c r="C3269" s="21">
        <f t="shared" si="55"/>
        <v>0</v>
      </c>
    </row>
    <row r="3270" spans="1:226" x14ac:dyDescent="0.25">
      <c r="A3270" s="127">
        <v>45149</v>
      </c>
      <c r="B3270" s="24" t="s">
        <v>127</v>
      </c>
      <c r="C3270" s="21">
        <f t="shared" si="55"/>
        <v>-8.81</v>
      </c>
      <c r="BM3270" s="88">
        <v>-8.81</v>
      </c>
    </row>
    <row r="3271" spans="1:226" x14ac:dyDescent="0.25">
      <c r="A3271" s="127">
        <v>45152</v>
      </c>
      <c r="B3271" s="24" t="s">
        <v>161</v>
      </c>
      <c r="C3271" s="21">
        <f t="shared" si="55"/>
        <v>-8.24</v>
      </c>
      <c r="Z3271" s="79">
        <v>-8.24</v>
      </c>
    </row>
    <row r="3272" spans="1:226" x14ac:dyDescent="0.25">
      <c r="A3272" s="127">
        <v>45153</v>
      </c>
      <c r="B3272" s="24" t="s">
        <v>27</v>
      </c>
      <c r="C3272" s="21">
        <f t="shared" si="55"/>
        <v>-16.440000000000001</v>
      </c>
      <c r="BO3272" s="106">
        <v>-16.440000000000001</v>
      </c>
    </row>
    <row r="3273" spans="1:226" x14ac:dyDescent="0.25">
      <c r="A3273" s="127">
        <v>45153</v>
      </c>
      <c r="B3273" s="24" t="s">
        <v>75</v>
      </c>
      <c r="C3273" s="21">
        <f t="shared" si="55"/>
        <v>-39.99</v>
      </c>
      <c r="Z3273" s="79">
        <v>-8.07</v>
      </c>
      <c r="AR3273" s="106">
        <v>-16.63</v>
      </c>
      <c r="BO3273" s="106">
        <v>-15.29</v>
      </c>
    </row>
    <row r="3274" spans="1:226" x14ac:dyDescent="0.25">
      <c r="A3274" s="127">
        <v>45153</v>
      </c>
      <c r="B3274" s="24" t="s">
        <v>59</v>
      </c>
      <c r="C3274" s="21">
        <f t="shared" si="55"/>
        <v>-12.61</v>
      </c>
      <c r="CS3274" s="74">
        <v>-4.0999999999999996</v>
      </c>
      <c r="DE3274" s="74">
        <v>-8.51</v>
      </c>
    </row>
    <row r="3275" spans="1:226" x14ac:dyDescent="0.25">
      <c r="A3275" s="127">
        <v>45153</v>
      </c>
      <c r="B3275" s="24" t="s">
        <v>78</v>
      </c>
      <c r="C3275" s="21">
        <f t="shared" si="55"/>
        <v>-33.74</v>
      </c>
      <c r="DU3275" s="106">
        <v>-33.74</v>
      </c>
    </row>
    <row r="3276" spans="1:226" x14ac:dyDescent="0.25">
      <c r="A3276" s="127">
        <v>45153</v>
      </c>
      <c r="B3276" s="24" t="s">
        <v>162</v>
      </c>
      <c r="C3276" s="21">
        <f t="shared" si="55"/>
        <v>-25.75</v>
      </c>
      <c r="Z3276" s="79">
        <v>-8.31</v>
      </c>
      <c r="AC3276" s="106">
        <v>-8.6300000000000008</v>
      </c>
      <c r="AG3276" s="106">
        <v>-8.81</v>
      </c>
    </row>
    <row r="3277" spans="1:226" x14ac:dyDescent="0.25">
      <c r="A3277" s="127">
        <v>45153</v>
      </c>
      <c r="B3277" s="24" t="s">
        <v>25</v>
      </c>
      <c r="C3277" s="21">
        <f t="shared" si="55"/>
        <v>-158.21</v>
      </c>
      <c r="AG3277" s="106">
        <v>-8.85</v>
      </c>
      <c r="AR3277" s="106">
        <v>-16.55</v>
      </c>
      <c r="BI3277" s="106">
        <v>-33.65</v>
      </c>
      <c r="BO3277" s="106">
        <v>-32.700000000000003</v>
      </c>
      <c r="CA3277" s="106">
        <v>-34.28</v>
      </c>
      <c r="CM3277" s="106">
        <v>-32.18</v>
      </c>
    </row>
    <row r="3278" spans="1:226" x14ac:dyDescent="0.25">
      <c r="A3278" s="127">
        <v>45153</v>
      </c>
      <c r="B3278" s="24" t="s">
        <v>139</v>
      </c>
      <c r="C3278" s="21">
        <f t="shared" si="55"/>
        <v>-46.46</v>
      </c>
      <c r="AG3278" s="106">
        <v>-8.81</v>
      </c>
      <c r="BO3278" s="106">
        <v>-8.26</v>
      </c>
      <c r="CA3278" s="106">
        <v>-8.27</v>
      </c>
      <c r="CG3278" s="106">
        <v>-4</v>
      </c>
      <c r="CY3278" s="106">
        <v>-8.18</v>
      </c>
      <c r="DE3278" s="74">
        <v>-8.94</v>
      </c>
    </row>
    <row r="3279" spans="1:226" x14ac:dyDescent="0.25">
      <c r="A3279" s="127">
        <v>45153</v>
      </c>
      <c r="B3279" s="24" t="s">
        <v>180</v>
      </c>
      <c r="C3279" s="21">
        <f t="shared" si="55"/>
        <v>-88.92</v>
      </c>
      <c r="GM3279" s="92">
        <v>-73.62</v>
      </c>
      <c r="HH3279" s="106">
        <v>-15.3</v>
      </c>
    </row>
    <row r="3280" spans="1:226" x14ac:dyDescent="0.25">
      <c r="A3280" s="127">
        <v>45153</v>
      </c>
      <c r="B3280" s="24" t="s">
        <v>44</v>
      </c>
      <c r="C3280" s="21">
        <f t="shared" si="55"/>
        <v>-163.31</v>
      </c>
      <c r="GQ3280" s="92">
        <v>-163.31</v>
      </c>
    </row>
    <row r="3281" spans="1:237" x14ac:dyDescent="0.25">
      <c r="A3281" s="127">
        <v>45154</v>
      </c>
      <c r="B3281" s="24" t="s">
        <v>113</v>
      </c>
      <c r="C3281" s="21">
        <f t="shared" si="55"/>
        <v>1164.96</v>
      </c>
      <c r="BC3281" s="106">
        <v>203.48</v>
      </c>
      <c r="BI3281" s="106">
        <v>203.24</v>
      </c>
      <c r="BO3281" s="106">
        <v>148.88</v>
      </c>
      <c r="BU3281" s="106">
        <v>303.19</v>
      </c>
      <c r="CG3281" s="106">
        <v>193.14</v>
      </c>
      <c r="CS3281" s="74">
        <v>96.89</v>
      </c>
      <c r="EA3281" s="74">
        <v>16.14</v>
      </c>
    </row>
    <row r="3282" spans="1:237" x14ac:dyDescent="0.25">
      <c r="A3282" s="127">
        <v>45154</v>
      </c>
      <c r="B3282" s="24" t="s">
        <v>44</v>
      </c>
      <c r="C3282" s="21">
        <f t="shared" si="55"/>
        <v>-155.72</v>
      </c>
      <c r="GQ3282" s="92">
        <v>-100.57</v>
      </c>
      <c r="GW3282" s="92">
        <v>-29.5</v>
      </c>
      <c r="IC3282" s="92">
        <v>-25.65</v>
      </c>
    </row>
    <row r="3283" spans="1:237" x14ac:dyDescent="0.25">
      <c r="A3283" s="127">
        <v>45154</v>
      </c>
      <c r="B3283" s="24" t="s">
        <v>43</v>
      </c>
      <c r="C3283" s="21">
        <f t="shared" si="55"/>
        <v>-90.35</v>
      </c>
      <c r="DP3283" s="74">
        <v>-90.35</v>
      </c>
    </row>
    <row r="3284" spans="1:237" x14ac:dyDescent="0.25">
      <c r="A3284" s="127">
        <v>45154</v>
      </c>
      <c r="B3284" s="24" t="s">
        <v>37</v>
      </c>
      <c r="C3284" s="21">
        <f t="shared" si="55"/>
        <v>-106.155</v>
      </c>
      <c r="Z3284" s="79">
        <v>-64.715000000000003</v>
      </c>
      <c r="GN3284" s="110">
        <v>-41.44</v>
      </c>
    </row>
    <row r="3285" spans="1:237" x14ac:dyDescent="0.25">
      <c r="A3285" s="127">
        <v>45154</v>
      </c>
      <c r="B3285" s="24" t="s">
        <v>127</v>
      </c>
      <c r="C3285" s="21">
        <f t="shared" si="55"/>
        <v>-24.605</v>
      </c>
      <c r="DE3285" s="74">
        <v>-9.1549999999999994</v>
      </c>
      <c r="DK3285" s="106">
        <v>-15.45</v>
      </c>
    </row>
    <row r="3286" spans="1:237" x14ac:dyDescent="0.25">
      <c r="A3286" s="127">
        <v>45154</v>
      </c>
      <c r="B3286" s="24" t="s">
        <v>20</v>
      </c>
      <c r="C3286" s="21">
        <f t="shared" si="55"/>
        <v>-15.59</v>
      </c>
      <c r="AW3286" s="106">
        <v>-8.42</v>
      </c>
      <c r="BU3286" s="106">
        <v>-7.17</v>
      </c>
    </row>
    <row r="3287" spans="1:237" x14ac:dyDescent="0.25">
      <c r="A3287" s="127">
        <v>45154</v>
      </c>
      <c r="B3287" s="24" t="s">
        <v>152</v>
      </c>
      <c r="C3287" s="21">
        <f t="shared" si="55"/>
        <v>-1062.5</v>
      </c>
      <c r="AL3287" s="42">
        <v>-69.83</v>
      </c>
      <c r="AW3287" s="106">
        <v>-22.4</v>
      </c>
      <c r="BC3287" s="106">
        <v>-94.08</v>
      </c>
      <c r="BI3287" s="106">
        <v>-101.81</v>
      </c>
      <c r="BO3287" s="106">
        <v>-65.849999999999994</v>
      </c>
      <c r="BU3287" s="106">
        <v>-191.6</v>
      </c>
      <c r="CA3287" s="106">
        <v>-67.08</v>
      </c>
      <c r="CG3287" s="106">
        <v>-129.87</v>
      </c>
      <c r="CM3287" s="106">
        <v>-102.74</v>
      </c>
      <c r="CS3287" s="74">
        <v>-96.89</v>
      </c>
      <c r="DK3287" s="106">
        <v>-64.7</v>
      </c>
      <c r="DP3287" s="74">
        <v>-32.049999999999997</v>
      </c>
      <c r="EZ3287" s="92">
        <v>-23.6</v>
      </c>
    </row>
    <row r="3288" spans="1:237" x14ac:dyDescent="0.25">
      <c r="A3288" s="127">
        <v>45154</v>
      </c>
      <c r="B3288" s="24" t="s">
        <v>169</v>
      </c>
      <c r="C3288" s="21">
        <f t="shared" si="55"/>
        <v>-45.25</v>
      </c>
      <c r="F3288" s="145">
        <v>-45.25</v>
      </c>
    </row>
    <row r="3289" spans="1:237" x14ac:dyDescent="0.25">
      <c r="A3289" s="127">
        <v>45155</v>
      </c>
      <c r="B3289" s="24" t="s">
        <v>115</v>
      </c>
      <c r="C3289" s="21">
        <f t="shared" si="55"/>
        <v>0</v>
      </c>
    </row>
    <row r="3290" spans="1:237" x14ac:dyDescent="0.25">
      <c r="A3290" s="127">
        <v>45155</v>
      </c>
      <c r="B3290" s="24" t="s">
        <v>48</v>
      </c>
      <c r="C3290" s="21">
        <f t="shared" si="55"/>
        <v>-42.39</v>
      </c>
      <c r="BI3290" s="106">
        <v>-8.4</v>
      </c>
      <c r="BO3290" s="106">
        <v>-16.62</v>
      </c>
      <c r="BU3290" s="106">
        <v>-8.0299999999999994</v>
      </c>
      <c r="CM3290" s="106">
        <v>-9.34</v>
      </c>
    </row>
    <row r="3291" spans="1:237" x14ac:dyDescent="0.25">
      <c r="A3291" s="127">
        <v>45155</v>
      </c>
      <c r="B3291" s="24" t="s">
        <v>78</v>
      </c>
      <c r="C3291" s="21">
        <f t="shared" si="55"/>
        <v>-32.1</v>
      </c>
      <c r="BO3291" s="106">
        <v>-8.2799999999999994</v>
      </c>
      <c r="BU3291" s="106">
        <v>-8.06</v>
      </c>
      <c r="CA3291" s="106">
        <v>-8.32</v>
      </c>
      <c r="CG3291" s="106">
        <v>-7.44</v>
      </c>
    </row>
    <row r="3292" spans="1:237" x14ac:dyDescent="0.25">
      <c r="A3292" s="127">
        <v>45155</v>
      </c>
      <c r="B3292" s="24" t="s">
        <v>17</v>
      </c>
      <c r="C3292" s="21">
        <f t="shared" si="55"/>
        <v>-66.41</v>
      </c>
      <c r="BC3292" s="106">
        <v>-7.8</v>
      </c>
      <c r="BI3292" s="106">
        <v>-8.42</v>
      </c>
      <c r="BO3292" s="106">
        <v>-8.2899999999999991</v>
      </c>
      <c r="BU3292" s="106">
        <v>-8.07</v>
      </c>
      <c r="CA3292" s="106">
        <v>-9.5299999999999994</v>
      </c>
      <c r="CG3292" s="106">
        <v>-15.16</v>
      </c>
      <c r="CM3292" s="106">
        <v>-9.14</v>
      </c>
    </row>
    <row r="3293" spans="1:237" x14ac:dyDescent="0.25">
      <c r="A3293" s="127">
        <v>45155</v>
      </c>
      <c r="B3293" s="24" t="s">
        <v>68</v>
      </c>
      <c r="C3293" s="21">
        <f t="shared" si="55"/>
        <v>-63.67</v>
      </c>
      <c r="AR3293" s="106">
        <v>-31.51</v>
      </c>
      <c r="BU3293" s="106">
        <v>-32.159999999999997</v>
      </c>
    </row>
    <row r="3294" spans="1:237" x14ac:dyDescent="0.25">
      <c r="A3294" s="127">
        <v>45155</v>
      </c>
      <c r="B3294" s="24" t="s">
        <v>19</v>
      </c>
      <c r="C3294" s="21">
        <f t="shared" si="55"/>
        <v>0</v>
      </c>
    </row>
    <row r="3295" spans="1:237" x14ac:dyDescent="0.25">
      <c r="A3295" s="127">
        <v>45156</v>
      </c>
      <c r="B3295" s="24" t="s">
        <v>39</v>
      </c>
      <c r="C3295" s="21">
        <f t="shared" si="55"/>
        <v>-33.01</v>
      </c>
      <c r="BI3295" s="106">
        <v>-8.43</v>
      </c>
      <c r="BO3295" s="106">
        <v>-8.25</v>
      </c>
      <c r="BU3295" s="106">
        <v>-8.06</v>
      </c>
      <c r="CA3295" s="106">
        <v>-8.27</v>
      </c>
    </row>
    <row r="3296" spans="1:237" x14ac:dyDescent="0.25">
      <c r="A3296" s="127">
        <v>45156</v>
      </c>
      <c r="B3296" s="24" t="s">
        <v>149</v>
      </c>
      <c r="C3296" s="21">
        <f t="shared" si="55"/>
        <v>-8.17</v>
      </c>
      <c r="V3296" s="74">
        <v>-8.17</v>
      </c>
    </row>
    <row r="3297" spans="1:224" x14ac:dyDescent="0.25">
      <c r="A3297" s="127">
        <v>45156</v>
      </c>
      <c r="B3297" s="24" t="s">
        <v>78</v>
      </c>
      <c r="C3297" s="21">
        <f t="shared" si="55"/>
        <v>-33.299999999999997</v>
      </c>
      <c r="BO3297" s="106">
        <v>-33.299999999999997</v>
      </c>
    </row>
    <row r="3298" spans="1:224" x14ac:dyDescent="0.25">
      <c r="A3298" s="127">
        <v>45156</v>
      </c>
      <c r="B3298" s="24" t="s">
        <v>182</v>
      </c>
      <c r="C3298" s="21">
        <f t="shared" si="55"/>
        <v>-61.65</v>
      </c>
      <c r="GZ3298" s="106">
        <v>-61.65</v>
      </c>
    </row>
    <row r="3299" spans="1:224" x14ac:dyDescent="0.25">
      <c r="A3299" s="127">
        <v>45156</v>
      </c>
      <c r="B3299" s="24" t="s">
        <v>183</v>
      </c>
      <c r="C3299" s="21">
        <f t="shared" si="55"/>
        <v>-16.100000000000001</v>
      </c>
      <c r="DE3299" s="74">
        <v>-16.100000000000001</v>
      </c>
    </row>
    <row r="3300" spans="1:224" x14ac:dyDescent="0.25">
      <c r="A3300" s="127">
        <v>45156</v>
      </c>
      <c r="B3300" s="24" t="s">
        <v>78</v>
      </c>
      <c r="C3300" s="21">
        <f t="shared" si="55"/>
        <v>-17.07</v>
      </c>
      <c r="AG3300" s="106">
        <v>-8.77</v>
      </c>
      <c r="AR3300" s="106">
        <v>-8.3000000000000007</v>
      </c>
    </row>
    <row r="3301" spans="1:224" x14ac:dyDescent="0.25">
      <c r="A3301" s="127">
        <v>45157</v>
      </c>
      <c r="B3301" s="24" t="s">
        <v>25</v>
      </c>
      <c r="C3301" s="21">
        <f t="shared" si="55"/>
        <v>-95.47</v>
      </c>
      <c r="BC3301" s="106">
        <v>-31.17</v>
      </c>
      <c r="BU3301" s="106">
        <v>-31.97</v>
      </c>
      <c r="CG3301" s="106">
        <v>-32.33</v>
      </c>
    </row>
    <row r="3302" spans="1:224" x14ac:dyDescent="0.25">
      <c r="A3302" s="127">
        <v>45157</v>
      </c>
      <c r="B3302" s="24" t="s">
        <v>17</v>
      </c>
      <c r="C3302" s="21">
        <f t="shared" si="55"/>
        <v>-49.46</v>
      </c>
      <c r="BC3302" s="106">
        <v>-15.73</v>
      </c>
      <c r="BI3302" s="106">
        <v>-17.13</v>
      </c>
      <c r="BO3302" s="106">
        <v>-8.2899999999999991</v>
      </c>
      <c r="CA3302" s="106">
        <v>-8.31</v>
      </c>
    </row>
    <row r="3303" spans="1:224" x14ac:dyDescent="0.25">
      <c r="A3303" s="127">
        <v>45159</v>
      </c>
      <c r="B3303" s="24" t="s">
        <v>57</v>
      </c>
      <c r="C3303" s="21">
        <f t="shared" si="55"/>
        <v>-24.73</v>
      </c>
      <c r="CA3303" s="106">
        <v>-8.31</v>
      </c>
      <c r="CG3303" s="106">
        <v>-8.34</v>
      </c>
      <c r="CM3303" s="106">
        <v>-8.08</v>
      </c>
    </row>
    <row r="3304" spans="1:224" x14ac:dyDescent="0.25">
      <c r="A3304" s="127">
        <v>45159</v>
      </c>
      <c r="B3304" s="24" t="s">
        <v>149</v>
      </c>
      <c r="C3304" s="21">
        <f t="shared" si="55"/>
        <v>-8.0399999999999991</v>
      </c>
      <c r="AL3304" s="42">
        <v>-8.0399999999999991</v>
      </c>
    </row>
    <row r="3305" spans="1:224" x14ac:dyDescent="0.25">
      <c r="A3305" s="127">
        <v>45160</v>
      </c>
      <c r="B3305" s="24" t="s">
        <v>113</v>
      </c>
      <c r="C3305" s="21">
        <f t="shared" si="55"/>
        <v>1655.51</v>
      </c>
      <c r="AN3305" s="106">
        <v>103.47</v>
      </c>
      <c r="AW3305" s="106">
        <v>94.08</v>
      </c>
      <c r="BC3305" s="106">
        <v>122.93</v>
      </c>
      <c r="BU3305" s="106">
        <v>127.96</v>
      </c>
      <c r="CA3305" s="106">
        <v>99.44</v>
      </c>
      <c r="CG3305" s="106">
        <v>232.06</v>
      </c>
      <c r="CS3305" s="74">
        <v>125.51</v>
      </c>
      <c r="DE3305" s="74">
        <v>98.63</v>
      </c>
      <c r="DP3305" s="74">
        <v>157.19</v>
      </c>
      <c r="FS3305" s="106">
        <v>112.78</v>
      </c>
      <c r="GK3305" s="79">
        <v>47.39</v>
      </c>
      <c r="HJ3305" s="79">
        <v>106.65</v>
      </c>
      <c r="HM3305" s="106">
        <v>128.57</v>
      </c>
      <c r="HP3305" s="92">
        <v>98.85</v>
      </c>
    </row>
    <row r="3306" spans="1:224" x14ac:dyDescent="0.25">
      <c r="A3306" s="127">
        <v>45160</v>
      </c>
      <c r="B3306" s="24" t="s">
        <v>75</v>
      </c>
      <c r="C3306" s="21">
        <f t="shared" si="55"/>
        <v>-26.07</v>
      </c>
      <c r="BM3306" s="88">
        <v>-17.25</v>
      </c>
      <c r="CM3306" s="106">
        <v>-8.82</v>
      </c>
    </row>
    <row r="3307" spans="1:224" x14ac:dyDescent="0.25">
      <c r="A3307" s="127">
        <v>45160</v>
      </c>
      <c r="B3307" s="24" t="s">
        <v>139</v>
      </c>
      <c r="C3307" s="21">
        <f t="shared" si="55"/>
        <v>-25.45</v>
      </c>
      <c r="BU3307" s="106">
        <v>-8.0299999999999994</v>
      </c>
      <c r="CG3307" s="106">
        <v>-8.43</v>
      </c>
      <c r="CM3307" s="106">
        <v>-8.99</v>
      </c>
    </row>
    <row r="3308" spans="1:224" x14ac:dyDescent="0.25">
      <c r="A3308" s="127">
        <v>45160</v>
      </c>
      <c r="B3308" s="24" t="s">
        <v>20</v>
      </c>
      <c r="C3308" s="21">
        <f t="shared" si="55"/>
        <v>-89.15</v>
      </c>
      <c r="BI3308" s="106">
        <v>-8.43</v>
      </c>
      <c r="BM3308" s="88">
        <v>-8.85</v>
      </c>
      <c r="BU3308" s="106">
        <v>-8.07</v>
      </c>
      <c r="GZ3308" s="106">
        <v>-63.8</v>
      </c>
    </row>
    <row r="3309" spans="1:224" x14ac:dyDescent="0.25">
      <c r="A3309" s="127">
        <v>45160</v>
      </c>
      <c r="B3309" s="24" t="s">
        <v>27</v>
      </c>
      <c r="C3309" s="21">
        <f t="shared" si="55"/>
        <v>-25.11</v>
      </c>
      <c r="CG3309" s="106">
        <v>-25.11</v>
      </c>
    </row>
    <row r="3310" spans="1:224" x14ac:dyDescent="0.25">
      <c r="A3310" s="127">
        <v>45160</v>
      </c>
      <c r="B3310" s="24" t="s">
        <v>50</v>
      </c>
      <c r="C3310" s="21">
        <f t="shared" si="55"/>
        <v>-147.18</v>
      </c>
      <c r="DP3310" s="74">
        <v>-33.840000000000003</v>
      </c>
      <c r="EZ3310" s="92">
        <v>-113.34</v>
      </c>
    </row>
    <row r="3311" spans="1:224" x14ac:dyDescent="0.25">
      <c r="A3311" s="127">
        <v>45160</v>
      </c>
      <c r="B3311" s="24" t="s">
        <v>17</v>
      </c>
      <c r="C3311" s="21">
        <f t="shared" si="55"/>
        <v>-105.55</v>
      </c>
      <c r="BI3311" s="106">
        <v>-8.4</v>
      </c>
      <c r="BU3311" s="106">
        <v>-32.200000000000003</v>
      </c>
      <c r="CA3311" s="106">
        <v>-16.61</v>
      </c>
      <c r="CG3311" s="106">
        <v>-16.16</v>
      </c>
      <c r="CM3311" s="106">
        <v>-16.18</v>
      </c>
      <c r="DE3311" s="74">
        <v>-16</v>
      </c>
    </row>
    <row r="3312" spans="1:224" x14ac:dyDescent="0.25">
      <c r="A3312" s="127">
        <v>45160</v>
      </c>
      <c r="B3312" s="24" t="s">
        <v>133</v>
      </c>
      <c r="C3312" s="21">
        <f t="shared" si="55"/>
        <v>-130.53</v>
      </c>
      <c r="AN3312" s="106">
        <v>-34.549999999999997</v>
      </c>
      <c r="BC3312" s="106">
        <v>-30.53</v>
      </c>
      <c r="CY3312" s="106">
        <v>-33.19</v>
      </c>
      <c r="DE3312" s="74">
        <v>-32.26</v>
      </c>
    </row>
    <row r="3313" spans="1:224" x14ac:dyDescent="0.25">
      <c r="A3313" s="127">
        <v>45160</v>
      </c>
      <c r="B3313" s="24" t="s">
        <v>152</v>
      </c>
      <c r="C3313" s="21">
        <f t="shared" ref="C3313:C3376" si="56">SUM(D3313:JT3313)</f>
        <v>-581.33500000000004</v>
      </c>
      <c r="Z3313" s="79">
        <v>-32.255000000000003</v>
      </c>
      <c r="AW3313" s="106">
        <v>-30.43</v>
      </c>
      <c r="BC3313" s="106">
        <v>-93.36</v>
      </c>
      <c r="BU3313" s="106">
        <v>-31.9</v>
      </c>
      <c r="CA3313" s="106">
        <v>-66.55</v>
      </c>
      <c r="CG3313" s="106">
        <v>-100.16</v>
      </c>
      <c r="CS3313" s="74">
        <v>-29.09</v>
      </c>
      <c r="DE3313" s="74">
        <v>-66.37</v>
      </c>
      <c r="DK3313" s="106">
        <v>-64.05</v>
      </c>
      <c r="DU3313" s="106">
        <v>-67.17</v>
      </c>
    </row>
    <row r="3314" spans="1:224" x14ac:dyDescent="0.25">
      <c r="A3314" s="127">
        <v>45160</v>
      </c>
      <c r="B3314" s="24" t="s">
        <v>149</v>
      </c>
      <c r="C3314" s="21">
        <f t="shared" si="56"/>
        <v>-8.0299999999999994</v>
      </c>
      <c r="BM3314" s="88">
        <v>-8.0299999999999994</v>
      </c>
    </row>
    <row r="3315" spans="1:224" x14ac:dyDescent="0.25">
      <c r="A3315" s="127">
        <v>45160</v>
      </c>
      <c r="B3315" s="24" t="s">
        <v>37</v>
      </c>
      <c r="C3315" s="21">
        <f t="shared" si="56"/>
        <v>-205.5</v>
      </c>
      <c r="HJ3315" s="79">
        <v>-106.65</v>
      </c>
      <c r="HP3315" s="92">
        <v>-98.85</v>
      </c>
    </row>
    <row r="3316" spans="1:224" x14ac:dyDescent="0.25">
      <c r="A3316" s="127">
        <v>45161</v>
      </c>
      <c r="B3316" s="24" t="s">
        <v>178</v>
      </c>
      <c r="C3316" s="21">
        <f t="shared" si="56"/>
        <v>-47.78</v>
      </c>
      <c r="BU3316" s="106">
        <v>-47.78</v>
      </c>
    </row>
    <row r="3317" spans="1:224" x14ac:dyDescent="0.25">
      <c r="A3317" s="127">
        <v>45161</v>
      </c>
      <c r="B3317" s="24" t="s">
        <v>183</v>
      </c>
      <c r="C3317" s="21">
        <f t="shared" si="56"/>
        <v>-25.34</v>
      </c>
      <c r="CY3317" s="106">
        <v>-25.34</v>
      </c>
    </row>
    <row r="3318" spans="1:224" x14ac:dyDescent="0.25">
      <c r="A3318" s="127">
        <v>45161</v>
      </c>
      <c r="B3318" s="24" t="s">
        <v>17</v>
      </c>
      <c r="C3318" s="21">
        <f t="shared" si="56"/>
        <v>-8.15</v>
      </c>
      <c r="AR3318" s="106">
        <v>-8.15</v>
      </c>
    </row>
    <row r="3319" spans="1:224" x14ac:dyDescent="0.25">
      <c r="A3319" s="127">
        <v>45161</v>
      </c>
      <c r="B3319" s="24" t="s">
        <v>32</v>
      </c>
      <c r="C3319" s="21">
        <f t="shared" si="56"/>
        <v>-94.55</v>
      </c>
      <c r="AR3319" s="106">
        <v>-15.54</v>
      </c>
      <c r="AW3319" s="106">
        <v>-31.78</v>
      </c>
      <c r="BC3319" s="106">
        <v>-30.29</v>
      </c>
      <c r="BI3319" s="106">
        <v>-16.940000000000001</v>
      </c>
    </row>
    <row r="3320" spans="1:224" x14ac:dyDescent="0.25">
      <c r="A3320" s="127">
        <v>45161</v>
      </c>
      <c r="B3320" s="24" t="s">
        <v>139</v>
      </c>
      <c r="C3320" s="21">
        <f t="shared" si="56"/>
        <v>-24.61</v>
      </c>
      <c r="CG3320" s="106">
        <v>-7.83</v>
      </c>
      <c r="CS3320" s="74">
        <v>-16.78</v>
      </c>
    </row>
    <row r="3321" spans="1:224" x14ac:dyDescent="0.25">
      <c r="A3321" s="127">
        <v>45162</v>
      </c>
      <c r="B3321" s="24" t="s">
        <v>48</v>
      </c>
      <c r="C3321" s="21">
        <f t="shared" si="56"/>
        <v>-66.709999999999994</v>
      </c>
      <c r="AN3321" s="106">
        <v>-34.42</v>
      </c>
      <c r="CS3321" s="74">
        <v>-32.29</v>
      </c>
    </row>
    <row r="3322" spans="1:224" x14ac:dyDescent="0.25">
      <c r="A3322" s="127">
        <v>45162</v>
      </c>
      <c r="B3322" s="24" t="s">
        <v>113</v>
      </c>
      <c r="C3322" s="21">
        <f t="shared" si="56"/>
        <v>1011.99</v>
      </c>
      <c r="BC3322" s="106">
        <v>94.99</v>
      </c>
      <c r="BO3322" s="106">
        <v>165.94</v>
      </c>
      <c r="CA3322" s="106">
        <v>161.36000000000001</v>
      </c>
      <c r="CS3322" s="74">
        <v>99.14</v>
      </c>
      <c r="CY3322" s="106">
        <v>188.56</v>
      </c>
      <c r="DE3322" s="74">
        <v>98.99</v>
      </c>
      <c r="EG3322" s="74">
        <v>103.87</v>
      </c>
      <c r="EL3322" s="106">
        <v>99.14</v>
      </c>
    </row>
    <row r="3323" spans="1:224" x14ac:dyDescent="0.25">
      <c r="A3323" s="127">
        <v>45162</v>
      </c>
      <c r="B3323" s="24" t="s">
        <v>183</v>
      </c>
      <c r="C3323" s="21">
        <f t="shared" si="56"/>
        <v>-8.59</v>
      </c>
      <c r="CY3323" s="106">
        <v>-8.59</v>
      </c>
    </row>
    <row r="3324" spans="1:224" x14ac:dyDescent="0.25">
      <c r="A3324" s="127">
        <v>45162</v>
      </c>
      <c r="B3324" s="24" t="s">
        <v>115</v>
      </c>
      <c r="C3324" s="21">
        <f t="shared" si="56"/>
        <v>354.05</v>
      </c>
      <c r="D3324" s="386">
        <v>86.084999999999994</v>
      </c>
      <c r="E3324" s="386">
        <v>103.535</v>
      </c>
      <c r="F3324" s="145">
        <v>105.455</v>
      </c>
      <c r="AD3324" s="115">
        <v>58.975000000000001</v>
      </c>
    </row>
    <row r="3325" spans="1:224" x14ac:dyDescent="0.25">
      <c r="A3325" s="127">
        <v>45162</v>
      </c>
      <c r="B3325" s="24" t="s">
        <v>133</v>
      </c>
      <c r="C3325" s="21">
        <f t="shared" si="56"/>
        <v>-132.88999999999999</v>
      </c>
      <c r="BO3325" s="106">
        <v>-66.260000000000005</v>
      </c>
      <c r="CA3325" s="106">
        <v>-31.54</v>
      </c>
      <c r="CY3325" s="106">
        <v>-35.090000000000003</v>
      </c>
    </row>
    <row r="3326" spans="1:224" x14ac:dyDescent="0.25">
      <c r="A3326" s="127">
        <v>45163</v>
      </c>
      <c r="B3326" s="24" t="s">
        <v>57</v>
      </c>
      <c r="C3326" s="21">
        <f t="shared" si="56"/>
        <v>-14.994999999999999</v>
      </c>
      <c r="AD3326" s="115">
        <v>-14.994999999999999</v>
      </c>
    </row>
    <row r="3327" spans="1:224" x14ac:dyDescent="0.25">
      <c r="A3327" s="127">
        <v>45164</v>
      </c>
      <c r="B3327" s="24" t="s">
        <v>32</v>
      </c>
      <c r="C3327" s="21">
        <f t="shared" si="56"/>
        <v>-33.69</v>
      </c>
      <c r="BO3327" s="106">
        <v>-33.69</v>
      </c>
    </row>
    <row r="3328" spans="1:224" x14ac:dyDescent="0.25">
      <c r="A3328" s="127">
        <v>45164</v>
      </c>
      <c r="B3328" s="24" t="s">
        <v>48</v>
      </c>
      <c r="C3328" s="21">
        <f t="shared" si="56"/>
        <v>-7.5</v>
      </c>
      <c r="AD3328" s="115">
        <v>-7.5</v>
      </c>
    </row>
    <row r="3329" spans="1:221" x14ac:dyDescent="0.25">
      <c r="A3329" s="127">
        <v>45166</v>
      </c>
      <c r="B3329" s="24" t="s">
        <v>178</v>
      </c>
      <c r="C3329" s="21">
        <f t="shared" si="56"/>
        <v>-47.85</v>
      </c>
      <c r="BC3329" s="106">
        <v>-47.85</v>
      </c>
    </row>
    <row r="3330" spans="1:221" x14ac:dyDescent="0.25">
      <c r="A3330" s="127">
        <v>45166</v>
      </c>
      <c r="B3330" s="24" t="s">
        <v>29</v>
      </c>
      <c r="C3330" s="21">
        <f t="shared" si="56"/>
        <v>-15.72</v>
      </c>
      <c r="DE3330" s="74">
        <v>-15.72</v>
      </c>
    </row>
    <row r="3331" spans="1:221" x14ac:dyDescent="0.25">
      <c r="A3331" s="127">
        <v>45166</v>
      </c>
      <c r="B3331" s="24" t="s">
        <v>37</v>
      </c>
      <c r="C3331" s="21">
        <f t="shared" si="56"/>
        <v>-64.92</v>
      </c>
      <c r="HM3331" s="106">
        <v>-64.92</v>
      </c>
    </row>
    <row r="3332" spans="1:221" x14ac:dyDescent="0.25">
      <c r="A3332" s="127">
        <v>45167</v>
      </c>
      <c r="B3332" s="24" t="s">
        <v>20</v>
      </c>
      <c r="C3332" s="21">
        <f t="shared" si="56"/>
        <v>-33.130000000000003</v>
      </c>
      <c r="BC3332" s="106">
        <v>-7.97</v>
      </c>
      <c r="BI3332" s="106">
        <v>-8.44</v>
      </c>
      <c r="BO3332" s="106">
        <v>-8.41</v>
      </c>
      <c r="CA3332" s="106">
        <v>-8.31</v>
      </c>
    </row>
    <row r="3333" spans="1:221" x14ac:dyDescent="0.25">
      <c r="A3333" s="127">
        <v>45167</v>
      </c>
      <c r="B3333" s="24" t="s">
        <v>50</v>
      </c>
      <c r="C3333" s="21">
        <f t="shared" si="56"/>
        <v>-109.2</v>
      </c>
      <c r="EL3333" s="106">
        <v>-66.48</v>
      </c>
      <c r="FC3333" s="106">
        <v>-42.72</v>
      </c>
    </row>
    <row r="3334" spans="1:221" x14ac:dyDescent="0.25">
      <c r="A3334" s="127">
        <v>45167</v>
      </c>
      <c r="B3334" s="24" t="s">
        <v>79</v>
      </c>
      <c r="C3334" s="21">
        <f t="shared" si="56"/>
        <v>-7.5049999999999999</v>
      </c>
      <c r="AD3334" s="115">
        <v>-7.5049999999999999</v>
      </c>
    </row>
    <row r="3335" spans="1:221" x14ac:dyDescent="0.25">
      <c r="A3335" s="127">
        <v>45167</v>
      </c>
      <c r="B3335" s="24" t="s">
        <v>27</v>
      </c>
      <c r="C3335" s="21">
        <f t="shared" si="56"/>
        <v>-16.79</v>
      </c>
      <c r="BO3335" s="106">
        <v>-16.79</v>
      </c>
    </row>
    <row r="3336" spans="1:221" x14ac:dyDescent="0.25">
      <c r="A3336" s="127">
        <v>45167</v>
      </c>
      <c r="B3336" s="24" t="s">
        <v>75</v>
      </c>
      <c r="C3336" s="21">
        <f t="shared" si="56"/>
        <v>-25.26</v>
      </c>
      <c r="BI3336" s="106">
        <v>-16.84</v>
      </c>
      <c r="BO3336" s="106">
        <v>-8.42</v>
      </c>
    </row>
    <row r="3337" spans="1:221" x14ac:dyDescent="0.25">
      <c r="A3337" s="127">
        <v>45167</v>
      </c>
      <c r="B3337" s="24" t="s">
        <v>139</v>
      </c>
      <c r="C3337" s="21">
        <f t="shared" si="56"/>
        <v>-32.82</v>
      </c>
      <c r="BU3337" s="106">
        <v>-8.0500000000000007</v>
      </c>
      <c r="CA3337" s="106">
        <v>-8.3000000000000007</v>
      </c>
      <c r="CG3337" s="106">
        <v>-8.34</v>
      </c>
      <c r="CM3337" s="106">
        <v>-8.1300000000000008</v>
      </c>
    </row>
    <row r="3338" spans="1:221" x14ac:dyDescent="0.25">
      <c r="A3338" s="127">
        <v>45167</v>
      </c>
      <c r="B3338" s="24" t="s">
        <v>32</v>
      </c>
      <c r="C3338" s="21">
        <f t="shared" si="56"/>
        <v>-8.14</v>
      </c>
      <c r="V3338" s="74">
        <v>-8.14</v>
      </c>
    </row>
    <row r="3339" spans="1:221" x14ac:dyDescent="0.25">
      <c r="A3339" s="127">
        <v>45167</v>
      </c>
      <c r="B3339" s="24" t="s">
        <v>43</v>
      </c>
      <c r="C3339" s="21">
        <f t="shared" si="56"/>
        <v>-221.74</v>
      </c>
      <c r="CA3339" s="106">
        <v>-96.36</v>
      </c>
      <c r="DU3339" s="106">
        <v>-31.87</v>
      </c>
      <c r="EL3339" s="106">
        <v>-32.659999999999997</v>
      </c>
      <c r="ET3339" s="106">
        <v>-60.85</v>
      </c>
    </row>
    <row r="3340" spans="1:221" x14ac:dyDescent="0.25">
      <c r="A3340" s="127">
        <v>45167</v>
      </c>
      <c r="B3340" s="24" t="s">
        <v>113</v>
      </c>
      <c r="C3340" s="21">
        <f t="shared" si="56"/>
        <v>1103.31</v>
      </c>
      <c r="AN3340" s="106">
        <v>103.41</v>
      </c>
      <c r="BO3340" s="106">
        <v>168.46</v>
      </c>
      <c r="CA3340" s="106">
        <v>235.59</v>
      </c>
      <c r="CS3340" s="74">
        <v>101.63</v>
      </c>
      <c r="DE3340" s="74">
        <v>168.67</v>
      </c>
      <c r="DU3340" s="106">
        <v>318.48</v>
      </c>
      <c r="GN3340" s="164">
        <v>7.07</v>
      </c>
    </row>
    <row r="3341" spans="1:221" x14ac:dyDescent="0.25">
      <c r="A3341" s="127">
        <v>45167</v>
      </c>
      <c r="B3341" s="24" t="s">
        <v>152</v>
      </c>
      <c r="C3341" s="21">
        <f t="shared" si="56"/>
        <v>-968.2</v>
      </c>
      <c r="AR3341" s="106">
        <v>-27.49</v>
      </c>
      <c r="BC3341" s="106">
        <v>-62.62</v>
      </c>
      <c r="BO3341" s="106">
        <v>-134.75</v>
      </c>
      <c r="CA3341" s="106">
        <v>-188.49</v>
      </c>
      <c r="CG3341" s="106">
        <v>-66.12</v>
      </c>
      <c r="CY3341" s="106">
        <v>-66.94</v>
      </c>
      <c r="DE3341" s="74">
        <v>-65.59</v>
      </c>
      <c r="DK3341" s="106">
        <v>-65</v>
      </c>
      <c r="DU3341" s="106">
        <v>-222.28</v>
      </c>
      <c r="EG3341" s="74">
        <v>-68.92</v>
      </c>
    </row>
    <row r="3342" spans="1:221" x14ac:dyDescent="0.25">
      <c r="A3342" s="127">
        <v>45167</v>
      </c>
      <c r="B3342" s="24" t="s">
        <v>133</v>
      </c>
      <c r="C3342" s="21">
        <f t="shared" si="56"/>
        <v>-98.58</v>
      </c>
      <c r="BO3342" s="106">
        <v>-32.369999999999997</v>
      </c>
      <c r="CK3342" s="42">
        <v>-33.880000000000003</v>
      </c>
      <c r="DU3342" s="106">
        <v>-32.33</v>
      </c>
    </row>
    <row r="3343" spans="1:221" x14ac:dyDescent="0.25">
      <c r="A3343" s="127">
        <v>45167</v>
      </c>
      <c r="B3343" s="24" t="s">
        <v>33</v>
      </c>
      <c r="C3343" s="21">
        <f t="shared" si="56"/>
        <v>-16.39</v>
      </c>
      <c r="AW3343" s="106">
        <v>-7.96</v>
      </c>
      <c r="BO3343" s="106">
        <v>-8.43</v>
      </c>
    </row>
    <row r="3344" spans="1:221" x14ac:dyDescent="0.25">
      <c r="A3344" s="127">
        <v>45168</v>
      </c>
      <c r="B3344" s="24" t="s">
        <v>151</v>
      </c>
      <c r="C3344" s="21">
        <f t="shared" si="56"/>
        <v>-8.08</v>
      </c>
      <c r="CS3344" s="74">
        <v>-8.08</v>
      </c>
    </row>
    <row r="3345" spans="1:224" x14ac:dyDescent="0.25">
      <c r="A3345" s="127">
        <v>45168</v>
      </c>
      <c r="B3345" s="24" t="s">
        <v>29</v>
      </c>
      <c r="C3345" s="21">
        <f t="shared" si="56"/>
        <v>-8.42</v>
      </c>
      <c r="BO3345" s="106">
        <v>-8.42</v>
      </c>
    </row>
    <row r="3346" spans="1:224" x14ac:dyDescent="0.25">
      <c r="A3346" s="127">
        <v>45169</v>
      </c>
      <c r="B3346" s="24" t="s">
        <v>183</v>
      </c>
      <c r="C3346" s="21">
        <f t="shared" si="56"/>
        <v>-43.33</v>
      </c>
      <c r="CY3346" s="106">
        <v>-43.33</v>
      </c>
    </row>
    <row r="3347" spans="1:224" x14ac:dyDescent="0.25">
      <c r="A3347" s="127">
        <v>45169</v>
      </c>
      <c r="B3347" s="24" t="s">
        <v>84</v>
      </c>
      <c r="C3347" s="21">
        <f t="shared" si="56"/>
        <v>-56.67</v>
      </c>
      <c r="Z3347" s="79">
        <v>-8.6</v>
      </c>
      <c r="AR3347" s="106">
        <v>-14.93</v>
      </c>
      <c r="BO3347" s="106">
        <v>-16.86</v>
      </c>
      <c r="CA3347" s="106">
        <v>-16.28</v>
      </c>
    </row>
    <row r="3348" spans="1:224" x14ac:dyDescent="0.25">
      <c r="A3348" s="127">
        <v>45169</v>
      </c>
      <c r="B3348" s="24" t="s">
        <v>65</v>
      </c>
      <c r="C3348" s="21">
        <f t="shared" si="56"/>
        <v>0</v>
      </c>
    </row>
    <row r="3349" spans="1:224" x14ac:dyDescent="0.25">
      <c r="A3349" s="127">
        <v>45169</v>
      </c>
      <c r="B3349" s="24" t="s">
        <v>53</v>
      </c>
      <c r="C3349" s="21">
        <f t="shared" si="56"/>
        <v>-81.245000000000005</v>
      </c>
      <c r="AD3349" s="115">
        <v>-28.975000000000001</v>
      </c>
      <c r="AG3349" s="106">
        <v>-17.66</v>
      </c>
      <c r="CY3349" s="106">
        <v>-34.61</v>
      </c>
    </row>
    <row r="3350" spans="1:224" x14ac:dyDescent="0.25">
      <c r="A3350" s="127">
        <v>45169</v>
      </c>
      <c r="B3350" s="24" t="s">
        <v>17</v>
      </c>
      <c r="C3350" s="21">
        <f t="shared" si="56"/>
        <v>-121.38</v>
      </c>
      <c r="V3350" s="74">
        <v>-16.28</v>
      </c>
      <c r="Z3350" s="79">
        <v>-16.78</v>
      </c>
      <c r="AR3350" s="106">
        <v>-14.95</v>
      </c>
      <c r="AW3350" s="106">
        <f>-15.95-7.96</f>
        <v>-23.91</v>
      </c>
      <c r="CA3350" s="106">
        <v>-16.05</v>
      </c>
      <c r="CS3350" s="74">
        <v>-33.409999999999997</v>
      </c>
    </row>
    <row r="3351" spans="1:224" x14ac:dyDescent="0.25">
      <c r="A3351" s="127">
        <v>45169</v>
      </c>
      <c r="B3351" s="24" t="s">
        <v>115</v>
      </c>
      <c r="C3351" s="21">
        <f t="shared" si="56"/>
        <v>-112.78</v>
      </c>
      <c r="FS3351" s="106">
        <v>-112.78</v>
      </c>
    </row>
    <row r="3352" spans="1:224" x14ac:dyDescent="0.25">
      <c r="A3352" s="127">
        <v>45170</v>
      </c>
      <c r="B3352" s="24" t="s">
        <v>29</v>
      </c>
      <c r="C3352" s="21">
        <f t="shared" si="56"/>
        <v>-8.6</v>
      </c>
      <c r="DE3352" s="74">
        <v>-8.6</v>
      </c>
    </row>
    <row r="3353" spans="1:224" x14ac:dyDescent="0.25">
      <c r="A3353" s="127">
        <v>45171</v>
      </c>
      <c r="B3353" s="24" t="s">
        <v>48</v>
      </c>
      <c r="C3353" s="21">
        <f t="shared" si="56"/>
        <v>-33.25</v>
      </c>
      <c r="CS3353" s="74">
        <v>-33.25</v>
      </c>
    </row>
    <row r="3354" spans="1:224" x14ac:dyDescent="0.25">
      <c r="A3354" s="127">
        <v>45173</v>
      </c>
      <c r="B3354" s="24" t="s">
        <v>167</v>
      </c>
      <c r="C3354" s="21">
        <f t="shared" si="56"/>
        <v>-29.504999999999999</v>
      </c>
      <c r="D3354" s="386">
        <v>-7.54</v>
      </c>
      <c r="E3354" s="386">
        <v>-21.965</v>
      </c>
    </row>
    <row r="3355" spans="1:224" x14ac:dyDescent="0.25">
      <c r="A3355" s="127">
        <v>45173</v>
      </c>
      <c r="B3355" s="29" t="s">
        <v>43</v>
      </c>
      <c r="C3355" s="21">
        <f t="shared" si="56"/>
        <v>-337.15</v>
      </c>
      <c r="CS3355" s="74">
        <v>-34.97</v>
      </c>
      <c r="DE3355" s="74">
        <v>-134.26</v>
      </c>
      <c r="DK3355" s="106">
        <v>-134.30000000000001</v>
      </c>
      <c r="DP3355" s="74">
        <v>-33.619999999999997</v>
      </c>
    </row>
    <row r="3356" spans="1:224" x14ac:dyDescent="0.25">
      <c r="A3356" s="127">
        <v>45173</v>
      </c>
      <c r="B3356" s="24" t="s">
        <v>48</v>
      </c>
      <c r="C3356" s="21">
        <f t="shared" si="56"/>
        <v>-59.01</v>
      </c>
      <c r="BM3356" s="88">
        <v>-7.57</v>
      </c>
      <c r="CS3356" s="74">
        <v>-51.44</v>
      </c>
    </row>
    <row r="3357" spans="1:224" x14ac:dyDescent="0.25">
      <c r="A3357" s="127">
        <v>45174</v>
      </c>
      <c r="B3357" s="24" t="s">
        <v>113</v>
      </c>
      <c r="C3357" s="21">
        <f t="shared" si="56"/>
        <v>1034.0650000000001</v>
      </c>
      <c r="AN3357" s="106">
        <v>95.92</v>
      </c>
      <c r="EG3357" s="74">
        <v>104.39</v>
      </c>
      <c r="EL3357" s="106">
        <v>102.36</v>
      </c>
      <c r="FG3357" s="74">
        <v>259.01</v>
      </c>
      <c r="FK3357" s="106">
        <v>253.44499999999999</v>
      </c>
      <c r="FS3357" s="106">
        <v>218.94</v>
      </c>
    </row>
    <row r="3358" spans="1:224" x14ac:dyDescent="0.25">
      <c r="A3358" s="127">
        <v>45174</v>
      </c>
      <c r="B3358" s="24" t="s">
        <v>113</v>
      </c>
      <c r="C3358" s="21">
        <f t="shared" si="56"/>
        <v>1352.42</v>
      </c>
      <c r="AG3358" s="106">
        <v>326.72000000000003</v>
      </c>
      <c r="AW3358" s="106">
        <v>473.05</v>
      </c>
      <c r="BO3358" s="106">
        <v>328.9</v>
      </c>
      <c r="DU3358" s="106">
        <v>223.75</v>
      </c>
    </row>
    <row r="3359" spans="1:224" x14ac:dyDescent="0.25">
      <c r="A3359" s="127">
        <v>45174</v>
      </c>
      <c r="B3359" s="24" t="s">
        <v>113</v>
      </c>
      <c r="C3359" s="21">
        <f t="shared" si="56"/>
        <v>1079.94</v>
      </c>
      <c r="HH3359" s="106">
        <v>301.27</v>
      </c>
      <c r="HJ3359" s="79">
        <v>305.76</v>
      </c>
      <c r="HM3359" s="106">
        <v>283.14</v>
      </c>
      <c r="HP3359" s="92">
        <v>189.77</v>
      </c>
    </row>
    <row r="3360" spans="1:224" x14ac:dyDescent="0.25">
      <c r="A3360" s="127">
        <v>45174</v>
      </c>
      <c r="B3360" s="24" t="s">
        <v>113</v>
      </c>
      <c r="C3360" s="21">
        <f t="shared" si="56"/>
        <v>58.15</v>
      </c>
      <c r="M3360" s="92">
        <v>58.15</v>
      </c>
    </row>
    <row r="3361" spans="1:242" x14ac:dyDescent="0.25">
      <c r="A3361" s="127">
        <v>45174</v>
      </c>
      <c r="B3361" s="24" t="s">
        <v>113</v>
      </c>
      <c r="C3361" s="21">
        <f t="shared" si="56"/>
        <v>1049.76</v>
      </c>
      <c r="AN3361" s="106">
        <v>58.64</v>
      </c>
      <c r="AR3361" s="106">
        <v>137.44</v>
      </c>
      <c r="AW3361" s="106">
        <v>300.79000000000002</v>
      </c>
      <c r="BC3361" s="106">
        <v>552.89</v>
      </c>
    </row>
    <row r="3362" spans="1:242" x14ac:dyDescent="0.25">
      <c r="A3362" s="127">
        <v>45174</v>
      </c>
      <c r="B3362" s="24" t="s">
        <v>113</v>
      </c>
      <c r="C3362" s="21">
        <f t="shared" si="56"/>
        <v>832.86</v>
      </c>
      <c r="M3362" s="92">
        <v>107.62</v>
      </c>
      <c r="P3362" s="106">
        <v>166.35</v>
      </c>
      <c r="AW3362" s="106">
        <v>239.8</v>
      </c>
      <c r="DP3362" s="74">
        <v>206.76</v>
      </c>
      <c r="HF3362" s="92">
        <v>112.33</v>
      </c>
    </row>
    <row r="3363" spans="1:242" x14ac:dyDescent="0.25">
      <c r="A3363" s="127">
        <v>45174</v>
      </c>
      <c r="B3363" s="24" t="s">
        <v>152</v>
      </c>
      <c r="C3363" s="21">
        <f t="shared" si="56"/>
        <v>-510.16</v>
      </c>
      <c r="AG3363" s="106">
        <v>-34.28</v>
      </c>
      <c r="AW3363" s="106">
        <v>-70.930000000000007</v>
      </c>
      <c r="BC3363" s="106">
        <v>-34.76</v>
      </c>
      <c r="BO3363" s="106">
        <v>-98.46</v>
      </c>
      <c r="CA3363" s="106">
        <v>-64.510000000000005</v>
      </c>
      <c r="DP3363" s="74">
        <v>-103.29</v>
      </c>
      <c r="EG3363" s="74">
        <v>-69.930000000000007</v>
      </c>
      <c r="ET3363" s="106">
        <v>-34</v>
      </c>
    </row>
    <row r="3364" spans="1:242" x14ac:dyDescent="0.25">
      <c r="A3364" s="127">
        <v>45174</v>
      </c>
      <c r="B3364" s="24" t="s">
        <v>43</v>
      </c>
      <c r="C3364" s="21">
        <f t="shared" si="56"/>
        <v>-265.35000000000002</v>
      </c>
      <c r="DP3364" s="74">
        <v>-68.959999999999994</v>
      </c>
      <c r="DU3364" s="106">
        <v>-126.98</v>
      </c>
      <c r="EG3364" s="74">
        <v>-69.41</v>
      </c>
    </row>
    <row r="3365" spans="1:242" x14ac:dyDescent="0.25">
      <c r="A3365" s="127">
        <v>45174</v>
      </c>
      <c r="B3365" s="24" t="s">
        <v>133</v>
      </c>
      <c r="C3365" s="21">
        <f t="shared" si="56"/>
        <v>-33.03</v>
      </c>
      <c r="DE3365" s="74">
        <v>-33.03</v>
      </c>
    </row>
    <row r="3366" spans="1:242" x14ac:dyDescent="0.25">
      <c r="A3366" s="127">
        <v>45174</v>
      </c>
      <c r="B3366" s="24" t="s">
        <v>31</v>
      </c>
      <c r="C3366" s="21">
        <f t="shared" si="56"/>
        <v>-8.17</v>
      </c>
      <c r="V3366" s="74">
        <v>-8.17</v>
      </c>
    </row>
    <row r="3367" spans="1:242" x14ac:dyDescent="0.25">
      <c r="A3367" s="127">
        <v>45175</v>
      </c>
      <c r="B3367" s="24" t="s">
        <v>127</v>
      </c>
      <c r="C3367" s="21">
        <f t="shared" si="56"/>
        <v>-8.51</v>
      </c>
      <c r="BC3367" s="106">
        <v>-8.51</v>
      </c>
    </row>
    <row r="3368" spans="1:242" x14ac:dyDescent="0.25">
      <c r="A3368" s="127">
        <v>45175</v>
      </c>
      <c r="B3368" s="24" t="s">
        <v>44</v>
      </c>
      <c r="C3368" s="21">
        <f t="shared" si="56"/>
        <v>-97.52</v>
      </c>
      <c r="GQ3368" s="92">
        <v>-65.73</v>
      </c>
      <c r="HF3368" s="92">
        <v>-31.79</v>
      </c>
    </row>
    <row r="3369" spans="1:242" x14ac:dyDescent="0.25">
      <c r="A3369" s="127">
        <v>45175</v>
      </c>
      <c r="B3369" s="24" t="s">
        <v>20</v>
      </c>
      <c r="C3369" s="21">
        <f t="shared" si="56"/>
        <v>-8.81</v>
      </c>
      <c r="CI3369" s="126">
        <v>-8.81</v>
      </c>
    </row>
    <row r="3370" spans="1:242" x14ac:dyDescent="0.25">
      <c r="A3370" s="127">
        <v>45175</v>
      </c>
      <c r="B3370" s="24" t="s">
        <v>84</v>
      </c>
      <c r="C3370" s="21">
        <f t="shared" si="56"/>
        <v>-16.149999999999999</v>
      </c>
      <c r="BC3370" s="106">
        <v>-16.149999999999999</v>
      </c>
    </row>
    <row r="3371" spans="1:242" x14ac:dyDescent="0.25">
      <c r="A3371" s="127">
        <v>45175</v>
      </c>
      <c r="B3371" s="24" t="s">
        <v>79</v>
      </c>
      <c r="C3371" s="21">
        <f t="shared" si="56"/>
        <v>-7.24</v>
      </c>
      <c r="M3371" s="92">
        <v>-7.24</v>
      </c>
    </row>
    <row r="3372" spans="1:242" x14ac:dyDescent="0.25">
      <c r="A3372" s="127">
        <v>45175</v>
      </c>
      <c r="B3372" s="24" t="s">
        <v>138</v>
      </c>
      <c r="C3372" s="21">
        <f t="shared" si="56"/>
        <v>-7.27</v>
      </c>
      <c r="M3372" s="92">
        <v>-7.27</v>
      </c>
    </row>
    <row r="3373" spans="1:242" x14ac:dyDescent="0.25">
      <c r="A3373" s="127">
        <v>45175</v>
      </c>
      <c r="B3373" s="24" t="s">
        <v>75</v>
      </c>
      <c r="C3373" s="21">
        <f t="shared" si="56"/>
        <v>-15.755000000000001</v>
      </c>
      <c r="BO3373" s="106">
        <v>-7.8250000000000002</v>
      </c>
      <c r="DU3373" s="106">
        <v>-7.93</v>
      </c>
    </row>
    <row r="3374" spans="1:242" x14ac:dyDescent="0.25">
      <c r="A3374" s="127">
        <v>45175</v>
      </c>
      <c r="B3374" s="24" t="s">
        <v>50</v>
      </c>
      <c r="C3374" s="21">
        <f t="shared" si="56"/>
        <v>-289.73</v>
      </c>
      <c r="HH3374" s="106">
        <v>-97.16</v>
      </c>
      <c r="HM3374" s="106">
        <v>-127.22</v>
      </c>
      <c r="IH3374" s="34">
        <v>-65.349999999999994</v>
      </c>
    </row>
    <row r="3375" spans="1:242" x14ac:dyDescent="0.25">
      <c r="A3375" s="127">
        <v>45175</v>
      </c>
      <c r="B3375" s="24" t="s">
        <v>162</v>
      </c>
      <c r="C3375" s="21">
        <f t="shared" si="56"/>
        <v>-10.54</v>
      </c>
      <c r="CA3375" s="106">
        <v>-6.1</v>
      </c>
      <c r="CG3375" s="106">
        <v>-4.4400000000000004</v>
      </c>
    </row>
    <row r="3376" spans="1:242" x14ac:dyDescent="0.25">
      <c r="A3376" s="127">
        <v>45175</v>
      </c>
      <c r="B3376" s="24" t="s">
        <v>37</v>
      </c>
      <c r="C3376" s="21">
        <f t="shared" si="56"/>
        <v>-98.64</v>
      </c>
      <c r="HJ3376" s="79">
        <v>-35.64</v>
      </c>
      <c r="HM3376" s="106">
        <v>-31.33</v>
      </c>
      <c r="HP3376" s="92">
        <v>-31.67</v>
      </c>
    </row>
    <row r="3377" spans="1:224" x14ac:dyDescent="0.25">
      <c r="A3377" s="127">
        <v>45176</v>
      </c>
      <c r="B3377" s="24" t="s">
        <v>133</v>
      </c>
      <c r="C3377" s="21">
        <f t="shared" ref="C3377:C3440" si="57">SUM(D3377:JT3377)</f>
        <v>-93.004999999999995</v>
      </c>
      <c r="BO3377" s="106">
        <v>-60.085000000000001</v>
      </c>
      <c r="CS3377" s="74">
        <v>-32.92</v>
      </c>
    </row>
    <row r="3378" spans="1:224" x14ac:dyDescent="0.25">
      <c r="A3378" s="127">
        <v>45176</v>
      </c>
      <c r="B3378" s="24" t="s">
        <v>17</v>
      </c>
      <c r="C3378" s="21">
        <f t="shared" si="57"/>
        <v>-58.4</v>
      </c>
      <c r="CS3378" s="74">
        <v>-8.32</v>
      </c>
      <c r="EL3378" s="106">
        <v>-8.48</v>
      </c>
      <c r="EP3378" s="74">
        <v>-33.4</v>
      </c>
      <c r="ET3378" s="106">
        <v>-8.1999999999999993</v>
      </c>
    </row>
    <row r="3379" spans="1:224" x14ac:dyDescent="0.25">
      <c r="A3379" s="127">
        <v>45176</v>
      </c>
      <c r="B3379" s="24" t="s">
        <v>32</v>
      </c>
      <c r="C3379" s="21">
        <f t="shared" si="57"/>
        <v>-178</v>
      </c>
      <c r="AG3379" s="106">
        <v>-17.13</v>
      </c>
      <c r="AW3379" s="106">
        <v>-45.28</v>
      </c>
      <c r="BC3379" s="106">
        <v>-49.41</v>
      </c>
      <c r="BO3379" s="106">
        <v>-32.68</v>
      </c>
      <c r="DK3379" s="106">
        <v>-33.5</v>
      </c>
    </row>
    <row r="3380" spans="1:224" x14ac:dyDescent="0.25">
      <c r="A3380" s="127">
        <v>45177</v>
      </c>
      <c r="B3380" s="24" t="s">
        <v>19</v>
      </c>
      <c r="C3380" s="21">
        <f t="shared" si="57"/>
        <v>376.8</v>
      </c>
      <c r="X3380" s="42">
        <v>16.3</v>
      </c>
      <c r="AA3380" s="42">
        <v>16.84</v>
      </c>
      <c r="BG3380" s="42">
        <v>36.159999999999997</v>
      </c>
      <c r="BS3380" s="42">
        <v>97.23</v>
      </c>
      <c r="CE3380" s="42">
        <v>174.46</v>
      </c>
      <c r="DY3380" s="42">
        <v>35.81</v>
      </c>
    </row>
    <row r="3381" spans="1:224" x14ac:dyDescent="0.25">
      <c r="A3381" s="127">
        <v>45177</v>
      </c>
      <c r="B3381" s="24" t="s">
        <v>19</v>
      </c>
      <c r="C3381" s="21">
        <f t="shared" si="57"/>
        <v>-150.59</v>
      </c>
      <c r="AW3381" s="106">
        <v>-87.04</v>
      </c>
      <c r="BC3381" s="106">
        <v>-63.55</v>
      </c>
    </row>
    <row r="3382" spans="1:224" x14ac:dyDescent="0.25">
      <c r="A3382" s="127">
        <v>45177</v>
      </c>
      <c r="B3382" s="24" t="s">
        <v>37</v>
      </c>
      <c r="C3382" s="21">
        <f t="shared" si="57"/>
        <v>-124</v>
      </c>
      <c r="HJ3382" s="79">
        <v>-30.13</v>
      </c>
      <c r="HM3382" s="106">
        <v>-30.93</v>
      </c>
      <c r="HP3382" s="92">
        <v>-62.94</v>
      </c>
    </row>
    <row r="3383" spans="1:224" x14ac:dyDescent="0.25">
      <c r="A3383" s="127">
        <v>45177</v>
      </c>
      <c r="B3383" s="24" t="s">
        <v>48</v>
      </c>
      <c r="C3383" s="21">
        <f t="shared" si="57"/>
        <v>-23.38</v>
      </c>
      <c r="BS3383" s="42">
        <v>8.33</v>
      </c>
      <c r="CS3383" s="74">
        <v>-31.71</v>
      </c>
    </row>
    <row r="3384" spans="1:224" x14ac:dyDescent="0.25">
      <c r="A3384" s="127">
        <v>45177</v>
      </c>
      <c r="B3384" s="24" t="s">
        <v>68</v>
      </c>
      <c r="C3384" s="21">
        <f t="shared" si="57"/>
        <v>-119.51</v>
      </c>
      <c r="X3384" s="42">
        <v>-16.3</v>
      </c>
      <c r="AA3384" s="42">
        <v>-16.84</v>
      </c>
      <c r="AG3384" s="106">
        <v>-17.22</v>
      </c>
      <c r="BC3384" s="106">
        <v>-32.99</v>
      </c>
      <c r="BG3384" s="42">
        <v>-36.159999999999997</v>
      </c>
    </row>
    <row r="3385" spans="1:224" x14ac:dyDescent="0.25">
      <c r="A3385" s="127">
        <v>45177</v>
      </c>
      <c r="B3385" s="24" t="s">
        <v>152</v>
      </c>
      <c r="C3385" s="21">
        <f t="shared" si="57"/>
        <v>-596.66999999999996</v>
      </c>
      <c r="AG3385" s="106">
        <v>-68.77</v>
      </c>
      <c r="AR3385" s="106">
        <v>-31.16</v>
      </c>
      <c r="AW3385" s="106">
        <v>-27.55</v>
      </c>
      <c r="BO3385" s="106">
        <v>-62.51</v>
      </c>
      <c r="BS3385" s="42">
        <v>-81.19</v>
      </c>
      <c r="CE3385" s="42">
        <v>-123.33</v>
      </c>
      <c r="DE3385" s="74">
        <v>-34.78</v>
      </c>
      <c r="DU3385" s="106">
        <v>-97.03</v>
      </c>
      <c r="DY3385" s="42">
        <v>-35.81</v>
      </c>
      <c r="EA3385" s="74">
        <f>-9.58-8.82-8.04-8.1</f>
        <v>-34.54</v>
      </c>
    </row>
    <row r="3386" spans="1:224" x14ac:dyDescent="0.25">
      <c r="A3386" s="127">
        <v>45178</v>
      </c>
      <c r="B3386" s="24" t="s">
        <v>17</v>
      </c>
      <c r="C3386" s="21">
        <f t="shared" si="57"/>
        <v>-32.83</v>
      </c>
      <c r="AR3386" s="106">
        <v>-7.78</v>
      </c>
      <c r="AW3386" s="106">
        <v>-7.93</v>
      </c>
      <c r="BC3386" s="106">
        <v>-8.48</v>
      </c>
      <c r="BO3386" s="106">
        <v>-8.64</v>
      </c>
    </row>
    <row r="3387" spans="1:224" x14ac:dyDescent="0.25">
      <c r="A3387" s="127">
        <v>45180</v>
      </c>
      <c r="B3387" s="24" t="s">
        <v>178</v>
      </c>
      <c r="C3387" s="21">
        <f t="shared" si="57"/>
        <v>-16.04</v>
      </c>
      <c r="BS3387" s="42">
        <v>-16.04</v>
      </c>
    </row>
    <row r="3388" spans="1:224" x14ac:dyDescent="0.25">
      <c r="A3388" s="127">
        <v>45180</v>
      </c>
      <c r="B3388" s="24" t="s">
        <v>37</v>
      </c>
      <c r="C3388" s="21">
        <f t="shared" si="57"/>
        <v>-63.57</v>
      </c>
      <c r="HP3388" s="92">
        <v>-63.57</v>
      </c>
    </row>
    <row r="3389" spans="1:224" x14ac:dyDescent="0.25">
      <c r="A3389" s="127">
        <v>45180</v>
      </c>
      <c r="B3389" s="24" t="s">
        <v>65</v>
      </c>
      <c r="C3389" s="21">
        <f t="shared" si="57"/>
        <v>0</v>
      </c>
    </row>
    <row r="3390" spans="1:224" x14ac:dyDescent="0.25">
      <c r="A3390" s="127">
        <v>45181</v>
      </c>
      <c r="B3390" s="24" t="s">
        <v>17</v>
      </c>
      <c r="C3390" s="21">
        <f t="shared" si="57"/>
        <v>-33.590000000000003</v>
      </c>
      <c r="BO3390" s="106">
        <v>-16.43</v>
      </c>
      <c r="CE3390" s="42">
        <v>-17.16</v>
      </c>
    </row>
    <row r="3391" spans="1:224" x14ac:dyDescent="0.25">
      <c r="A3391" s="127">
        <v>45181</v>
      </c>
      <c r="B3391" s="24" t="s">
        <v>151</v>
      </c>
      <c r="C3391" s="21">
        <f t="shared" si="57"/>
        <v>-51.39</v>
      </c>
      <c r="DP3391" s="74">
        <v>-51.39</v>
      </c>
    </row>
    <row r="3392" spans="1:224" x14ac:dyDescent="0.25">
      <c r="A3392" s="127">
        <v>45181</v>
      </c>
      <c r="B3392" s="24" t="s">
        <v>127</v>
      </c>
      <c r="C3392" s="21">
        <f t="shared" si="57"/>
        <v>-7.58</v>
      </c>
      <c r="BM3392" s="88">
        <v>-7.58</v>
      </c>
    </row>
    <row r="3393" spans="1:235" x14ac:dyDescent="0.25">
      <c r="A3393" s="127">
        <v>45181</v>
      </c>
      <c r="B3393" s="24" t="s">
        <v>29</v>
      </c>
      <c r="C3393" s="21">
        <f t="shared" si="57"/>
        <v>-31.395</v>
      </c>
      <c r="AN3393" s="106">
        <v>-7.24</v>
      </c>
      <c r="AW3393" s="106">
        <v>-7.97</v>
      </c>
      <c r="BC3393" s="106">
        <v>-8.11</v>
      </c>
      <c r="BO3393" s="106">
        <v>-8.0749999999999993</v>
      </c>
    </row>
    <row r="3394" spans="1:235" x14ac:dyDescent="0.25">
      <c r="A3394" s="127">
        <v>45181</v>
      </c>
      <c r="B3394" s="24" t="s">
        <v>139</v>
      </c>
      <c r="C3394" s="21">
        <f t="shared" si="57"/>
        <v>-8.33</v>
      </c>
      <c r="BS3394" s="42">
        <v>-8.33</v>
      </c>
    </row>
    <row r="3395" spans="1:235" x14ac:dyDescent="0.25">
      <c r="A3395" s="127">
        <v>45181</v>
      </c>
      <c r="B3395" s="24" t="s">
        <v>20</v>
      </c>
      <c r="C3395" s="21">
        <f t="shared" si="57"/>
        <v>-32.92</v>
      </c>
      <c r="AW3395" s="106">
        <v>-7.95</v>
      </c>
      <c r="BC3395" s="106">
        <v>-8.3699999999999992</v>
      </c>
      <c r="BO3395" s="106">
        <v>-7.66</v>
      </c>
      <c r="CE3395" s="42">
        <v>-8.94</v>
      </c>
    </row>
    <row r="3396" spans="1:235" x14ac:dyDescent="0.25">
      <c r="A3396" s="127">
        <v>45181</v>
      </c>
      <c r="B3396" s="24" t="s">
        <v>177</v>
      </c>
      <c r="C3396" s="21">
        <f t="shared" si="57"/>
        <v>-99.45</v>
      </c>
      <c r="ET3396" s="106">
        <v>-99.45</v>
      </c>
    </row>
    <row r="3397" spans="1:235" x14ac:dyDescent="0.25">
      <c r="A3397" s="127">
        <v>45181</v>
      </c>
      <c r="B3397" s="24" t="s">
        <v>75</v>
      </c>
      <c r="C3397" s="21">
        <f t="shared" si="57"/>
        <v>-21.97</v>
      </c>
      <c r="AW3397" s="106">
        <v>-7.98</v>
      </c>
      <c r="BC3397" s="106">
        <v>-9.85</v>
      </c>
      <c r="CM3397" s="106">
        <v>-4.1399999999999997</v>
      </c>
    </row>
    <row r="3398" spans="1:235" x14ac:dyDescent="0.25">
      <c r="A3398" s="127">
        <v>45181</v>
      </c>
      <c r="B3398" s="24" t="s">
        <v>31</v>
      </c>
      <c r="C3398" s="21">
        <f t="shared" si="57"/>
        <v>-54.63</v>
      </c>
      <c r="HH3398" s="106">
        <v>-54.63</v>
      </c>
    </row>
    <row r="3399" spans="1:235" x14ac:dyDescent="0.25">
      <c r="A3399" s="127">
        <v>45181</v>
      </c>
      <c r="B3399" s="24" t="s">
        <v>65</v>
      </c>
      <c r="C3399" s="21">
        <f t="shared" si="57"/>
        <v>0</v>
      </c>
    </row>
    <row r="3400" spans="1:235" x14ac:dyDescent="0.25">
      <c r="A3400" s="127">
        <v>45182</v>
      </c>
      <c r="B3400" s="24" t="s">
        <v>50</v>
      </c>
      <c r="C3400" s="21">
        <f t="shared" si="57"/>
        <v>-99.5</v>
      </c>
      <c r="IA3400" s="79">
        <v>-99.5</v>
      </c>
    </row>
    <row r="3401" spans="1:235" x14ac:dyDescent="0.25">
      <c r="A3401" s="127">
        <v>45183</v>
      </c>
      <c r="B3401" s="24" t="s">
        <v>50</v>
      </c>
      <c r="C3401" s="21">
        <f t="shared" si="57"/>
        <v>-67.099999999999994</v>
      </c>
      <c r="IA3401" s="79">
        <v>-67.099999999999994</v>
      </c>
    </row>
    <row r="3402" spans="1:235" x14ac:dyDescent="0.25">
      <c r="A3402" s="127">
        <v>45183</v>
      </c>
      <c r="B3402" s="24" t="s">
        <v>113</v>
      </c>
      <c r="C3402" s="21">
        <f t="shared" si="57"/>
        <v>554.72500000000002</v>
      </c>
      <c r="BI3402" s="106">
        <v>65.584999999999994</v>
      </c>
      <c r="CA3402" s="106">
        <v>69.989999999999995</v>
      </c>
      <c r="CG3402" s="106">
        <v>63.12</v>
      </c>
      <c r="EA3402" s="74">
        <v>226.17</v>
      </c>
      <c r="GQ3402" s="92">
        <v>129.86000000000001</v>
      </c>
    </row>
    <row r="3403" spans="1:235" x14ac:dyDescent="0.25">
      <c r="A3403" s="127">
        <v>45183</v>
      </c>
      <c r="B3403" s="24" t="s">
        <v>37</v>
      </c>
      <c r="C3403" s="21">
        <f t="shared" si="57"/>
        <v>-62.68</v>
      </c>
      <c r="HM3403" s="106">
        <v>-62.68</v>
      </c>
    </row>
    <row r="3404" spans="1:235" x14ac:dyDescent="0.25">
      <c r="A3404" s="127">
        <v>45183</v>
      </c>
      <c r="B3404" s="24" t="s">
        <v>44</v>
      </c>
      <c r="C3404" s="21">
        <f t="shared" si="57"/>
        <v>-195.14</v>
      </c>
      <c r="GQ3404" s="92">
        <v>-163.55000000000001</v>
      </c>
      <c r="HP3404" s="92">
        <v>-31.59</v>
      </c>
    </row>
    <row r="3405" spans="1:235" x14ac:dyDescent="0.25">
      <c r="A3405" s="127">
        <v>45183</v>
      </c>
      <c r="B3405" s="24" t="s">
        <v>152</v>
      </c>
      <c r="C3405" s="21">
        <f t="shared" si="57"/>
        <v>-550.36</v>
      </c>
      <c r="BC3405" s="106">
        <v>-100.66</v>
      </c>
      <c r="BI3405" s="106">
        <v>-33.29</v>
      </c>
      <c r="CA3405" s="106">
        <v>-69.989999999999995</v>
      </c>
      <c r="CG3405" s="106">
        <v>-63.12</v>
      </c>
      <c r="CR3405" s="69">
        <v>-33.32</v>
      </c>
      <c r="DU3405" s="106">
        <v>-23.81</v>
      </c>
      <c r="EA3405" s="74">
        <v>-226.17</v>
      </c>
    </row>
    <row r="3406" spans="1:235" x14ac:dyDescent="0.25">
      <c r="A3406" s="127">
        <v>45183</v>
      </c>
      <c r="B3406" s="24" t="s">
        <v>59</v>
      </c>
      <c r="C3406" s="21">
        <f t="shared" si="57"/>
        <v>-9.9700000000000006</v>
      </c>
      <c r="AW3406" s="106">
        <v>-2.97</v>
      </c>
      <c r="CO3406" s="126">
        <v>-3.45</v>
      </c>
      <c r="DE3406" s="74">
        <v>-3.55</v>
      </c>
    </row>
    <row r="3407" spans="1:235" x14ac:dyDescent="0.25">
      <c r="A3407" s="127">
        <v>45183</v>
      </c>
      <c r="B3407" s="24" t="s">
        <v>176</v>
      </c>
      <c r="C3407" s="21">
        <f t="shared" si="57"/>
        <v>-14.195</v>
      </c>
      <c r="D3407" s="386">
        <v>-14.195</v>
      </c>
    </row>
    <row r="3408" spans="1:235" x14ac:dyDescent="0.25">
      <c r="A3408" s="127">
        <v>45184</v>
      </c>
      <c r="B3408" s="24" t="s">
        <v>20</v>
      </c>
      <c r="C3408" s="21">
        <f t="shared" si="57"/>
        <v>-16.905000000000001</v>
      </c>
      <c r="AR3408" s="106">
        <v>-8.31</v>
      </c>
      <c r="BI3408" s="106">
        <v>-8.5950000000000006</v>
      </c>
    </row>
    <row r="3409" spans="1:208" x14ac:dyDescent="0.25">
      <c r="A3409" s="127">
        <v>45184</v>
      </c>
      <c r="B3409" s="24" t="s">
        <v>68</v>
      </c>
      <c r="C3409" s="21">
        <f t="shared" si="57"/>
        <v>-90.77</v>
      </c>
      <c r="AN3409" s="106">
        <v>-14.73</v>
      </c>
      <c r="AR3409" s="106">
        <v>-15.96</v>
      </c>
      <c r="AW3409" s="106">
        <v>-31.87</v>
      </c>
      <c r="CO3409" s="126">
        <v>-28.21</v>
      </c>
    </row>
    <row r="3410" spans="1:208" x14ac:dyDescent="0.25">
      <c r="A3410" s="127">
        <v>45184</v>
      </c>
      <c r="B3410" s="24" t="s">
        <v>163</v>
      </c>
      <c r="C3410" s="21">
        <f t="shared" si="57"/>
        <v>204.85</v>
      </c>
      <c r="CA3410" s="106">
        <v>37.74</v>
      </c>
      <c r="CG3410" s="106">
        <v>67.81</v>
      </c>
      <c r="DE3410" s="74">
        <v>33.799999999999997</v>
      </c>
      <c r="DI3410" s="42">
        <v>33.049999999999997</v>
      </c>
      <c r="DP3410" s="74">
        <v>32.450000000000003</v>
      </c>
    </row>
    <row r="3411" spans="1:208" x14ac:dyDescent="0.25">
      <c r="A3411" s="127">
        <v>45185</v>
      </c>
      <c r="B3411" s="24" t="s">
        <v>32</v>
      </c>
      <c r="C3411" s="21">
        <f t="shared" si="57"/>
        <v>-66.19</v>
      </c>
      <c r="AR3411" s="106">
        <v>-14.94</v>
      </c>
      <c r="BC3411" s="106">
        <v>-17.05</v>
      </c>
      <c r="CG3411" s="106">
        <v>-17.53</v>
      </c>
      <c r="CS3411" s="74">
        <v>-16.670000000000002</v>
      </c>
    </row>
    <row r="3412" spans="1:208" x14ac:dyDescent="0.25">
      <c r="A3412" s="127">
        <v>45188</v>
      </c>
      <c r="B3412" s="24" t="s">
        <v>75</v>
      </c>
      <c r="C3412" s="21">
        <f t="shared" si="57"/>
        <v>-18.850000000000001</v>
      </c>
      <c r="BI3412" s="106">
        <v>-8.36</v>
      </c>
      <c r="CA3412" s="106">
        <v>-10.49</v>
      </c>
    </row>
    <row r="3413" spans="1:208" x14ac:dyDescent="0.25">
      <c r="A3413" s="127">
        <v>45188</v>
      </c>
      <c r="B3413" s="24" t="s">
        <v>27</v>
      </c>
      <c r="C3413" s="21">
        <f t="shared" si="57"/>
        <v>-15.59</v>
      </c>
      <c r="AR3413" s="106">
        <v>-15.59</v>
      </c>
    </row>
    <row r="3414" spans="1:208" x14ac:dyDescent="0.25">
      <c r="A3414" s="127">
        <v>45188</v>
      </c>
      <c r="B3414" s="24" t="s">
        <v>20</v>
      </c>
      <c r="C3414" s="21">
        <f t="shared" si="57"/>
        <v>-9.6199999999999992</v>
      </c>
      <c r="CA3414" s="106">
        <v>-9.6199999999999992</v>
      </c>
    </row>
    <row r="3415" spans="1:208" x14ac:dyDescent="0.25">
      <c r="A3415" s="127">
        <v>45188</v>
      </c>
      <c r="B3415" s="24" t="s">
        <v>25</v>
      </c>
      <c r="C3415" s="21">
        <f t="shared" si="57"/>
        <v>-51.704999999999998</v>
      </c>
      <c r="X3415" s="42">
        <v>-8.49</v>
      </c>
      <c r="AW3415" s="106">
        <v>-7.94</v>
      </c>
      <c r="BO3415" s="106">
        <v>-8.8149999999999995</v>
      </c>
      <c r="CA3415" s="106">
        <v>-9.14</v>
      </c>
      <c r="CG3415" s="106">
        <v>-17.32</v>
      </c>
    </row>
    <row r="3416" spans="1:208" x14ac:dyDescent="0.25">
      <c r="A3416" s="127">
        <v>45188</v>
      </c>
      <c r="B3416" s="24" t="s">
        <v>79</v>
      </c>
      <c r="C3416" s="21">
        <f t="shared" si="57"/>
        <v>-16.649999999999999</v>
      </c>
      <c r="AW3416" s="106">
        <v>-7.95</v>
      </c>
      <c r="CG3416" s="106">
        <v>-8.6999999999999993</v>
      </c>
    </row>
    <row r="3417" spans="1:208" x14ac:dyDescent="0.25">
      <c r="A3417" s="127">
        <v>45188</v>
      </c>
      <c r="B3417" s="24" t="s">
        <v>84</v>
      </c>
      <c r="C3417" s="21">
        <f t="shared" si="57"/>
        <v>-58.74</v>
      </c>
      <c r="BI3417" s="106">
        <v>-15.34</v>
      </c>
      <c r="BO3417" s="106">
        <v>-17.72</v>
      </c>
      <c r="CA3417" s="106">
        <v>-8.49</v>
      </c>
      <c r="CG3417" s="106">
        <v>-17.190000000000001</v>
      </c>
    </row>
    <row r="3418" spans="1:208" x14ac:dyDescent="0.25">
      <c r="A3418" s="127">
        <v>45188</v>
      </c>
      <c r="B3418" s="24" t="s">
        <v>133</v>
      </c>
      <c r="C3418" s="21">
        <f t="shared" si="57"/>
        <v>-146.56</v>
      </c>
      <c r="AW3418" s="106">
        <v>-31.18</v>
      </c>
      <c r="BC3418" s="106">
        <v>-30.97</v>
      </c>
      <c r="CE3418" s="42">
        <v>-9.5</v>
      </c>
      <c r="CG3418" s="106">
        <f>-8.7-8.7-7.2</f>
        <v>-24.6</v>
      </c>
      <c r="DE3418" s="74">
        <v>-16.95</v>
      </c>
      <c r="DI3418" s="42">
        <v>-16.45</v>
      </c>
      <c r="DP3418" s="74">
        <v>-16.91</v>
      </c>
    </row>
    <row r="3419" spans="1:208" x14ac:dyDescent="0.25">
      <c r="A3419" s="127">
        <v>45189</v>
      </c>
      <c r="B3419" s="24" t="s">
        <v>113</v>
      </c>
      <c r="C3419" s="21">
        <f t="shared" si="57"/>
        <v>1205.595</v>
      </c>
      <c r="BI3419" s="106">
        <v>165.39500000000001</v>
      </c>
      <c r="BO3419" s="106">
        <v>134.6</v>
      </c>
      <c r="BU3419" s="106">
        <v>158.39500000000001</v>
      </c>
      <c r="CA3419" s="106">
        <v>102.485</v>
      </c>
      <c r="CG3419" s="106">
        <v>95.26</v>
      </c>
      <c r="CS3419" s="74">
        <v>158.58000000000001</v>
      </c>
      <c r="CY3419" s="106">
        <v>95.15</v>
      </c>
      <c r="DE3419" s="74">
        <v>101.24</v>
      </c>
      <c r="EA3419" s="74">
        <v>94.59</v>
      </c>
      <c r="GZ3419" s="106">
        <v>99.9</v>
      </c>
    </row>
    <row r="3420" spans="1:208" x14ac:dyDescent="0.25">
      <c r="A3420" s="127">
        <v>45189</v>
      </c>
      <c r="B3420" s="24" t="s">
        <v>17</v>
      </c>
      <c r="C3420" s="21">
        <f t="shared" si="57"/>
        <v>-58.17</v>
      </c>
      <c r="BI3420" s="106">
        <v>-8.3249999999999993</v>
      </c>
      <c r="BO3420" s="106">
        <v>-8.17</v>
      </c>
      <c r="BU3420" s="106">
        <v>-15.945</v>
      </c>
      <c r="CA3420" s="106">
        <v>-17.63</v>
      </c>
      <c r="CG3420" s="106">
        <v>-8.1</v>
      </c>
    </row>
    <row r="3421" spans="1:208" x14ac:dyDescent="0.25">
      <c r="A3421" s="127">
        <v>45189</v>
      </c>
      <c r="B3421" s="24" t="s">
        <v>32</v>
      </c>
      <c r="C3421" s="21">
        <f t="shared" si="57"/>
        <v>-486.21499999999997</v>
      </c>
      <c r="AN3421" s="106">
        <v>-17.239999999999998</v>
      </c>
      <c r="AR3421" s="106">
        <v>-23.26</v>
      </c>
      <c r="AW3421" s="106">
        <v>-28.61</v>
      </c>
      <c r="BC3421" s="106">
        <v>-48.57</v>
      </c>
      <c r="BI3421" s="106">
        <v>-66.094999999999999</v>
      </c>
      <c r="BO3421" s="106">
        <v>-67.239999999999995</v>
      </c>
      <c r="BU3421" s="106">
        <v>-62.2</v>
      </c>
      <c r="CA3421" s="106">
        <v>-42.44</v>
      </c>
      <c r="CG3421" s="106">
        <v>-32.270000000000003</v>
      </c>
      <c r="CS3421" s="74">
        <v>-32.19</v>
      </c>
      <c r="CY3421" s="106">
        <v>-24.09</v>
      </c>
      <c r="DE3421" s="74">
        <v>-25.41</v>
      </c>
      <c r="DI3421" s="42">
        <v>-16.600000000000001</v>
      </c>
    </row>
    <row r="3422" spans="1:208" x14ac:dyDescent="0.25">
      <c r="A3422" s="127">
        <v>45189</v>
      </c>
      <c r="B3422" s="24" t="s">
        <v>133</v>
      </c>
      <c r="C3422" s="21">
        <f t="shared" si="57"/>
        <v>-106.035</v>
      </c>
      <c r="BO3422" s="106">
        <v>-25.55</v>
      </c>
      <c r="BU3422" s="106">
        <v>-24.465</v>
      </c>
      <c r="CA3422" s="106">
        <v>-25.36</v>
      </c>
      <c r="CG3422" s="106">
        <v>-30.66</v>
      </c>
    </row>
    <row r="3423" spans="1:208" x14ac:dyDescent="0.25">
      <c r="A3423" s="127">
        <v>45189</v>
      </c>
      <c r="B3423" s="24" t="s">
        <v>178</v>
      </c>
      <c r="C3423" s="21">
        <f t="shared" si="57"/>
        <v>-31.94</v>
      </c>
      <c r="BU3423" s="106">
        <v>-31.94</v>
      </c>
    </row>
    <row r="3424" spans="1:208" x14ac:dyDescent="0.25">
      <c r="A3424" s="127">
        <v>45189</v>
      </c>
      <c r="B3424" s="24" t="s">
        <v>44</v>
      </c>
      <c r="C3424" s="21">
        <f t="shared" si="57"/>
        <v>-33.520000000000003</v>
      </c>
      <c r="GZ3424" s="106">
        <v>-33.520000000000003</v>
      </c>
    </row>
    <row r="3425" spans="1:224" x14ac:dyDescent="0.25">
      <c r="A3425" s="127">
        <v>45189</v>
      </c>
      <c r="B3425" s="24" t="s">
        <v>127</v>
      </c>
      <c r="C3425" s="21">
        <f t="shared" si="57"/>
        <v>-31.44</v>
      </c>
      <c r="V3425" s="74">
        <v>-6.92</v>
      </c>
      <c r="AR3425" s="106">
        <v>-7.89</v>
      </c>
      <c r="AW3425" s="106">
        <v>-8.3800000000000008</v>
      </c>
      <c r="BI3425" s="106">
        <v>-8.25</v>
      </c>
    </row>
    <row r="3426" spans="1:224" x14ac:dyDescent="0.25">
      <c r="A3426" s="127">
        <v>45190</v>
      </c>
      <c r="B3426" s="24" t="s">
        <v>113</v>
      </c>
      <c r="C3426" s="21">
        <f t="shared" si="57"/>
        <v>3183.6210000000001</v>
      </c>
      <c r="Z3426" s="79">
        <v>242.34</v>
      </c>
      <c r="BC3426" s="106">
        <v>419.43599999999998</v>
      </c>
      <c r="BI3426" s="106">
        <v>297.54500000000002</v>
      </c>
      <c r="BO3426" s="106">
        <v>272.8</v>
      </c>
      <c r="BU3426" s="106">
        <v>193.42</v>
      </c>
      <c r="CG3426" s="106">
        <v>64.849999999999994</v>
      </c>
      <c r="CS3426" s="74">
        <v>128.88</v>
      </c>
      <c r="DE3426" s="74">
        <v>236.42</v>
      </c>
      <c r="DP3426" s="74">
        <v>172.52</v>
      </c>
      <c r="GQ3426" s="92">
        <v>378.27</v>
      </c>
      <c r="GZ3426" s="106">
        <v>245.76</v>
      </c>
      <c r="HP3426" s="92">
        <v>531.38</v>
      </c>
    </row>
    <row r="3427" spans="1:224" x14ac:dyDescent="0.25">
      <c r="A3427" s="127">
        <v>45190</v>
      </c>
      <c r="B3427" s="24" t="s">
        <v>113</v>
      </c>
      <c r="C3427" s="21">
        <f t="shared" si="57"/>
        <v>1450.875</v>
      </c>
      <c r="BI3427" s="106">
        <v>303.98</v>
      </c>
      <c r="BO3427" s="106">
        <v>289.64999999999998</v>
      </c>
      <c r="CG3427" s="106">
        <v>290.07499999999999</v>
      </c>
      <c r="CY3427" s="106">
        <v>305.64999999999998</v>
      </c>
      <c r="EA3427" s="74">
        <v>261.52</v>
      </c>
    </row>
    <row r="3428" spans="1:224" x14ac:dyDescent="0.25">
      <c r="A3428" s="127">
        <v>45190</v>
      </c>
      <c r="B3428" s="24" t="s">
        <v>48</v>
      </c>
      <c r="C3428" s="21">
        <f t="shared" si="57"/>
        <v>-107.05</v>
      </c>
      <c r="T3428" s="42">
        <v>33.58</v>
      </c>
      <c r="AA3428" s="42">
        <v>33.630000000000003</v>
      </c>
      <c r="AN3428" s="106">
        <v>-15.99</v>
      </c>
      <c r="BI3428" s="106">
        <v>-31.79</v>
      </c>
      <c r="BO3428" s="106">
        <v>-81.87</v>
      </c>
      <c r="BY3428" s="42">
        <v>34.36</v>
      </c>
      <c r="CK3428" s="42">
        <v>34.81</v>
      </c>
      <c r="CS3428" s="74">
        <v>-32.229999999999997</v>
      </c>
      <c r="CY3428" s="106">
        <v>-48.32</v>
      </c>
      <c r="DE3428" s="74">
        <v>-33.229999999999997</v>
      </c>
    </row>
    <row r="3429" spans="1:224" x14ac:dyDescent="0.25">
      <c r="A3429" s="127">
        <v>45190</v>
      </c>
      <c r="B3429" s="24" t="s">
        <v>43</v>
      </c>
      <c r="C3429" s="21">
        <f t="shared" si="57"/>
        <v>-206.16</v>
      </c>
      <c r="BO3429" s="106">
        <v>-79.489999999999995</v>
      </c>
      <c r="BU3429" s="106">
        <v>-62.384999999999998</v>
      </c>
      <c r="CG3429" s="106">
        <v>-32.164999999999999</v>
      </c>
      <c r="CY3429" s="106">
        <v>-32.119999999999997</v>
      </c>
    </row>
    <row r="3430" spans="1:224" x14ac:dyDescent="0.25">
      <c r="A3430" s="127">
        <v>45190</v>
      </c>
      <c r="B3430" s="24" t="s">
        <v>18</v>
      </c>
      <c r="C3430" s="21">
        <f t="shared" si="57"/>
        <v>-517.15499999999997</v>
      </c>
      <c r="AN3430" s="106">
        <v>-34.380000000000003</v>
      </c>
      <c r="AW3430" s="106">
        <v>-65.569999999999993</v>
      </c>
      <c r="BC3430" s="106">
        <v>-28.9</v>
      </c>
      <c r="BI3430" s="106">
        <v>-66.224999999999994</v>
      </c>
      <c r="BO3430" s="106">
        <v>-66.53</v>
      </c>
      <c r="BU3430" s="106">
        <v>-65.33</v>
      </c>
      <c r="CG3430" s="106">
        <v>-60.88</v>
      </c>
      <c r="CS3430" s="74">
        <v>-32.229999999999997</v>
      </c>
      <c r="CY3430" s="106">
        <v>-32.159999999999997</v>
      </c>
      <c r="DE3430" s="74">
        <v>-33.97</v>
      </c>
      <c r="EA3430" s="74">
        <v>-30.98</v>
      </c>
    </row>
    <row r="3431" spans="1:224" x14ac:dyDescent="0.25">
      <c r="A3431" s="127">
        <v>45190</v>
      </c>
      <c r="B3431" s="24" t="s">
        <v>127</v>
      </c>
      <c r="C3431" s="21">
        <f t="shared" si="57"/>
        <v>-31.44</v>
      </c>
      <c r="V3431" s="74">
        <v>-6.92</v>
      </c>
      <c r="AR3431" s="106">
        <v>-7.89</v>
      </c>
      <c r="AU3431" s="42">
        <v>-8.3800000000000008</v>
      </c>
      <c r="BI3431" s="106">
        <v>-8.25</v>
      </c>
    </row>
    <row r="3432" spans="1:224" x14ac:dyDescent="0.25">
      <c r="A3432" s="127">
        <v>45191</v>
      </c>
      <c r="B3432" s="24" t="s">
        <v>48</v>
      </c>
      <c r="C3432" s="21">
        <f t="shared" si="57"/>
        <v>-14.68</v>
      </c>
      <c r="AN3432" s="106">
        <v>-14.68</v>
      </c>
    </row>
    <row r="3433" spans="1:224" x14ac:dyDescent="0.25">
      <c r="A3433" s="127">
        <v>45191</v>
      </c>
      <c r="B3433" s="24" t="s">
        <v>84</v>
      </c>
      <c r="C3433" s="21">
        <f t="shared" si="57"/>
        <v>-42.814999999999998</v>
      </c>
      <c r="BU3433" s="106">
        <v>-17.004999999999999</v>
      </c>
      <c r="CA3433" s="106">
        <v>-8.3699999999999992</v>
      </c>
      <c r="CK3433" s="42">
        <v>-17.440000000000001</v>
      </c>
    </row>
    <row r="3434" spans="1:224" x14ac:dyDescent="0.25">
      <c r="A3434" s="127">
        <v>45191</v>
      </c>
      <c r="B3434" s="24" t="s">
        <v>25</v>
      </c>
      <c r="C3434" s="21">
        <f t="shared" si="57"/>
        <v>-50.77</v>
      </c>
      <c r="BI3434" s="106">
        <v>-16.565000000000001</v>
      </c>
      <c r="BU3434" s="106">
        <v>-17.024999999999999</v>
      </c>
      <c r="BY3434" s="42">
        <v>-17.18</v>
      </c>
    </row>
    <row r="3435" spans="1:224" x14ac:dyDescent="0.25">
      <c r="A3435" s="127">
        <v>45191</v>
      </c>
      <c r="B3435" s="24" t="s">
        <v>139</v>
      </c>
      <c r="C3435" s="21">
        <f t="shared" si="57"/>
        <v>-49.755000000000003</v>
      </c>
      <c r="AW3435" s="106">
        <v>-8.42</v>
      </c>
      <c r="BC3435" s="106">
        <v>-8.4</v>
      </c>
      <c r="BI3435" s="106">
        <v>-7.57</v>
      </c>
      <c r="BO3435" s="106">
        <v>-8.7149999999999999</v>
      </c>
      <c r="BY3435" s="42">
        <v>-8.5500000000000007</v>
      </c>
      <c r="CG3435" s="106">
        <v>-8.1</v>
      </c>
    </row>
    <row r="3436" spans="1:224" x14ac:dyDescent="0.25">
      <c r="A3436" s="127">
        <v>45191</v>
      </c>
      <c r="B3436" s="24" t="s">
        <v>79</v>
      </c>
      <c r="C3436" s="21">
        <f t="shared" si="57"/>
        <v>-33.244999999999997</v>
      </c>
      <c r="BO3436" s="106">
        <v>-8.4600000000000009</v>
      </c>
      <c r="CA3436" s="106">
        <v>-8.6850000000000005</v>
      </c>
      <c r="CS3436" s="74">
        <v>-16.100000000000001</v>
      </c>
    </row>
    <row r="3437" spans="1:224" x14ac:dyDescent="0.25">
      <c r="A3437" s="127">
        <v>45191</v>
      </c>
      <c r="B3437" s="24" t="s">
        <v>20</v>
      </c>
      <c r="C3437" s="21">
        <f t="shared" si="57"/>
        <v>-91.57</v>
      </c>
      <c r="BU3437" s="106">
        <v>-8.19</v>
      </c>
      <c r="CK3437" s="42">
        <v>-8.7200000000000006</v>
      </c>
      <c r="CS3437" s="74">
        <v>-8.2799999999999994</v>
      </c>
      <c r="GZ3437" s="106">
        <v>-66.38</v>
      </c>
    </row>
    <row r="3438" spans="1:224" x14ac:dyDescent="0.25">
      <c r="A3438" s="127">
        <v>45191</v>
      </c>
      <c r="B3438" s="24" t="s">
        <v>27</v>
      </c>
      <c r="C3438" s="21">
        <f t="shared" si="57"/>
        <v>-64.704999999999998</v>
      </c>
      <c r="BI3438" s="106">
        <v>-8.59</v>
      </c>
      <c r="BU3438" s="106">
        <v>-15.904999999999999</v>
      </c>
      <c r="CY3438" s="106">
        <v>-40.21</v>
      </c>
    </row>
    <row r="3439" spans="1:224" x14ac:dyDescent="0.25">
      <c r="A3439" s="127">
        <v>45191</v>
      </c>
      <c r="B3439" s="24" t="s">
        <v>50</v>
      </c>
      <c r="C3439" s="21">
        <f t="shared" si="57"/>
        <v>-111.71</v>
      </c>
      <c r="CS3439" s="74">
        <v>-111.71</v>
      </c>
    </row>
    <row r="3440" spans="1:224" x14ac:dyDescent="0.25">
      <c r="A3440" s="127">
        <v>45191</v>
      </c>
      <c r="B3440" s="24" t="s">
        <v>75</v>
      </c>
      <c r="C3440" s="21">
        <f t="shared" si="57"/>
        <v>-16.59</v>
      </c>
      <c r="BU3440" s="106">
        <v>-7.94</v>
      </c>
      <c r="CK3440" s="42">
        <v>-8.65</v>
      </c>
    </row>
    <row r="3441" spans="1:150" x14ac:dyDescent="0.25">
      <c r="A3441" s="127">
        <v>45191</v>
      </c>
      <c r="B3441" s="24" t="s">
        <v>17</v>
      </c>
      <c r="C3441" s="21">
        <f t="shared" ref="C3441:C3504" si="58">SUM(D3441:JT3441)</f>
        <v>-31.3</v>
      </c>
      <c r="AN3441" s="106">
        <v>-6.43</v>
      </c>
      <c r="AR3441" s="106">
        <v>-7.77</v>
      </c>
      <c r="BC3441" s="106">
        <v>-8.4700000000000006</v>
      </c>
      <c r="BY3441" s="42">
        <v>-8.6300000000000008</v>
      </c>
    </row>
    <row r="3442" spans="1:150" x14ac:dyDescent="0.25">
      <c r="A3442" s="127">
        <v>45191</v>
      </c>
      <c r="B3442" s="24" t="s">
        <v>113</v>
      </c>
      <c r="C3442" s="21">
        <f t="shared" si="58"/>
        <v>953.86400000000003</v>
      </c>
      <c r="BU3442" s="106">
        <v>311.10399999999998</v>
      </c>
      <c r="CA3442" s="106">
        <v>97.18</v>
      </c>
      <c r="CM3442" s="106">
        <v>352.12</v>
      </c>
      <c r="DU3442" s="106">
        <v>193.46</v>
      </c>
    </row>
    <row r="3443" spans="1:150" x14ac:dyDescent="0.25">
      <c r="A3443" s="127">
        <v>45191</v>
      </c>
      <c r="B3443" s="24" t="s">
        <v>18</v>
      </c>
      <c r="C3443" s="21">
        <f t="shared" si="58"/>
        <v>-178.48</v>
      </c>
      <c r="BU3443" s="106">
        <v>-30.64</v>
      </c>
      <c r="CA3443" s="106">
        <v>-32.840000000000003</v>
      </c>
      <c r="CM3443" s="106">
        <v>-32.07</v>
      </c>
      <c r="DE3443" s="74">
        <v>-33.83</v>
      </c>
      <c r="DU3443" s="106">
        <v>-32.4</v>
      </c>
      <c r="ET3443" s="106">
        <v>-16.7</v>
      </c>
    </row>
    <row r="3444" spans="1:150" x14ac:dyDescent="0.25">
      <c r="A3444" s="127">
        <v>45191</v>
      </c>
      <c r="B3444" s="24" t="s">
        <v>17</v>
      </c>
      <c r="C3444" s="21">
        <f t="shared" si="58"/>
        <v>-38.725000000000001</v>
      </c>
      <c r="BI3444" s="106">
        <f>-8.09-8.08</f>
        <v>-16.170000000000002</v>
      </c>
      <c r="BO3444" s="106">
        <v>-8.23</v>
      </c>
      <c r="BU3444" s="106">
        <v>-7.5750000000000002</v>
      </c>
      <c r="CA3444" s="106">
        <v>-6.75</v>
      </c>
    </row>
    <row r="3445" spans="1:150" x14ac:dyDescent="0.25">
      <c r="A3445" s="127">
        <v>45192</v>
      </c>
      <c r="B3445" s="24" t="s">
        <v>184</v>
      </c>
      <c r="C3445" s="21">
        <f t="shared" si="58"/>
        <v>-308.03500000000003</v>
      </c>
      <c r="AN3445" s="106">
        <v>-8.6199999999999992</v>
      </c>
      <c r="AR3445" s="106">
        <v>-7.72</v>
      </c>
      <c r="BC3445" s="106">
        <v>-31.28</v>
      </c>
      <c r="BI3445" s="106">
        <v>-31.98</v>
      </c>
      <c r="BO3445" s="106">
        <v>-64.3</v>
      </c>
      <c r="BU3445" s="106">
        <v>-49.494999999999997</v>
      </c>
      <c r="CA3445" s="106">
        <v>-33.31</v>
      </c>
      <c r="CG3445" s="106">
        <v>-16.13</v>
      </c>
      <c r="CM3445" s="106">
        <v>-16.03</v>
      </c>
      <c r="CS3445" s="74">
        <v>-16.16</v>
      </c>
      <c r="CY3445" s="106">
        <v>-16.07</v>
      </c>
      <c r="DE3445" s="74">
        <v>-16.940000000000001</v>
      </c>
    </row>
    <row r="3446" spans="1:150" x14ac:dyDescent="0.25">
      <c r="A3446" s="127">
        <v>45192</v>
      </c>
      <c r="B3446" s="24" t="s">
        <v>133</v>
      </c>
      <c r="C3446" s="21">
        <f t="shared" si="58"/>
        <v>-131.40299999999999</v>
      </c>
      <c r="BI3446" s="106">
        <v>-29.38</v>
      </c>
      <c r="BO3446" s="106">
        <v>-34</v>
      </c>
      <c r="BU3446" s="106">
        <v>-34.173000000000002</v>
      </c>
      <c r="DE3446" s="74">
        <v>-33.85</v>
      </c>
    </row>
    <row r="3447" spans="1:150" x14ac:dyDescent="0.25">
      <c r="A3447" s="127">
        <v>45194</v>
      </c>
      <c r="B3447" s="29" t="s">
        <v>133</v>
      </c>
      <c r="C3447" s="21">
        <f t="shared" si="58"/>
        <v>-17.11</v>
      </c>
      <c r="AA3447" s="42">
        <v>-17.11</v>
      </c>
    </row>
    <row r="3448" spans="1:150" x14ac:dyDescent="0.25">
      <c r="A3448" s="127">
        <v>45194</v>
      </c>
      <c r="B3448" s="29" t="s">
        <v>17</v>
      </c>
      <c r="C3448" s="21">
        <f t="shared" si="58"/>
        <v>-41.8</v>
      </c>
      <c r="BC3448" s="106">
        <v>-8.65</v>
      </c>
      <c r="BI3448" s="106">
        <v>-16.809999999999999</v>
      </c>
      <c r="BO3448" s="106">
        <v>-7.8150000000000004</v>
      </c>
      <c r="BU3448" s="106">
        <v>-8.5250000000000004</v>
      </c>
    </row>
    <row r="3449" spans="1:150" x14ac:dyDescent="0.25">
      <c r="A3449" s="127">
        <v>45194</v>
      </c>
      <c r="B3449" s="29" t="s">
        <v>32</v>
      </c>
      <c r="C3449" s="21">
        <f t="shared" si="58"/>
        <v>-48.68</v>
      </c>
      <c r="AA3449" s="42">
        <v>-16.52</v>
      </c>
      <c r="CM3449" s="106">
        <v>-32.159999999999997</v>
      </c>
    </row>
    <row r="3450" spans="1:150" x14ac:dyDescent="0.25">
      <c r="A3450" s="127">
        <v>45194</v>
      </c>
      <c r="B3450" s="24" t="s">
        <v>65</v>
      </c>
      <c r="C3450" s="21">
        <f t="shared" si="58"/>
        <v>-34.520000000000003</v>
      </c>
      <c r="AN3450" s="106">
        <v>-34.520000000000003</v>
      </c>
    </row>
    <row r="3451" spans="1:150" x14ac:dyDescent="0.25">
      <c r="A3451" s="127">
        <v>45195</v>
      </c>
      <c r="B3451" s="24" t="s">
        <v>147</v>
      </c>
      <c r="C3451" s="21">
        <f t="shared" si="58"/>
        <v>-47.634999999999998</v>
      </c>
      <c r="AW3451" s="106">
        <v>-6.94</v>
      </c>
      <c r="BI3451" s="106">
        <v>-8.15</v>
      </c>
      <c r="BO3451" s="106">
        <v>-8.02</v>
      </c>
      <c r="BU3451" s="106">
        <v>-8.0500000000000007</v>
      </c>
      <c r="CA3451" s="106">
        <v>-8.1999999999999993</v>
      </c>
      <c r="CG3451" s="106">
        <v>-8.2750000000000004</v>
      </c>
    </row>
    <row r="3452" spans="1:150" x14ac:dyDescent="0.25">
      <c r="A3452" s="127">
        <v>45195</v>
      </c>
      <c r="B3452" s="24" t="s">
        <v>139</v>
      </c>
      <c r="C3452" s="21">
        <f t="shared" si="58"/>
        <v>-8.08</v>
      </c>
      <c r="CS3452" s="74">
        <v>-8.08</v>
      </c>
    </row>
    <row r="3453" spans="1:150" x14ac:dyDescent="0.25">
      <c r="A3453" s="127">
        <v>45195</v>
      </c>
      <c r="B3453" s="24" t="s">
        <v>138</v>
      </c>
      <c r="C3453" s="21">
        <f t="shared" si="58"/>
        <v>-135.42500000000001</v>
      </c>
      <c r="AG3453" s="106">
        <v>-8.64</v>
      </c>
      <c r="AR3453" s="106">
        <v>-7.84</v>
      </c>
      <c r="AW3453" s="106">
        <v>-15.86</v>
      </c>
      <c r="BC3453" s="106">
        <v>-22.38</v>
      </c>
      <c r="BI3453" s="106">
        <v>-16.27</v>
      </c>
      <c r="BO3453" s="106">
        <v>-15.95</v>
      </c>
      <c r="BU3453" s="106">
        <v>-15.555</v>
      </c>
      <c r="CA3453" s="106">
        <v>-16.079999999999998</v>
      </c>
      <c r="CG3453" s="106">
        <v>-16.850000000000001</v>
      </c>
    </row>
    <row r="3454" spans="1:150" x14ac:dyDescent="0.25">
      <c r="A3454" s="127">
        <v>45195</v>
      </c>
      <c r="B3454" s="24" t="s">
        <v>20</v>
      </c>
      <c r="C3454" s="21">
        <f t="shared" si="58"/>
        <v>-32.15</v>
      </c>
      <c r="BC3454" s="106">
        <v>-7.75</v>
      </c>
      <c r="BI3454" s="106">
        <v>-8.14</v>
      </c>
      <c r="BO3454" s="106">
        <v>-8.02</v>
      </c>
      <c r="BU3454" s="106">
        <v>-8.24</v>
      </c>
    </row>
    <row r="3455" spans="1:150" x14ac:dyDescent="0.25">
      <c r="A3455" s="127">
        <v>45195</v>
      </c>
      <c r="B3455" s="24" t="s">
        <v>113</v>
      </c>
      <c r="C3455" s="21">
        <f t="shared" si="58"/>
        <v>1176.79</v>
      </c>
      <c r="CA3455" s="106">
        <f>213.64+128.87</f>
        <v>342.51</v>
      </c>
      <c r="CS3455" s="74">
        <v>314.37</v>
      </c>
      <c r="DE3455" s="74">
        <v>102.71</v>
      </c>
      <c r="DK3455" s="106">
        <v>315.62</v>
      </c>
      <c r="DU3455" s="106">
        <v>101.58</v>
      </c>
    </row>
    <row r="3456" spans="1:150" x14ac:dyDescent="0.25">
      <c r="A3456" s="127">
        <v>45195</v>
      </c>
      <c r="B3456" s="24" t="s">
        <v>17</v>
      </c>
      <c r="C3456" s="21">
        <f t="shared" si="58"/>
        <v>-100.64</v>
      </c>
      <c r="BC3456" s="106">
        <v>-16.5</v>
      </c>
      <c r="BI3456" s="106">
        <v>-17.105</v>
      </c>
      <c r="BO3456" s="106">
        <v>-17.13</v>
      </c>
      <c r="CA3456" s="106">
        <v>-16.22</v>
      </c>
      <c r="CG3456" s="106">
        <v>-16.22</v>
      </c>
      <c r="CS3456" s="74">
        <v>-17.465</v>
      </c>
    </row>
    <row r="3457" spans="1:221" x14ac:dyDescent="0.25">
      <c r="A3457" s="127">
        <v>45195</v>
      </c>
      <c r="B3457" s="24" t="s">
        <v>184</v>
      </c>
      <c r="C3457" s="21">
        <f t="shared" si="58"/>
        <v>-17.73</v>
      </c>
      <c r="CA3457" s="106">
        <v>-17.73</v>
      </c>
    </row>
    <row r="3458" spans="1:221" x14ac:dyDescent="0.25">
      <c r="A3458" s="127">
        <v>45196</v>
      </c>
      <c r="B3458" s="24" t="s">
        <v>57</v>
      </c>
      <c r="C3458" s="21">
        <f t="shared" si="58"/>
        <v>-16.84</v>
      </c>
      <c r="BC3458" s="106">
        <v>-8.2100000000000009</v>
      </c>
      <c r="BI3458" s="106">
        <v>-8.6300000000000008</v>
      </c>
    </row>
    <row r="3459" spans="1:221" x14ac:dyDescent="0.25">
      <c r="A3459" s="127">
        <v>45196</v>
      </c>
      <c r="B3459" s="24" t="s">
        <v>184</v>
      </c>
      <c r="C3459" s="21">
        <f t="shared" si="58"/>
        <v>-41.435000000000002</v>
      </c>
      <c r="CM3459" s="106">
        <v>-16.63</v>
      </c>
      <c r="CS3459" s="74">
        <v>-16.765000000000001</v>
      </c>
      <c r="CY3459" s="106">
        <v>-8.0399999999999991</v>
      </c>
    </row>
    <row r="3460" spans="1:221" x14ac:dyDescent="0.25">
      <c r="A3460" s="127">
        <v>45196</v>
      </c>
      <c r="B3460" s="24" t="s">
        <v>152</v>
      </c>
      <c r="C3460" s="21">
        <f t="shared" si="58"/>
        <v>-1170.375</v>
      </c>
      <c r="P3460" s="106">
        <v>-33.229999999999997</v>
      </c>
      <c r="T3460" s="42">
        <v>-33.58</v>
      </c>
      <c r="AW3460" s="106">
        <v>-61.12</v>
      </c>
      <c r="BC3460" s="106">
        <v>-67.040000000000006</v>
      </c>
      <c r="BO3460" s="106">
        <v>-67.805000000000007</v>
      </c>
      <c r="BU3460" s="106">
        <v>-68.245000000000005</v>
      </c>
      <c r="CA3460" s="106">
        <v>-170.655</v>
      </c>
      <c r="CG3460" s="106">
        <v>-64.224999999999994</v>
      </c>
      <c r="CM3460" s="106">
        <v>-98.54</v>
      </c>
      <c r="CS3460" s="74">
        <v>-33.965000000000003</v>
      </c>
      <c r="DE3460" s="74">
        <v>-32.56</v>
      </c>
      <c r="DU3460" s="106">
        <v>-209.63</v>
      </c>
      <c r="EA3460" s="74">
        <v>-184.64</v>
      </c>
      <c r="EZ3460" s="92">
        <v>-45.14</v>
      </c>
    </row>
    <row r="3461" spans="1:221" x14ac:dyDescent="0.25">
      <c r="A3461" s="127">
        <v>45196</v>
      </c>
      <c r="B3461" s="24" t="s">
        <v>113</v>
      </c>
      <c r="C3461" s="21">
        <f t="shared" si="58"/>
        <v>1157.8599999999999</v>
      </c>
      <c r="CM3461" s="106">
        <v>532.24</v>
      </c>
      <c r="DE3461" s="74">
        <v>217.94499999999999</v>
      </c>
      <c r="DP3461" s="74">
        <v>197.85499999999999</v>
      </c>
      <c r="DU3461" s="106">
        <v>209.82</v>
      </c>
    </row>
    <row r="3462" spans="1:221" x14ac:dyDescent="0.25">
      <c r="A3462" s="127">
        <v>45197</v>
      </c>
      <c r="B3462" s="24" t="s">
        <v>169</v>
      </c>
      <c r="C3462" s="21">
        <f t="shared" si="58"/>
        <v>-140.38</v>
      </c>
      <c r="E3462" s="386">
        <v>-69.465000000000003</v>
      </c>
      <c r="F3462" s="145">
        <v>-70.915000000000006</v>
      </c>
    </row>
    <row r="3463" spans="1:221" x14ac:dyDescent="0.25">
      <c r="A3463" s="127">
        <v>45197</v>
      </c>
      <c r="B3463" s="24" t="s">
        <v>78</v>
      </c>
      <c r="C3463" s="21">
        <f t="shared" si="58"/>
        <v>-39.840000000000003</v>
      </c>
      <c r="AN3463" s="106">
        <v>-5.91</v>
      </c>
      <c r="BI3463" s="106">
        <v>-16.864999999999998</v>
      </c>
      <c r="BO3463" s="106">
        <v>-17.065000000000001</v>
      </c>
    </row>
    <row r="3464" spans="1:221" x14ac:dyDescent="0.25">
      <c r="A3464" s="127">
        <v>45197</v>
      </c>
      <c r="B3464" s="24" t="s">
        <v>29</v>
      </c>
      <c r="C3464" s="21">
        <f t="shared" si="58"/>
        <v>-14.345000000000001</v>
      </c>
      <c r="BI3464" s="106">
        <v>-7.5149999999999997</v>
      </c>
      <c r="BU3464" s="106">
        <v>-6.83</v>
      </c>
    </row>
    <row r="3465" spans="1:221" x14ac:dyDescent="0.25">
      <c r="A3465" s="127">
        <v>45197</v>
      </c>
      <c r="B3465" s="24" t="s">
        <v>44</v>
      </c>
      <c r="C3465" s="21">
        <f t="shared" si="58"/>
        <v>-175.67</v>
      </c>
      <c r="GQ3465" s="92">
        <v>-175.67</v>
      </c>
    </row>
    <row r="3466" spans="1:221" x14ac:dyDescent="0.25">
      <c r="A3466" s="127">
        <v>45197</v>
      </c>
      <c r="B3466" s="24" t="s">
        <v>48</v>
      </c>
      <c r="C3466" s="21">
        <f t="shared" si="58"/>
        <v>204.52</v>
      </c>
      <c r="AW3466" s="106">
        <v>-65.88</v>
      </c>
      <c r="BM3466" s="88">
        <f>34.33+31.55</f>
        <v>65.88</v>
      </c>
      <c r="BS3466" s="42">
        <f>34.23+34.21</f>
        <v>68.44</v>
      </c>
      <c r="BY3466" s="42">
        <f>34.74+35.24</f>
        <v>69.98</v>
      </c>
      <c r="CQ3466" s="42">
        <v>35.51</v>
      </c>
      <c r="EA3466" s="74">
        <v>-39.44</v>
      </c>
      <c r="EE3466" s="42">
        <f>34.43+35.6</f>
        <v>70.03</v>
      </c>
    </row>
    <row r="3467" spans="1:221" x14ac:dyDescent="0.25">
      <c r="A3467" s="127">
        <v>45197</v>
      </c>
      <c r="B3467" s="24" t="s">
        <v>78</v>
      </c>
      <c r="C3467" s="21">
        <f t="shared" si="58"/>
        <v>-68.34</v>
      </c>
      <c r="BO3467" s="106">
        <v>-68.34</v>
      </c>
    </row>
    <row r="3468" spans="1:221" x14ac:dyDescent="0.25">
      <c r="A3468" s="127">
        <v>45197</v>
      </c>
      <c r="B3468" s="24" t="s">
        <v>37</v>
      </c>
      <c r="C3468" s="21">
        <f t="shared" si="58"/>
        <v>-94.63</v>
      </c>
      <c r="HM3468" s="106">
        <v>-94.63</v>
      </c>
    </row>
    <row r="3469" spans="1:221" x14ac:dyDescent="0.25">
      <c r="A3469" s="127">
        <v>45198</v>
      </c>
      <c r="B3469" s="24" t="s">
        <v>113</v>
      </c>
      <c r="C3469" s="21">
        <f t="shared" si="58"/>
        <v>1082.3800000000001</v>
      </c>
      <c r="L3469" s="69">
        <v>312.32</v>
      </c>
      <c r="AW3469" s="106">
        <f>317.83+253.17</f>
        <v>571</v>
      </c>
      <c r="DU3469" s="106">
        <v>199.06</v>
      </c>
    </row>
    <row r="3470" spans="1:221" x14ac:dyDescent="0.25">
      <c r="A3470" s="127">
        <v>45198</v>
      </c>
      <c r="B3470" s="24" t="s">
        <v>178</v>
      </c>
      <c r="C3470" s="21">
        <f t="shared" si="58"/>
        <v>-49.256</v>
      </c>
      <c r="BC3470" s="106">
        <v>-33.340000000000003</v>
      </c>
      <c r="BU3470" s="106">
        <f>-8.01-7.906</f>
        <v>-15.916</v>
      </c>
    </row>
    <row r="3471" spans="1:221" x14ac:dyDescent="0.25">
      <c r="A3471" s="127">
        <v>45198</v>
      </c>
      <c r="B3471" s="24" t="s">
        <v>113</v>
      </c>
      <c r="C3471" s="21">
        <f t="shared" si="58"/>
        <v>134.51</v>
      </c>
      <c r="AR3471" s="106">
        <v>134.51</v>
      </c>
    </row>
    <row r="3472" spans="1:221" x14ac:dyDescent="0.25">
      <c r="A3472" s="127">
        <v>45198</v>
      </c>
      <c r="B3472" s="24" t="s">
        <v>139</v>
      </c>
      <c r="C3472" s="21">
        <f t="shared" si="58"/>
        <v>-7.18</v>
      </c>
      <c r="CY3472" s="106">
        <v>-7.18</v>
      </c>
    </row>
    <row r="3473" spans="1:224" x14ac:dyDescent="0.25">
      <c r="A3473" s="127">
        <v>45198</v>
      </c>
      <c r="B3473" s="24" t="s">
        <v>33</v>
      </c>
      <c r="C3473" s="21">
        <f t="shared" si="58"/>
        <v>-41.99</v>
      </c>
      <c r="AW3473" s="106">
        <v>-7.94</v>
      </c>
      <c r="BC3473" s="106">
        <v>-8.36</v>
      </c>
      <c r="BI3473" s="106">
        <v>-8.9350000000000005</v>
      </c>
      <c r="BO3473" s="106">
        <v>-8.6449999999999996</v>
      </c>
      <c r="BU3473" s="106">
        <v>-8.11</v>
      </c>
    </row>
    <row r="3474" spans="1:224" x14ac:dyDescent="0.25">
      <c r="A3474" s="127">
        <v>45198</v>
      </c>
      <c r="B3474" s="24" t="s">
        <v>25</v>
      </c>
      <c r="C3474" s="21">
        <f t="shared" si="58"/>
        <v>-25.28</v>
      </c>
      <c r="V3474" s="74">
        <v>-8.11</v>
      </c>
      <c r="AG3474" s="106">
        <v>-8.6199999999999992</v>
      </c>
      <c r="AN3474" s="106">
        <v>-8.5500000000000007</v>
      </c>
    </row>
    <row r="3475" spans="1:224" x14ac:dyDescent="0.25">
      <c r="A3475" s="127">
        <v>45198</v>
      </c>
      <c r="B3475" s="24" t="s">
        <v>84</v>
      </c>
      <c r="C3475" s="21">
        <f t="shared" si="58"/>
        <v>-31.92</v>
      </c>
      <c r="AW3475" s="106">
        <v>-7.97</v>
      </c>
      <c r="BC3475" s="106">
        <v>-8.24</v>
      </c>
      <c r="BI3475" s="106">
        <v>-7.9649999999999999</v>
      </c>
      <c r="BU3475" s="106">
        <v>-7.7450000000000001</v>
      </c>
    </row>
    <row r="3476" spans="1:224" x14ac:dyDescent="0.25">
      <c r="A3476" s="127">
        <v>45198</v>
      </c>
      <c r="B3476" s="24" t="s">
        <v>20</v>
      </c>
      <c r="C3476" s="21">
        <f t="shared" si="58"/>
        <v>-15.15</v>
      </c>
      <c r="Z3476" s="79">
        <v>-6.67</v>
      </c>
      <c r="CA3476" s="106">
        <v>-8.48</v>
      </c>
    </row>
    <row r="3477" spans="1:224" x14ac:dyDescent="0.25">
      <c r="A3477" s="127">
        <v>45199</v>
      </c>
      <c r="B3477" s="24" t="s">
        <v>184</v>
      </c>
      <c r="C3477" s="21">
        <f t="shared" si="58"/>
        <v>-132.37</v>
      </c>
      <c r="V3477" s="74">
        <v>-8.16</v>
      </c>
      <c r="AG3477" s="106">
        <v>-17.2</v>
      </c>
      <c r="AW3477" s="106">
        <v>-15.93</v>
      </c>
      <c r="BC3477" s="106">
        <v>-8.41</v>
      </c>
      <c r="BI3477" s="106">
        <v>-8.23</v>
      </c>
      <c r="BU3477" s="106">
        <v>-8.5500000000000007</v>
      </c>
      <c r="CA3477" s="106">
        <v>-8.4250000000000007</v>
      </c>
      <c r="CG3477" s="106">
        <v>-8.2050000000000001</v>
      </c>
      <c r="CM3477" s="106">
        <v>-16.66</v>
      </c>
      <c r="CS3477" s="74">
        <v>-16.18</v>
      </c>
      <c r="DE3477" s="74">
        <v>-16.420000000000002</v>
      </c>
    </row>
    <row r="3478" spans="1:224" x14ac:dyDescent="0.25">
      <c r="A3478" s="127">
        <v>45199</v>
      </c>
      <c r="B3478" s="24" t="s">
        <v>32</v>
      </c>
      <c r="C3478" s="21">
        <f t="shared" si="58"/>
        <v>-288.16500000000002</v>
      </c>
      <c r="AR3478" s="106">
        <v>-16.504999999999999</v>
      </c>
      <c r="AW3478" s="106">
        <v>-36.26</v>
      </c>
      <c r="BC3478" s="106">
        <v>-33.549999999999997</v>
      </c>
      <c r="BI3478" s="106">
        <v>-34.484999999999999</v>
      </c>
      <c r="BM3478" s="88">
        <v>-15.82</v>
      </c>
      <c r="BU3478" s="106">
        <v>-32.9</v>
      </c>
      <c r="CA3478" s="106">
        <v>-68.489999999999995</v>
      </c>
      <c r="CG3478" s="106">
        <v>-33.585000000000001</v>
      </c>
      <c r="CM3478" s="106">
        <v>-16.57</v>
      </c>
    </row>
    <row r="3479" spans="1:224" x14ac:dyDescent="0.25">
      <c r="A3479" s="127">
        <v>45199</v>
      </c>
      <c r="B3479" s="24" t="s">
        <v>133</v>
      </c>
      <c r="C3479" s="21">
        <f t="shared" si="58"/>
        <v>-180.07499999999999</v>
      </c>
      <c r="AR3479" s="106">
        <v>-33.119999999999997</v>
      </c>
      <c r="BC3479" s="106">
        <v>-33.61</v>
      </c>
      <c r="BI3479" s="106">
        <v>-29.9</v>
      </c>
      <c r="BO3479" s="106">
        <v>-16.344999999999999</v>
      </c>
      <c r="CA3479" s="106">
        <v>-34.35</v>
      </c>
      <c r="CS3479" s="74">
        <v>-32.75</v>
      </c>
    </row>
    <row r="3480" spans="1:224" x14ac:dyDescent="0.25">
      <c r="A3480" s="127">
        <v>45199</v>
      </c>
      <c r="B3480" s="24" t="s">
        <v>133</v>
      </c>
      <c r="C3480" s="21">
        <f t="shared" si="58"/>
        <v>-136.12</v>
      </c>
      <c r="CM3480" s="106">
        <v>-33.9</v>
      </c>
      <c r="DU3480" s="106">
        <v>-102.22</v>
      </c>
    </row>
    <row r="3481" spans="1:224" x14ac:dyDescent="0.25">
      <c r="A3481" s="127">
        <v>45199</v>
      </c>
      <c r="B3481" s="24" t="s">
        <v>20</v>
      </c>
      <c r="C3481" s="21">
        <f t="shared" si="58"/>
        <v>-67.099999999999994</v>
      </c>
      <c r="GZ3481" s="106">
        <f>-33.05-34.05</f>
        <v>-67.099999999999994</v>
      </c>
    </row>
    <row r="3482" spans="1:224" x14ac:dyDescent="0.25">
      <c r="A3482" s="127">
        <v>45201</v>
      </c>
      <c r="B3482" s="24" t="s">
        <v>65</v>
      </c>
      <c r="C3482" s="21">
        <f t="shared" si="58"/>
        <v>-16.96</v>
      </c>
      <c r="BU3482" s="106">
        <v>-16.96</v>
      </c>
    </row>
    <row r="3483" spans="1:224" x14ac:dyDescent="0.25">
      <c r="A3483" s="127">
        <v>45201</v>
      </c>
      <c r="B3483" s="24" t="s">
        <v>184</v>
      </c>
      <c r="C3483" s="21">
        <f t="shared" si="58"/>
        <v>-98.81</v>
      </c>
      <c r="DU3483" s="106">
        <v>-31.81</v>
      </c>
      <c r="EA3483" s="74">
        <v>-31.4</v>
      </c>
      <c r="EE3483" s="42">
        <v>-35.6</v>
      </c>
    </row>
    <row r="3484" spans="1:224" x14ac:dyDescent="0.25">
      <c r="A3484" s="127">
        <v>45201</v>
      </c>
      <c r="B3484" s="24" t="s">
        <v>48</v>
      </c>
      <c r="C3484" s="21">
        <f t="shared" si="58"/>
        <v>-32.47</v>
      </c>
      <c r="DP3484" s="74">
        <v>-32.47</v>
      </c>
    </row>
    <row r="3485" spans="1:224" x14ac:dyDescent="0.25">
      <c r="A3485" s="127">
        <v>45201</v>
      </c>
      <c r="B3485" s="24" t="s">
        <v>44</v>
      </c>
      <c r="C3485" s="21">
        <f t="shared" si="58"/>
        <v>-16.48</v>
      </c>
      <c r="HP3485" s="92">
        <v>-16.48</v>
      </c>
    </row>
    <row r="3486" spans="1:224" x14ac:dyDescent="0.25">
      <c r="A3486" s="127">
        <v>45201</v>
      </c>
      <c r="B3486" s="24" t="s">
        <v>127</v>
      </c>
      <c r="C3486" s="21">
        <f t="shared" si="58"/>
        <v>-42.09</v>
      </c>
      <c r="BI3486" s="106">
        <v>-8</v>
      </c>
      <c r="BM3486" s="88">
        <v>-7.87</v>
      </c>
      <c r="BS3486" s="42">
        <v>-8.57</v>
      </c>
      <c r="BY3486" s="42">
        <f>-8.84-8.81</f>
        <v>-17.649999999999999</v>
      </c>
    </row>
    <row r="3487" spans="1:224" x14ac:dyDescent="0.25">
      <c r="A3487" s="127">
        <v>45202</v>
      </c>
      <c r="B3487" s="24" t="s">
        <v>127</v>
      </c>
      <c r="C3487" s="21">
        <f t="shared" si="58"/>
        <v>-16.756</v>
      </c>
      <c r="BC3487" s="106">
        <v>-16.756</v>
      </c>
    </row>
    <row r="3488" spans="1:224" x14ac:dyDescent="0.25">
      <c r="A3488" s="127">
        <v>45202</v>
      </c>
      <c r="B3488" s="24" t="s">
        <v>50</v>
      </c>
      <c r="C3488" s="21">
        <f t="shared" si="58"/>
        <v>-64.77</v>
      </c>
      <c r="FC3488" s="106">
        <v>-64.77</v>
      </c>
    </row>
    <row r="3489" spans="1:137" x14ac:dyDescent="0.25">
      <c r="A3489" s="127">
        <v>45202</v>
      </c>
      <c r="B3489" s="24" t="s">
        <v>20</v>
      </c>
      <c r="C3489" s="21">
        <f t="shared" si="58"/>
        <v>-25</v>
      </c>
      <c r="CG3489" s="106">
        <v>-8.2050000000000001</v>
      </c>
      <c r="CM3489" s="106">
        <v>-8.3800000000000008</v>
      </c>
      <c r="CS3489" s="74">
        <v>-8.4149999999999991</v>
      </c>
    </row>
    <row r="3490" spans="1:137" x14ac:dyDescent="0.25">
      <c r="A3490" s="127">
        <v>45202</v>
      </c>
      <c r="B3490" s="24" t="s">
        <v>184</v>
      </c>
      <c r="C3490" s="21">
        <f t="shared" si="58"/>
        <v>-100.86499999999999</v>
      </c>
      <c r="M3490" s="92">
        <v>-9.31</v>
      </c>
      <c r="Z3490" s="79">
        <v>-7.47</v>
      </c>
      <c r="AN3490" s="106">
        <v>-8.6300000000000008</v>
      </c>
      <c r="AW3490" s="106">
        <v>-7.99</v>
      </c>
      <c r="BC3490" s="106">
        <v>-16.84</v>
      </c>
      <c r="BO3490" s="106">
        <v>-17.440000000000001</v>
      </c>
      <c r="CG3490" s="106">
        <v>-16.940000000000001</v>
      </c>
      <c r="CS3490" s="74">
        <v>-16.245000000000001</v>
      </c>
    </row>
    <row r="3491" spans="1:137" x14ac:dyDescent="0.25">
      <c r="A3491" s="127">
        <v>45202</v>
      </c>
      <c r="B3491" s="24" t="s">
        <v>75</v>
      </c>
      <c r="C3491" s="21">
        <f t="shared" si="58"/>
        <v>-24.99</v>
      </c>
      <c r="BM3491" s="88">
        <v>-7.86</v>
      </c>
      <c r="BY3491" s="42">
        <v>-8.7799999999999994</v>
      </c>
      <c r="CM3491" s="106">
        <v>-8.35</v>
      </c>
    </row>
    <row r="3492" spans="1:137" x14ac:dyDescent="0.25">
      <c r="A3492" s="127">
        <v>45202</v>
      </c>
      <c r="B3492" s="24" t="s">
        <v>139</v>
      </c>
      <c r="C3492" s="21">
        <f t="shared" si="58"/>
        <v>-48.354999999999997</v>
      </c>
      <c r="BU3492" s="106">
        <v>-7.79</v>
      </c>
      <c r="CA3492" s="106">
        <v>-8.4049999999999994</v>
      </c>
      <c r="CG3492" s="106">
        <v>-8.0399999999999991</v>
      </c>
      <c r="CS3492" s="74">
        <v>-8.02</v>
      </c>
      <c r="CY3492" s="106">
        <v>-16.100000000000001</v>
      </c>
    </row>
    <row r="3493" spans="1:137" x14ac:dyDescent="0.25">
      <c r="A3493" s="127">
        <v>45202</v>
      </c>
      <c r="B3493" s="24" t="s">
        <v>48</v>
      </c>
      <c r="C3493" s="21">
        <f t="shared" si="58"/>
        <v>-66.260000000000005</v>
      </c>
      <c r="AW3493" s="106">
        <v>-36.06</v>
      </c>
      <c r="DU3493" s="106">
        <v>-30.2</v>
      </c>
    </row>
    <row r="3494" spans="1:137" x14ac:dyDescent="0.25">
      <c r="A3494" s="127">
        <v>45202</v>
      </c>
      <c r="B3494" s="24" t="s">
        <v>167</v>
      </c>
      <c r="C3494" s="21">
        <f t="shared" si="58"/>
        <v>-25.58</v>
      </c>
      <c r="E3494" s="386">
        <v>-25.58</v>
      </c>
    </row>
    <row r="3495" spans="1:137" x14ac:dyDescent="0.25">
      <c r="A3495" s="127">
        <v>45203</v>
      </c>
      <c r="B3495" s="24" t="s">
        <v>17</v>
      </c>
      <c r="C3495" s="21">
        <f t="shared" si="58"/>
        <v>-8.24</v>
      </c>
      <c r="DU3495" s="106">
        <v>-8.24</v>
      </c>
    </row>
    <row r="3496" spans="1:137" x14ac:dyDescent="0.25">
      <c r="A3496" s="127">
        <v>45203</v>
      </c>
      <c r="B3496" s="24" t="s">
        <v>184</v>
      </c>
      <c r="C3496" s="21">
        <f t="shared" si="58"/>
        <v>-24.58</v>
      </c>
      <c r="Z3496" s="79">
        <v>-7.48</v>
      </c>
      <c r="BS3496" s="42">
        <v>-17.100000000000001</v>
      </c>
    </row>
    <row r="3497" spans="1:137" x14ac:dyDescent="0.25">
      <c r="A3497" s="127">
        <v>45203</v>
      </c>
      <c r="B3497" s="24" t="s">
        <v>17</v>
      </c>
      <c r="C3497" s="21">
        <f t="shared" si="58"/>
        <v>-16.645</v>
      </c>
      <c r="CG3497" s="106">
        <v>-8.2650000000000006</v>
      </c>
      <c r="CM3497" s="106">
        <v>-8.3800000000000008</v>
      </c>
    </row>
    <row r="3498" spans="1:137" x14ac:dyDescent="0.25">
      <c r="A3498" s="127">
        <v>45204</v>
      </c>
      <c r="B3498" s="24" t="s">
        <v>184</v>
      </c>
      <c r="C3498" s="21">
        <f t="shared" si="58"/>
        <v>-156.85499999999999</v>
      </c>
      <c r="AR3498" s="106">
        <v>-24.02</v>
      </c>
      <c r="AW3498" s="106">
        <v>-8.1</v>
      </c>
      <c r="BC3498" s="106">
        <v>-16.809999999999999</v>
      </c>
      <c r="BI3498" s="106">
        <v>-8.5250000000000004</v>
      </c>
      <c r="DU3498" s="106">
        <v>-99.4</v>
      </c>
    </row>
    <row r="3499" spans="1:137" x14ac:dyDescent="0.25">
      <c r="A3499" s="127">
        <v>45204</v>
      </c>
      <c r="B3499" s="24" t="s">
        <v>185</v>
      </c>
      <c r="C3499" s="21">
        <f t="shared" si="58"/>
        <v>-152.02500000000001</v>
      </c>
      <c r="AN3499" s="106">
        <v>-8.59</v>
      </c>
      <c r="BC3499" s="106">
        <v>-75.5</v>
      </c>
      <c r="BI3499" s="106">
        <v>-25.704999999999998</v>
      </c>
      <c r="BM3499" s="88">
        <f>-8.73-8.16</f>
        <v>-16.89</v>
      </c>
      <c r="BS3499" s="42">
        <v>-8.56</v>
      </c>
      <c r="BY3499" s="42">
        <v>-8.0299999999999994</v>
      </c>
      <c r="CG3499" s="106">
        <v>-8.75</v>
      </c>
    </row>
    <row r="3500" spans="1:137" x14ac:dyDescent="0.25">
      <c r="A3500" s="127">
        <v>45204</v>
      </c>
      <c r="B3500" s="24" t="s">
        <v>17</v>
      </c>
      <c r="C3500" s="21">
        <f t="shared" si="58"/>
        <v>-67.069999999999993</v>
      </c>
      <c r="AW3500" s="106">
        <f>-9-8.01</f>
        <v>-17.010000000000002</v>
      </c>
      <c r="BC3500" s="106">
        <f>-8.42-8.37</f>
        <v>-16.79</v>
      </c>
      <c r="BI3500" s="106">
        <f>-8.56-8.53</f>
        <v>-17.09</v>
      </c>
      <c r="BM3500" s="88">
        <f>-8.58-7.6</f>
        <v>-16.18</v>
      </c>
    </row>
    <row r="3501" spans="1:137" x14ac:dyDescent="0.25">
      <c r="A3501" s="127">
        <v>45204</v>
      </c>
      <c r="B3501" s="24" t="s">
        <v>59</v>
      </c>
      <c r="C3501" s="21">
        <f t="shared" si="58"/>
        <v>-12.4</v>
      </c>
      <c r="Z3501" s="79">
        <v>-0.49</v>
      </c>
      <c r="BY3501" s="42">
        <v>-0.43</v>
      </c>
      <c r="CA3501" s="106">
        <v>-3.5</v>
      </c>
      <c r="CG3501" s="106">
        <v>-7.98</v>
      </c>
    </row>
    <row r="3502" spans="1:137" x14ac:dyDescent="0.25">
      <c r="A3502" s="127">
        <v>45204</v>
      </c>
      <c r="B3502" s="24" t="s">
        <v>48</v>
      </c>
      <c r="C3502" s="21">
        <f t="shared" si="58"/>
        <v>-8.2100000000000009</v>
      </c>
      <c r="DP3502" s="74">
        <v>-8.2100000000000009</v>
      </c>
    </row>
    <row r="3503" spans="1:137" x14ac:dyDescent="0.25">
      <c r="A3503" s="127">
        <v>45205</v>
      </c>
      <c r="B3503" s="24" t="s">
        <v>113</v>
      </c>
      <c r="C3503" s="21">
        <f t="shared" si="58"/>
        <v>936.44500000000005</v>
      </c>
      <c r="BO3503" s="106">
        <v>149.93</v>
      </c>
      <c r="BU3503" s="106">
        <v>150.9</v>
      </c>
      <c r="CA3503" s="106">
        <v>161.30500000000001</v>
      </c>
      <c r="CG3503" s="106">
        <v>165.73</v>
      </c>
      <c r="CY3503" s="106">
        <v>99.52</v>
      </c>
      <c r="EA3503" s="74">
        <v>143.55000000000001</v>
      </c>
      <c r="EG3503" s="74">
        <v>65.510000000000005</v>
      </c>
    </row>
    <row r="3504" spans="1:137" x14ac:dyDescent="0.25">
      <c r="A3504" s="127">
        <v>45205</v>
      </c>
      <c r="B3504" s="24" t="s">
        <v>139</v>
      </c>
      <c r="C3504" s="21">
        <f t="shared" si="58"/>
        <v>-7.47</v>
      </c>
      <c r="Z3504" s="79">
        <v>-7.47</v>
      </c>
    </row>
    <row r="3505" spans="1:235" x14ac:dyDescent="0.25">
      <c r="A3505" s="127">
        <v>45205</v>
      </c>
      <c r="B3505" s="24" t="s">
        <v>75</v>
      </c>
      <c r="C3505" s="21">
        <f t="shared" ref="C3505:C3568" si="59">SUM(D3505:JT3505)</f>
        <v>-7.835</v>
      </c>
      <c r="BI3505" s="106">
        <v>-7.835</v>
      </c>
    </row>
    <row r="3506" spans="1:235" x14ac:dyDescent="0.25">
      <c r="A3506" s="127">
        <v>45205</v>
      </c>
      <c r="B3506" s="24" t="s">
        <v>31</v>
      </c>
      <c r="C3506" s="21">
        <f t="shared" si="59"/>
        <v>-92.94</v>
      </c>
      <c r="GW3506" s="92">
        <v>-42.89</v>
      </c>
      <c r="IA3506" s="79">
        <v>-50.05</v>
      </c>
    </row>
    <row r="3507" spans="1:235" x14ac:dyDescent="0.25">
      <c r="A3507" s="127">
        <v>45205</v>
      </c>
      <c r="B3507" s="24" t="s">
        <v>133</v>
      </c>
      <c r="C3507" s="21">
        <f t="shared" si="59"/>
        <v>-168.34</v>
      </c>
      <c r="AW3507" s="106">
        <v>-36.14</v>
      </c>
      <c r="BC3507" s="106">
        <v>-16.91</v>
      </c>
      <c r="BI3507" s="106">
        <v>-33.24</v>
      </c>
      <c r="CS3507" s="74">
        <v>-16.675000000000001</v>
      </c>
      <c r="CY3507" s="106">
        <v>-32.130000000000003</v>
      </c>
      <c r="DK3507" s="106">
        <v>-33.244999999999997</v>
      </c>
    </row>
    <row r="3508" spans="1:235" x14ac:dyDescent="0.25">
      <c r="A3508" s="127">
        <v>45205</v>
      </c>
      <c r="B3508" s="24" t="s">
        <v>184</v>
      </c>
      <c r="C3508" s="21">
        <f t="shared" si="59"/>
        <v>-99.85</v>
      </c>
      <c r="EG3508" s="74">
        <v>-48.75</v>
      </c>
      <c r="EL3508" s="106">
        <v>-51.1</v>
      </c>
    </row>
    <row r="3509" spans="1:235" x14ac:dyDescent="0.25">
      <c r="A3509" s="127">
        <v>45208</v>
      </c>
      <c r="B3509" s="24" t="s">
        <v>65</v>
      </c>
      <c r="C3509" s="21">
        <f t="shared" si="59"/>
        <v>-103.55</v>
      </c>
      <c r="AN3509" s="106">
        <v>-68.98</v>
      </c>
      <c r="AW3509" s="106">
        <v>-34.57</v>
      </c>
    </row>
    <row r="3510" spans="1:235" x14ac:dyDescent="0.25">
      <c r="A3510" s="127">
        <v>45208</v>
      </c>
      <c r="B3510" s="24" t="s">
        <v>17</v>
      </c>
      <c r="C3510" s="21">
        <f t="shared" si="59"/>
        <v>-43.2</v>
      </c>
      <c r="AN3510" s="106">
        <v>-8.64</v>
      </c>
      <c r="AW3510" s="106">
        <v>-9.1</v>
      </c>
      <c r="BI3510" s="106">
        <v>-8.4700000000000006</v>
      </c>
      <c r="BO3510" s="106">
        <v>-8.65</v>
      </c>
      <c r="BU3510" s="106">
        <v>-8.34</v>
      </c>
    </row>
    <row r="3511" spans="1:235" x14ac:dyDescent="0.25">
      <c r="A3511" s="127">
        <v>45209</v>
      </c>
      <c r="B3511" s="24" t="s">
        <v>20</v>
      </c>
      <c r="C3511" s="21">
        <f t="shared" si="59"/>
        <v>-32.32</v>
      </c>
      <c r="P3511" s="106">
        <v>-7.26</v>
      </c>
      <c r="AW3511" s="106">
        <v>-9.02</v>
      </c>
      <c r="BC3511" s="106">
        <v>-8.48</v>
      </c>
      <c r="BI3511" s="106">
        <v>-7.56</v>
      </c>
    </row>
    <row r="3512" spans="1:235" x14ac:dyDescent="0.25">
      <c r="A3512" s="127">
        <v>45209</v>
      </c>
      <c r="B3512" s="24" t="s">
        <v>133</v>
      </c>
      <c r="C3512" s="21">
        <f t="shared" si="59"/>
        <v>-152.03</v>
      </c>
      <c r="AG3512" s="106">
        <v>-34.4</v>
      </c>
      <c r="BC3512" s="106">
        <v>-33.72</v>
      </c>
      <c r="BO3512" s="106">
        <v>-35.380000000000003</v>
      </c>
      <c r="BU3512" s="106">
        <v>-16.72</v>
      </c>
      <c r="CA3512" s="106">
        <v>-31.81</v>
      </c>
    </row>
    <row r="3513" spans="1:235" x14ac:dyDescent="0.25">
      <c r="A3513" s="127">
        <v>45209</v>
      </c>
      <c r="B3513" s="24" t="s">
        <v>75</v>
      </c>
      <c r="C3513" s="21">
        <f t="shared" si="59"/>
        <v>-17.63</v>
      </c>
      <c r="BA3513" s="42">
        <v>-9.32</v>
      </c>
      <c r="BO3513" s="106">
        <v>-8.31</v>
      </c>
    </row>
    <row r="3514" spans="1:235" x14ac:dyDescent="0.25">
      <c r="A3514" s="127">
        <v>45209</v>
      </c>
      <c r="B3514" s="24" t="s">
        <v>29</v>
      </c>
      <c r="C3514" s="21">
        <f t="shared" si="59"/>
        <v>-16.36</v>
      </c>
      <c r="BO3514" s="106">
        <v>-8.01</v>
      </c>
      <c r="BU3514" s="106">
        <v>-8.35</v>
      </c>
    </row>
    <row r="3515" spans="1:235" x14ac:dyDescent="0.25">
      <c r="A3515" s="127">
        <v>45209</v>
      </c>
      <c r="B3515" s="24" t="s">
        <v>152</v>
      </c>
      <c r="C3515" s="21">
        <f t="shared" si="59"/>
        <v>-100.81</v>
      </c>
      <c r="BU3515" s="106">
        <v>-100.81</v>
      </c>
    </row>
    <row r="3516" spans="1:235" x14ac:dyDescent="0.25">
      <c r="A3516" s="127">
        <v>45209</v>
      </c>
      <c r="B3516" s="24" t="s">
        <v>184</v>
      </c>
      <c r="C3516" s="21">
        <f t="shared" si="59"/>
        <v>-290.56</v>
      </c>
      <c r="AG3516" s="106">
        <v>-17.21</v>
      </c>
      <c r="AL3516" s="42">
        <v>-8.56</v>
      </c>
      <c r="AW3516" s="106">
        <v>-32.15</v>
      </c>
      <c r="BA3516" s="42">
        <v>-27.66</v>
      </c>
      <c r="BI3516" s="106">
        <f>-32.715-33.535</f>
        <v>-66.25</v>
      </c>
      <c r="BO3516" s="106">
        <f>-39.975-32.935</f>
        <v>-72.91</v>
      </c>
      <c r="BU3516" s="106">
        <v>-16.68</v>
      </c>
      <c r="CA3516" s="106">
        <v>-15.79</v>
      </c>
      <c r="CG3516" s="106">
        <v>-16.600000000000001</v>
      </c>
      <c r="CM3516" s="106">
        <v>-16.75</v>
      </c>
    </row>
    <row r="3517" spans="1:235" x14ac:dyDescent="0.25">
      <c r="A3517" s="127">
        <v>45209</v>
      </c>
      <c r="B3517" s="24" t="s">
        <v>48</v>
      </c>
      <c r="C3517" s="21">
        <f t="shared" si="59"/>
        <v>61.95</v>
      </c>
      <c r="BA3517" s="42">
        <v>74.06</v>
      </c>
      <c r="BY3517" s="42">
        <v>35.200000000000003</v>
      </c>
      <c r="DP3517" s="74">
        <f>-74.6-8.17</f>
        <v>-82.77</v>
      </c>
      <c r="EE3517" s="42">
        <v>35.46</v>
      </c>
    </row>
    <row r="3518" spans="1:235" x14ac:dyDescent="0.25">
      <c r="A3518" s="127">
        <v>45210</v>
      </c>
      <c r="B3518" s="24" t="s">
        <v>184</v>
      </c>
      <c r="C3518" s="21">
        <f t="shared" si="59"/>
        <v>-40.67</v>
      </c>
      <c r="DU3518" s="106">
        <v>-40.67</v>
      </c>
    </row>
    <row r="3519" spans="1:235" x14ac:dyDescent="0.25">
      <c r="A3519" s="127">
        <v>45210</v>
      </c>
      <c r="B3519" s="24" t="s">
        <v>17</v>
      </c>
      <c r="C3519" s="21">
        <f t="shared" si="59"/>
        <v>-8.11</v>
      </c>
      <c r="AR3519" s="106">
        <v>-8.11</v>
      </c>
    </row>
    <row r="3520" spans="1:235" x14ac:dyDescent="0.25">
      <c r="A3520" s="127">
        <v>45210</v>
      </c>
      <c r="B3520" s="24" t="s">
        <v>44</v>
      </c>
      <c r="C3520" s="21">
        <f t="shared" si="59"/>
        <v>-144.65</v>
      </c>
      <c r="GQ3520" s="92">
        <v>-144.65</v>
      </c>
    </row>
    <row r="3521" spans="1:216" x14ac:dyDescent="0.25">
      <c r="A3521" s="127">
        <v>45210</v>
      </c>
      <c r="B3521" s="24" t="s">
        <v>162</v>
      </c>
      <c r="C3521" s="21">
        <f t="shared" si="59"/>
        <v>-33.094999999999999</v>
      </c>
      <c r="BS3521" s="42">
        <v>-17.12</v>
      </c>
      <c r="CA3521" s="106">
        <v>-15.975</v>
      </c>
    </row>
    <row r="3522" spans="1:216" x14ac:dyDescent="0.25">
      <c r="A3522" s="127">
        <v>45210</v>
      </c>
      <c r="B3522" s="24" t="s">
        <v>180</v>
      </c>
      <c r="C3522" s="21">
        <f t="shared" si="59"/>
        <v>-32.44</v>
      </c>
      <c r="HH3522" s="106">
        <v>-32.44</v>
      </c>
    </row>
    <row r="3523" spans="1:216" x14ac:dyDescent="0.25">
      <c r="A3523" s="127">
        <v>45210</v>
      </c>
      <c r="B3523" s="24" t="s">
        <v>48</v>
      </c>
      <c r="C3523" s="21">
        <f t="shared" si="59"/>
        <v>-41.395000000000003</v>
      </c>
      <c r="DP3523" s="74">
        <v>-41.395000000000003</v>
      </c>
    </row>
    <row r="3524" spans="1:216" x14ac:dyDescent="0.25">
      <c r="A3524" s="127">
        <v>45211</v>
      </c>
      <c r="B3524" s="24" t="s">
        <v>17</v>
      </c>
      <c r="C3524" s="21">
        <f t="shared" si="59"/>
        <v>-64.11</v>
      </c>
      <c r="BA3524" s="42">
        <v>-9.19</v>
      </c>
      <c r="BI3524" s="106">
        <v>-13.8</v>
      </c>
      <c r="BO3524" s="106">
        <v>-8.0500000000000007</v>
      </c>
      <c r="CG3524" s="106">
        <v>-16.32</v>
      </c>
      <c r="CM3524" s="106">
        <v>-16.75</v>
      </c>
    </row>
    <row r="3525" spans="1:216" x14ac:dyDescent="0.25">
      <c r="A3525" s="127">
        <v>45211</v>
      </c>
      <c r="B3525" s="24" t="s">
        <v>48</v>
      </c>
      <c r="C3525" s="21">
        <f t="shared" si="59"/>
        <v>-33.21</v>
      </c>
      <c r="BM3525" s="88">
        <v>34.89</v>
      </c>
      <c r="BS3525" s="42">
        <v>34.01</v>
      </c>
      <c r="DP3525" s="74">
        <v>-102.11</v>
      </c>
    </row>
    <row r="3526" spans="1:216" x14ac:dyDescent="0.25">
      <c r="A3526" s="127">
        <v>45211</v>
      </c>
      <c r="B3526" s="24" t="s">
        <v>113</v>
      </c>
      <c r="C3526" s="21">
        <f t="shared" si="59"/>
        <v>1613.6</v>
      </c>
      <c r="V3526" s="74">
        <v>277.54000000000002</v>
      </c>
      <c r="AC3526" s="106">
        <v>260.18</v>
      </c>
      <c r="AN3526" s="106">
        <v>276.38</v>
      </c>
      <c r="BI3526" s="106">
        <v>180.51</v>
      </c>
      <c r="CS3526" s="74">
        <v>229.76499999999999</v>
      </c>
      <c r="CY3526" s="106">
        <v>166.22</v>
      </c>
      <c r="EA3526" s="74">
        <v>81.040000000000006</v>
      </c>
      <c r="EG3526" s="74">
        <v>34.270000000000003</v>
      </c>
      <c r="EZ3526" s="92">
        <v>107.69499999999999</v>
      </c>
    </row>
    <row r="3527" spans="1:216" x14ac:dyDescent="0.25">
      <c r="A3527" s="127">
        <v>45211</v>
      </c>
      <c r="B3527" s="29" t="s">
        <v>184</v>
      </c>
      <c r="C3527" s="21">
        <f t="shared" si="59"/>
        <v>-239.745</v>
      </c>
      <c r="AW3527" s="106">
        <v>-72.19</v>
      </c>
      <c r="BM3527" s="88">
        <v>-34.89</v>
      </c>
      <c r="CG3527" s="106">
        <v>-66.349999999999994</v>
      </c>
      <c r="CS3527" s="74">
        <v>-33.145000000000003</v>
      </c>
      <c r="CY3527" s="106">
        <v>-33.17</v>
      </c>
    </row>
    <row r="3528" spans="1:216" x14ac:dyDescent="0.25">
      <c r="A3528" s="127">
        <v>45211</v>
      </c>
      <c r="B3528" s="29" t="s">
        <v>115</v>
      </c>
      <c r="C3528" s="21">
        <f t="shared" si="59"/>
        <v>44.69</v>
      </c>
      <c r="G3528" s="145">
        <v>44.69</v>
      </c>
    </row>
    <row r="3529" spans="1:216" x14ac:dyDescent="0.25">
      <c r="A3529" s="127">
        <v>45211</v>
      </c>
      <c r="B3529" s="29" t="s">
        <v>48</v>
      </c>
      <c r="C3529" s="21">
        <f t="shared" si="59"/>
        <v>-32.664999999999999</v>
      </c>
      <c r="DE3529" s="74">
        <v>-32.664999999999999</v>
      </c>
    </row>
    <row r="3530" spans="1:216" x14ac:dyDescent="0.25">
      <c r="A3530" s="127">
        <v>45211</v>
      </c>
      <c r="B3530" s="29" t="s">
        <v>17</v>
      </c>
      <c r="C3530" s="21">
        <f t="shared" si="59"/>
        <v>0</v>
      </c>
    </row>
    <row r="3531" spans="1:216" x14ac:dyDescent="0.25">
      <c r="A3531" s="127">
        <v>45211</v>
      </c>
      <c r="B3531" s="29" t="s">
        <v>185</v>
      </c>
      <c r="C3531" s="21">
        <f t="shared" si="59"/>
        <v>-25.49</v>
      </c>
      <c r="P3531" s="106">
        <v>-7.29</v>
      </c>
      <c r="AW3531" s="106">
        <v>-9.01</v>
      </c>
      <c r="BA3531" s="42">
        <v>-9.19</v>
      </c>
    </row>
    <row r="3532" spans="1:216" x14ac:dyDescent="0.25">
      <c r="A3532" s="127">
        <v>45211</v>
      </c>
      <c r="B3532" s="29" t="s">
        <v>185</v>
      </c>
      <c r="C3532" s="21">
        <f t="shared" si="59"/>
        <v>-36.06</v>
      </c>
      <c r="AW3532" s="106">
        <v>-36.06</v>
      </c>
    </row>
    <row r="3533" spans="1:216" x14ac:dyDescent="0.25">
      <c r="A3533" s="127">
        <v>45212</v>
      </c>
      <c r="B3533" s="24" t="s">
        <v>169</v>
      </c>
      <c r="C3533" s="21">
        <f t="shared" si="59"/>
        <v>-25.1</v>
      </c>
      <c r="G3533" s="145">
        <v>-25.1</v>
      </c>
    </row>
    <row r="3534" spans="1:216" x14ac:dyDescent="0.25">
      <c r="A3534" s="127">
        <v>45212</v>
      </c>
      <c r="B3534" s="29" t="s">
        <v>84</v>
      </c>
      <c r="C3534" s="21">
        <f t="shared" si="59"/>
        <v>-58.16</v>
      </c>
      <c r="V3534" s="74">
        <v>-7.56</v>
      </c>
      <c r="AC3534" s="106">
        <v>-8.15</v>
      </c>
      <c r="AG3534" s="106">
        <v>-8.6199999999999992</v>
      </c>
      <c r="AN3534" s="106">
        <v>-8.61</v>
      </c>
      <c r="BI3534" s="106">
        <v>-8.9700000000000006</v>
      </c>
      <c r="BS3534" s="42">
        <v>-8.2100000000000009</v>
      </c>
      <c r="BY3534" s="42">
        <v>-8.0399999999999991</v>
      </c>
    </row>
    <row r="3535" spans="1:216" x14ac:dyDescent="0.25">
      <c r="A3535" s="127">
        <v>45212</v>
      </c>
      <c r="B3535" s="29" t="s">
        <v>138</v>
      </c>
      <c r="C3535" s="21">
        <f t="shared" si="59"/>
        <v>-35.97</v>
      </c>
      <c r="BA3535" s="42">
        <v>-18.7</v>
      </c>
      <c r="BO3535" s="106">
        <v>-17.27</v>
      </c>
    </row>
    <row r="3536" spans="1:216" x14ac:dyDescent="0.25">
      <c r="A3536" s="127">
        <v>45212</v>
      </c>
      <c r="B3536" s="29" t="s">
        <v>75</v>
      </c>
      <c r="C3536" s="21">
        <f t="shared" si="59"/>
        <v>-8.76</v>
      </c>
      <c r="DU3536" s="106">
        <v>-8.76</v>
      </c>
    </row>
    <row r="3537" spans="1:221" x14ac:dyDescent="0.25">
      <c r="A3537" s="127">
        <v>45212</v>
      </c>
      <c r="B3537" s="29" t="s">
        <v>222</v>
      </c>
      <c r="C3537" s="21">
        <f t="shared" si="59"/>
        <v>-49.61</v>
      </c>
      <c r="P3537" s="106">
        <v>-8.51</v>
      </c>
      <c r="AC3537" s="106">
        <v>-8.1300000000000008</v>
      </c>
      <c r="AG3537" s="106">
        <v>-8.6</v>
      </c>
      <c r="AN3537" s="106">
        <v>-9.1300000000000008</v>
      </c>
      <c r="AW3537" s="106">
        <v>-6.96</v>
      </c>
      <c r="CA3537" s="106">
        <v>-8.2799999999999994</v>
      </c>
    </row>
    <row r="3538" spans="1:221" x14ac:dyDescent="0.25">
      <c r="A3538" s="127">
        <v>45212</v>
      </c>
      <c r="B3538" s="29" t="s">
        <v>139</v>
      </c>
      <c r="C3538" s="21">
        <f t="shared" si="59"/>
        <v>-40.97</v>
      </c>
      <c r="AC3538" s="106">
        <v>-7.44</v>
      </c>
      <c r="BS3538" s="42">
        <v>-8.2100000000000009</v>
      </c>
      <c r="BY3538" s="42">
        <v>-8.77</v>
      </c>
      <c r="CM3538" s="106">
        <v>-8.3699999999999992</v>
      </c>
      <c r="CS3538" s="74">
        <v>-8.18</v>
      </c>
    </row>
    <row r="3539" spans="1:221" x14ac:dyDescent="0.25">
      <c r="A3539" s="127">
        <v>45212</v>
      </c>
      <c r="B3539" s="29" t="s">
        <v>133</v>
      </c>
      <c r="C3539" s="21">
        <f t="shared" si="59"/>
        <v>-124.645</v>
      </c>
      <c r="Z3539" s="79">
        <v>-28.84</v>
      </c>
      <c r="BI3539" s="106">
        <v>-28.76</v>
      </c>
      <c r="DK3539" s="106">
        <v>-32.674999999999997</v>
      </c>
      <c r="DP3539" s="74">
        <v>-34.369999999999997</v>
      </c>
    </row>
    <row r="3540" spans="1:221" x14ac:dyDescent="0.25">
      <c r="A3540" s="127">
        <v>45212</v>
      </c>
      <c r="B3540" s="24" t="s">
        <v>17</v>
      </c>
      <c r="C3540" s="21">
        <f t="shared" si="59"/>
        <v>-16.93</v>
      </c>
      <c r="AW3540" s="106">
        <v>-8.69</v>
      </c>
      <c r="CY3540" s="106">
        <v>-8.24</v>
      </c>
    </row>
    <row r="3541" spans="1:221" x14ac:dyDescent="0.25">
      <c r="A3541" s="127">
        <v>45213</v>
      </c>
      <c r="B3541" s="24" t="s">
        <v>113</v>
      </c>
      <c r="C3541" s="21">
        <f t="shared" si="59"/>
        <v>1008.77</v>
      </c>
      <c r="BO3541" s="106">
        <v>167.69</v>
      </c>
      <c r="BU3541" s="106">
        <v>161.785</v>
      </c>
      <c r="CA3541" s="106">
        <v>197.35</v>
      </c>
      <c r="CG3541" s="106">
        <v>170.74</v>
      </c>
      <c r="CS3541" s="74">
        <v>50.875</v>
      </c>
      <c r="EA3541" s="74">
        <v>101.74</v>
      </c>
      <c r="HM3541" s="106">
        <v>158.59</v>
      </c>
    </row>
    <row r="3542" spans="1:221" x14ac:dyDescent="0.25">
      <c r="A3542" s="127">
        <v>45215</v>
      </c>
      <c r="B3542" s="24" t="s">
        <v>184</v>
      </c>
      <c r="C3542" s="21">
        <f t="shared" si="59"/>
        <v>-233.565</v>
      </c>
      <c r="AC3542" s="106">
        <v>-24.46</v>
      </c>
      <c r="AW3542" s="106">
        <v>-13.85</v>
      </c>
      <c r="BI3542" s="106">
        <v>-15.88</v>
      </c>
      <c r="BO3542" s="106">
        <v>-23.94</v>
      </c>
      <c r="BU3542" s="106">
        <v>-64.430000000000007</v>
      </c>
      <c r="CA3542" s="106">
        <v>-32.984999999999999</v>
      </c>
      <c r="CG3542" s="106">
        <v>-16.66</v>
      </c>
      <c r="CM3542" s="106">
        <v>-17.32</v>
      </c>
      <c r="DE3542" s="74">
        <v>-24.04</v>
      </c>
    </row>
    <row r="3543" spans="1:221" x14ac:dyDescent="0.25">
      <c r="A3543" s="127">
        <v>45215</v>
      </c>
      <c r="B3543" s="24" t="s">
        <v>133</v>
      </c>
      <c r="C3543" s="21">
        <f t="shared" si="59"/>
        <v>-100.155</v>
      </c>
      <c r="AR3543" s="106">
        <v>-33.99</v>
      </c>
      <c r="BO3543" s="106">
        <v>-33.9</v>
      </c>
      <c r="BU3543" s="106">
        <v>-32.265000000000001</v>
      </c>
    </row>
    <row r="3544" spans="1:221" x14ac:dyDescent="0.25">
      <c r="A3544" s="127">
        <v>45215</v>
      </c>
      <c r="B3544" s="24" t="s">
        <v>78</v>
      </c>
      <c r="C3544" s="21">
        <f t="shared" si="59"/>
        <v>-17.29</v>
      </c>
      <c r="FS3544" s="106">
        <v>-17.29</v>
      </c>
    </row>
    <row r="3545" spans="1:221" x14ac:dyDescent="0.25">
      <c r="A3545" s="127">
        <v>45215</v>
      </c>
      <c r="B3545" s="24" t="s">
        <v>178</v>
      </c>
      <c r="C3545" s="21">
        <f t="shared" si="59"/>
        <v>-31.12</v>
      </c>
      <c r="BU3545" s="106">
        <v>-31.12</v>
      </c>
    </row>
    <row r="3546" spans="1:221" x14ac:dyDescent="0.25">
      <c r="A3546" s="127">
        <v>45216</v>
      </c>
      <c r="B3546" s="24" t="s">
        <v>82</v>
      </c>
      <c r="C3546" s="21">
        <f t="shared" si="59"/>
        <v>-124.56</v>
      </c>
      <c r="HH3546" s="106">
        <v>-61.02</v>
      </c>
      <c r="HM3546" s="106">
        <v>-63.54</v>
      </c>
    </row>
    <row r="3547" spans="1:221" x14ac:dyDescent="0.25">
      <c r="A3547" s="127">
        <v>45216</v>
      </c>
      <c r="B3547" s="24" t="s">
        <v>75</v>
      </c>
      <c r="C3547" s="21">
        <f t="shared" si="59"/>
        <v>-7.98</v>
      </c>
      <c r="DE3547" s="74">
        <v>-7.98</v>
      </c>
    </row>
    <row r="3548" spans="1:221" x14ac:dyDescent="0.25">
      <c r="A3548" s="127">
        <v>45216</v>
      </c>
      <c r="B3548" s="24" t="s">
        <v>138</v>
      </c>
      <c r="C3548" s="21">
        <f t="shared" si="59"/>
        <v>-46.524999999999999</v>
      </c>
      <c r="BI3548" s="106">
        <v>-14.835000000000001</v>
      </c>
      <c r="CA3548" s="106">
        <v>-15.37</v>
      </c>
      <c r="CS3548" s="74">
        <v>-16.32</v>
      </c>
    </row>
    <row r="3549" spans="1:221" x14ac:dyDescent="0.25">
      <c r="A3549" s="127">
        <v>45216</v>
      </c>
      <c r="B3549" s="24" t="s">
        <v>84</v>
      </c>
      <c r="C3549" s="21">
        <f t="shared" si="59"/>
        <v>-15.92</v>
      </c>
      <c r="BO3549" s="106">
        <v>-15.92</v>
      </c>
    </row>
    <row r="3550" spans="1:221" x14ac:dyDescent="0.25">
      <c r="A3550" s="127">
        <v>45216</v>
      </c>
      <c r="B3550" s="24" t="s">
        <v>20</v>
      </c>
      <c r="C3550" s="21">
        <f t="shared" si="59"/>
        <v>-60.35</v>
      </c>
      <c r="CA3550" s="106">
        <v>-8.3849999999999998</v>
      </c>
      <c r="CG3550" s="106">
        <v>-8.5</v>
      </c>
      <c r="DE3550" s="74">
        <v>-43.465000000000003</v>
      </c>
    </row>
    <row r="3551" spans="1:221" x14ac:dyDescent="0.25">
      <c r="A3551" s="127">
        <v>45216</v>
      </c>
      <c r="B3551" s="24" t="s">
        <v>185</v>
      </c>
      <c r="C3551" s="21">
        <f t="shared" si="59"/>
        <v>31.27</v>
      </c>
      <c r="DG3551" s="126">
        <v>15.97</v>
      </c>
      <c r="DM3551" s="46">
        <v>15.3</v>
      </c>
    </row>
    <row r="3552" spans="1:221" x14ac:dyDescent="0.25">
      <c r="A3552" s="127">
        <v>45216</v>
      </c>
      <c r="B3552" s="24" t="s">
        <v>25</v>
      </c>
      <c r="C3552" s="21">
        <f t="shared" si="59"/>
        <v>-24.37</v>
      </c>
      <c r="DE3552" s="74">
        <v>-5.3</v>
      </c>
      <c r="DG3552" s="126">
        <v>-7.68</v>
      </c>
      <c r="DK3552" s="106">
        <v>-3.82</v>
      </c>
      <c r="DM3552" s="46">
        <v>-7.57</v>
      </c>
    </row>
    <row r="3553" spans="1:226" x14ac:dyDescent="0.25">
      <c r="A3553" s="127">
        <v>45217</v>
      </c>
      <c r="B3553" s="24" t="s">
        <v>113</v>
      </c>
      <c r="C3553" s="21">
        <f t="shared" si="59"/>
        <v>978.44500000000005</v>
      </c>
      <c r="BC3553" s="106">
        <v>429.04</v>
      </c>
      <c r="BI3553" s="106">
        <v>204.81</v>
      </c>
      <c r="BU3553" s="106">
        <v>62.23</v>
      </c>
      <c r="HR3553" s="92">
        <v>282.36500000000001</v>
      </c>
    </row>
    <row r="3554" spans="1:226" x14ac:dyDescent="0.25">
      <c r="A3554" s="127">
        <v>45217</v>
      </c>
      <c r="B3554" s="24" t="s">
        <v>31</v>
      </c>
      <c r="C3554" s="21">
        <f t="shared" si="59"/>
        <v>-16.204999999999998</v>
      </c>
      <c r="HR3554" s="92">
        <v>-16.204999999999998</v>
      </c>
    </row>
    <row r="3555" spans="1:226" x14ac:dyDescent="0.25">
      <c r="A3555" s="127">
        <v>45217</v>
      </c>
      <c r="B3555" s="24" t="s">
        <v>59</v>
      </c>
      <c r="C3555" s="21">
        <f t="shared" si="59"/>
        <v>-1.37</v>
      </c>
      <c r="BU3555" s="106">
        <v>-1.37</v>
      </c>
    </row>
    <row r="3556" spans="1:226" x14ac:dyDescent="0.25">
      <c r="A3556" s="127">
        <v>45217</v>
      </c>
      <c r="B3556" s="24" t="s">
        <v>48</v>
      </c>
      <c r="C3556" s="21">
        <f t="shared" si="59"/>
        <v>-8.64</v>
      </c>
      <c r="BO3556" s="106">
        <v>-8.64</v>
      </c>
    </row>
    <row r="3557" spans="1:226" x14ac:dyDescent="0.25">
      <c r="A3557" s="127">
        <v>45218</v>
      </c>
      <c r="B3557" s="24" t="s">
        <v>161</v>
      </c>
      <c r="C3557" s="21">
        <f t="shared" si="59"/>
        <v>-31.43</v>
      </c>
      <c r="AG3557" s="106">
        <v>-17.22</v>
      </c>
      <c r="BC3557" s="106">
        <v>-14.21</v>
      </c>
    </row>
    <row r="3558" spans="1:226" x14ac:dyDescent="0.25">
      <c r="A3558" s="127">
        <v>45218</v>
      </c>
      <c r="B3558" s="24" t="s">
        <v>184</v>
      </c>
      <c r="C3558" s="21">
        <f t="shared" si="59"/>
        <v>-437.26</v>
      </c>
      <c r="BC3558" s="106">
        <f>-28.58-28.69-28.68</f>
        <v>-85.95</v>
      </c>
      <c r="DP3558" s="74">
        <v>-66.959999999999994</v>
      </c>
      <c r="DU3558" s="106">
        <v>-34.97</v>
      </c>
      <c r="EA3558" s="74">
        <f>-33.42-95.04</f>
        <v>-128.46</v>
      </c>
      <c r="EE3558" s="42">
        <f>-34.43-35.46</f>
        <v>-69.89</v>
      </c>
      <c r="EG3558" s="74">
        <f>-34.27-8.71-8.05</f>
        <v>-51.03</v>
      </c>
    </row>
    <row r="3559" spans="1:226" x14ac:dyDescent="0.25">
      <c r="A3559" s="127">
        <v>45218</v>
      </c>
      <c r="B3559" s="24" t="s">
        <v>17</v>
      </c>
      <c r="C3559" s="21">
        <f t="shared" si="59"/>
        <v>-65.765000000000001</v>
      </c>
      <c r="AN3559" s="106">
        <v>-8.68</v>
      </c>
      <c r="AR3559" s="106">
        <v>-8.83</v>
      </c>
      <c r="AW3559" s="106">
        <v>-6.9249999999999998</v>
      </c>
      <c r="BC3559" s="106">
        <v>-6.99</v>
      </c>
      <c r="BI3559" s="106">
        <v>-9.08</v>
      </c>
      <c r="BO3559" s="106">
        <v>-8.6199999999999992</v>
      </c>
      <c r="BU3559" s="106">
        <v>-8.35</v>
      </c>
      <c r="CA3559" s="106">
        <v>-8.2899999999999991</v>
      </c>
    </row>
    <row r="3560" spans="1:226" x14ac:dyDescent="0.25">
      <c r="A3560" s="127">
        <v>45218</v>
      </c>
      <c r="B3560" s="24" t="s">
        <v>152</v>
      </c>
      <c r="C3560" s="21">
        <f t="shared" si="59"/>
        <v>-1184.9449999999999</v>
      </c>
      <c r="BC3560" s="106">
        <v>-85.27</v>
      </c>
      <c r="BI3560" s="106">
        <v>-137.15</v>
      </c>
      <c r="BO3560" s="106">
        <v>-35.090000000000003</v>
      </c>
      <c r="BU3560" s="106">
        <v>-31.795000000000002</v>
      </c>
      <c r="CA3560" s="106">
        <v>-132.63499999999999</v>
      </c>
      <c r="CG3560" s="106">
        <v>-134.85</v>
      </c>
      <c r="CM3560" s="106">
        <v>-132.4</v>
      </c>
      <c r="CS3560" s="74">
        <v>-67.015000000000001</v>
      </c>
      <c r="CY3560" s="106">
        <v>-66.05</v>
      </c>
      <c r="DE3560" s="74">
        <v>-36.01</v>
      </c>
      <c r="DK3560" s="106">
        <v>-31.46</v>
      </c>
      <c r="DP3560" s="74">
        <v>-34.54</v>
      </c>
      <c r="DU3560" s="106">
        <v>-64.040000000000006</v>
      </c>
      <c r="EA3560" s="74">
        <v>-196.64</v>
      </c>
    </row>
    <row r="3561" spans="1:226" x14ac:dyDescent="0.25">
      <c r="A3561" s="127">
        <v>45219</v>
      </c>
      <c r="B3561" s="24" t="s">
        <v>17</v>
      </c>
      <c r="C3561" s="21">
        <f t="shared" si="59"/>
        <v>-33.200000000000003</v>
      </c>
      <c r="BU3561" s="106">
        <v>-8.32</v>
      </c>
      <c r="CG3561" s="106">
        <v>-8.48</v>
      </c>
      <c r="CM3561" s="106">
        <v>-8.2899999999999991</v>
      </c>
      <c r="CS3561" s="74">
        <v>-8.11</v>
      </c>
    </row>
    <row r="3562" spans="1:226" x14ac:dyDescent="0.25">
      <c r="A3562" s="127">
        <v>45219</v>
      </c>
      <c r="B3562" s="24" t="s">
        <v>82</v>
      </c>
      <c r="C3562" s="21">
        <f t="shared" si="59"/>
        <v>-66.290000000000006</v>
      </c>
      <c r="HR3562" s="92">
        <v>-66.290000000000006</v>
      </c>
    </row>
    <row r="3563" spans="1:226" x14ac:dyDescent="0.25">
      <c r="A3563" s="127">
        <v>45219</v>
      </c>
      <c r="B3563" s="24" t="s">
        <v>138</v>
      </c>
      <c r="C3563" s="21">
        <f t="shared" si="59"/>
        <v>-8.27</v>
      </c>
      <c r="CY3563" s="106">
        <v>-8.27</v>
      </c>
    </row>
    <row r="3564" spans="1:226" x14ac:dyDescent="0.25">
      <c r="A3564" s="127">
        <v>45219</v>
      </c>
      <c r="B3564" s="24" t="s">
        <v>20</v>
      </c>
      <c r="C3564" s="21">
        <f t="shared" si="59"/>
        <v>-6.6349999999999998</v>
      </c>
      <c r="BI3564" s="106">
        <v>-6.6349999999999998</v>
      </c>
    </row>
    <row r="3565" spans="1:226" x14ac:dyDescent="0.25">
      <c r="A3565" s="127">
        <v>45219</v>
      </c>
      <c r="B3565" s="24" t="s">
        <v>48</v>
      </c>
      <c r="C3565" s="21">
        <f t="shared" si="59"/>
        <v>-15.2</v>
      </c>
      <c r="BC3565" s="106">
        <v>-6.97</v>
      </c>
      <c r="BI3565" s="106">
        <v>-8.23</v>
      </c>
    </row>
    <row r="3566" spans="1:226" x14ac:dyDescent="0.25">
      <c r="A3566" s="127">
        <v>45219</v>
      </c>
      <c r="B3566" s="24" t="s">
        <v>17</v>
      </c>
      <c r="C3566" s="21">
        <f t="shared" si="59"/>
        <v>-33.200000000000003</v>
      </c>
      <c r="BU3566" s="106">
        <v>-8.32</v>
      </c>
      <c r="CG3566" s="106">
        <v>-8.48</v>
      </c>
      <c r="CM3566" s="106">
        <v>-8.2899999999999991</v>
      </c>
      <c r="CS3566" s="74">
        <v>-8.11</v>
      </c>
    </row>
    <row r="3567" spans="1:226" x14ac:dyDescent="0.25">
      <c r="A3567" s="127">
        <v>45219</v>
      </c>
      <c r="B3567" s="24" t="s">
        <v>17</v>
      </c>
      <c r="C3567" s="21">
        <f t="shared" si="59"/>
        <v>-8.6</v>
      </c>
      <c r="AG3567" s="106">
        <v>-8.6</v>
      </c>
    </row>
    <row r="3568" spans="1:226" x14ac:dyDescent="0.25">
      <c r="A3568" s="127">
        <v>45220</v>
      </c>
      <c r="B3568" s="24" t="s">
        <v>133</v>
      </c>
      <c r="C3568" s="21">
        <f t="shared" si="59"/>
        <v>-191.66499999999999</v>
      </c>
      <c r="BC3568" s="106">
        <v>-29.07</v>
      </c>
      <c r="BI3568" s="106">
        <v>-63.3</v>
      </c>
      <c r="CM3568" s="106">
        <v>-33.130000000000003</v>
      </c>
      <c r="DE3568" s="74">
        <v>-32.65</v>
      </c>
      <c r="DK3568" s="106">
        <v>-33.515000000000001</v>
      </c>
    </row>
    <row r="3569" spans="1:221" x14ac:dyDescent="0.25">
      <c r="A3569" s="127">
        <v>45220</v>
      </c>
      <c r="B3569" s="24" t="s">
        <v>32</v>
      </c>
      <c r="C3569" s="21">
        <f t="shared" ref="C3569:C3632" si="60">SUM(D3569:JT3569)</f>
        <v>-160.80500000000001</v>
      </c>
      <c r="AN3569" s="106">
        <v>-25.93</v>
      </c>
      <c r="AR3569" s="106">
        <v>-25.695</v>
      </c>
      <c r="AW3569" s="106">
        <v>-29.15</v>
      </c>
      <c r="BC3569" s="106">
        <v>-28.48</v>
      </c>
      <c r="BO3569" s="106">
        <v>-25.85</v>
      </c>
      <c r="CG3569" s="106">
        <v>-25.7</v>
      </c>
    </row>
    <row r="3570" spans="1:221" x14ac:dyDescent="0.25">
      <c r="A3570" s="127">
        <v>45220</v>
      </c>
      <c r="B3570" s="24" t="s">
        <v>43</v>
      </c>
      <c r="C3570" s="21">
        <f t="shared" si="60"/>
        <v>-67.849999999999994</v>
      </c>
      <c r="CS3570" s="74">
        <v>-67.849999999999994</v>
      </c>
    </row>
    <row r="3571" spans="1:221" x14ac:dyDescent="0.25">
      <c r="A3571" s="127">
        <v>45222</v>
      </c>
      <c r="B3571" s="24" t="s">
        <v>113</v>
      </c>
      <c r="C3571" s="21">
        <f t="shared" si="60"/>
        <v>976.96</v>
      </c>
      <c r="BI3571" s="106">
        <v>205.56</v>
      </c>
      <c r="BU3571" s="106">
        <v>267.72000000000003</v>
      </c>
      <c r="DU3571" s="106">
        <v>82.03</v>
      </c>
      <c r="EA3571" s="74">
        <v>232.04</v>
      </c>
      <c r="HM3571" s="106">
        <v>189.61</v>
      </c>
    </row>
    <row r="3572" spans="1:221" x14ac:dyDescent="0.25">
      <c r="A3572" s="127">
        <v>45222</v>
      </c>
      <c r="B3572" s="24" t="s">
        <v>44</v>
      </c>
      <c r="C3572" s="21">
        <f t="shared" si="60"/>
        <v>-114.13</v>
      </c>
      <c r="GK3572" s="79">
        <v>-23.71</v>
      </c>
      <c r="GQ3572" s="92">
        <v>-57.95</v>
      </c>
      <c r="HF3572" s="92">
        <v>-32.47</v>
      </c>
    </row>
    <row r="3573" spans="1:221" x14ac:dyDescent="0.25">
      <c r="A3573" s="127">
        <v>45222</v>
      </c>
      <c r="B3573" s="24" t="s">
        <v>133</v>
      </c>
      <c r="C3573" s="21">
        <f t="shared" si="60"/>
        <v>-198.535</v>
      </c>
      <c r="AC3573" s="106">
        <v>-33.340000000000003</v>
      </c>
      <c r="BU3573" s="106">
        <v>-33.725000000000001</v>
      </c>
      <c r="BY3573" s="42">
        <v>-8.4700000000000006</v>
      </c>
      <c r="CA3573" s="106">
        <f>-8.21-8.31-6.92</f>
        <v>-23.44</v>
      </c>
      <c r="CG3573" s="106">
        <v>-32.28</v>
      </c>
      <c r="CM3573" s="106">
        <v>-32.08</v>
      </c>
      <c r="CS3573" s="74">
        <v>-35.200000000000003</v>
      </c>
    </row>
    <row r="3574" spans="1:221" x14ac:dyDescent="0.25">
      <c r="A3574" s="127">
        <v>45222</v>
      </c>
      <c r="B3574" s="24" t="s">
        <v>152</v>
      </c>
      <c r="C3574" s="21">
        <f t="shared" si="60"/>
        <v>-879.65499999999997</v>
      </c>
      <c r="P3574" s="106">
        <v>-33.85</v>
      </c>
      <c r="AC3574" s="106">
        <v>-33.04</v>
      </c>
      <c r="AN3574" s="106">
        <v>-34.39</v>
      </c>
      <c r="AW3574" s="106">
        <v>-101.5</v>
      </c>
      <c r="BC3574" s="106">
        <v>-85.73</v>
      </c>
      <c r="BU3574" s="106">
        <v>-66.084999999999994</v>
      </c>
      <c r="CA3574" s="106">
        <v>-33.034999999999997</v>
      </c>
      <c r="CG3574" s="106">
        <v>-34.08</v>
      </c>
      <c r="CS3574" s="74">
        <v>-32.924999999999997</v>
      </c>
      <c r="DK3574" s="106">
        <v>-32.204999999999998</v>
      </c>
      <c r="DU3574" s="106">
        <v>-96.29</v>
      </c>
      <c r="EA3574" s="74">
        <v>-232.04</v>
      </c>
      <c r="EZ3574" s="92">
        <v>-42.905000000000001</v>
      </c>
      <c r="FC3574" s="106">
        <v>-21.58</v>
      </c>
    </row>
    <row r="3575" spans="1:221" x14ac:dyDescent="0.25">
      <c r="A3575" s="127">
        <v>45222</v>
      </c>
      <c r="B3575" s="24" t="s">
        <v>65</v>
      </c>
      <c r="C3575" s="21">
        <f t="shared" si="60"/>
        <v>-33.884999999999998</v>
      </c>
      <c r="AW3575" s="106">
        <v>-33.884999999999998</v>
      </c>
    </row>
    <row r="3576" spans="1:221" x14ac:dyDescent="0.25">
      <c r="A3576" s="127">
        <v>45223</v>
      </c>
      <c r="B3576" s="24" t="s">
        <v>17</v>
      </c>
      <c r="C3576" s="21">
        <f t="shared" si="60"/>
        <v>-41.47</v>
      </c>
      <c r="AN3576" s="106">
        <v>-8.6300000000000008</v>
      </c>
      <c r="AR3576" s="106">
        <v>-8.27</v>
      </c>
      <c r="AW3576" s="106">
        <v>-6.82</v>
      </c>
      <c r="BU3576" s="106">
        <v>-9</v>
      </c>
      <c r="BY3576" s="42">
        <v>-8.75</v>
      </c>
    </row>
    <row r="3577" spans="1:221" x14ac:dyDescent="0.25">
      <c r="A3577" s="127">
        <v>45223</v>
      </c>
      <c r="B3577" s="24" t="s">
        <v>43</v>
      </c>
      <c r="C3577" s="21">
        <f t="shared" si="60"/>
        <v>-197.58500000000001</v>
      </c>
      <c r="BU3577" s="106">
        <v>-68.234999999999999</v>
      </c>
      <c r="CY3577" s="106">
        <v>-129.35</v>
      </c>
    </row>
    <row r="3578" spans="1:221" x14ac:dyDescent="0.25">
      <c r="A3578" s="127">
        <v>45223</v>
      </c>
      <c r="B3578" s="24" t="s">
        <v>139</v>
      </c>
      <c r="C3578" s="21">
        <f t="shared" si="60"/>
        <v>-15.68</v>
      </c>
      <c r="BI3578" s="106">
        <v>-7.91</v>
      </c>
      <c r="BO3578" s="106">
        <v>-7.77</v>
      </c>
    </row>
    <row r="3579" spans="1:221" x14ac:dyDescent="0.25">
      <c r="A3579" s="127">
        <v>45223</v>
      </c>
      <c r="B3579" s="24" t="s">
        <v>138</v>
      </c>
      <c r="C3579" s="21">
        <f t="shared" si="60"/>
        <v>-17.27</v>
      </c>
      <c r="AN3579" s="106">
        <v>-17.27</v>
      </c>
    </row>
    <row r="3580" spans="1:221" x14ac:dyDescent="0.25">
      <c r="A3580" s="127">
        <v>45223</v>
      </c>
      <c r="B3580" s="24" t="s">
        <v>65</v>
      </c>
      <c r="C3580" s="21">
        <f t="shared" si="60"/>
        <v>-61.72</v>
      </c>
      <c r="AR3580" s="106">
        <v>-61.72</v>
      </c>
    </row>
    <row r="3581" spans="1:221" x14ac:dyDescent="0.25">
      <c r="A3581" s="127">
        <v>45223</v>
      </c>
      <c r="B3581" s="24" t="s">
        <v>75</v>
      </c>
      <c r="C3581" s="21">
        <f t="shared" si="60"/>
        <v>-16.72</v>
      </c>
      <c r="AC3581" s="106">
        <v>-8.15</v>
      </c>
      <c r="BI3581" s="106">
        <v>-8.57</v>
      </c>
    </row>
    <row r="3582" spans="1:221" x14ac:dyDescent="0.25">
      <c r="A3582" s="127">
        <v>45223</v>
      </c>
      <c r="B3582" s="24" t="s">
        <v>162</v>
      </c>
      <c r="C3582" s="21">
        <f t="shared" si="60"/>
        <v>-8.5</v>
      </c>
      <c r="CG3582" s="106">
        <v>-8.5</v>
      </c>
    </row>
    <row r="3583" spans="1:221" x14ac:dyDescent="0.25">
      <c r="A3583" s="127">
        <v>45223</v>
      </c>
      <c r="B3583" s="24" t="s">
        <v>20</v>
      </c>
      <c r="C3583" s="21">
        <f t="shared" si="60"/>
        <v>-28.06</v>
      </c>
      <c r="V3583" s="74">
        <v>-6.15</v>
      </c>
      <c r="AC3583" s="106">
        <v>-8.15</v>
      </c>
      <c r="AN3583" s="106">
        <v>-8.58</v>
      </c>
      <c r="AR3583" s="106">
        <v>-5.18</v>
      </c>
    </row>
    <row r="3584" spans="1:221" x14ac:dyDescent="0.25">
      <c r="A3584" s="127">
        <v>45223</v>
      </c>
      <c r="B3584" s="24" t="s">
        <v>113</v>
      </c>
      <c r="C3584" s="21">
        <f t="shared" si="60"/>
        <v>842.04</v>
      </c>
      <c r="BO3584" s="106">
        <v>283.61500000000001</v>
      </c>
      <c r="CA3584" s="106">
        <v>292.565</v>
      </c>
      <c r="DP3584" s="74">
        <v>172.2</v>
      </c>
      <c r="DU3584" s="106">
        <v>93.66</v>
      </c>
    </row>
    <row r="3585" spans="1:208" x14ac:dyDescent="0.25">
      <c r="A3585" s="127">
        <v>45223</v>
      </c>
      <c r="B3585" s="24" t="s">
        <v>65</v>
      </c>
      <c r="C3585" s="21">
        <f t="shared" si="60"/>
        <v>-3.72</v>
      </c>
      <c r="AR3585" s="106">
        <v>-3.72</v>
      </c>
    </row>
    <row r="3586" spans="1:208" x14ac:dyDescent="0.25">
      <c r="A3586" s="127">
        <v>45224</v>
      </c>
      <c r="B3586" s="24" t="s">
        <v>184</v>
      </c>
      <c r="C3586" s="21">
        <f t="shared" si="60"/>
        <v>-145.245</v>
      </c>
      <c r="AN3586" s="106">
        <v>-34.479999999999997</v>
      </c>
      <c r="AR3586" s="106">
        <v>-21.16</v>
      </c>
      <c r="BI3586" s="106">
        <v>-42.85</v>
      </c>
      <c r="BU3586" s="106">
        <v>-8.2899999999999991</v>
      </c>
      <c r="CA3586" s="106">
        <v>-8.09</v>
      </c>
      <c r="CG3586" s="106">
        <v>-8.5500000000000007</v>
      </c>
      <c r="FK3586" s="106">
        <v>-21.824999999999999</v>
      </c>
    </row>
    <row r="3587" spans="1:208" x14ac:dyDescent="0.25">
      <c r="A3587" s="127">
        <v>45224</v>
      </c>
      <c r="B3587" s="24" t="s">
        <v>133</v>
      </c>
      <c r="C3587" s="21">
        <f t="shared" si="60"/>
        <v>-258.33999999999997</v>
      </c>
      <c r="AW3587" s="106">
        <v>-27.42</v>
      </c>
      <c r="BC3587" s="106">
        <v>-29.31</v>
      </c>
      <c r="BI3587" s="106">
        <v>-34.22</v>
      </c>
      <c r="BO3587" s="106">
        <v>-33.125</v>
      </c>
      <c r="BU3587" s="106">
        <v>-33.880000000000003</v>
      </c>
      <c r="CA3587" s="106">
        <v>-32.424999999999997</v>
      </c>
      <c r="CM3587" s="106">
        <v>-33.21</v>
      </c>
      <c r="CS3587" s="74">
        <v>-34.75</v>
      </c>
    </row>
    <row r="3588" spans="1:208" x14ac:dyDescent="0.25">
      <c r="A3588" s="127">
        <v>45224</v>
      </c>
      <c r="B3588" s="24" t="s">
        <v>65</v>
      </c>
      <c r="C3588" s="21">
        <f t="shared" si="60"/>
        <v>0</v>
      </c>
    </row>
    <row r="3589" spans="1:208" x14ac:dyDescent="0.25">
      <c r="A3589" s="127">
        <v>45224</v>
      </c>
      <c r="B3589" s="24" t="s">
        <v>43</v>
      </c>
      <c r="C3589" s="21">
        <f t="shared" si="60"/>
        <v>-99.094999999999999</v>
      </c>
      <c r="BO3589" s="106">
        <v>-99.094999999999999</v>
      </c>
    </row>
    <row r="3590" spans="1:208" x14ac:dyDescent="0.25">
      <c r="A3590" s="127">
        <v>45224</v>
      </c>
      <c r="B3590" s="24" t="s">
        <v>25</v>
      </c>
      <c r="C3590" s="21">
        <f t="shared" si="60"/>
        <v>-88.5</v>
      </c>
      <c r="EA3590" s="74">
        <v>-62.96</v>
      </c>
      <c r="EL3590" s="106">
        <v>-25.54</v>
      </c>
    </row>
    <row r="3591" spans="1:208" x14ac:dyDescent="0.25">
      <c r="A3591" s="127">
        <v>45224</v>
      </c>
      <c r="B3591" s="24" t="s">
        <v>32</v>
      </c>
      <c r="C3591" s="21">
        <f t="shared" si="60"/>
        <v>-73.635000000000005</v>
      </c>
      <c r="DE3591" s="74">
        <v>-9.25</v>
      </c>
      <c r="DK3591" s="106">
        <f>-9-8.825</f>
        <v>-17.824999999999999</v>
      </c>
      <c r="DP3591" s="74">
        <v>-29.32</v>
      </c>
      <c r="EL3591" s="106">
        <f>-8.72-8.52</f>
        <v>-17.239999999999998</v>
      </c>
    </row>
    <row r="3592" spans="1:208" x14ac:dyDescent="0.25">
      <c r="A3592" s="127">
        <v>45224</v>
      </c>
      <c r="B3592" s="24" t="s">
        <v>184</v>
      </c>
      <c r="C3592" s="21">
        <f t="shared" si="60"/>
        <v>-681.69</v>
      </c>
      <c r="AR3592" s="106">
        <v>-31.55</v>
      </c>
      <c r="AW3592" s="106">
        <v>-64.064999999999998</v>
      </c>
      <c r="BC3592" s="106">
        <v>-57.06</v>
      </c>
      <c r="BI3592" s="106">
        <v>-68.45</v>
      </c>
      <c r="BO3592" s="106">
        <v>-67.87</v>
      </c>
      <c r="BU3592" s="106">
        <v>-64.754999999999995</v>
      </c>
      <c r="CA3592" s="106">
        <v>-65.44</v>
      </c>
      <c r="CM3592" s="106">
        <v>-64.92</v>
      </c>
      <c r="CS3592" s="74">
        <v>-67.05</v>
      </c>
      <c r="CY3592" s="106">
        <v>-67.459999999999994</v>
      </c>
      <c r="DE3592" s="74">
        <v>-63.07</v>
      </c>
    </row>
    <row r="3593" spans="1:208" x14ac:dyDescent="0.25">
      <c r="A3593" s="127">
        <v>45224</v>
      </c>
      <c r="B3593" s="24" t="s">
        <v>48</v>
      </c>
      <c r="C3593" s="21">
        <f t="shared" si="60"/>
        <v>164.99</v>
      </c>
      <c r="AE3593" s="42">
        <v>17.32</v>
      </c>
      <c r="AP3593" s="42">
        <v>35.32</v>
      </c>
      <c r="BM3593" s="88">
        <v>35.06</v>
      </c>
      <c r="BY3593" s="42">
        <v>33.43</v>
      </c>
      <c r="CE3593" s="42">
        <v>8.89</v>
      </c>
      <c r="DS3593" s="42">
        <v>34.97</v>
      </c>
    </row>
    <row r="3594" spans="1:208" x14ac:dyDescent="0.25">
      <c r="A3594" s="127">
        <v>45225</v>
      </c>
      <c r="B3594" s="24" t="s">
        <v>186</v>
      </c>
      <c r="C3594" s="21">
        <f t="shared" si="60"/>
        <v>-7.92</v>
      </c>
      <c r="EA3594" s="74">
        <v>-7.92</v>
      </c>
    </row>
    <row r="3595" spans="1:208" x14ac:dyDescent="0.25">
      <c r="A3595" s="127">
        <v>45225</v>
      </c>
      <c r="B3595" s="24" t="s">
        <v>57</v>
      </c>
      <c r="C3595" s="21">
        <f t="shared" si="60"/>
        <v>-17.844999999999999</v>
      </c>
      <c r="DE3595" s="74">
        <v>-17.844999999999999</v>
      </c>
    </row>
    <row r="3596" spans="1:208" x14ac:dyDescent="0.25">
      <c r="A3596" s="127">
        <v>45225</v>
      </c>
      <c r="B3596" s="24" t="s">
        <v>178</v>
      </c>
      <c r="C3596" s="21">
        <f t="shared" si="60"/>
        <v>-34.155000000000001</v>
      </c>
      <c r="BS3596" s="42">
        <f>-8.8-8.79</f>
        <v>-17.59</v>
      </c>
      <c r="BU3596" s="106">
        <f>-8.29-8.275</f>
        <v>-16.565000000000001</v>
      </c>
    </row>
    <row r="3597" spans="1:208" x14ac:dyDescent="0.25">
      <c r="A3597" s="127">
        <v>45226</v>
      </c>
      <c r="B3597" s="24" t="s">
        <v>78</v>
      </c>
      <c r="C3597" s="21">
        <f t="shared" si="60"/>
        <v>-61.23</v>
      </c>
      <c r="AN3597" s="106">
        <v>-29.31</v>
      </c>
      <c r="CS3597" s="74">
        <v>-15.36</v>
      </c>
      <c r="CY3597" s="106">
        <v>-16.559999999999999</v>
      </c>
    </row>
    <row r="3598" spans="1:208" x14ac:dyDescent="0.25">
      <c r="A3598" s="127">
        <v>45226</v>
      </c>
      <c r="B3598" s="24" t="s">
        <v>79</v>
      </c>
      <c r="C3598" s="21">
        <f t="shared" si="60"/>
        <v>-33.265000000000001</v>
      </c>
      <c r="BI3598" s="106">
        <v>-8.5299999999999994</v>
      </c>
      <c r="BO3598" s="106">
        <v>-8.61</v>
      </c>
      <c r="CA3598" s="106">
        <v>-16.125</v>
      </c>
    </row>
    <row r="3599" spans="1:208" x14ac:dyDescent="0.25">
      <c r="A3599" s="127">
        <v>45226</v>
      </c>
      <c r="B3599" s="24" t="s">
        <v>20</v>
      </c>
      <c r="C3599" s="21">
        <f t="shared" si="60"/>
        <v>-130.4</v>
      </c>
      <c r="AW3599" s="106">
        <v>-6.77</v>
      </c>
      <c r="BI3599" s="106">
        <v>-8.61</v>
      </c>
      <c r="BO3599" s="106">
        <v>-7.96</v>
      </c>
      <c r="BU3599" s="106">
        <v>-7.68</v>
      </c>
      <c r="CA3599" s="106">
        <v>-8.1199999999999992</v>
      </c>
      <c r="CG3599" s="106">
        <v>-8.48</v>
      </c>
      <c r="CM3599" s="106">
        <v>-8.3000000000000007</v>
      </c>
      <c r="CS3599" s="74">
        <v>-9.0500000000000007</v>
      </c>
      <c r="GZ3599" s="106">
        <v>-65.430000000000007</v>
      </c>
    </row>
    <row r="3600" spans="1:208" x14ac:dyDescent="0.25">
      <c r="A3600" s="127">
        <v>45226</v>
      </c>
      <c r="B3600" s="24" t="s">
        <v>31</v>
      </c>
      <c r="C3600" s="21">
        <f t="shared" si="60"/>
        <v>-7.17</v>
      </c>
      <c r="GW3600" s="92">
        <v>-7.17</v>
      </c>
    </row>
    <row r="3601" spans="1:218" x14ac:dyDescent="0.25">
      <c r="A3601" s="127">
        <v>45226</v>
      </c>
      <c r="B3601" s="24" t="s">
        <v>83</v>
      </c>
      <c r="C3601" s="21">
        <f t="shared" si="60"/>
        <v>0</v>
      </c>
    </row>
    <row r="3602" spans="1:218" x14ac:dyDescent="0.25">
      <c r="A3602" s="127">
        <v>45226</v>
      </c>
      <c r="B3602" s="24" t="s">
        <v>59</v>
      </c>
      <c r="C3602" s="21">
        <f t="shared" si="60"/>
        <v>-7.8</v>
      </c>
      <c r="BU3602" s="106">
        <v>-3.48</v>
      </c>
      <c r="CY3602" s="106">
        <v>-4.32</v>
      </c>
    </row>
    <row r="3603" spans="1:218" x14ac:dyDescent="0.25">
      <c r="A3603" s="127">
        <v>45227</v>
      </c>
      <c r="B3603" s="24" t="s">
        <v>184</v>
      </c>
      <c r="C3603" s="21">
        <f t="shared" si="60"/>
        <v>-59.34</v>
      </c>
      <c r="BO3603" s="106">
        <v>-16.824999999999999</v>
      </c>
      <c r="CA3603" s="106">
        <v>-16.164999999999999</v>
      </c>
      <c r="CE3603" s="42">
        <v>-8.89</v>
      </c>
      <c r="FS3603" s="106">
        <v>-17.46</v>
      </c>
    </row>
    <row r="3604" spans="1:218" x14ac:dyDescent="0.25">
      <c r="A3604" s="127">
        <v>45227</v>
      </c>
      <c r="B3604" s="24" t="s">
        <v>17</v>
      </c>
      <c r="C3604" s="21">
        <f t="shared" si="60"/>
        <v>-8.09</v>
      </c>
      <c r="CA3604" s="106">
        <v>-8.09</v>
      </c>
    </row>
    <row r="3605" spans="1:218" x14ac:dyDescent="0.25">
      <c r="A3605" s="127">
        <v>45227</v>
      </c>
      <c r="B3605" s="24" t="s">
        <v>113</v>
      </c>
      <c r="C3605" s="21">
        <f t="shared" si="60"/>
        <v>1006.253</v>
      </c>
      <c r="AR3605" s="106">
        <v>273.37799999999999</v>
      </c>
      <c r="CY3605" s="106">
        <v>172.49</v>
      </c>
      <c r="DK3605" s="106">
        <v>202.63</v>
      </c>
      <c r="GQ3605" s="92">
        <v>357.755</v>
      </c>
    </row>
    <row r="3606" spans="1:218" x14ac:dyDescent="0.25">
      <c r="A3606" s="127">
        <v>45227</v>
      </c>
      <c r="B3606" s="24" t="s">
        <v>133</v>
      </c>
      <c r="C3606" s="21">
        <f t="shared" si="60"/>
        <v>-166.81</v>
      </c>
      <c r="AR3606" s="106">
        <v>-34.22</v>
      </c>
      <c r="BI3606" s="106">
        <v>-34.159999999999997</v>
      </c>
      <c r="BO3606" s="106">
        <v>-33.674999999999997</v>
      </c>
      <c r="CA3606" s="106">
        <v>-32.26</v>
      </c>
      <c r="CS3606" s="74">
        <v>-32.494999999999997</v>
      </c>
    </row>
    <row r="3607" spans="1:218" x14ac:dyDescent="0.25">
      <c r="A3607" s="127">
        <v>45229</v>
      </c>
      <c r="B3607" s="24" t="s">
        <v>133</v>
      </c>
      <c r="C3607" s="21">
        <f t="shared" si="60"/>
        <v>-151.565</v>
      </c>
      <c r="AN3607" s="106">
        <v>-34.409999999999997</v>
      </c>
      <c r="BI3607" s="106">
        <v>-33.734999999999999</v>
      </c>
      <c r="BO3607" s="106">
        <v>-16.425000000000001</v>
      </c>
      <c r="CA3607" s="106">
        <v>-32.424999999999997</v>
      </c>
      <c r="CY3607" s="106">
        <v>-34.57</v>
      </c>
    </row>
    <row r="3608" spans="1:218" x14ac:dyDescent="0.25">
      <c r="A3608" s="127">
        <v>45229</v>
      </c>
      <c r="B3608" s="24" t="s">
        <v>184</v>
      </c>
      <c r="C3608" s="21">
        <f t="shared" si="60"/>
        <v>-34.024999999999999</v>
      </c>
      <c r="DU3608" s="106">
        <v>-34.024999999999999</v>
      </c>
    </row>
    <row r="3609" spans="1:218" x14ac:dyDescent="0.25">
      <c r="A3609" s="127">
        <v>45229</v>
      </c>
      <c r="B3609" s="24" t="s">
        <v>44</v>
      </c>
      <c r="C3609" s="21">
        <f t="shared" si="60"/>
        <v>-163.16</v>
      </c>
      <c r="GQ3609" s="92">
        <v>-163.16</v>
      </c>
    </row>
    <row r="3610" spans="1:218" x14ac:dyDescent="0.25">
      <c r="A3610" s="127">
        <v>45230</v>
      </c>
      <c r="B3610" s="24" t="s">
        <v>139</v>
      </c>
      <c r="C3610" s="21">
        <f t="shared" si="60"/>
        <v>-28.315000000000001</v>
      </c>
      <c r="CA3610" s="106">
        <v>-8.1150000000000002</v>
      </c>
      <c r="CG3610" s="106">
        <v>-4.12</v>
      </c>
      <c r="CM3610" s="106">
        <v>-8</v>
      </c>
      <c r="CS3610" s="74">
        <v>-8.08</v>
      </c>
    </row>
    <row r="3611" spans="1:218" x14ac:dyDescent="0.25">
      <c r="A3611" s="127">
        <v>45230</v>
      </c>
      <c r="B3611" s="24" t="s">
        <v>75</v>
      </c>
      <c r="C3611" s="21">
        <f t="shared" si="60"/>
        <v>-48.1</v>
      </c>
      <c r="AR3611" s="106">
        <v>-8.57</v>
      </c>
      <c r="BI3611" s="106">
        <v>-8.5299999999999994</v>
      </c>
      <c r="DE3611" s="74">
        <v>-16.579999999999998</v>
      </c>
      <c r="DK3611" s="106">
        <v>-14.42</v>
      </c>
    </row>
    <row r="3612" spans="1:218" x14ac:dyDescent="0.25">
      <c r="A3612" s="127">
        <v>45230</v>
      </c>
      <c r="B3612" s="24" t="s">
        <v>25</v>
      </c>
      <c r="C3612" s="21">
        <f t="shared" si="60"/>
        <v>-7.68</v>
      </c>
      <c r="P3612" s="106">
        <v>-7.68</v>
      </c>
    </row>
    <row r="3613" spans="1:218" x14ac:dyDescent="0.25">
      <c r="A3613" s="127">
        <v>45230</v>
      </c>
      <c r="B3613" s="24" t="s">
        <v>169</v>
      </c>
      <c r="C3613" s="21">
        <f t="shared" si="60"/>
        <v>-34.54</v>
      </c>
      <c r="F3613" s="145">
        <v>-34.54</v>
      </c>
    </row>
    <row r="3614" spans="1:218" x14ac:dyDescent="0.25">
      <c r="A3614" s="127">
        <v>45230</v>
      </c>
      <c r="B3614" s="24" t="s">
        <v>33</v>
      </c>
      <c r="C3614" s="21">
        <f t="shared" si="60"/>
        <v>-17.414999999999999</v>
      </c>
      <c r="BI3614" s="106">
        <v>-8.6999999999999993</v>
      </c>
      <c r="CA3614" s="106">
        <v>-8.7149999999999999</v>
      </c>
    </row>
    <row r="3615" spans="1:218" x14ac:dyDescent="0.25">
      <c r="A3615" s="127">
        <v>45230</v>
      </c>
      <c r="B3615" s="24" t="s">
        <v>184</v>
      </c>
      <c r="C3615" s="21">
        <f t="shared" si="60"/>
        <v>-63.655000000000001</v>
      </c>
      <c r="BI3615" s="106">
        <v>-31.274999999999999</v>
      </c>
      <c r="CA3615" s="106">
        <v>-32.380000000000003</v>
      </c>
    </row>
    <row r="3616" spans="1:218" x14ac:dyDescent="0.25">
      <c r="A3616" s="127">
        <v>45230</v>
      </c>
      <c r="B3616" s="24" t="s">
        <v>113</v>
      </c>
      <c r="C3616" s="21">
        <f t="shared" si="60"/>
        <v>620.52</v>
      </c>
      <c r="GZ3616" s="106">
        <v>309.22000000000003</v>
      </c>
      <c r="HJ3616" s="79">
        <v>311.3</v>
      </c>
    </row>
    <row r="3617" spans="1:208" x14ac:dyDescent="0.25">
      <c r="A3617" s="127">
        <v>45231</v>
      </c>
      <c r="B3617" s="24" t="s">
        <v>113</v>
      </c>
      <c r="C3617" s="21">
        <f t="shared" si="60"/>
        <v>1199.1199999999999</v>
      </c>
      <c r="CA3617" s="106">
        <v>64.305000000000007</v>
      </c>
      <c r="CM3617" s="106">
        <f>189.16+271.62</f>
        <v>460.78</v>
      </c>
      <c r="DE3617" s="74">
        <v>200.22</v>
      </c>
      <c r="EP3617" s="74">
        <v>325.86500000000001</v>
      </c>
      <c r="GQ3617" s="92">
        <v>147.94999999999999</v>
      </c>
    </row>
    <row r="3618" spans="1:208" x14ac:dyDescent="0.25">
      <c r="A3618" s="127">
        <v>45230</v>
      </c>
      <c r="B3618" s="24" t="s">
        <v>50</v>
      </c>
      <c r="C3618" s="21">
        <f t="shared" si="60"/>
        <v>0</v>
      </c>
    </row>
    <row r="3619" spans="1:208" x14ac:dyDescent="0.25">
      <c r="A3619" s="127">
        <v>45230</v>
      </c>
      <c r="B3619" s="24" t="s">
        <v>50</v>
      </c>
      <c r="C3619" s="21">
        <f t="shared" si="60"/>
        <v>-94.78</v>
      </c>
      <c r="GZ3619" s="106">
        <v>-94.78</v>
      </c>
    </row>
    <row r="3620" spans="1:208" x14ac:dyDescent="0.25">
      <c r="A3620" s="127">
        <v>45231</v>
      </c>
      <c r="B3620" s="24" t="s">
        <v>12</v>
      </c>
      <c r="C3620" s="21">
        <f t="shared" si="60"/>
        <v>-6.6950000000000003</v>
      </c>
      <c r="AW3620" s="106">
        <v>-6.6950000000000003</v>
      </c>
    </row>
    <row r="3621" spans="1:208" x14ac:dyDescent="0.25">
      <c r="A3621" s="127">
        <v>45230</v>
      </c>
      <c r="B3621" s="24" t="s">
        <v>167</v>
      </c>
      <c r="C3621" s="21">
        <f t="shared" si="60"/>
        <v>-15.63</v>
      </c>
      <c r="D3621" s="386">
        <v>-7.14</v>
      </c>
      <c r="E3621" s="386">
        <v>-8.49</v>
      </c>
    </row>
    <row r="3622" spans="1:208" x14ac:dyDescent="0.25">
      <c r="A3622" s="127">
        <v>45231</v>
      </c>
      <c r="B3622" s="24" t="s">
        <v>133</v>
      </c>
      <c r="C3622" s="21">
        <f t="shared" si="60"/>
        <v>-22.015000000000001</v>
      </c>
      <c r="FG3622" s="74">
        <v>-22.015000000000001</v>
      </c>
    </row>
    <row r="3623" spans="1:208" x14ac:dyDescent="0.25">
      <c r="A3623" s="127">
        <v>45233</v>
      </c>
      <c r="B3623" s="24" t="s">
        <v>149</v>
      </c>
      <c r="C3623" s="21">
        <f t="shared" si="60"/>
        <v>-8.0749999999999993</v>
      </c>
      <c r="CA3623" s="106">
        <v>-8.0749999999999993</v>
      </c>
    </row>
    <row r="3624" spans="1:208" x14ac:dyDescent="0.25">
      <c r="A3624" s="127">
        <v>45233</v>
      </c>
      <c r="B3624" s="24" t="s">
        <v>17</v>
      </c>
      <c r="C3624" s="21">
        <f t="shared" si="60"/>
        <v>-17.100000000000001</v>
      </c>
      <c r="AN3624" s="106">
        <v>-8.61</v>
      </c>
      <c r="AR3624" s="106">
        <v>-8.49</v>
      </c>
    </row>
    <row r="3625" spans="1:208" x14ac:dyDescent="0.25">
      <c r="A3625" s="127">
        <v>45233</v>
      </c>
      <c r="B3625" s="24" t="s">
        <v>48</v>
      </c>
      <c r="C3625" s="21">
        <f t="shared" si="60"/>
        <v>-16.28</v>
      </c>
      <c r="CM3625" s="106">
        <f>-8.14-8.14</f>
        <v>-16.28</v>
      </c>
    </row>
    <row r="3626" spans="1:208" x14ac:dyDescent="0.25">
      <c r="A3626" s="127">
        <v>45236</v>
      </c>
      <c r="B3626" s="24" t="s">
        <v>169</v>
      </c>
      <c r="C3626" s="21">
        <f t="shared" si="60"/>
        <v>-15.05</v>
      </c>
      <c r="D3626" s="386">
        <f>-8.045-7.005</f>
        <v>-15.05</v>
      </c>
    </row>
    <row r="3627" spans="1:208" x14ac:dyDescent="0.25">
      <c r="A3627" s="127">
        <v>45236</v>
      </c>
      <c r="B3627" s="24" t="s">
        <v>65</v>
      </c>
      <c r="C3627" s="21">
        <f t="shared" si="60"/>
        <v>-36.229999999999997</v>
      </c>
      <c r="AW3627" s="106">
        <v>-36.229999999999997</v>
      </c>
    </row>
    <row r="3628" spans="1:208" x14ac:dyDescent="0.25">
      <c r="A3628" s="127">
        <v>45236</v>
      </c>
      <c r="B3628" s="24" t="s">
        <v>139</v>
      </c>
      <c r="C3628" s="21">
        <f t="shared" si="60"/>
        <v>-15.59</v>
      </c>
      <c r="CS3628" s="74">
        <v>-7.3</v>
      </c>
      <c r="CY3628" s="106">
        <v>-8.2899999999999991</v>
      </c>
    </row>
    <row r="3629" spans="1:208" x14ac:dyDescent="0.25">
      <c r="A3629" s="127">
        <v>45237</v>
      </c>
      <c r="B3629" s="24" t="s">
        <v>20</v>
      </c>
      <c r="C3629" s="21">
        <f t="shared" si="60"/>
        <v>-0.49</v>
      </c>
      <c r="BA3629" s="42">
        <f>-8.19-0.49</f>
        <v>-8.68</v>
      </c>
      <c r="DE3629" s="74">
        <v>8.19</v>
      </c>
    </row>
    <row r="3630" spans="1:208" x14ac:dyDescent="0.25">
      <c r="A3630" s="127">
        <v>45237</v>
      </c>
      <c r="B3630" s="24" t="s">
        <v>48</v>
      </c>
      <c r="C3630" s="21">
        <f t="shared" si="60"/>
        <v>68.91</v>
      </c>
      <c r="BA3630" s="42">
        <v>34.659999999999997</v>
      </c>
      <c r="BS3630" s="42">
        <v>34.25</v>
      </c>
    </row>
    <row r="3631" spans="1:208" x14ac:dyDescent="0.25">
      <c r="A3631" s="127">
        <v>45237</v>
      </c>
      <c r="B3631" s="24" t="s">
        <v>75</v>
      </c>
      <c r="C3631" s="21">
        <f t="shared" si="60"/>
        <v>-16.684999999999999</v>
      </c>
      <c r="BI3631" s="106">
        <v>-8.4949999999999992</v>
      </c>
      <c r="BO3631" s="106">
        <v>-8.19</v>
      </c>
    </row>
    <row r="3632" spans="1:208" x14ac:dyDescent="0.25">
      <c r="A3632" s="127">
        <v>45237</v>
      </c>
      <c r="B3632" s="24" t="s">
        <v>25</v>
      </c>
      <c r="C3632" s="21">
        <f t="shared" si="60"/>
        <v>-4.21</v>
      </c>
      <c r="M3632" s="92">
        <v>-4.21</v>
      </c>
    </row>
    <row r="3633" spans="1:241" x14ac:dyDescent="0.25">
      <c r="A3633" s="127">
        <v>45237</v>
      </c>
      <c r="B3633" s="24" t="s">
        <v>178</v>
      </c>
      <c r="C3633" s="21">
        <f t="shared" ref="C3633:C3696" si="61">SUM(D3633:JT3633)</f>
        <v>-17.21</v>
      </c>
      <c r="BU3633" s="106">
        <v>-17.21</v>
      </c>
    </row>
    <row r="3634" spans="1:241" x14ac:dyDescent="0.25">
      <c r="A3634" s="127">
        <v>45237</v>
      </c>
      <c r="B3634" s="24" t="s">
        <v>68</v>
      </c>
      <c r="C3634" s="21">
        <f t="shared" si="61"/>
        <v>-67.63</v>
      </c>
      <c r="BI3634" s="106">
        <v>-33.380000000000003</v>
      </c>
      <c r="BS3634" s="42">
        <v>-34.25</v>
      </c>
    </row>
    <row r="3635" spans="1:241" x14ac:dyDescent="0.25">
      <c r="A3635" s="127">
        <v>45237</v>
      </c>
      <c r="B3635" s="24" t="s">
        <v>32</v>
      </c>
      <c r="C3635" s="21">
        <f t="shared" si="61"/>
        <v>-8.5399999999999991</v>
      </c>
      <c r="P3635" s="106">
        <v>-8.5399999999999991</v>
      </c>
    </row>
    <row r="3636" spans="1:241" x14ac:dyDescent="0.25">
      <c r="A3636" s="127">
        <v>45237</v>
      </c>
      <c r="B3636" s="24" t="s">
        <v>133</v>
      </c>
      <c r="C3636" s="21">
        <f t="shared" si="61"/>
        <v>-164.09</v>
      </c>
      <c r="CM3636" s="106">
        <v>-31.59</v>
      </c>
      <c r="CY3636" s="106">
        <v>-65.94</v>
      </c>
      <c r="DE3636" s="74">
        <v>-66.56</v>
      </c>
    </row>
    <row r="3637" spans="1:241" x14ac:dyDescent="0.25">
      <c r="A3637" s="127">
        <v>45237</v>
      </c>
      <c r="B3637" s="24" t="s">
        <v>113</v>
      </c>
      <c r="C3637" s="21">
        <f t="shared" si="61"/>
        <v>902.15</v>
      </c>
      <c r="BI3637" s="106">
        <f>63.36+152.94</f>
        <v>216.3</v>
      </c>
      <c r="BO3637" s="106">
        <v>33.5</v>
      </c>
      <c r="BU3637" s="106">
        <v>34.445</v>
      </c>
      <c r="CA3637" s="106">
        <v>194.755</v>
      </c>
      <c r="DP3637" s="74">
        <v>69.14</v>
      </c>
      <c r="EA3637" s="74">
        <v>81.819999999999993</v>
      </c>
      <c r="EG3637" s="74">
        <v>272.19</v>
      </c>
    </row>
    <row r="3638" spans="1:241" x14ac:dyDescent="0.25">
      <c r="A3638" s="127">
        <v>45238</v>
      </c>
      <c r="B3638" s="24" t="s">
        <v>17</v>
      </c>
      <c r="C3638" s="21">
        <f t="shared" si="61"/>
        <v>-34.274999999999999</v>
      </c>
      <c r="BA3638" s="42">
        <v>-8.68</v>
      </c>
      <c r="BI3638" s="106">
        <v>-8.125</v>
      </c>
      <c r="BU3638" s="106">
        <v>-8.61</v>
      </c>
      <c r="CQ3638" s="42">
        <v>-8.86</v>
      </c>
    </row>
    <row r="3639" spans="1:241" x14ac:dyDescent="0.25">
      <c r="A3639" s="127">
        <v>45238</v>
      </c>
      <c r="B3639" s="24" t="s">
        <v>32</v>
      </c>
      <c r="C3639" s="21">
        <f t="shared" si="61"/>
        <v>-100.435</v>
      </c>
      <c r="AN3639" s="106">
        <v>-16.579999999999998</v>
      </c>
      <c r="AR3639" s="106">
        <v>-17.27</v>
      </c>
      <c r="BO3639" s="106">
        <v>-33.5</v>
      </c>
      <c r="CA3639" s="106">
        <v>-33.085000000000001</v>
      </c>
    </row>
    <row r="3640" spans="1:241" x14ac:dyDescent="0.25">
      <c r="A3640" s="127">
        <v>45238</v>
      </c>
      <c r="B3640" s="24" t="s">
        <v>20</v>
      </c>
      <c r="C3640" s="21">
        <f t="shared" si="61"/>
        <v>-25.11</v>
      </c>
      <c r="P3640" s="106">
        <v>-8.16</v>
      </c>
      <c r="CM3640" s="106">
        <v>-8.09</v>
      </c>
      <c r="CQ3640" s="42">
        <v>-8.86</v>
      </c>
    </row>
    <row r="3641" spans="1:241" x14ac:dyDescent="0.25">
      <c r="A3641" s="127">
        <v>45238</v>
      </c>
      <c r="B3641" s="24" t="s">
        <v>48</v>
      </c>
      <c r="C3641" s="21">
        <f t="shared" si="61"/>
        <v>-70.790000000000006</v>
      </c>
      <c r="BI3641" s="106">
        <f>-35.24-8.89-8.87</f>
        <v>-53</v>
      </c>
      <c r="CQ3641" s="42">
        <f>-8.87-8.92</f>
        <v>-17.79</v>
      </c>
    </row>
    <row r="3642" spans="1:241" x14ac:dyDescent="0.25">
      <c r="A3642" s="127">
        <v>45238</v>
      </c>
      <c r="B3642" s="24" t="s">
        <v>57</v>
      </c>
      <c r="C3642" s="21">
        <f t="shared" si="61"/>
        <v>74.875</v>
      </c>
      <c r="Z3642" s="79">
        <v>7.04</v>
      </c>
      <c r="AD3642" s="115">
        <v>7.4950000000000001</v>
      </c>
      <c r="AN3642" s="106">
        <v>7.9</v>
      </c>
      <c r="AR3642" s="106">
        <v>8.94</v>
      </c>
      <c r="BC3642" s="106">
        <v>7.8</v>
      </c>
      <c r="BI3642" s="106">
        <v>6.46</v>
      </c>
      <c r="CG3642" s="106">
        <v>5.42</v>
      </c>
      <c r="CS3642" s="74">
        <v>5.66</v>
      </c>
      <c r="DK3642" s="106">
        <v>5.7</v>
      </c>
      <c r="DP3642" s="74">
        <v>12.46</v>
      </c>
    </row>
    <row r="3643" spans="1:241" x14ac:dyDescent="0.25">
      <c r="A3643" s="127">
        <v>45238</v>
      </c>
      <c r="B3643" s="24" t="s">
        <v>167</v>
      </c>
      <c r="C3643" s="21">
        <f t="shared" si="61"/>
        <v>-6.89</v>
      </c>
      <c r="D3643" s="386">
        <v>-6.89</v>
      </c>
    </row>
    <row r="3644" spans="1:241" x14ac:dyDescent="0.25">
      <c r="A3644" s="127">
        <v>45238</v>
      </c>
      <c r="B3644" s="24" t="s">
        <v>147</v>
      </c>
      <c r="C3644" s="21">
        <f t="shared" si="61"/>
        <v>-17.350000000000001</v>
      </c>
      <c r="BI3644" s="106">
        <v>-8.7249999999999996</v>
      </c>
      <c r="BU3644" s="106">
        <v>-8.625</v>
      </c>
    </row>
    <row r="3645" spans="1:241" x14ac:dyDescent="0.25">
      <c r="A3645" s="127">
        <v>45239</v>
      </c>
      <c r="B3645" s="24" t="s">
        <v>48</v>
      </c>
      <c r="C3645" s="21">
        <f t="shared" si="61"/>
        <v>31.19</v>
      </c>
      <c r="CQ3645" s="42">
        <v>31.19</v>
      </c>
    </row>
    <row r="3646" spans="1:241" x14ac:dyDescent="0.25">
      <c r="A3646" s="127">
        <v>45239</v>
      </c>
      <c r="B3646" s="24" t="s">
        <v>50</v>
      </c>
      <c r="C3646" s="21">
        <f t="shared" si="61"/>
        <v>-668.2</v>
      </c>
      <c r="CQ3646" s="42">
        <v>-31.19</v>
      </c>
      <c r="CS3646" s="74">
        <f>-5.66-4.17-6.715</f>
        <v>-16.545000000000002</v>
      </c>
      <c r="DE3646" s="74">
        <v>-100.4</v>
      </c>
      <c r="HH3646" s="106">
        <v>-56.02</v>
      </c>
      <c r="HM3646" s="106">
        <v>-94.7</v>
      </c>
      <c r="HR3646" s="92">
        <v>-99.215000000000003</v>
      </c>
      <c r="IC3646" s="92">
        <v>-174.3</v>
      </c>
      <c r="IG3646" s="38">
        <v>-95.83</v>
      </c>
    </row>
    <row r="3647" spans="1:241" x14ac:dyDescent="0.25">
      <c r="A3647" s="127">
        <v>45239</v>
      </c>
      <c r="B3647" s="24" t="s">
        <v>152</v>
      </c>
      <c r="C3647" s="21">
        <f t="shared" si="61"/>
        <v>-632.51499999999999</v>
      </c>
      <c r="M3647" s="92">
        <v>-15.52</v>
      </c>
      <c r="P3647" s="106">
        <v>-34.74</v>
      </c>
      <c r="V3647" s="74">
        <v>-29.39</v>
      </c>
      <c r="Z3647" s="79">
        <v>-30.05</v>
      </c>
      <c r="AN3647" s="106">
        <v>-34.479999999999997</v>
      </c>
      <c r="AR3647" s="106">
        <v>-34.36</v>
      </c>
      <c r="AW3647" s="106">
        <v>-32.869999999999997</v>
      </c>
      <c r="CA3647" s="106">
        <v>-64.314999999999998</v>
      </c>
      <c r="CM3647" s="106">
        <v>-167.51</v>
      </c>
      <c r="CY3647" s="106">
        <v>-95.92</v>
      </c>
      <c r="DU3647" s="106">
        <v>-60.634999999999998</v>
      </c>
      <c r="EA3647" s="74">
        <v>-32.725000000000001</v>
      </c>
    </row>
    <row r="3648" spans="1:241" x14ac:dyDescent="0.25">
      <c r="A3648" s="127">
        <v>45239</v>
      </c>
      <c r="B3648" s="24" t="s">
        <v>133</v>
      </c>
      <c r="C3648" s="21">
        <f t="shared" si="61"/>
        <v>-133.76</v>
      </c>
      <c r="CM3648" s="106">
        <v>-32.409999999999997</v>
      </c>
      <c r="DE3648" s="74">
        <v>-67.17</v>
      </c>
      <c r="DK3648" s="106">
        <v>-34.18</v>
      </c>
    </row>
    <row r="3649" spans="1:214" x14ac:dyDescent="0.25">
      <c r="A3649" s="127">
        <v>45240</v>
      </c>
      <c r="B3649" s="24" t="s">
        <v>139</v>
      </c>
      <c r="C3649" s="21">
        <f t="shared" si="61"/>
        <v>-7.28</v>
      </c>
      <c r="CY3649" s="106">
        <v>-7.28</v>
      </c>
    </row>
    <row r="3650" spans="1:214" x14ac:dyDescent="0.25">
      <c r="A3650" s="127">
        <v>45240</v>
      </c>
      <c r="B3650" s="24" t="s">
        <v>187</v>
      </c>
      <c r="C3650" s="21">
        <f t="shared" si="61"/>
        <v>-8.4</v>
      </c>
      <c r="ET3650" s="106">
        <v>-8.4</v>
      </c>
    </row>
    <row r="3651" spans="1:214" x14ac:dyDescent="0.25">
      <c r="A3651" s="127">
        <v>45240</v>
      </c>
      <c r="B3651" s="24" t="s">
        <v>79</v>
      </c>
      <c r="C3651" s="21">
        <f t="shared" si="61"/>
        <v>-17.3</v>
      </c>
      <c r="BA3651" s="42">
        <v>-17.3</v>
      </c>
    </row>
    <row r="3652" spans="1:214" x14ac:dyDescent="0.25">
      <c r="A3652" s="127">
        <v>45240</v>
      </c>
      <c r="B3652" s="24" t="s">
        <v>75</v>
      </c>
      <c r="C3652" s="21">
        <f t="shared" si="61"/>
        <v>-17.145</v>
      </c>
      <c r="BI3652" s="106">
        <v>-8.3849999999999998</v>
      </c>
      <c r="BM3652" s="88">
        <v>-8.76</v>
      </c>
    </row>
    <row r="3653" spans="1:214" x14ac:dyDescent="0.25">
      <c r="A3653" s="127">
        <v>45241</v>
      </c>
      <c r="B3653" s="24" t="s">
        <v>37</v>
      </c>
      <c r="C3653" s="21">
        <f t="shared" si="61"/>
        <v>-63.17</v>
      </c>
      <c r="HF3653" s="92">
        <v>-63.17</v>
      </c>
    </row>
    <row r="3654" spans="1:214" x14ac:dyDescent="0.25">
      <c r="A3654" s="127">
        <v>45243</v>
      </c>
      <c r="B3654" s="24" t="s">
        <v>29</v>
      </c>
      <c r="C3654" s="21">
        <f t="shared" si="61"/>
        <v>-16.899999999999999</v>
      </c>
      <c r="DE3654" s="74">
        <f>-8.45-8.45</f>
        <v>-16.899999999999999</v>
      </c>
    </row>
    <row r="3655" spans="1:214" x14ac:dyDescent="0.25">
      <c r="A3655" s="127">
        <v>45243</v>
      </c>
      <c r="B3655" s="24" t="s">
        <v>59</v>
      </c>
      <c r="C3655" s="21">
        <f t="shared" si="61"/>
        <v>-10.06</v>
      </c>
      <c r="Z3655" s="79">
        <v>-1.52</v>
      </c>
      <c r="CA3655" s="106">
        <v>-5</v>
      </c>
      <c r="CG3655" s="106">
        <v>-3.54</v>
      </c>
    </row>
    <row r="3656" spans="1:214" x14ac:dyDescent="0.25">
      <c r="A3656" s="127">
        <v>45244</v>
      </c>
      <c r="B3656" s="24" t="s">
        <v>184</v>
      </c>
      <c r="C3656" s="21">
        <f t="shared" si="61"/>
        <v>-154.68</v>
      </c>
      <c r="M3656" s="92">
        <v>-13.88</v>
      </c>
      <c r="Z3656" s="79">
        <v>-9.5299999999999994</v>
      </c>
      <c r="AN3656" s="106">
        <v>-8.64</v>
      </c>
      <c r="AW3656" s="106">
        <v>-7.08</v>
      </c>
      <c r="BI3656" s="106">
        <v>-17.29</v>
      </c>
      <c r="BO3656" s="106">
        <v>-24.725000000000001</v>
      </c>
      <c r="BU3656" s="106">
        <v>-33.725000000000001</v>
      </c>
      <c r="CA3656" s="106">
        <v>-7.98</v>
      </c>
      <c r="CG3656" s="106">
        <v>-31.83</v>
      </c>
    </row>
    <row r="3657" spans="1:214" x14ac:dyDescent="0.25">
      <c r="A3657" s="127">
        <v>45244</v>
      </c>
      <c r="B3657" s="24" t="s">
        <v>113</v>
      </c>
      <c r="C3657" s="21">
        <f t="shared" si="61"/>
        <v>1005.17</v>
      </c>
      <c r="AN3657" s="106">
        <v>68.974999999999994</v>
      </c>
      <c r="BC3657" s="106">
        <v>179.63</v>
      </c>
      <c r="BO3657" s="106">
        <v>158.44499999999999</v>
      </c>
      <c r="BU3657" s="106">
        <v>166.19499999999999</v>
      </c>
      <c r="CG3657" s="106">
        <v>159.46</v>
      </c>
      <c r="CY3657" s="106">
        <v>139.18</v>
      </c>
      <c r="EA3657" s="74">
        <v>133.285</v>
      </c>
    </row>
    <row r="3658" spans="1:214" x14ac:dyDescent="0.25">
      <c r="A3658" s="127">
        <v>45244</v>
      </c>
      <c r="B3658" s="24" t="s">
        <v>75</v>
      </c>
      <c r="C3658" s="21">
        <f t="shared" si="61"/>
        <v>-35.74</v>
      </c>
      <c r="AW3658" s="106">
        <v>-17.66</v>
      </c>
      <c r="BC3658" s="106">
        <v>-18.079999999999998</v>
      </c>
    </row>
    <row r="3659" spans="1:214" x14ac:dyDescent="0.25">
      <c r="A3659" s="127">
        <v>45244</v>
      </c>
      <c r="B3659" s="24" t="s">
        <v>29</v>
      </c>
      <c r="C3659" s="21">
        <f t="shared" si="61"/>
        <v>-16.239999999999998</v>
      </c>
      <c r="BO3659" s="106">
        <v>-8</v>
      </c>
      <c r="BU3659" s="106">
        <v>-8.24</v>
      </c>
    </row>
    <row r="3660" spans="1:214" x14ac:dyDescent="0.25">
      <c r="A3660" s="127">
        <v>45244</v>
      </c>
      <c r="B3660" s="24" t="s">
        <v>59</v>
      </c>
      <c r="C3660" s="21">
        <f t="shared" si="61"/>
        <v>-24.85</v>
      </c>
      <c r="N3660" s="42">
        <v>-7.76</v>
      </c>
      <c r="P3660" s="106">
        <v>-17.09</v>
      </c>
    </row>
    <row r="3661" spans="1:214" x14ac:dyDescent="0.25">
      <c r="A3661" s="127">
        <v>45244</v>
      </c>
      <c r="B3661" s="24" t="s">
        <v>17</v>
      </c>
      <c r="C3661" s="21">
        <f t="shared" si="61"/>
        <v>-191.35</v>
      </c>
      <c r="AC3661" s="106">
        <v>-8.18</v>
      </c>
      <c r="AR3661" s="106">
        <v>-8.49</v>
      </c>
      <c r="BC3661" s="106">
        <v>-17.940000000000001</v>
      </c>
      <c r="BI3661" s="106">
        <v>-27.135000000000002</v>
      </c>
      <c r="BO3661" s="106">
        <v>-15.41</v>
      </c>
      <c r="CA3661" s="106">
        <v>-8.0649999999999995</v>
      </c>
      <c r="CG3661" s="106">
        <v>-15.84</v>
      </c>
      <c r="CY3661" s="106">
        <v>-17.355</v>
      </c>
      <c r="DE3661" s="74">
        <v>-16.62</v>
      </c>
      <c r="DK3661" s="106">
        <v>-17.72</v>
      </c>
      <c r="DP3661" s="74">
        <v>-17.13</v>
      </c>
      <c r="EZ3661" s="92">
        <v>-21.465</v>
      </c>
    </row>
    <row r="3662" spans="1:214" x14ac:dyDescent="0.25">
      <c r="A3662" s="127">
        <v>45244</v>
      </c>
      <c r="B3662" s="24" t="s">
        <v>32</v>
      </c>
      <c r="C3662" s="21">
        <f t="shared" si="61"/>
        <v>-34.89</v>
      </c>
      <c r="DP3662" s="74">
        <v>-34.89</v>
      </c>
    </row>
    <row r="3663" spans="1:214" x14ac:dyDescent="0.25">
      <c r="A3663" s="127">
        <v>45244</v>
      </c>
      <c r="B3663" s="24" t="s">
        <v>176</v>
      </c>
      <c r="C3663" s="21">
        <f t="shared" si="61"/>
        <v>-14.164999999999999</v>
      </c>
      <c r="D3663" s="386">
        <v>-14.164999999999999</v>
      </c>
    </row>
    <row r="3664" spans="1:214" x14ac:dyDescent="0.25">
      <c r="A3664" s="127">
        <v>45245</v>
      </c>
      <c r="B3664" s="24" t="s">
        <v>44</v>
      </c>
      <c r="C3664" s="21">
        <f t="shared" si="61"/>
        <v>-333.42500000000001</v>
      </c>
      <c r="BO3664" s="106">
        <v>-64.430000000000007</v>
      </c>
      <c r="GK3664" s="79">
        <v>-23.68</v>
      </c>
      <c r="GQ3664" s="92">
        <v>-212.375</v>
      </c>
      <c r="GZ3664" s="106">
        <v>-32.94</v>
      </c>
    </row>
    <row r="3665" spans="1:156" x14ac:dyDescent="0.25">
      <c r="A3665" s="127">
        <v>45245</v>
      </c>
      <c r="B3665" s="24" t="s">
        <v>133</v>
      </c>
      <c r="C3665" s="21">
        <f t="shared" si="61"/>
        <v>-176.23</v>
      </c>
      <c r="Z3665" s="79">
        <v>-29.93</v>
      </c>
      <c r="AC3665" s="106">
        <v>-32.380000000000003</v>
      </c>
      <c r="AN3665" s="106">
        <v>-17.260000000000002</v>
      </c>
      <c r="AR3665" s="106">
        <v>-34.08</v>
      </c>
      <c r="AW3665" s="106">
        <v>-32.799999999999997</v>
      </c>
      <c r="BO3665" s="106">
        <v>-29.78</v>
      </c>
    </row>
    <row r="3666" spans="1:156" x14ac:dyDescent="0.25">
      <c r="A3666" s="127">
        <v>45246</v>
      </c>
      <c r="B3666" s="24" t="s">
        <v>50</v>
      </c>
      <c r="C3666" s="21">
        <f t="shared" si="61"/>
        <v>-137.81</v>
      </c>
      <c r="DP3666" s="74">
        <v>-137.81</v>
      </c>
    </row>
    <row r="3667" spans="1:156" x14ac:dyDescent="0.25">
      <c r="A3667" s="127">
        <v>45246</v>
      </c>
      <c r="B3667" s="24" t="s">
        <v>50</v>
      </c>
      <c r="C3667" s="21">
        <f t="shared" si="61"/>
        <v>-43.145000000000003</v>
      </c>
      <c r="EZ3667" s="92">
        <v>-43.145000000000003</v>
      </c>
    </row>
    <row r="3668" spans="1:156" x14ac:dyDescent="0.25">
      <c r="A3668" s="127">
        <v>45246</v>
      </c>
      <c r="B3668" s="24" t="s">
        <v>65</v>
      </c>
      <c r="C3668" s="21">
        <f t="shared" si="61"/>
        <v>-62.33</v>
      </c>
      <c r="AW3668" s="106">
        <v>-62.33</v>
      </c>
    </row>
    <row r="3669" spans="1:156" x14ac:dyDescent="0.25">
      <c r="A3669" s="127">
        <v>45246</v>
      </c>
      <c r="B3669" s="24" t="s">
        <v>139</v>
      </c>
      <c r="C3669" s="21">
        <f t="shared" si="61"/>
        <v>-58.515000000000001</v>
      </c>
      <c r="BU3669" s="106">
        <v>-8.57</v>
      </c>
      <c r="CG3669" s="106">
        <v>-15.86</v>
      </c>
      <c r="CM3669" s="106">
        <v>-16.68</v>
      </c>
      <c r="CY3669" s="106">
        <v>-17.405000000000001</v>
      </c>
    </row>
    <row r="3670" spans="1:156" x14ac:dyDescent="0.25">
      <c r="A3670" s="127">
        <v>45246</v>
      </c>
      <c r="B3670" s="24" t="s">
        <v>184</v>
      </c>
      <c r="C3670" s="21">
        <f t="shared" si="61"/>
        <v>-572.12800000000004</v>
      </c>
      <c r="AC3670" s="106">
        <v>-16.27</v>
      </c>
      <c r="AN3670" s="106">
        <v>-8.5500000000000007</v>
      </c>
      <c r="AR3670" s="106">
        <v>-8.5380000000000003</v>
      </c>
      <c r="BI3670" s="106">
        <v>-36.314999999999998</v>
      </c>
      <c r="BM3670" s="88">
        <f>-8.77-8.78-8.75</f>
        <v>-26.3</v>
      </c>
      <c r="BO3670" s="106">
        <v>-8.1300000000000008</v>
      </c>
      <c r="BU3670" s="106">
        <v>-66.8</v>
      </c>
      <c r="CA3670" s="106">
        <v>-64.314999999999998</v>
      </c>
      <c r="CG3670" s="106">
        <v>-31.83</v>
      </c>
      <c r="DE3670" s="74">
        <v>-33.83</v>
      </c>
      <c r="DK3670" s="106">
        <v>-35.369999999999997</v>
      </c>
      <c r="DP3670" s="74">
        <v>-34.39</v>
      </c>
      <c r="DU3670" s="106">
        <v>-34.97</v>
      </c>
      <c r="EA3670" s="74">
        <v>-99.855000000000004</v>
      </c>
      <c r="EG3670" s="74">
        <v>-66.665000000000006</v>
      </c>
    </row>
    <row r="3671" spans="1:156" x14ac:dyDescent="0.25">
      <c r="A3671" s="127">
        <v>45247</v>
      </c>
      <c r="B3671" s="24" t="s">
        <v>138</v>
      </c>
      <c r="C3671" s="21">
        <f t="shared" si="61"/>
        <v>-32.104999999999997</v>
      </c>
      <c r="AC3671" s="106">
        <v>-8.3800000000000008</v>
      </c>
      <c r="AR3671" s="106">
        <v>-7.41</v>
      </c>
      <c r="CG3671" s="106">
        <v>-8.3149999999999995</v>
      </c>
      <c r="CM3671" s="106">
        <v>-8</v>
      </c>
    </row>
    <row r="3672" spans="1:156" x14ac:dyDescent="0.25">
      <c r="A3672" s="127">
        <v>45247</v>
      </c>
      <c r="B3672" s="24" t="s">
        <v>20</v>
      </c>
      <c r="C3672" s="21">
        <f t="shared" si="61"/>
        <v>-17.32</v>
      </c>
      <c r="BI3672" s="106">
        <v>-9.09</v>
      </c>
      <c r="BU3672" s="106">
        <v>-8.23</v>
      </c>
    </row>
    <row r="3673" spans="1:156" x14ac:dyDescent="0.25">
      <c r="A3673" s="127">
        <v>45250</v>
      </c>
      <c r="B3673" s="24" t="s">
        <v>48</v>
      </c>
      <c r="C3673" s="21">
        <f t="shared" si="61"/>
        <v>35.229999999999997</v>
      </c>
      <c r="DY3673" s="42">
        <v>35.229999999999997</v>
      </c>
    </row>
    <row r="3674" spans="1:156" x14ac:dyDescent="0.25">
      <c r="A3674" s="127">
        <v>45250</v>
      </c>
      <c r="B3674" s="24" t="s">
        <v>139</v>
      </c>
      <c r="C3674" s="21">
        <f t="shared" si="61"/>
        <v>-24.31</v>
      </c>
      <c r="BU3674" s="106">
        <v>-8.2650000000000006</v>
      </c>
      <c r="CA3674" s="106">
        <v>-8.0250000000000004</v>
      </c>
      <c r="CM3674" s="106">
        <v>-8.02</v>
      </c>
    </row>
    <row r="3675" spans="1:156" x14ac:dyDescent="0.25">
      <c r="A3675" s="127">
        <v>45250</v>
      </c>
      <c r="B3675" s="24" t="s">
        <v>162</v>
      </c>
      <c r="C3675" s="21">
        <f t="shared" si="61"/>
        <v>-34.335000000000001</v>
      </c>
      <c r="CY3675" s="106">
        <v>-17.414999999999999</v>
      </c>
      <c r="DE3675" s="74">
        <v>-16.920000000000002</v>
      </c>
    </row>
    <row r="3676" spans="1:156" x14ac:dyDescent="0.25">
      <c r="A3676" s="127">
        <v>45250</v>
      </c>
      <c r="B3676" s="24" t="s">
        <v>17</v>
      </c>
      <c r="C3676" s="21">
        <f t="shared" si="61"/>
        <v>-17.195</v>
      </c>
      <c r="BI3676" s="106">
        <v>-9.1050000000000004</v>
      </c>
      <c r="CM3676" s="106">
        <v>-8.09</v>
      </c>
    </row>
    <row r="3677" spans="1:156" x14ac:dyDescent="0.25">
      <c r="A3677" s="127">
        <v>45251</v>
      </c>
      <c r="B3677" s="24" t="s">
        <v>151</v>
      </c>
      <c r="C3677" s="21">
        <f t="shared" si="61"/>
        <v>-101.46</v>
      </c>
      <c r="DY3677" s="42">
        <v>-35.229999999999997</v>
      </c>
      <c r="EA3677" s="74">
        <v>-66.23</v>
      </c>
    </row>
    <row r="3678" spans="1:156" x14ac:dyDescent="0.25">
      <c r="A3678" s="127">
        <v>45251</v>
      </c>
      <c r="B3678" s="24" t="s">
        <v>32</v>
      </c>
      <c r="C3678" s="21">
        <f t="shared" si="61"/>
        <v>-158.61500000000001</v>
      </c>
      <c r="DE3678" s="74">
        <v>-16.97</v>
      </c>
      <c r="DK3678" s="106">
        <v>-133.11500000000001</v>
      </c>
      <c r="DP3678" s="74">
        <v>-8.5299999999999994</v>
      </c>
    </row>
    <row r="3679" spans="1:156" x14ac:dyDescent="0.25">
      <c r="A3679" s="127">
        <v>45251</v>
      </c>
      <c r="B3679" s="24" t="s">
        <v>78</v>
      </c>
      <c r="C3679" s="21">
        <f t="shared" si="61"/>
        <v>-25.28</v>
      </c>
      <c r="BI3679" s="106">
        <v>-9.09</v>
      </c>
      <c r="BU3679" s="106">
        <v>-8.2149999999999999</v>
      </c>
      <c r="CG3679" s="106">
        <v>-7.9749999999999996</v>
      </c>
    </row>
    <row r="3680" spans="1:156" x14ac:dyDescent="0.25">
      <c r="A3680" s="127">
        <v>45251</v>
      </c>
      <c r="B3680" s="24" t="s">
        <v>78</v>
      </c>
      <c r="C3680" s="21">
        <f t="shared" si="61"/>
        <v>-16.260000000000002</v>
      </c>
      <c r="CM3680" s="106">
        <v>-16.260000000000002</v>
      </c>
    </row>
    <row r="3681" spans="1:241" x14ac:dyDescent="0.25">
      <c r="A3681" s="127">
        <v>45251</v>
      </c>
      <c r="B3681" s="24" t="s">
        <v>133</v>
      </c>
      <c r="C3681" s="21">
        <f t="shared" si="61"/>
        <v>-137.73500000000001</v>
      </c>
      <c r="AN3681" s="106">
        <v>-34.524999999999999</v>
      </c>
      <c r="BC3681" s="106">
        <v>-35.93</v>
      </c>
      <c r="BI3681" s="106">
        <v>-18.190000000000001</v>
      </c>
      <c r="CA3681" s="106">
        <v>-33.115000000000002</v>
      </c>
      <c r="CG3681" s="106">
        <v>-15.975</v>
      </c>
    </row>
    <row r="3682" spans="1:241" x14ac:dyDescent="0.25">
      <c r="A3682" s="127">
        <v>45252</v>
      </c>
      <c r="B3682" s="24" t="s">
        <v>17</v>
      </c>
      <c r="C3682" s="21">
        <f t="shared" si="61"/>
        <v>-42.73</v>
      </c>
      <c r="AR3682" s="106">
        <v>-8.48</v>
      </c>
      <c r="BC3682" s="106">
        <v>-9.0399999999999991</v>
      </c>
      <c r="BI3682" s="106">
        <v>-9.19</v>
      </c>
      <c r="CA3682" s="106">
        <v>-16.02</v>
      </c>
    </row>
    <row r="3683" spans="1:241" x14ac:dyDescent="0.25">
      <c r="A3683" s="127">
        <v>45252</v>
      </c>
      <c r="B3683" s="24" t="s">
        <v>50</v>
      </c>
      <c r="C3683" s="21">
        <f t="shared" si="61"/>
        <v>-165.04</v>
      </c>
      <c r="GZ3683" s="106">
        <v>-165.04</v>
      </c>
    </row>
    <row r="3684" spans="1:241" x14ac:dyDescent="0.25">
      <c r="A3684" s="127">
        <v>45253</v>
      </c>
      <c r="B3684" s="24" t="s">
        <v>50</v>
      </c>
      <c r="C3684" s="21">
        <f t="shared" si="61"/>
        <v>95.83</v>
      </c>
      <c r="IG3684" s="38">
        <v>95.83</v>
      </c>
    </row>
    <row r="3685" spans="1:241" x14ac:dyDescent="0.25">
      <c r="A3685" s="127">
        <v>45253</v>
      </c>
      <c r="B3685" s="24" t="s">
        <v>113</v>
      </c>
      <c r="C3685" s="21">
        <f t="shared" si="61"/>
        <v>1032.395</v>
      </c>
      <c r="AN3685" s="106">
        <v>69</v>
      </c>
      <c r="BI3685" s="106">
        <f>89.32+35.91</f>
        <v>125.23</v>
      </c>
      <c r="BO3685" s="106">
        <v>136.6</v>
      </c>
      <c r="BU3685" s="106">
        <v>114.95</v>
      </c>
      <c r="CA3685" s="106">
        <v>81.224999999999994</v>
      </c>
      <c r="CG3685" s="106">
        <v>101.17</v>
      </c>
      <c r="CS3685" s="74">
        <v>83.8</v>
      </c>
      <c r="DE3685" s="74">
        <v>69.09</v>
      </c>
      <c r="DK3685" s="106">
        <v>65.275000000000006</v>
      </c>
      <c r="DU3685" s="106">
        <v>68.38</v>
      </c>
      <c r="EA3685" s="74">
        <v>117.675</v>
      </c>
    </row>
    <row r="3686" spans="1:241" x14ac:dyDescent="0.25">
      <c r="A3686" s="127">
        <v>45253</v>
      </c>
      <c r="B3686" s="24" t="s">
        <v>165</v>
      </c>
      <c r="C3686" s="21">
        <f t="shared" si="61"/>
        <v>-201.21</v>
      </c>
      <c r="Z3686" s="79">
        <v>-7.48</v>
      </c>
      <c r="AR3686" s="106">
        <v>-17.149999999999999</v>
      </c>
      <c r="AW3686" s="106">
        <v>-16.05</v>
      </c>
      <c r="BC3686" s="106">
        <v>-17.945</v>
      </c>
      <c r="BI3686" s="106">
        <v>-18.38</v>
      </c>
      <c r="BO3686" s="106">
        <v>-25.31</v>
      </c>
      <c r="BU3686" s="106">
        <v>-24.5</v>
      </c>
      <c r="CA3686" s="106">
        <v>-24.14</v>
      </c>
      <c r="CG3686" s="106">
        <v>-8.5350000000000001</v>
      </c>
      <c r="CM3686" s="106">
        <v>-16.36</v>
      </c>
      <c r="CS3686" s="74">
        <v>-8.2200000000000006</v>
      </c>
      <c r="CY3686" s="106">
        <v>-8.73</v>
      </c>
      <c r="DE3686" s="74">
        <v>-8.41</v>
      </c>
    </row>
    <row r="3687" spans="1:241" x14ac:dyDescent="0.25">
      <c r="A3687" s="127">
        <v>45254</v>
      </c>
      <c r="B3687" s="24" t="s">
        <v>130</v>
      </c>
      <c r="C3687" s="21">
        <f t="shared" si="61"/>
        <v>-5.81</v>
      </c>
      <c r="AR3687" s="106">
        <v>-5.81</v>
      </c>
    </row>
    <row r="3688" spans="1:241" x14ac:dyDescent="0.25">
      <c r="A3688" s="127">
        <v>45254</v>
      </c>
      <c r="B3688" s="24" t="s">
        <v>29</v>
      </c>
      <c r="C3688" s="21">
        <f t="shared" si="61"/>
        <v>-5.5</v>
      </c>
      <c r="AC3688" s="106">
        <v>-5.5</v>
      </c>
    </row>
    <row r="3689" spans="1:241" x14ac:dyDescent="0.25">
      <c r="A3689" s="127">
        <v>45254</v>
      </c>
      <c r="B3689" s="24" t="s">
        <v>79</v>
      </c>
      <c r="C3689" s="21">
        <f t="shared" si="61"/>
        <v>-7.65</v>
      </c>
      <c r="V3689" s="74">
        <v>-7.65</v>
      </c>
    </row>
    <row r="3690" spans="1:241" x14ac:dyDescent="0.25">
      <c r="A3690" s="127">
        <v>45254</v>
      </c>
      <c r="B3690" s="24" t="s">
        <v>20</v>
      </c>
      <c r="C3690" s="21">
        <f t="shared" si="61"/>
        <v>-17.75</v>
      </c>
      <c r="I3690" s="84">
        <v>-4.55</v>
      </c>
      <c r="M3690" s="92">
        <v>-4.82</v>
      </c>
      <c r="AW3690" s="106">
        <v>-8.3800000000000008</v>
      </c>
    </row>
    <row r="3691" spans="1:241" x14ac:dyDescent="0.25">
      <c r="A3691" s="127">
        <v>45254</v>
      </c>
      <c r="B3691" s="24" t="s">
        <v>115</v>
      </c>
      <c r="C3691" s="21">
        <f t="shared" si="61"/>
        <v>0</v>
      </c>
    </row>
    <row r="3692" spans="1:241" x14ac:dyDescent="0.25">
      <c r="A3692" s="127">
        <v>45254</v>
      </c>
      <c r="B3692" s="24" t="s">
        <v>115</v>
      </c>
      <c r="C3692" s="21">
        <f t="shared" si="61"/>
        <v>101.75</v>
      </c>
      <c r="E3692" s="386">
        <v>101.75</v>
      </c>
    </row>
    <row r="3693" spans="1:241" x14ac:dyDescent="0.25">
      <c r="A3693" s="127">
        <v>45254</v>
      </c>
      <c r="B3693" s="24" t="s">
        <v>17</v>
      </c>
      <c r="C3693" s="21">
        <f t="shared" si="61"/>
        <v>-8.4700000000000006</v>
      </c>
      <c r="CA3693" s="106">
        <v>-8.4700000000000006</v>
      </c>
    </row>
    <row r="3694" spans="1:241" x14ac:dyDescent="0.25">
      <c r="A3694" s="127">
        <v>45254</v>
      </c>
      <c r="B3694" s="24" t="s">
        <v>32</v>
      </c>
      <c r="C3694" s="21">
        <f t="shared" si="61"/>
        <v>-24.86</v>
      </c>
      <c r="DU3694" s="106">
        <v>-16.649999999999999</v>
      </c>
      <c r="EA3694" s="74">
        <v>-8.2100000000000009</v>
      </c>
    </row>
    <row r="3695" spans="1:241" x14ac:dyDescent="0.25">
      <c r="A3695" s="127">
        <v>45254</v>
      </c>
      <c r="B3695" s="24" t="s">
        <v>133</v>
      </c>
      <c r="C3695" s="21">
        <f t="shared" si="61"/>
        <v>-171.22</v>
      </c>
      <c r="BC3695" s="106">
        <v>-35.865000000000002</v>
      </c>
      <c r="BI3695" s="106">
        <v>-35.365000000000002</v>
      </c>
      <c r="BO3695" s="106">
        <v>-34.130000000000003</v>
      </c>
      <c r="BU3695" s="106">
        <v>-32.94</v>
      </c>
      <c r="CM3695" s="106">
        <v>-32.92</v>
      </c>
    </row>
    <row r="3696" spans="1:241" x14ac:dyDescent="0.25">
      <c r="A3696" s="127">
        <v>45254</v>
      </c>
      <c r="B3696" s="24" t="s">
        <v>184</v>
      </c>
      <c r="C3696" s="21">
        <f t="shared" si="61"/>
        <v>-32.35</v>
      </c>
      <c r="CA3696" s="106">
        <v>-32.35</v>
      </c>
    </row>
    <row r="3697" spans="1:214" x14ac:dyDescent="0.25">
      <c r="A3697" s="127">
        <v>45254</v>
      </c>
      <c r="B3697" s="24" t="s">
        <v>167</v>
      </c>
      <c r="C3697" s="21">
        <f t="shared" ref="C3697:C3760" si="62">SUM(D3697:JT3697)</f>
        <v>-25.26</v>
      </c>
      <c r="E3697" s="386">
        <v>-25.26</v>
      </c>
    </row>
    <row r="3698" spans="1:214" x14ac:dyDescent="0.25">
      <c r="A3698" s="127">
        <v>45254</v>
      </c>
      <c r="B3698" s="24" t="s">
        <v>174</v>
      </c>
      <c r="C3698" s="21">
        <f t="shared" si="62"/>
        <v>-42.255000000000003</v>
      </c>
      <c r="CG3698" s="106">
        <v>-17.035</v>
      </c>
      <c r="CM3698" s="106">
        <v>-25.22</v>
      </c>
    </row>
    <row r="3699" spans="1:214" x14ac:dyDescent="0.25">
      <c r="A3699" s="127">
        <v>45257</v>
      </c>
      <c r="B3699" s="24" t="s">
        <v>149</v>
      </c>
      <c r="C3699" s="21">
        <f t="shared" si="62"/>
        <v>-8.61</v>
      </c>
      <c r="AR3699" s="106">
        <v>-8.61</v>
      </c>
    </row>
    <row r="3700" spans="1:214" x14ac:dyDescent="0.25">
      <c r="A3700" s="127">
        <v>45257</v>
      </c>
      <c r="B3700" s="24" t="s">
        <v>75</v>
      </c>
      <c r="C3700" s="21">
        <f t="shared" si="62"/>
        <v>-33.64</v>
      </c>
      <c r="AR3700" s="106">
        <v>-17.22</v>
      </c>
      <c r="BU3700" s="106">
        <v>-16.420000000000002</v>
      </c>
    </row>
    <row r="3701" spans="1:214" x14ac:dyDescent="0.25">
      <c r="A3701" s="127">
        <v>45257</v>
      </c>
      <c r="B3701" s="24" t="s">
        <v>39</v>
      </c>
      <c r="C3701" s="21">
        <f t="shared" si="62"/>
        <v>-33.965000000000003</v>
      </c>
      <c r="BC3701" s="106">
        <v>-8.9250000000000007</v>
      </c>
      <c r="BI3701" s="106">
        <v>-9.0350000000000001</v>
      </c>
      <c r="BO3701" s="106">
        <v>-8.4849999999999994</v>
      </c>
      <c r="CA3701" s="106">
        <v>-7.52</v>
      </c>
    </row>
    <row r="3702" spans="1:214" x14ac:dyDescent="0.25">
      <c r="A3702" s="127">
        <v>45257</v>
      </c>
      <c r="B3702" s="24" t="s">
        <v>44</v>
      </c>
      <c r="C3702" s="21">
        <f t="shared" si="62"/>
        <v>-64.834999999999994</v>
      </c>
      <c r="GQ3702" s="92">
        <v>-64.834999999999994</v>
      </c>
    </row>
    <row r="3703" spans="1:214" x14ac:dyDescent="0.25">
      <c r="A3703" s="127">
        <v>45258</v>
      </c>
      <c r="B3703" s="24" t="s">
        <v>113</v>
      </c>
      <c r="C3703" s="21">
        <f t="shared" si="62"/>
        <v>2088.0549999999998</v>
      </c>
      <c r="AG3703" s="106">
        <v>69.234999999999999</v>
      </c>
      <c r="AN3703" s="106">
        <v>69.295000000000002</v>
      </c>
      <c r="AR3703" s="106">
        <v>74.325000000000003</v>
      </c>
      <c r="AW3703" s="106">
        <v>106.1</v>
      </c>
      <c r="BC3703" s="106">
        <v>216.32</v>
      </c>
      <c r="BI3703" s="106">
        <v>213.53</v>
      </c>
      <c r="BO3703" s="106">
        <v>34.299999999999997</v>
      </c>
      <c r="BU3703" s="106">
        <v>65.834999999999994</v>
      </c>
      <c r="CA3703" s="106">
        <v>98.25</v>
      </c>
      <c r="CG3703" s="106">
        <f>75.89+242.25</f>
        <v>318.14</v>
      </c>
      <c r="CS3703" s="74">
        <v>206.04</v>
      </c>
      <c r="CY3703" s="106">
        <v>104.655</v>
      </c>
      <c r="DE3703" s="74">
        <v>68.045000000000002</v>
      </c>
      <c r="DK3703" s="106">
        <v>98.004999999999995</v>
      </c>
      <c r="DP3703" s="74">
        <v>63.99</v>
      </c>
      <c r="DU3703" s="106">
        <v>68.305000000000007</v>
      </c>
      <c r="EA3703" s="74">
        <v>103.58</v>
      </c>
      <c r="HF3703" s="92">
        <v>110.105</v>
      </c>
    </row>
    <row r="3704" spans="1:214" x14ac:dyDescent="0.25">
      <c r="A3704" s="127">
        <v>45258</v>
      </c>
      <c r="B3704" s="24" t="s">
        <v>152</v>
      </c>
      <c r="C3704" s="21">
        <f t="shared" si="62"/>
        <v>-848.43499999999995</v>
      </c>
      <c r="V3704" s="74">
        <v>-29.41</v>
      </c>
      <c r="AC3704" s="106">
        <v>-55.97</v>
      </c>
      <c r="AD3704" s="115">
        <v>-7.4950000000000001</v>
      </c>
      <c r="AG3704" s="106">
        <v>-69.234999999999999</v>
      </c>
      <c r="AN3704" s="106">
        <v>-34.715000000000003</v>
      </c>
      <c r="AR3704" s="106">
        <v>-37.325000000000003</v>
      </c>
      <c r="BI3704" s="106">
        <v>-35.695</v>
      </c>
      <c r="BU3704" s="106">
        <v>-65.834999999999994</v>
      </c>
      <c r="CA3704" s="106">
        <v>-98.25</v>
      </c>
      <c r="CG3704" s="106">
        <v>-102.14</v>
      </c>
      <c r="CM3704" s="106">
        <v>-64.239999999999995</v>
      </c>
      <c r="CS3704" s="74">
        <v>-34.344999999999999</v>
      </c>
      <c r="CY3704" s="106">
        <v>-34.85</v>
      </c>
      <c r="DK3704" s="106">
        <v>-32.82</v>
      </c>
      <c r="DU3704" s="106">
        <v>-102.58</v>
      </c>
      <c r="FK3704" s="106">
        <v>-43.53</v>
      </c>
    </row>
    <row r="3705" spans="1:214" x14ac:dyDescent="0.25">
      <c r="A3705" s="127">
        <v>45258</v>
      </c>
      <c r="B3705" s="24" t="s">
        <v>32</v>
      </c>
      <c r="C3705" s="21">
        <f t="shared" si="62"/>
        <v>-293.58999999999997</v>
      </c>
      <c r="V3705" s="74">
        <v>-7.55</v>
      </c>
      <c r="AN3705" s="106">
        <v>-17.25</v>
      </c>
      <c r="AR3705" s="106">
        <v>-17.010000000000002</v>
      </c>
      <c r="BI3705" s="106">
        <v>-26.49</v>
      </c>
      <c r="BU3705" s="106">
        <v>-49.11</v>
      </c>
      <c r="CM3705" s="106">
        <v>-48.9</v>
      </c>
      <c r="CS3705" s="74">
        <v>-33.57</v>
      </c>
      <c r="CY3705" s="106">
        <v>-17.385000000000002</v>
      </c>
      <c r="DE3705" s="74">
        <v>-35.445</v>
      </c>
      <c r="DK3705" s="106">
        <v>-40.880000000000003</v>
      </c>
    </row>
    <row r="3706" spans="1:214" x14ac:dyDescent="0.25">
      <c r="A3706" s="127">
        <v>45258</v>
      </c>
      <c r="B3706" s="24" t="s">
        <v>184</v>
      </c>
      <c r="C3706" s="21">
        <f t="shared" si="62"/>
        <v>-66.415000000000006</v>
      </c>
      <c r="CM3706" s="106">
        <v>-32.43</v>
      </c>
      <c r="CS3706" s="74">
        <v>-16.635000000000002</v>
      </c>
      <c r="CY3706" s="106">
        <v>-17.350000000000001</v>
      </c>
    </row>
    <row r="3707" spans="1:214" x14ac:dyDescent="0.25">
      <c r="A3707" s="127">
        <v>45258</v>
      </c>
      <c r="B3707" s="24" t="s">
        <v>184</v>
      </c>
      <c r="C3707" s="21">
        <f t="shared" si="62"/>
        <v>-228</v>
      </c>
      <c r="V3707" s="74">
        <v>-30.6</v>
      </c>
      <c r="CG3707" s="106">
        <v>-63.63</v>
      </c>
      <c r="EG3707" s="74">
        <v>-68.739999999999995</v>
      </c>
      <c r="EP3707" s="74">
        <v>-65.03</v>
      </c>
    </row>
    <row r="3708" spans="1:214" x14ac:dyDescent="0.25">
      <c r="A3708" s="127">
        <v>45258</v>
      </c>
      <c r="B3708" s="24" t="s">
        <v>89</v>
      </c>
      <c r="C3708" s="21">
        <f t="shared" si="62"/>
        <v>-514.39499999999998</v>
      </c>
      <c r="AW3708" s="106">
        <v>-70.415000000000006</v>
      </c>
      <c r="BC3708" s="106">
        <v>-72.094999999999999</v>
      </c>
      <c r="BI3708" s="106">
        <v>-71.474999999999994</v>
      </c>
      <c r="BO3708" s="106">
        <v>-34.299999999999997</v>
      </c>
      <c r="BY3708" s="42">
        <v>-33.43</v>
      </c>
      <c r="CA3708" s="106">
        <v>-32.884999999999998</v>
      </c>
      <c r="CG3708" s="106">
        <v>-65.58</v>
      </c>
      <c r="CM3708" s="106">
        <v>-65.52</v>
      </c>
      <c r="CS3708" s="74">
        <v>-68.694999999999993</v>
      </c>
    </row>
    <row r="3709" spans="1:214" x14ac:dyDescent="0.25">
      <c r="A3709" s="127">
        <v>45258</v>
      </c>
      <c r="B3709" s="24" t="s">
        <v>152</v>
      </c>
      <c r="C3709" s="21">
        <f t="shared" si="62"/>
        <v>-448.05</v>
      </c>
      <c r="AW3709" s="106">
        <v>-35.685000000000002</v>
      </c>
      <c r="BC3709" s="106">
        <v>-35.96</v>
      </c>
      <c r="BI3709" s="106">
        <v>-35.524999999999999</v>
      </c>
      <c r="BO3709" s="106">
        <v>-34.395000000000003</v>
      </c>
      <c r="BY3709" s="42">
        <v>-35.200000000000003</v>
      </c>
      <c r="CG3709" s="106">
        <v>-33.314999999999998</v>
      </c>
      <c r="CS3709" s="74">
        <v>-34.384999999999998</v>
      </c>
      <c r="CY3709" s="106">
        <v>-34.92</v>
      </c>
      <c r="DE3709" s="74">
        <v>-34.200000000000003</v>
      </c>
      <c r="DP3709" s="74">
        <v>-32.21</v>
      </c>
      <c r="DU3709" s="106">
        <v>-34.104999999999997</v>
      </c>
      <c r="EA3709" s="74">
        <v>-68.150000000000006</v>
      </c>
    </row>
    <row r="3710" spans="1:214" x14ac:dyDescent="0.25">
      <c r="A3710" s="127">
        <v>45259</v>
      </c>
      <c r="B3710" s="24" t="s">
        <v>20</v>
      </c>
      <c r="C3710" s="21">
        <f t="shared" si="62"/>
        <v>-9.3350000000000009</v>
      </c>
      <c r="AR3710" s="106">
        <v>-9.3350000000000009</v>
      </c>
    </row>
    <row r="3711" spans="1:214" x14ac:dyDescent="0.25">
      <c r="A3711" s="127">
        <v>45260</v>
      </c>
      <c r="B3711" s="24" t="s">
        <v>29</v>
      </c>
      <c r="C3711" s="21">
        <f t="shared" si="62"/>
        <v>-25.465</v>
      </c>
      <c r="Z3711" s="79">
        <v>-7.51</v>
      </c>
      <c r="BC3711" s="106">
        <v>-9.0549999999999997</v>
      </c>
      <c r="BI3711" s="106">
        <v>-8.9</v>
      </c>
    </row>
    <row r="3712" spans="1:214" x14ac:dyDescent="0.25">
      <c r="A3712" s="127">
        <v>45260</v>
      </c>
      <c r="B3712" s="24" t="s">
        <v>33</v>
      </c>
      <c r="C3712" s="21">
        <f t="shared" si="62"/>
        <v>-25.67</v>
      </c>
      <c r="BI3712" s="106">
        <v>-8.875</v>
      </c>
      <c r="BO3712" s="106">
        <v>-8.5549999999999997</v>
      </c>
      <c r="BU3712" s="106">
        <v>-8.24</v>
      </c>
    </row>
    <row r="3713" spans="1:227" x14ac:dyDescent="0.25">
      <c r="A3713" s="127">
        <v>45260</v>
      </c>
      <c r="B3713" s="24" t="s">
        <v>162</v>
      </c>
      <c r="C3713" s="21">
        <f t="shared" si="62"/>
        <v>-25.64</v>
      </c>
      <c r="CS3713" s="74">
        <v>-16.925000000000001</v>
      </c>
      <c r="CY3713" s="106">
        <v>-8.7149999999999999</v>
      </c>
    </row>
    <row r="3714" spans="1:227" x14ac:dyDescent="0.25">
      <c r="A3714" s="127">
        <v>45260</v>
      </c>
      <c r="B3714" s="24" t="s">
        <v>133</v>
      </c>
      <c r="C3714" s="21">
        <f t="shared" si="62"/>
        <v>-136.35</v>
      </c>
      <c r="CG3714" s="106">
        <v>-33.340000000000003</v>
      </c>
      <c r="CS3714" s="74">
        <v>-34.28</v>
      </c>
      <c r="CY3714" s="106">
        <v>-34.884999999999998</v>
      </c>
      <c r="DE3714" s="74">
        <v>-33.844999999999999</v>
      </c>
    </row>
    <row r="3715" spans="1:227" x14ac:dyDescent="0.25">
      <c r="A3715" s="127">
        <v>45260</v>
      </c>
      <c r="B3715" s="24" t="s">
        <v>186</v>
      </c>
      <c r="C3715" s="21">
        <f t="shared" si="62"/>
        <v>-59.32</v>
      </c>
      <c r="EA3715" s="74">
        <v>-59.32</v>
      </c>
    </row>
    <row r="3716" spans="1:227" x14ac:dyDescent="0.25">
      <c r="A3716" s="127">
        <v>45260</v>
      </c>
      <c r="B3716" s="24" t="s">
        <v>37</v>
      </c>
      <c r="C3716" s="21">
        <f t="shared" si="62"/>
        <v>-94.17</v>
      </c>
      <c r="HF3716" s="92">
        <v>-62.93</v>
      </c>
      <c r="HS3716" s="38">
        <v>-31.24</v>
      </c>
    </row>
    <row r="3717" spans="1:227" x14ac:dyDescent="0.25">
      <c r="A3717" s="127">
        <v>45260</v>
      </c>
      <c r="B3717" s="24" t="s">
        <v>184</v>
      </c>
      <c r="C3717" s="21">
        <f t="shared" si="62"/>
        <v>-66.655000000000001</v>
      </c>
      <c r="AR3717" s="106">
        <v>-9.2149999999999999</v>
      </c>
      <c r="AW3717" s="106">
        <v>-8.08</v>
      </c>
      <c r="BC3717" s="106">
        <v>-9.0500000000000007</v>
      </c>
      <c r="BI3717" s="106">
        <v>-8.875</v>
      </c>
      <c r="BO3717" s="106">
        <v>-16.594999999999999</v>
      </c>
      <c r="BU3717" s="106">
        <v>-8.24</v>
      </c>
      <c r="CA3717" s="106">
        <v>-6.6</v>
      </c>
    </row>
    <row r="3718" spans="1:227" x14ac:dyDescent="0.25">
      <c r="A3718" s="127">
        <v>45260</v>
      </c>
      <c r="B3718" s="24" t="s">
        <v>37</v>
      </c>
      <c r="C3718" s="21">
        <f t="shared" si="62"/>
        <v>-466.98</v>
      </c>
      <c r="HJ3718" s="79">
        <v>-466.98</v>
      </c>
    </row>
    <row r="3719" spans="1:227" x14ac:dyDescent="0.25">
      <c r="A3719" s="127">
        <v>45261</v>
      </c>
      <c r="B3719" s="24" t="s">
        <v>44</v>
      </c>
      <c r="C3719" s="21">
        <f t="shared" si="62"/>
        <v>-31.48</v>
      </c>
      <c r="HF3719" s="92">
        <v>-31.48</v>
      </c>
    </row>
    <row r="3720" spans="1:227" x14ac:dyDescent="0.25">
      <c r="A3720" s="127">
        <v>45261</v>
      </c>
      <c r="B3720" s="24" t="s">
        <v>37</v>
      </c>
      <c r="C3720" s="21">
        <f t="shared" si="62"/>
        <v>-292.08</v>
      </c>
      <c r="HM3720" s="106">
        <v>-126.36</v>
      </c>
      <c r="HP3720" s="92">
        <v>-133.94999999999999</v>
      </c>
      <c r="HS3720" s="38">
        <v>-31.77</v>
      </c>
    </row>
    <row r="3721" spans="1:227" x14ac:dyDescent="0.25">
      <c r="A3721" s="127">
        <v>45261</v>
      </c>
      <c r="B3721" s="24" t="s">
        <v>184</v>
      </c>
      <c r="C3721" s="21">
        <f t="shared" si="62"/>
        <v>0</v>
      </c>
    </row>
    <row r="3722" spans="1:227" x14ac:dyDescent="0.25">
      <c r="A3722" s="127">
        <v>45264</v>
      </c>
      <c r="B3722" s="24" t="s">
        <v>184</v>
      </c>
      <c r="C3722" s="21">
        <f t="shared" si="62"/>
        <v>-81.834999999999994</v>
      </c>
      <c r="DK3722" s="106">
        <v>-65.185000000000002</v>
      </c>
      <c r="DP3722" s="74">
        <v>-16.649999999999999</v>
      </c>
    </row>
    <row r="3723" spans="1:227" x14ac:dyDescent="0.25">
      <c r="A3723" s="127">
        <v>45265</v>
      </c>
      <c r="B3723" s="24" t="s">
        <v>162</v>
      </c>
      <c r="C3723" s="21">
        <f t="shared" si="62"/>
        <v>-91.51</v>
      </c>
      <c r="AN3723" s="106">
        <v>-17.245000000000001</v>
      </c>
      <c r="AR3723" s="106">
        <v>-18.45</v>
      </c>
      <c r="AW3723" s="106">
        <v>-23.19</v>
      </c>
      <c r="CG3723" s="106">
        <v>-16.635000000000002</v>
      </c>
      <c r="CM3723" s="106">
        <v>-15.99</v>
      </c>
    </row>
    <row r="3724" spans="1:227" x14ac:dyDescent="0.25">
      <c r="A3724" s="127">
        <v>45265</v>
      </c>
      <c r="B3724" s="24" t="s">
        <v>186</v>
      </c>
      <c r="C3724" s="21">
        <f t="shared" si="62"/>
        <v>-9.0299999999999994</v>
      </c>
      <c r="DY3724" s="42">
        <v>-9.0299999999999994</v>
      </c>
    </row>
    <row r="3725" spans="1:227" x14ac:dyDescent="0.25">
      <c r="A3725" s="127">
        <v>45264</v>
      </c>
      <c r="B3725" s="24" t="s">
        <v>48</v>
      </c>
      <c r="C3725" s="21">
        <f t="shared" si="62"/>
        <v>10.08</v>
      </c>
      <c r="N3725" s="42">
        <v>7.57</v>
      </c>
      <c r="AW3725" s="106">
        <v>-33.11</v>
      </c>
      <c r="DY3725" s="42">
        <v>35.619999999999997</v>
      </c>
    </row>
    <row r="3726" spans="1:227" x14ac:dyDescent="0.25">
      <c r="A3726" s="127">
        <v>45265</v>
      </c>
      <c r="B3726" s="24" t="s">
        <v>50</v>
      </c>
      <c r="C3726" s="21">
        <f t="shared" si="62"/>
        <v>-96.85</v>
      </c>
      <c r="GZ3726" s="106">
        <v>-96.85</v>
      </c>
    </row>
    <row r="3727" spans="1:227" x14ac:dyDescent="0.25">
      <c r="A3727" s="127">
        <v>45265</v>
      </c>
      <c r="B3727" s="24" t="s">
        <v>25</v>
      </c>
      <c r="C3727" s="21">
        <f t="shared" si="62"/>
        <v>-60.33</v>
      </c>
      <c r="BI3727" s="106">
        <v>-60.33</v>
      </c>
    </row>
    <row r="3728" spans="1:227" x14ac:dyDescent="0.25">
      <c r="A3728" s="127">
        <v>45265</v>
      </c>
      <c r="B3728" s="24" t="s">
        <v>174</v>
      </c>
      <c r="C3728" s="21">
        <f t="shared" si="62"/>
        <v>-26.59</v>
      </c>
      <c r="DY3728" s="42">
        <v>-26.59</v>
      </c>
    </row>
    <row r="3729" spans="1:233" x14ac:dyDescent="0.25">
      <c r="A3729" s="127">
        <v>45265</v>
      </c>
      <c r="B3729" s="24" t="s">
        <v>83</v>
      </c>
      <c r="C3729" s="21">
        <f t="shared" si="62"/>
        <v>-34.29</v>
      </c>
      <c r="AU3729" s="42">
        <v>-34.29</v>
      </c>
    </row>
    <row r="3730" spans="1:233" x14ac:dyDescent="0.25">
      <c r="A3730" s="127">
        <v>45265</v>
      </c>
      <c r="B3730" s="24" t="s">
        <v>139</v>
      </c>
      <c r="C3730" s="21">
        <f t="shared" si="62"/>
        <v>-49.924999999999997</v>
      </c>
      <c r="AW3730" s="106">
        <v>-8.2200000000000006</v>
      </c>
      <c r="CG3730" s="106">
        <v>-8.5150000000000006</v>
      </c>
      <c r="CM3730" s="106">
        <v>-16</v>
      </c>
      <c r="CS3730" s="74">
        <v>-17.190000000000001</v>
      </c>
    </row>
    <row r="3731" spans="1:233" x14ac:dyDescent="0.25">
      <c r="A3731" s="127">
        <v>45265</v>
      </c>
      <c r="B3731" s="24" t="s">
        <v>75</v>
      </c>
      <c r="C3731" s="21">
        <f t="shared" si="62"/>
        <v>-8.34</v>
      </c>
      <c r="CG3731" s="106">
        <v>-8.34</v>
      </c>
    </row>
    <row r="3732" spans="1:233" x14ac:dyDescent="0.25">
      <c r="A3732" s="127">
        <v>45265</v>
      </c>
      <c r="B3732" s="24" t="s">
        <v>138</v>
      </c>
      <c r="C3732" s="21">
        <f t="shared" si="62"/>
        <v>-8.5050000000000008</v>
      </c>
      <c r="BO3732" s="106">
        <v>-8.5050000000000008</v>
      </c>
    </row>
    <row r="3733" spans="1:233" x14ac:dyDescent="0.25">
      <c r="A3733" s="127">
        <v>45264</v>
      </c>
      <c r="B3733" s="24" t="s">
        <v>20</v>
      </c>
      <c r="C3733" s="21">
        <f t="shared" si="62"/>
        <v>-65.995000000000005</v>
      </c>
      <c r="N3733" s="42">
        <v>-7.57</v>
      </c>
      <c r="AW3733" s="106">
        <v>-8.4499999999999993</v>
      </c>
      <c r="BC3733" s="106">
        <v>-9.09</v>
      </c>
      <c r="BI3733" s="106">
        <v>-8.9</v>
      </c>
      <c r="BO3733" s="106">
        <v>-6.86</v>
      </c>
      <c r="CG3733" s="106">
        <v>-8.5549999999999997</v>
      </c>
      <c r="CM3733" s="106">
        <v>-8.1199999999999992</v>
      </c>
      <c r="CS3733" s="74">
        <v>-8.4499999999999993</v>
      </c>
    </row>
    <row r="3734" spans="1:233" x14ac:dyDescent="0.25">
      <c r="A3734" s="127">
        <v>45265</v>
      </c>
      <c r="B3734" s="24" t="s">
        <v>151</v>
      </c>
      <c r="C3734" s="21">
        <f t="shared" si="62"/>
        <v>-102.87</v>
      </c>
      <c r="EA3734" s="74">
        <v>-102.87</v>
      </c>
    </row>
    <row r="3735" spans="1:233" x14ac:dyDescent="0.25">
      <c r="A3735" s="127">
        <v>45265</v>
      </c>
      <c r="B3735" s="24" t="s">
        <v>113</v>
      </c>
      <c r="C3735" s="21">
        <f t="shared" si="62"/>
        <v>931.77499999999998</v>
      </c>
      <c r="AG3735" s="106">
        <v>51.905000000000001</v>
      </c>
      <c r="AR3735" s="106">
        <v>144.86000000000001</v>
      </c>
      <c r="AW3735" s="106">
        <v>141.66999999999999</v>
      </c>
      <c r="BC3735" s="106">
        <v>72.069999999999993</v>
      </c>
      <c r="BI3735" s="106">
        <v>106.58</v>
      </c>
      <c r="CA3735" s="106">
        <v>99.16</v>
      </c>
      <c r="CM3735" s="106">
        <v>101.535</v>
      </c>
      <c r="EA3735" s="74">
        <v>97.78</v>
      </c>
      <c r="GQ3735" s="92">
        <v>116.215</v>
      </c>
    </row>
    <row r="3736" spans="1:233" x14ac:dyDescent="0.25">
      <c r="A3736" s="127">
        <v>45265</v>
      </c>
      <c r="B3736" s="24" t="s">
        <v>113</v>
      </c>
      <c r="C3736" s="21">
        <f t="shared" si="62"/>
        <v>491.71499999999997</v>
      </c>
      <c r="AN3736" s="106">
        <v>138.58500000000001</v>
      </c>
      <c r="CS3736" s="74">
        <v>167.64</v>
      </c>
      <c r="DE3736" s="74">
        <v>185.49</v>
      </c>
    </row>
    <row r="3737" spans="1:233" x14ac:dyDescent="0.25">
      <c r="A3737" s="127">
        <v>45265</v>
      </c>
      <c r="B3737" s="24" t="s">
        <v>151</v>
      </c>
      <c r="C3737" s="21">
        <f t="shared" si="62"/>
        <v>-8.125</v>
      </c>
      <c r="EA3737" s="74">
        <v>-8.125</v>
      </c>
    </row>
    <row r="3738" spans="1:233" x14ac:dyDescent="0.25">
      <c r="A3738" s="127">
        <v>45266</v>
      </c>
      <c r="B3738" s="24" t="s">
        <v>133</v>
      </c>
      <c r="C3738" s="21">
        <f t="shared" si="62"/>
        <v>-105.185</v>
      </c>
      <c r="AN3738" s="106">
        <v>-34.555</v>
      </c>
      <c r="AW3738" s="106">
        <v>-35.130000000000003</v>
      </c>
      <c r="BI3738" s="106">
        <v>-35.5</v>
      </c>
    </row>
    <row r="3739" spans="1:233" x14ac:dyDescent="0.25">
      <c r="A3739" s="127">
        <v>45266</v>
      </c>
      <c r="B3739" s="24" t="s">
        <v>37</v>
      </c>
      <c r="C3739" s="21">
        <f t="shared" si="62"/>
        <v>-7.05</v>
      </c>
      <c r="HY3739" s="38">
        <v>-7.05</v>
      </c>
    </row>
    <row r="3740" spans="1:233" x14ac:dyDescent="0.25">
      <c r="A3740" s="127">
        <v>45266</v>
      </c>
      <c r="B3740" s="24" t="s">
        <v>181</v>
      </c>
      <c r="C3740" s="21">
        <f t="shared" si="62"/>
        <v>-11.75</v>
      </c>
      <c r="I3740" s="84">
        <f>-5.8-5.95</f>
        <v>-11.75</v>
      </c>
    </row>
    <row r="3741" spans="1:233" x14ac:dyDescent="0.25">
      <c r="A3741" s="127">
        <v>45267</v>
      </c>
      <c r="B3741" s="24" t="s">
        <v>17</v>
      </c>
      <c r="C3741" s="21">
        <f t="shared" si="62"/>
        <v>-42.77</v>
      </c>
      <c r="BI3741" s="106">
        <v>-8.8249999999999993</v>
      </c>
      <c r="CA3741" s="106">
        <v>-8.23</v>
      </c>
      <c r="CG3741" s="106">
        <v>-8.5399999999999991</v>
      </c>
      <c r="CM3741" s="106">
        <v>-8.4700000000000006</v>
      </c>
      <c r="CY3741" s="106">
        <v>-8.7050000000000001</v>
      </c>
    </row>
    <row r="3742" spans="1:233" x14ac:dyDescent="0.25">
      <c r="A3742" s="127">
        <v>45267</v>
      </c>
      <c r="B3742" s="24" t="s">
        <v>184</v>
      </c>
      <c r="C3742" s="21">
        <f t="shared" si="62"/>
        <v>-52.125</v>
      </c>
      <c r="AN3742" s="106">
        <v>-8.5950000000000006</v>
      </c>
      <c r="AR3742" s="106">
        <v>-9.0449999999999999</v>
      </c>
      <c r="AW3742" s="106">
        <v>-8.4749999999999996</v>
      </c>
      <c r="BC3742" s="106">
        <v>-8.9250000000000007</v>
      </c>
      <c r="BI3742" s="106">
        <v>-8.8550000000000004</v>
      </c>
      <c r="CA3742" s="106">
        <v>-8.23</v>
      </c>
    </row>
    <row r="3743" spans="1:233" x14ac:dyDescent="0.25">
      <c r="A3743" s="127">
        <v>45267</v>
      </c>
      <c r="B3743" s="24" t="s">
        <v>127</v>
      </c>
      <c r="C3743" s="21">
        <f t="shared" si="62"/>
        <v>-26.305</v>
      </c>
      <c r="AN3743" s="106">
        <v>-8.64</v>
      </c>
      <c r="AW3743" s="106">
        <v>-8.77</v>
      </c>
      <c r="BI3743" s="106">
        <v>-8.8949999999999996</v>
      </c>
    </row>
    <row r="3744" spans="1:233" x14ac:dyDescent="0.25">
      <c r="A3744" s="127">
        <v>45267</v>
      </c>
      <c r="B3744" s="24" t="s">
        <v>75</v>
      </c>
      <c r="C3744" s="21">
        <f t="shared" si="62"/>
        <v>-17.14</v>
      </c>
      <c r="BI3744" s="106">
        <v>-8.91</v>
      </c>
      <c r="CA3744" s="106">
        <v>-8.23</v>
      </c>
    </row>
    <row r="3745" spans="1:214" x14ac:dyDescent="0.25">
      <c r="A3745" s="127">
        <v>45267</v>
      </c>
      <c r="B3745" s="24" t="s">
        <v>20</v>
      </c>
      <c r="C3745" s="21">
        <f t="shared" si="62"/>
        <v>-8.42</v>
      </c>
      <c r="CA3745" s="106">
        <v>-8.42</v>
      </c>
    </row>
    <row r="3746" spans="1:214" x14ac:dyDescent="0.25">
      <c r="A3746" s="127">
        <v>45267</v>
      </c>
      <c r="B3746" s="24" t="s">
        <v>139</v>
      </c>
      <c r="C3746" s="21">
        <f t="shared" si="62"/>
        <v>-8.9250000000000007</v>
      </c>
      <c r="BI3746" s="106">
        <v>-8.9250000000000007</v>
      </c>
    </row>
    <row r="3747" spans="1:214" x14ac:dyDescent="0.25">
      <c r="A3747" s="127">
        <v>45267</v>
      </c>
      <c r="B3747" s="24" t="s">
        <v>162</v>
      </c>
      <c r="C3747" s="21">
        <f t="shared" si="62"/>
        <v>-26.67</v>
      </c>
      <c r="BI3747" s="106">
        <v>-26.67</v>
      </c>
    </row>
    <row r="3748" spans="1:214" x14ac:dyDescent="0.25">
      <c r="A3748" s="127">
        <v>45267</v>
      </c>
      <c r="B3748" s="24" t="s">
        <v>25</v>
      </c>
      <c r="C3748" s="21">
        <f t="shared" si="62"/>
        <v>-116.035</v>
      </c>
      <c r="V3748" s="74">
        <v>-7.53</v>
      </c>
      <c r="Z3748" s="79">
        <v>-7.51</v>
      </c>
      <c r="AG3748" s="106">
        <v>-8.6</v>
      </c>
      <c r="AN3748" s="106">
        <v>-8.64</v>
      </c>
      <c r="AR3748" s="106">
        <v>-9</v>
      </c>
      <c r="AW3748" s="106">
        <v>-8.7050000000000001</v>
      </c>
      <c r="CA3748" s="106">
        <v>-66.05</v>
      </c>
    </row>
    <row r="3749" spans="1:214" x14ac:dyDescent="0.25">
      <c r="A3749" s="127">
        <v>45269</v>
      </c>
      <c r="B3749" s="24" t="s">
        <v>48</v>
      </c>
      <c r="C3749" s="21">
        <f t="shared" si="62"/>
        <v>-17.295000000000002</v>
      </c>
      <c r="CG3749" s="106">
        <v>-8.8450000000000006</v>
      </c>
      <c r="CM3749" s="106">
        <v>-8.4499999999999993</v>
      </c>
    </row>
    <row r="3750" spans="1:214" x14ac:dyDescent="0.25">
      <c r="A3750" s="127">
        <v>45635</v>
      </c>
      <c r="B3750" s="24" t="s">
        <v>167</v>
      </c>
      <c r="C3750" s="21">
        <f t="shared" si="62"/>
        <v>-17.09</v>
      </c>
      <c r="E3750" s="386">
        <v>-17.09</v>
      </c>
    </row>
    <row r="3751" spans="1:214" x14ac:dyDescent="0.25">
      <c r="A3751" s="127">
        <v>45271</v>
      </c>
      <c r="B3751" s="24" t="s">
        <v>113</v>
      </c>
      <c r="C3751" s="21">
        <f t="shared" si="62"/>
        <v>1163.915</v>
      </c>
      <c r="AG3751" s="106">
        <v>69.209999999999994</v>
      </c>
      <c r="AR3751" s="106">
        <v>108</v>
      </c>
      <c r="BI3751" s="106">
        <v>158.91999999999999</v>
      </c>
      <c r="DK3751" s="106">
        <v>259.14499999999998</v>
      </c>
      <c r="DP3751" s="74">
        <v>178.54499999999999</v>
      </c>
      <c r="EA3751" s="74">
        <v>98.305000000000007</v>
      </c>
      <c r="GQ3751" s="92">
        <v>197.87</v>
      </c>
      <c r="HF3751" s="92">
        <v>93.92</v>
      </c>
    </row>
    <row r="3752" spans="1:214" x14ac:dyDescent="0.25">
      <c r="A3752" s="127">
        <v>45271</v>
      </c>
      <c r="B3752" s="24" t="s">
        <v>113</v>
      </c>
      <c r="C3752" s="21">
        <f t="shared" si="62"/>
        <v>531.505</v>
      </c>
      <c r="AN3752" s="106">
        <f>180.7+129.395</f>
        <v>310.09500000000003</v>
      </c>
      <c r="AR3752" s="106">
        <v>221.41</v>
      </c>
    </row>
    <row r="3753" spans="1:214" x14ac:dyDescent="0.25">
      <c r="A3753" s="127">
        <v>45271</v>
      </c>
      <c r="B3753" s="24" t="s">
        <v>44</v>
      </c>
      <c r="C3753" s="21">
        <f t="shared" si="62"/>
        <v>-214.45500000000001</v>
      </c>
      <c r="GQ3753" s="92">
        <v>-214.45500000000001</v>
      </c>
    </row>
    <row r="3754" spans="1:214" x14ac:dyDescent="0.25">
      <c r="A3754" s="127">
        <v>45271</v>
      </c>
      <c r="B3754" s="24" t="s">
        <v>17</v>
      </c>
      <c r="C3754" s="21">
        <f t="shared" si="62"/>
        <v>-16.984999999999999</v>
      </c>
      <c r="CM3754" s="106">
        <v>-16.984999999999999</v>
      </c>
    </row>
    <row r="3755" spans="1:214" x14ac:dyDescent="0.25">
      <c r="A3755" s="127">
        <v>45271</v>
      </c>
      <c r="B3755" s="24" t="s">
        <v>149</v>
      </c>
      <c r="C3755" s="21">
        <f t="shared" si="62"/>
        <v>-8.5150000000000006</v>
      </c>
      <c r="CG3755" s="106">
        <v>-8.5150000000000006</v>
      </c>
    </row>
    <row r="3756" spans="1:214" x14ac:dyDescent="0.25">
      <c r="A3756" s="127">
        <v>45272</v>
      </c>
      <c r="B3756" s="24" t="s">
        <v>20</v>
      </c>
      <c r="C3756" s="21">
        <f t="shared" si="62"/>
        <v>-25.54</v>
      </c>
      <c r="V3756" s="74">
        <v>-7.57</v>
      </c>
      <c r="BC3756" s="106">
        <v>-9.1050000000000004</v>
      </c>
      <c r="BI3756" s="106">
        <v>-8.8650000000000002</v>
      </c>
    </row>
    <row r="3757" spans="1:214" x14ac:dyDescent="0.25">
      <c r="A3757" s="127">
        <v>45272</v>
      </c>
      <c r="B3757" s="24" t="s">
        <v>68</v>
      </c>
      <c r="C3757" s="21">
        <f t="shared" si="62"/>
        <v>-243.88</v>
      </c>
      <c r="AG3757" s="106">
        <v>-17.2</v>
      </c>
      <c r="AN3757" s="106">
        <v>-25.815000000000001</v>
      </c>
      <c r="AR3757" s="106">
        <v>-18.114999999999998</v>
      </c>
      <c r="AW3757" s="106">
        <v>-35.695</v>
      </c>
      <c r="BC3757" s="106">
        <v>-35.880000000000003</v>
      </c>
      <c r="BI3757" s="106">
        <v>-35.770000000000003</v>
      </c>
      <c r="CG3757" s="106">
        <v>-25</v>
      </c>
      <c r="CM3757" s="106">
        <v>-25.34</v>
      </c>
      <c r="CS3757" s="74">
        <v>-25.065000000000001</v>
      </c>
    </row>
    <row r="3758" spans="1:214" x14ac:dyDescent="0.25">
      <c r="A3758" s="127">
        <v>45273</v>
      </c>
      <c r="B3758" s="24" t="s">
        <v>183</v>
      </c>
      <c r="C3758" s="21">
        <f t="shared" si="62"/>
        <v>-50.26</v>
      </c>
      <c r="CS3758" s="74">
        <v>-50.26</v>
      </c>
    </row>
    <row r="3759" spans="1:214" x14ac:dyDescent="0.25">
      <c r="A3759" s="127">
        <v>45273</v>
      </c>
      <c r="B3759" s="24" t="s">
        <v>113</v>
      </c>
      <c r="C3759" s="21">
        <f t="shared" si="62"/>
        <v>856.60500000000002</v>
      </c>
      <c r="BO3759" s="106">
        <v>205.37</v>
      </c>
      <c r="BU3759" s="106">
        <v>214.33</v>
      </c>
      <c r="CA3759" s="106">
        <v>224.85</v>
      </c>
      <c r="EL3759" s="106">
        <v>212.05500000000001</v>
      </c>
    </row>
    <row r="3760" spans="1:214" ht="15" customHeight="1" x14ac:dyDescent="0.25">
      <c r="A3760" s="127">
        <v>45274</v>
      </c>
      <c r="B3760" s="24" t="s">
        <v>184</v>
      </c>
      <c r="C3760" s="21">
        <f t="shared" si="62"/>
        <v>-193.755</v>
      </c>
      <c r="BO3760" s="106">
        <v>-64.95</v>
      </c>
      <c r="EL3760" s="106">
        <v>-128.80500000000001</v>
      </c>
    </row>
    <row r="3761" spans="1:232" ht="15" customHeight="1" x14ac:dyDescent="0.25">
      <c r="A3761" s="127">
        <v>45274</v>
      </c>
      <c r="B3761" s="24" t="s">
        <v>89</v>
      </c>
      <c r="C3761" s="21">
        <f t="shared" ref="C3761:C3824" si="63">SUM(D3761:JT3761)</f>
        <v>-129.61000000000001</v>
      </c>
      <c r="BO3761" s="106">
        <v>-63.685000000000002</v>
      </c>
      <c r="BU3761" s="106">
        <v>-65.924999999999997</v>
      </c>
    </row>
    <row r="3762" spans="1:232" ht="15" customHeight="1" x14ac:dyDescent="0.25">
      <c r="A3762" s="127">
        <v>45274</v>
      </c>
      <c r="B3762" s="24" t="s">
        <v>17</v>
      </c>
      <c r="C3762" s="21">
        <f t="shared" si="63"/>
        <v>-53.765000000000001</v>
      </c>
      <c r="AR3762" s="106">
        <v>-9.2799999999999994</v>
      </c>
      <c r="AW3762" s="106">
        <v>-8.85</v>
      </c>
      <c r="BC3762" s="106">
        <v>-9.07</v>
      </c>
      <c r="BI3762" s="106">
        <v>-8.82</v>
      </c>
      <c r="CA3762" s="106">
        <v>-9.1750000000000007</v>
      </c>
      <c r="CG3762" s="106">
        <v>-8.57</v>
      </c>
    </row>
    <row r="3763" spans="1:232" ht="15" customHeight="1" x14ac:dyDescent="0.25">
      <c r="A3763" s="127">
        <v>45274</v>
      </c>
      <c r="B3763" s="24" t="s">
        <v>184</v>
      </c>
      <c r="C3763" s="21">
        <f t="shared" si="63"/>
        <v>-136.69</v>
      </c>
      <c r="BC3763" s="106">
        <v>-36.005000000000003</v>
      </c>
      <c r="BI3763" s="106">
        <v>-34.445</v>
      </c>
      <c r="BU3763" s="106">
        <v>-24.54</v>
      </c>
      <c r="CA3763" s="106">
        <v>-15.96</v>
      </c>
      <c r="CY3763" s="106">
        <v>-25.74</v>
      </c>
    </row>
    <row r="3764" spans="1:232" ht="15" customHeight="1" x14ac:dyDescent="0.25">
      <c r="A3764" s="127">
        <v>45274</v>
      </c>
      <c r="B3764" s="24" t="s">
        <v>178</v>
      </c>
      <c r="C3764" s="21">
        <f t="shared" si="63"/>
        <v>-65.569999999999993</v>
      </c>
      <c r="BU3764" s="106">
        <v>-65.569999999999993</v>
      </c>
    </row>
    <row r="3765" spans="1:232" ht="15" customHeight="1" x14ac:dyDescent="0.25">
      <c r="A3765" s="127">
        <v>45274</v>
      </c>
      <c r="B3765" s="24" t="s">
        <v>151</v>
      </c>
      <c r="C3765" s="21">
        <f t="shared" si="63"/>
        <v>-8.4600000000000009</v>
      </c>
      <c r="CM3765" s="106">
        <v>-8.4600000000000009</v>
      </c>
    </row>
    <row r="3766" spans="1:232" ht="15" customHeight="1" x14ac:dyDescent="0.25">
      <c r="A3766" s="127">
        <v>45274</v>
      </c>
      <c r="B3766" s="24" t="s">
        <v>151</v>
      </c>
      <c r="C3766" s="21">
        <f t="shared" si="63"/>
        <v>-8.35</v>
      </c>
      <c r="CS3766" s="74">
        <v>-8.35</v>
      </c>
    </row>
    <row r="3767" spans="1:232" ht="15" customHeight="1" x14ac:dyDescent="0.25">
      <c r="A3767" s="127">
        <v>45274</v>
      </c>
      <c r="B3767" s="24" t="s">
        <v>48</v>
      </c>
      <c r="C3767" s="21">
        <f t="shared" si="63"/>
        <v>15.65</v>
      </c>
      <c r="AA3767" s="42">
        <v>15.65</v>
      </c>
    </row>
    <row r="3768" spans="1:232" ht="15" customHeight="1" x14ac:dyDescent="0.25">
      <c r="A3768" s="127">
        <v>45275</v>
      </c>
      <c r="B3768" s="24" t="s">
        <v>186</v>
      </c>
      <c r="C3768" s="21">
        <f t="shared" si="63"/>
        <v>-65.38</v>
      </c>
      <c r="EA3768" s="74">
        <v>-65.38</v>
      </c>
    </row>
    <row r="3769" spans="1:232" ht="15" customHeight="1" x14ac:dyDescent="0.25">
      <c r="A3769" s="127">
        <v>45275</v>
      </c>
      <c r="B3769" s="24" t="s">
        <v>25</v>
      </c>
      <c r="C3769" s="21">
        <f t="shared" si="63"/>
        <v>-54.924999999999997</v>
      </c>
      <c r="AA3769" s="42">
        <v>-8.0299999999999994</v>
      </c>
      <c r="BO3769" s="106">
        <v>-46.895000000000003</v>
      </c>
    </row>
    <row r="3770" spans="1:232" ht="15" customHeight="1" x14ac:dyDescent="0.25">
      <c r="A3770" s="127">
        <v>45275</v>
      </c>
      <c r="B3770" s="24" t="s">
        <v>138</v>
      </c>
      <c r="C3770" s="21">
        <f t="shared" si="63"/>
        <v>-30.585000000000001</v>
      </c>
      <c r="BO3770" s="106">
        <v>-14.26</v>
      </c>
      <c r="BU3770" s="106">
        <v>-16.324999999999999</v>
      </c>
    </row>
    <row r="3771" spans="1:232" ht="15" customHeight="1" x14ac:dyDescent="0.25">
      <c r="A3771" s="127">
        <v>45275</v>
      </c>
      <c r="B3771" s="24" t="s">
        <v>75</v>
      </c>
      <c r="C3771" s="21">
        <f t="shared" si="63"/>
        <v>-25.305</v>
      </c>
      <c r="CM3771" s="106">
        <v>-16.925000000000001</v>
      </c>
      <c r="CS3771" s="74">
        <v>-8.3800000000000008</v>
      </c>
    </row>
    <row r="3772" spans="1:232" ht="15" customHeight="1" x14ac:dyDescent="0.25">
      <c r="A3772" s="127">
        <v>45275</v>
      </c>
      <c r="B3772" s="24" t="s">
        <v>29</v>
      </c>
      <c r="C3772" s="21">
        <f t="shared" si="63"/>
        <v>-8.4450000000000003</v>
      </c>
      <c r="CM3772" s="106">
        <v>-8.4450000000000003</v>
      </c>
    </row>
    <row r="3773" spans="1:232" ht="15" customHeight="1" x14ac:dyDescent="0.25">
      <c r="A3773" s="127">
        <v>45275</v>
      </c>
      <c r="B3773" s="24" t="s">
        <v>20</v>
      </c>
      <c r="C3773" s="21">
        <f t="shared" si="63"/>
        <v>-32.125</v>
      </c>
      <c r="AA3773" s="42">
        <v>-7.62</v>
      </c>
      <c r="AG3773" s="106">
        <v>-8.6300000000000008</v>
      </c>
      <c r="BO3773" s="106">
        <v>-7.48</v>
      </c>
      <c r="BU3773" s="106">
        <v>-8.3949999999999996</v>
      </c>
    </row>
    <row r="3774" spans="1:232" ht="15" customHeight="1" x14ac:dyDescent="0.25">
      <c r="A3774" s="127">
        <v>45275</v>
      </c>
      <c r="B3774" s="24" t="s">
        <v>44</v>
      </c>
      <c r="C3774" s="21">
        <f t="shared" si="63"/>
        <v>-23.754999999999999</v>
      </c>
      <c r="GW3774" s="92">
        <v>-7.12</v>
      </c>
      <c r="HR3774" s="92">
        <v>-8.1850000000000005</v>
      </c>
      <c r="HX3774" s="92">
        <v>-8.4499999999999993</v>
      </c>
    </row>
    <row r="3775" spans="1:232" ht="15" customHeight="1" x14ac:dyDescent="0.25">
      <c r="A3775" s="127">
        <v>45275</v>
      </c>
      <c r="B3775" s="24" t="s">
        <v>111</v>
      </c>
      <c r="C3775" s="21">
        <f t="shared" si="63"/>
        <v>-8.7899999999999991</v>
      </c>
      <c r="EN3775" s="42">
        <v>-8.7899999999999991</v>
      </c>
    </row>
    <row r="3776" spans="1:232" ht="15" customHeight="1" x14ac:dyDescent="0.25">
      <c r="A3776" s="127">
        <v>45275</v>
      </c>
      <c r="B3776" s="24" t="s">
        <v>48</v>
      </c>
      <c r="C3776" s="21">
        <f t="shared" si="63"/>
        <v>0</v>
      </c>
    </row>
    <row r="3777" spans="1:226" ht="15" customHeight="1" x14ac:dyDescent="0.25">
      <c r="A3777" s="127">
        <v>45275</v>
      </c>
      <c r="B3777" s="24" t="s">
        <v>83</v>
      </c>
      <c r="C3777" s="21">
        <f t="shared" si="63"/>
        <v>-9.9949999999999992</v>
      </c>
      <c r="AU3777" s="42">
        <v>25.78</v>
      </c>
      <c r="AW3777" s="106">
        <v>-35.774999999999999</v>
      </c>
    </row>
    <row r="3778" spans="1:226" ht="15" customHeight="1" x14ac:dyDescent="0.25">
      <c r="A3778" s="127">
        <v>45275</v>
      </c>
      <c r="B3778" s="24" t="s">
        <v>75</v>
      </c>
      <c r="C3778" s="21">
        <f t="shared" si="63"/>
        <v>0</v>
      </c>
    </row>
    <row r="3779" spans="1:226" ht="15" customHeight="1" x14ac:dyDescent="0.25">
      <c r="A3779" s="127">
        <v>45279</v>
      </c>
      <c r="B3779" s="24" t="s">
        <v>27</v>
      </c>
      <c r="C3779" s="21">
        <f t="shared" si="63"/>
        <v>-34.895000000000003</v>
      </c>
      <c r="AU3779" s="42">
        <v>-8.91</v>
      </c>
      <c r="BI3779" s="106">
        <v>-8.9700000000000006</v>
      </c>
      <c r="BU3779" s="106">
        <v>-9.0150000000000006</v>
      </c>
      <c r="CA3779" s="106">
        <v>-8</v>
      </c>
    </row>
    <row r="3780" spans="1:226" ht="15" customHeight="1" x14ac:dyDescent="0.25">
      <c r="A3780" s="127">
        <v>45279</v>
      </c>
      <c r="B3780" s="24" t="s">
        <v>50</v>
      </c>
      <c r="C3780" s="21">
        <f t="shared" si="63"/>
        <v>-63.59</v>
      </c>
      <c r="HM3780" s="106">
        <v>-63.59</v>
      </c>
    </row>
    <row r="3781" spans="1:226" ht="15" customHeight="1" x14ac:dyDescent="0.25">
      <c r="A3781" s="127">
        <v>45279</v>
      </c>
      <c r="B3781" s="24" t="s">
        <v>20</v>
      </c>
      <c r="C3781" s="21">
        <f t="shared" si="63"/>
        <v>-16.38</v>
      </c>
      <c r="GZ3781" s="106">
        <v>-16.38</v>
      </c>
    </row>
    <row r="3782" spans="1:226" ht="15" customHeight="1" x14ac:dyDescent="0.25">
      <c r="A3782" s="127">
        <v>45280</v>
      </c>
      <c r="B3782" s="24" t="s">
        <v>113</v>
      </c>
      <c r="C3782" s="21">
        <f t="shared" si="63"/>
        <v>612.41999999999996</v>
      </c>
      <c r="BO3782" s="106">
        <v>95.515000000000001</v>
      </c>
      <c r="BU3782" s="106">
        <v>99.07</v>
      </c>
      <c r="CG3782" s="106">
        <v>64.209999999999994</v>
      </c>
      <c r="CM3782" s="106">
        <v>65.8</v>
      </c>
      <c r="CY3782" s="106">
        <v>63.34</v>
      </c>
      <c r="EA3782" s="74">
        <v>66.745000000000005</v>
      </c>
      <c r="HH3782" s="106">
        <v>157.74</v>
      </c>
    </row>
    <row r="3783" spans="1:226" ht="15" customHeight="1" x14ac:dyDescent="0.25">
      <c r="A3783" s="127">
        <v>45280</v>
      </c>
      <c r="B3783" s="24" t="s">
        <v>37</v>
      </c>
      <c r="C3783" s="21">
        <f t="shared" si="63"/>
        <v>-668.35500000000002</v>
      </c>
      <c r="HF3783" s="92">
        <v>-109.625</v>
      </c>
      <c r="HJ3783" s="79">
        <v>-84.31</v>
      </c>
      <c r="HP3783" s="92">
        <v>-381.95</v>
      </c>
      <c r="HR3783" s="92">
        <v>-92.47</v>
      </c>
    </row>
    <row r="3784" spans="1:226" ht="15" customHeight="1" x14ac:dyDescent="0.25">
      <c r="A3784" s="127">
        <v>45281</v>
      </c>
      <c r="B3784" s="24" t="s">
        <v>184</v>
      </c>
      <c r="C3784" s="21">
        <f t="shared" si="63"/>
        <v>-170.8</v>
      </c>
      <c r="AN3784" s="106">
        <v>-8.61</v>
      </c>
      <c r="AR3784" s="106">
        <v>-18.605</v>
      </c>
      <c r="BC3784" s="106">
        <v>-44.88</v>
      </c>
      <c r="BI3784" s="106">
        <v>-17.84</v>
      </c>
      <c r="BO3784" s="106">
        <v>-30.914999999999999</v>
      </c>
      <c r="CA3784" s="106">
        <v>-15.945</v>
      </c>
      <c r="CG3784" s="106">
        <v>-16.34</v>
      </c>
      <c r="DE3784" s="74">
        <v>-8.4250000000000007</v>
      </c>
      <c r="DU3784" s="106">
        <v>-9.24</v>
      </c>
    </row>
    <row r="3785" spans="1:226" ht="15" customHeight="1" x14ac:dyDescent="0.25">
      <c r="A3785" s="127">
        <v>45281</v>
      </c>
      <c r="B3785" s="24" t="s">
        <v>17</v>
      </c>
      <c r="C3785" s="21">
        <f t="shared" si="63"/>
        <v>-50.984999999999999</v>
      </c>
      <c r="AN3785" s="106">
        <v>-8.625</v>
      </c>
      <c r="CS3785" s="74">
        <f>-25.33-17.03</f>
        <v>-42.36</v>
      </c>
    </row>
    <row r="3786" spans="1:226" ht="15" customHeight="1" x14ac:dyDescent="0.25">
      <c r="A3786" s="127">
        <v>45281</v>
      </c>
      <c r="B3786" s="24" t="s">
        <v>133</v>
      </c>
      <c r="C3786" s="21">
        <f t="shared" si="63"/>
        <v>-82.38</v>
      </c>
      <c r="BI3786" s="106">
        <v>-17.535</v>
      </c>
      <c r="CM3786" s="106">
        <v>-32.715000000000003</v>
      </c>
      <c r="CY3786" s="106">
        <v>-32.130000000000003</v>
      </c>
    </row>
    <row r="3787" spans="1:226" ht="15" customHeight="1" x14ac:dyDescent="0.25">
      <c r="A3787" s="127">
        <v>45282</v>
      </c>
      <c r="B3787" s="24" t="s">
        <v>20</v>
      </c>
      <c r="C3787" s="21">
        <f t="shared" si="63"/>
        <v>-49.765000000000001</v>
      </c>
      <c r="BI3787" s="106">
        <v>-8.85</v>
      </c>
      <c r="BO3787" s="106">
        <v>-8.08</v>
      </c>
      <c r="CA3787" s="106">
        <v>-7.9950000000000001</v>
      </c>
      <c r="CG3787" s="106">
        <v>-8.0399999999999991</v>
      </c>
      <c r="CM3787" s="106">
        <v>-8.48</v>
      </c>
      <c r="CS3787" s="74">
        <v>-8.32</v>
      </c>
    </row>
    <row r="3788" spans="1:226" ht="15" customHeight="1" x14ac:dyDescent="0.25">
      <c r="A3788" s="127">
        <v>45282</v>
      </c>
      <c r="B3788" s="24" t="s">
        <v>75</v>
      </c>
      <c r="C3788" s="21">
        <f t="shared" si="63"/>
        <v>-42.05</v>
      </c>
      <c r="CS3788" s="74">
        <v>-16.7</v>
      </c>
      <c r="DE3788" s="74">
        <v>-17.23</v>
      </c>
      <c r="DK3788" s="106">
        <v>-8.1199999999999992</v>
      </c>
    </row>
    <row r="3789" spans="1:226" x14ac:dyDescent="0.25">
      <c r="A3789" s="127">
        <v>45282</v>
      </c>
      <c r="B3789" s="24" t="s">
        <v>82</v>
      </c>
      <c r="C3789" s="21">
        <f t="shared" si="63"/>
        <v>-157.74</v>
      </c>
      <c r="HH3789" s="106">
        <v>-157.74</v>
      </c>
    </row>
    <row r="3790" spans="1:226" x14ac:dyDescent="0.25">
      <c r="A3790" s="127">
        <v>45282</v>
      </c>
      <c r="B3790" s="24" t="s">
        <v>178</v>
      </c>
      <c r="C3790" s="21">
        <f t="shared" si="63"/>
        <v>-82.515000000000001</v>
      </c>
      <c r="BU3790" s="106">
        <v>-82.515000000000001</v>
      </c>
    </row>
    <row r="3791" spans="1:226" x14ac:dyDescent="0.25">
      <c r="A3791" s="127">
        <v>45282</v>
      </c>
      <c r="B3791" s="24" t="s">
        <v>27</v>
      </c>
      <c r="C3791" s="21">
        <f t="shared" si="63"/>
        <v>-8.18</v>
      </c>
      <c r="BO3791" s="106">
        <v>-8.18</v>
      </c>
    </row>
    <row r="3792" spans="1:226" x14ac:dyDescent="0.25">
      <c r="A3792" s="127">
        <v>45282</v>
      </c>
      <c r="B3792" s="24" t="s">
        <v>68</v>
      </c>
      <c r="C3792" s="21">
        <f t="shared" si="63"/>
        <v>-131.965</v>
      </c>
      <c r="BO3792" s="106">
        <v>-32.854999999999997</v>
      </c>
      <c r="BU3792" s="106">
        <v>-32.914999999999999</v>
      </c>
      <c r="CA3792" s="106">
        <v>-31.895</v>
      </c>
      <c r="DK3792" s="106">
        <v>-34.299999999999997</v>
      </c>
    </row>
    <row r="3793" spans="1:208" x14ac:dyDescent="0.25">
      <c r="A3793" s="127">
        <v>45282</v>
      </c>
      <c r="B3793" s="24" t="s">
        <v>18</v>
      </c>
      <c r="C3793" s="21">
        <f t="shared" si="63"/>
        <v>-35.869999999999997</v>
      </c>
      <c r="BC3793" s="106">
        <v>-35.869999999999997</v>
      </c>
    </row>
    <row r="3794" spans="1:208" x14ac:dyDescent="0.25">
      <c r="A3794" s="127">
        <v>45283</v>
      </c>
      <c r="B3794" s="24" t="s">
        <v>19</v>
      </c>
      <c r="C3794" s="21">
        <f t="shared" si="63"/>
        <v>0</v>
      </c>
    </row>
    <row r="3795" spans="1:208" x14ac:dyDescent="0.25">
      <c r="A3795" s="127">
        <v>45285</v>
      </c>
      <c r="B3795" s="24" t="s">
        <v>184</v>
      </c>
      <c r="C3795" s="21">
        <f t="shared" si="63"/>
        <v>-120.745</v>
      </c>
      <c r="EA3795" s="74">
        <v>-66.709999999999994</v>
      </c>
      <c r="EG3795" s="74">
        <v>-54.034999999999997</v>
      </c>
    </row>
    <row r="3796" spans="1:208" x14ac:dyDescent="0.25">
      <c r="A3796" s="127">
        <v>45285</v>
      </c>
      <c r="B3796" s="24" t="s">
        <v>133</v>
      </c>
      <c r="C3796" s="21">
        <f t="shared" si="63"/>
        <v>-130.505</v>
      </c>
      <c r="BI3796" s="106">
        <v>-33.520000000000003</v>
      </c>
      <c r="BU3796" s="106">
        <v>-33.935000000000002</v>
      </c>
      <c r="CA3796" s="106">
        <v>-31.125</v>
      </c>
      <c r="CG3796" s="106">
        <v>-31.925000000000001</v>
      </c>
    </row>
    <row r="3797" spans="1:208" x14ac:dyDescent="0.25">
      <c r="A3797" s="127">
        <v>45285</v>
      </c>
      <c r="B3797" s="24" t="s">
        <v>48</v>
      </c>
      <c r="C3797" s="21">
        <f t="shared" si="63"/>
        <v>-16.38</v>
      </c>
      <c r="BC3797" s="106">
        <f>-9.04-7.34</f>
        <v>-16.38</v>
      </c>
    </row>
    <row r="3798" spans="1:208" x14ac:dyDescent="0.25">
      <c r="A3798" s="127">
        <v>45285</v>
      </c>
      <c r="B3798" s="24" t="s">
        <v>32</v>
      </c>
      <c r="C3798" s="21">
        <f t="shared" si="63"/>
        <v>-16.725000000000001</v>
      </c>
      <c r="Z3798" s="79">
        <v>-8.06</v>
      </c>
      <c r="AG3798" s="106">
        <v>-8.6649999999999991</v>
      </c>
    </row>
    <row r="3799" spans="1:208" x14ac:dyDescent="0.25">
      <c r="A3799" s="127">
        <v>45285</v>
      </c>
      <c r="B3799" s="24" t="s">
        <v>113</v>
      </c>
      <c r="C3799" s="21">
        <f t="shared" si="63"/>
        <v>1122.58</v>
      </c>
      <c r="AW3799" s="106">
        <v>105.19499999999999</v>
      </c>
      <c r="BC3799" s="106">
        <v>34.56</v>
      </c>
      <c r="BI3799" s="106">
        <v>100.6</v>
      </c>
      <c r="BU3799" s="106">
        <v>216.505</v>
      </c>
      <c r="CA3799" s="106">
        <v>75.855000000000004</v>
      </c>
      <c r="CG3799" s="106">
        <v>95.125</v>
      </c>
      <c r="CM3799" s="106">
        <v>66.900000000000006</v>
      </c>
      <c r="CS3799" s="74">
        <v>166.82499999999999</v>
      </c>
      <c r="CY3799" s="106">
        <v>98.62</v>
      </c>
      <c r="DU3799" s="106">
        <v>162.39500000000001</v>
      </c>
    </row>
    <row r="3800" spans="1:208" x14ac:dyDescent="0.25">
      <c r="A3800" s="127">
        <v>45285</v>
      </c>
      <c r="B3800" s="24" t="s">
        <v>65</v>
      </c>
      <c r="C3800" s="21">
        <f t="shared" si="63"/>
        <v>-36.28</v>
      </c>
      <c r="AW3800" s="106">
        <v>-36.28</v>
      </c>
    </row>
    <row r="3801" spans="1:208" x14ac:dyDescent="0.25">
      <c r="A3801" s="127">
        <v>45285</v>
      </c>
      <c r="B3801" s="24" t="s">
        <v>149</v>
      </c>
      <c r="C3801" s="21">
        <f t="shared" si="63"/>
        <v>-8.6</v>
      </c>
      <c r="BC3801" s="106">
        <v>-8.6</v>
      </c>
    </row>
    <row r="3802" spans="1:208" x14ac:dyDescent="0.25">
      <c r="A3802" s="127">
        <v>45286</v>
      </c>
      <c r="B3802" s="24" t="s">
        <v>75</v>
      </c>
      <c r="C3802" s="21">
        <f t="shared" si="63"/>
        <v>-167.47</v>
      </c>
      <c r="AN3802" s="106">
        <v>-8.6750000000000007</v>
      </c>
      <c r="AR3802" s="106">
        <v>-19.184999999999999</v>
      </c>
      <c r="AW3802" s="106">
        <v>-18.074999999999999</v>
      </c>
      <c r="BC3802" s="106">
        <v>-17.254999999999999</v>
      </c>
      <c r="BI3802" s="106">
        <v>-8.9550000000000001</v>
      </c>
      <c r="BO3802" s="106">
        <v>-7.5549999999999997</v>
      </c>
      <c r="BU3802" s="106">
        <v>-24.65</v>
      </c>
      <c r="CA3802" s="106">
        <v>-22.26</v>
      </c>
      <c r="CG3802" s="106">
        <v>-16.079999999999998</v>
      </c>
      <c r="CM3802" s="106">
        <v>-24.78</v>
      </c>
    </row>
    <row r="3803" spans="1:208" x14ac:dyDescent="0.25">
      <c r="A3803" s="127">
        <v>45286</v>
      </c>
      <c r="B3803" s="24" t="s">
        <v>20</v>
      </c>
      <c r="C3803" s="21">
        <f t="shared" si="63"/>
        <v>-24.664999999999999</v>
      </c>
      <c r="BU3803" s="106">
        <v>-8.2050000000000001</v>
      </c>
      <c r="GZ3803" s="106">
        <v>-16.46</v>
      </c>
    </row>
    <row r="3804" spans="1:208" x14ac:dyDescent="0.25">
      <c r="A3804" s="127">
        <v>45286</v>
      </c>
      <c r="B3804" s="24" t="s">
        <v>186</v>
      </c>
      <c r="C3804" s="21">
        <f t="shared" si="63"/>
        <v>-24.594999999999999</v>
      </c>
      <c r="DU3804" s="106">
        <v>-24.594999999999999</v>
      </c>
    </row>
    <row r="3805" spans="1:208" x14ac:dyDescent="0.25">
      <c r="A3805" s="127">
        <v>45287</v>
      </c>
      <c r="B3805" s="24" t="s">
        <v>133</v>
      </c>
      <c r="C3805" s="21">
        <f t="shared" si="63"/>
        <v>-87.644999999999996</v>
      </c>
      <c r="AR3805" s="106">
        <v>-18.645</v>
      </c>
      <c r="BU3805" s="106">
        <v>-33.94</v>
      </c>
      <c r="CS3805" s="74">
        <v>-35.06</v>
      </c>
    </row>
    <row r="3806" spans="1:208" x14ac:dyDescent="0.25">
      <c r="A3806" s="127">
        <v>45287</v>
      </c>
      <c r="B3806" s="24" t="s">
        <v>181</v>
      </c>
      <c r="C3806" s="21">
        <f t="shared" si="63"/>
        <v>-13.9</v>
      </c>
      <c r="I3806" s="84">
        <v>-13.9</v>
      </c>
    </row>
    <row r="3807" spans="1:208" x14ac:dyDescent="0.25">
      <c r="A3807" s="127">
        <v>45287</v>
      </c>
      <c r="B3807" s="24" t="s">
        <v>222</v>
      </c>
      <c r="C3807" s="21">
        <f t="shared" si="63"/>
        <v>-42.31</v>
      </c>
      <c r="AR3807" s="106">
        <v>-8.89</v>
      </c>
      <c r="BC3807" s="106">
        <v>-8.7050000000000001</v>
      </c>
      <c r="BI3807" s="106">
        <v>-8.5649999999999995</v>
      </c>
      <c r="BO3807" s="106">
        <v>-7.93</v>
      </c>
      <c r="BU3807" s="106">
        <v>-8.2200000000000006</v>
      </c>
    </row>
    <row r="3808" spans="1:208" x14ac:dyDescent="0.25">
      <c r="A3808" s="127">
        <v>45287</v>
      </c>
      <c r="B3808" s="24" t="s">
        <v>113</v>
      </c>
      <c r="C3808" s="21">
        <f t="shared" si="63"/>
        <v>926.43499999999995</v>
      </c>
      <c r="AW3808" s="106">
        <v>101.06</v>
      </c>
      <c r="BC3808" s="106">
        <v>166.98</v>
      </c>
      <c r="BI3808" s="106">
        <v>155.36500000000001</v>
      </c>
      <c r="BO3808" s="106">
        <v>244.535</v>
      </c>
      <c r="EA3808" s="74">
        <v>167.01</v>
      </c>
      <c r="GZ3808" s="106">
        <v>91.484999999999999</v>
      </c>
    </row>
    <row r="3809" spans="1:208" x14ac:dyDescent="0.25">
      <c r="A3809" s="127">
        <v>45287</v>
      </c>
      <c r="B3809" s="24" t="s">
        <v>95</v>
      </c>
      <c r="C3809" s="21">
        <f t="shared" si="63"/>
        <v>-475.78500000000003</v>
      </c>
      <c r="V3809" s="74">
        <v>-141.63999999999999</v>
      </c>
      <c r="BO3809" s="106">
        <v>-138.13499999999999</v>
      </c>
      <c r="EP3809" s="74">
        <v>-196.01</v>
      </c>
    </row>
    <row r="3810" spans="1:208" x14ac:dyDescent="0.25">
      <c r="A3810" s="127">
        <v>45287</v>
      </c>
      <c r="B3810" s="24" t="s">
        <v>184</v>
      </c>
      <c r="C3810" s="21">
        <f t="shared" si="63"/>
        <v>-497.86</v>
      </c>
      <c r="BO3810" s="106">
        <v>-76.055000000000007</v>
      </c>
      <c r="BU3810" s="106">
        <v>-99.33</v>
      </c>
      <c r="CA3810" s="106">
        <v>-94.894999999999996</v>
      </c>
      <c r="DU3810" s="106">
        <v>-96.075000000000003</v>
      </c>
      <c r="EA3810" s="74">
        <v>-65.31</v>
      </c>
      <c r="EG3810" s="74">
        <v>-66.194999999999993</v>
      </c>
    </row>
    <row r="3811" spans="1:208" x14ac:dyDescent="0.25">
      <c r="A3811" s="127">
        <v>45288</v>
      </c>
      <c r="B3811" s="24" t="s">
        <v>184</v>
      </c>
      <c r="C3811" s="21">
        <f t="shared" si="63"/>
        <v>-196.91499999999999</v>
      </c>
      <c r="V3811" s="74">
        <v>-2.5</v>
      </c>
      <c r="Z3811" s="79">
        <v>-4.54</v>
      </c>
      <c r="AN3811" s="106">
        <v>-8.6850000000000005</v>
      </c>
      <c r="AR3811" s="106">
        <v>-9.31</v>
      </c>
      <c r="AW3811" s="106">
        <v>-26.1</v>
      </c>
      <c r="BC3811" s="106">
        <v>-22.905000000000001</v>
      </c>
      <c r="BI3811" s="106">
        <v>-25.21</v>
      </c>
      <c r="BU3811" s="106">
        <v>-8.2149999999999999</v>
      </c>
      <c r="CA3811" s="106">
        <v>-14.09</v>
      </c>
      <c r="CG3811" s="106">
        <v>-24.21</v>
      </c>
      <c r="CY3811" s="106">
        <v>-16.855</v>
      </c>
      <c r="DE3811" s="74">
        <v>-34.295000000000002</v>
      </c>
    </row>
    <row r="3812" spans="1:208" x14ac:dyDescent="0.25">
      <c r="A3812" s="127">
        <v>45288</v>
      </c>
      <c r="B3812" s="24" t="s">
        <v>139</v>
      </c>
      <c r="C3812" s="21">
        <f t="shared" si="63"/>
        <v>-64.575000000000003</v>
      </c>
      <c r="BC3812" s="106">
        <v>-7.6150000000000002</v>
      </c>
      <c r="BI3812" s="106">
        <v>-7.81</v>
      </c>
      <c r="BO3812" s="106">
        <v>-7.63</v>
      </c>
      <c r="BU3812" s="106">
        <v>-8.2100000000000009</v>
      </c>
      <c r="CA3812" s="106">
        <v>-8.3800000000000008</v>
      </c>
      <c r="CG3812" s="106">
        <v>-7.9850000000000003</v>
      </c>
      <c r="CS3812" s="74">
        <v>-8.39</v>
      </c>
      <c r="CY3812" s="106">
        <v>-8.5549999999999997</v>
      </c>
    </row>
    <row r="3813" spans="1:208" x14ac:dyDescent="0.25">
      <c r="A3813" s="127">
        <v>45288</v>
      </c>
      <c r="B3813" s="24" t="s">
        <v>20</v>
      </c>
      <c r="C3813" s="21">
        <f t="shared" si="63"/>
        <v>-30.09</v>
      </c>
      <c r="GZ3813" s="106">
        <v>-30.09</v>
      </c>
    </row>
    <row r="3814" spans="1:208" x14ac:dyDescent="0.25">
      <c r="A3814" s="127">
        <v>45288</v>
      </c>
      <c r="B3814" s="24" t="s">
        <v>186</v>
      </c>
      <c r="C3814" s="21">
        <f t="shared" si="63"/>
        <v>-82.745000000000005</v>
      </c>
      <c r="DU3814" s="106">
        <v>-24.57</v>
      </c>
      <c r="EA3814" s="74">
        <v>-58.174999999999997</v>
      </c>
    </row>
    <row r="3815" spans="1:208" x14ac:dyDescent="0.25">
      <c r="A3815" s="127">
        <v>45289</v>
      </c>
      <c r="B3815" s="24" t="s">
        <v>65</v>
      </c>
      <c r="C3815" s="21">
        <f t="shared" si="63"/>
        <v>-16.77</v>
      </c>
      <c r="AR3815" s="106">
        <v>-9.0299999999999994</v>
      </c>
      <c r="BI3815" s="106">
        <v>-7.74</v>
      </c>
    </row>
    <row r="3816" spans="1:208" x14ac:dyDescent="0.25">
      <c r="A3816" s="127">
        <v>45289</v>
      </c>
      <c r="B3816" s="24" t="s">
        <v>84</v>
      </c>
      <c r="C3816" s="21">
        <f t="shared" si="63"/>
        <v>-88.32</v>
      </c>
      <c r="Z3816" s="79">
        <v>-7.5</v>
      </c>
      <c r="AN3816" s="106">
        <v>-26.01</v>
      </c>
      <c r="CG3816" s="106">
        <v>-24.94</v>
      </c>
      <c r="CM3816" s="106">
        <v>-25.06</v>
      </c>
      <c r="GH3816" s="106">
        <v>-4.8099999999999996</v>
      </c>
    </row>
    <row r="3817" spans="1:208" x14ac:dyDescent="0.25">
      <c r="A3817" s="127">
        <v>45289</v>
      </c>
      <c r="B3817" s="24" t="s">
        <v>79</v>
      </c>
      <c r="C3817" s="21">
        <f t="shared" si="63"/>
        <v>-56.15</v>
      </c>
      <c r="CA3817" s="106">
        <v>-7.9850000000000003</v>
      </c>
      <c r="CG3817" s="106">
        <v>-24.065000000000001</v>
      </c>
      <c r="CM3817" s="106">
        <v>-24.1</v>
      </c>
    </row>
    <row r="3818" spans="1:208" x14ac:dyDescent="0.25">
      <c r="A3818" s="127">
        <v>45289</v>
      </c>
      <c r="B3818" s="24" t="s">
        <v>138</v>
      </c>
      <c r="C3818" s="21">
        <f t="shared" si="63"/>
        <v>-174.32499999999999</v>
      </c>
      <c r="AW3818" s="106">
        <v>-17.945</v>
      </c>
      <c r="BC3818" s="106">
        <v>-20.010000000000002</v>
      </c>
      <c r="BI3818" s="106">
        <v>-17.39</v>
      </c>
      <c r="BO3818" s="106">
        <v>-15.045</v>
      </c>
      <c r="CG3818" s="106">
        <v>-16.05</v>
      </c>
      <c r="CM3818" s="106">
        <v>-8.0299999999999994</v>
      </c>
      <c r="CS3818" s="74">
        <v>-24.04</v>
      </c>
      <c r="CY3818" s="106">
        <v>-24.164999999999999</v>
      </c>
      <c r="DE3818" s="74">
        <v>-16.809999999999999</v>
      </c>
      <c r="DK3818" s="106">
        <v>-14.84</v>
      </c>
    </row>
    <row r="3819" spans="1:208" x14ac:dyDescent="0.25">
      <c r="A3819" s="127">
        <v>45289</v>
      </c>
      <c r="B3819" s="24" t="s">
        <v>151</v>
      </c>
      <c r="C3819" s="21">
        <f t="shared" si="63"/>
        <v>-8.26</v>
      </c>
      <c r="DE3819" s="74">
        <v>-8.26</v>
      </c>
    </row>
    <row r="3820" spans="1:208" x14ac:dyDescent="0.25">
      <c r="A3820" s="127">
        <v>45289</v>
      </c>
      <c r="B3820" s="24" t="s">
        <v>184</v>
      </c>
      <c r="C3820" s="21">
        <f t="shared" si="63"/>
        <v>-116.66</v>
      </c>
      <c r="CG3820" s="106">
        <v>-15.984999999999999</v>
      </c>
      <c r="CM3820" s="106">
        <v>-41.814999999999998</v>
      </c>
      <c r="CS3820" s="74">
        <v>-42.09</v>
      </c>
      <c r="CY3820" s="106">
        <v>-16.77</v>
      </c>
    </row>
    <row r="3821" spans="1:208" x14ac:dyDescent="0.25">
      <c r="A3821" s="127">
        <v>45289</v>
      </c>
      <c r="B3821" s="24" t="s">
        <v>32</v>
      </c>
      <c r="C3821" s="21">
        <f t="shared" si="63"/>
        <v>-106.755</v>
      </c>
      <c r="AG3821" s="106">
        <v>-34.615000000000002</v>
      </c>
      <c r="BC3821" s="106">
        <v>-26.605</v>
      </c>
      <c r="BI3821" s="106">
        <v>-30.07</v>
      </c>
      <c r="DP3821" s="74">
        <v>-15.465</v>
      </c>
    </row>
    <row r="3822" spans="1:208" x14ac:dyDescent="0.25">
      <c r="A3822" s="127">
        <v>45289</v>
      </c>
      <c r="B3822" s="24" t="s">
        <v>32</v>
      </c>
      <c r="C3822" s="21">
        <f t="shared" si="63"/>
        <v>-34.145000000000003</v>
      </c>
      <c r="CY3822" s="106">
        <v>-16.105</v>
      </c>
      <c r="DE3822" s="74">
        <v>-18.04</v>
      </c>
    </row>
    <row r="3823" spans="1:208" x14ac:dyDescent="0.25">
      <c r="A3823" s="127">
        <v>45289</v>
      </c>
      <c r="B3823" s="24" t="s">
        <v>184</v>
      </c>
      <c r="C3823" s="21">
        <f t="shared" si="63"/>
        <v>-50.424999999999997</v>
      </c>
      <c r="EA3823" s="74">
        <v>-25.33</v>
      </c>
      <c r="EL3823" s="106">
        <v>-25.094999999999999</v>
      </c>
    </row>
    <row r="3824" spans="1:208" x14ac:dyDescent="0.25">
      <c r="A3824" s="127">
        <v>45293</v>
      </c>
      <c r="B3824" s="24" t="s">
        <v>48</v>
      </c>
      <c r="C3824" s="21">
        <f t="shared" si="63"/>
        <v>-16.25</v>
      </c>
      <c r="DK3824" s="106">
        <v>-16.25</v>
      </c>
    </row>
    <row r="3825" spans="1:208" x14ac:dyDescent="0.25">
      <c r="A3825" s="127">
        <v>45294</v>
      </c>
      <c r="B3825" s="24" t="s">
        <v>139</v>
      </c>
      <c r="C3825" s="21">
        <f t="shared" ref="C3825:C3888" si="64">SUM(D3825:JT3825)</f>
        <v>-15.73</v>
      </c>
      <c r="Z3825" s="79">
        <v>-7.48</v>
      </c>
      <c r="AA3825" s="42">
        <v>-8.25</v>
      </c>
    </row>
    <row r="3826" spans="1:208" x14ac:dyDescent="0.25">
      <c r="A3826" s="127">
        <v>45294</v>
      </c>
      <c r="B3826" s="24" t="s">
        <v>20</v>
      </c>
      <c r="C3826" s="21">
        <f t="shared" si="64"/>
        <v>-37.465000000000003</v>
      </c>
      <c r="AW3826" s="106">
        <v>-6.7850000000000001</v>
      </c>
      <c r="GZ3826" s="106">
        <v>-30.68</v>
      </c>
    </row>
    <row r="3827" spans="1:208" x14ac:dyDescent="0.25">
      <c r="A3827" s="127">
        <v>45294</v>
      </c>
      <c r="B3827" s="24" t="s">
        <v>48</v>
      </c>
      <c r="C3827" s="21">
        <f t="shared" si="64"/>
        <v>24.11</v>
      </c>
      <c r="AA3827" s="42">
        <f>8.25+8.25+7.61</f>
        <v>24.11</v>
      </c>
    </row>
    <row r="3828" spans="1:208" x14ac:dyDescent="0.25">
      <c r="A3828" s="127">
        <v>45294</v>
      </c>
      <c r="B3828" s="24" t="s">
        <v>65</v>
      </c>
      <c r="C3828" s="21">
        <f t="shared" si="64"/>
        <v>-15.86</v>
      </c>
      <c r="AA3828" s="42">
        <v>-15.86</v>
      </c>
    </row>
    <row r="3829" spans="1:208" x14ac:dyDescent="0.25">
      <c r="A3829" s="127">
        <v>45294</v>
      </c>
      <c r="B3829" s="24" t="s">
        <v>44</v>
      </c>
      <c r="C3829" s="21">
        <f t="shared" si="64"/>
        <v>-164.965</v>
      </c>
      <c r="GQ3829" s="92">
        <v>-164.965</v>
      </c>
    </row>
    <row r="3830" spans="1:208" x14ac:dyDescent="0.25">
      <c r="A3830" s="127">
        <v>45295</v>
      </c>
      <c r="B3830" s="24" t="s">
        <v>32</v>
      </c>
      <c r="C3830" s="21">
        <f t="shared" si="64"/>
        <v>-40.520000000000003</v>
      </c>
      <c r="Z3830" s="79">
        <v>-8.68</v>
      </c>
      <c r="AG3830" s="106">
        <v>-8.65</v>
      </c>
      <c r="CY3830" s="106">
        <v>-23.19</v>
      </c>
    </row>
    <row r="3831" spans="1:208" x14ac:dyDescent="0.25">
      <c r="A3831" s="127">
        <v>45296</v>
      </c>
      <c r="B3831" s="24" t="s">
        <v>65</v>
      </c>
      <c r="C3831" s="21">
        <f t="shared" si="64"/>
        <v>-138.67500000000001</v>
      </c>
      <c r="AN3831" s="106">
        <v>-138.67500000000001</v>
      </c>
    </row>
    <row r="3832" spans="1:208" x14ac:dyDescent="0.25">
      <c r="A3832" s="127">
        <v>45296</v>
      </c>
      <c r="B3832" s="24" t="s">
        <v>139</v>
      </c>
      <c r="C3832" s="21">
        <f t="shared" si="64"/>
        <v>-8.3000000000000007</v>
      </c>
      <c r="CS3832" s="74">
        <v>-8.3000000000000007</v>
      </c>
    </row>
    <row r="3833" spans="1:208" x14ac:dyDescent="0.25">
      <c r="A3833" s="127">
        <v>45296</v>
      </c>
      <c r="B3833" s="24" t="s">
        <v>133</v>
      </c>
      <c r="C3833" s="21">
        <f t="shared" si="64"/>
        <v>-136.55500000000001</v>
      </c>
      <c r="AG3833" s="106">
        <v>-17.245000000000001</v>
      </c>
      <c r="AN3833" s="106">
        <v>-34.549999999999997</v>
      </c>
      <c r="AR3833" s="106">
        <v>-35.93</v>
      </c>
      <c r="CY3833" s="106">
        <v>-16.055</v>
      </c>
      <c r="DE3833" s="74">
        <v>-32.774999999999999</v>
      </c>
    </row>
    <row r="3834" spans="1:208" x14ac:dyDescent="0.25">
      <c r="A3834" s="127">
        <v>45296</v>
      </c>
      <c r="B3834" s="24" t="s">
        <v>25</v>
      </c>
      <c r="C3834" s="21">
        <f t="shared" si="64"/>
        <v>-33.505000000000003</v>
      </c>
      <c r="DP3834" s="74">
        <v>-33.505000000000003</v>
      </c>
    </row>
    <row r="3835" spans="1:208" x14ac:dyDescent="0.25">
      <c r="A3835" s="127">
        <v>45296</v>
      </c>
      <c r="B3835" s="24" t="s">
        <v>20</v>
      </c>
      <c r="C3835" s="21">
        <f t="shared" si="64"/>
        <v>-8.18</v>
      </c>
      <c r="BI3835" s="106">
        <v>-8.18</v>
      </c>
    </row>
    <row r="3836" spans="1:208" x14ac:dyDescent="0.25">
      <c r="A3836" s="127">
        <v>45296</v>
      </c>
      <c r="B3836" s="24" t="s">
        <v>48</v>
      </c>
      <c r="C3836" s="21">
        <f t="shared" si="64"/>
        <v>-17.195</v>
      </c>
      <c r="BI3836" s="106">
        <v>-17.195</v>
      </c>
    </row>
    <row r="3837" spans="1:208" x14ac:dyDescent="0.25">
      <c r="A3837" s="127">
        <v>45297</v>
      </c>
      <c r="B3837" s="24" t="s">
        <v>111</v>
      </c>
      <c r="C3837" s="21">
        <f t="shared" si="64"/>
        <v>-15.9</v>
      </c>
      <c r="CG3837" s="106">
        <v>-15.9</v>
      </c>
    </row>
    <row r="3838" spans="1:208" x14ac:dyDescent="0.25">
      <c r="A3838" s="127">
        <v>45297</v>
      </c>
      <c r="B3838" s="24" t="s">
        <v>113</v>
      </c>
      <c r="C3838" s="21">
        <f t="shared" si="64"/>
        <v>2389.2800000000002</v>
      </c>
      <c r="AW3838" s="106">
        <v>215.59</v>
      </c>
      <c r="BI3838" s="106">
        <v>209</v>
      </c>
      <c r="BO3838" s="106">
        <v>193.98</v>
      </c>
      <c r="BU3838" s="106">
        <v>196.035</v>
      </c>
      <c r="CA3838" s="106">
        <v>198.53</v>
      </c>
      <c r="CG3838" s="106">
        <v>197.13</v>
      </c>
      <c r="CM3838" s="106">
        <v>192.19499999999999</v>
      </c>
      <c r="CS3838" s="74">
        <v>197.47</v>
      </c>
      <c r="CY3838" s="106">
        <v>196.76</v>
      </c>
      <c r="DK3838" s="106">
        <v>202.37</v>
      </c>
      <c r="DU3838" s="106">
        <v>193.98</v>
      </c>
      <c r="EA3838" s="74">
        <v>196.24</v>
      </c>
    </row>
    <row r="3839" spans="1:208" x14ac:dyDescent="0.25">
      <c r="A3839" s="127">
        <v>45299</v>
      </c>
      <c r="B3839" s="24" t="s">
        <v>18</v>
      </c>
      <c r="C3839" s="21">
        <f t="shared" si="64"/>
        <v>-622.03</v>
      </c>
      <c r="BC3839" s="106">
        <v>-26.844999999999999</v>
      </c>
      <c r="BI3839" s="106">
        <v>-70.084999999999994</v>
      </c>
      <c r="BO3839" s="106">
        <v>-65.334999999999994</v>
      </c>
      <c r="BU3839" s="106">
        <v>-63.7</v>
      </c>
      <c r="CA3839" s="106">
        <v>-98.905000000000001</v>
      </c>
      <c r="CG3839" s="106">
        <v>-66.25</v>
      </c>
      <c r="CM3839" s="106">
        <v>-64.185000000000002</v>
      </c>
      <c r="CS3839" s="74">
        <v>-32.74</v>
      </c>
      <c r="CY3839" s="106">
        <v>-32.994999999999997</v>
      </c>
      <c r="DK3839" s="106">
        <v>-69.12</v>
      </c>
      <c r="DP3839" s="74">
        <v>-31.87</v>
      </c>
    </row>
    <row r="3840" spans="1:208" x14ac:dyDescent="0.25">
      <c r="A3840" s="127">
        <v>45299</v>
      </c>
      <c r="B3840" s="24" t="s">
        <v>178</v>
      </c>
      <c r="C3840" s="21">
        <f t="shared" si="64"/>
        <v>-127.375</v>
      </c>
      <c r="BC3840" s="106">
        <v>-27.89</v>
      </c>
      <c r="BU3840" s="106">
        <v>-99.484999999999999</v>
      </c>
    </row>
    <row r="3841" spans="1:208" x14ac:dyDescent="0.25">
      <c r="A3841" s="127">
        <v>45299</v>
      </c>
      <c r="B3841" s="24" t="s">
        <v>133</v>
      </c>
      <c r="C3841" s="21">
        <f t="shared" si="64"/>
        <v>-130.1</v>
      </c>
      <c r="EA3841" s="74">
        <v>-130.1</v>
      </c>
    </row>
    <row r="3842" spans="1:208" x14ac:dyDescent="0.25">
      <c r="A3842" s="127">
        <v>45299</v>
      </c>
      <c r="B3842" s="24" t="s">
        <v>184</v>
      </c>
      <c r="C3842" s="21">
        <f t="shared" si="64"/>
        <v>-52.945</v>
      </c>
      <c r="AW3842" s="106">
        <v>-18.03</v>
      </c>
      <c r="CA3842" s="106">
        <v>-34.914999999999999</v>
      </c>
    </row>
    <row r="3843" spans="1:208" x14ac:dyDescent="0.25">
      <c r="A3843" s="127">
        <v>45299</v>
      </c>
      <c r="B3843" s="24" t="s">
        <v>17</v>
      </c>
      <c r="C3843" s="21">
        <f t="shared" si="64"/>
        <v>-191.04499999999999</v>
      </c>
      <c r="AN3843" s="106">
        <v>-8.6549999999999994</v>
      </c>
      <c r="AR3843" s="106">
        <v>-8.8149999999999995</v>
      </c>
      <c r="AW3843" s="106">
        <v>-9.11</v>
      </c>
      <c r="BC3843" s="106">
        <f>-9.09-7.525-6.76</f>
        <v>-23.375</v>
      </c>
      <c r="BI3843" s="106">
        <f>-8.69-8.69-8.725</f>
        <v>-26.105</v>
      </c>
      <c r="BO3843" s="106">
        <f>-8.15-8.18-8.165</f>
        <v>-24.495000000000001</v>
      </c>
      <c r="BU3843" s="106">
        <v>-7.93</v>
      </c>
      <c r="CA3843" s="106">
        <f>-8.275-7.96</f>
        <v>-16.234999999999999</v>
      </c>
      <c r="CG3843" s="106">
        <f>-8.445-8.485-8.475</f>
        <v>-25.405000000000001</v>
      </c>
      <c r="CM3843" s="106">
        <f>-8.135-8.14</f>
        <v>-16.274999999999999</v>
      </c>
      <c r="CS3843" s="74">
        <v>-8.2899999999999991</v>
      </c>
      <c r="CY3843" s="106">
        <f>-8.18-8.175</f>
        <v>-16.355</v>
      </c>
    </row>
    <row r="3844" spans="1:208" x14ac:dyDescent="0.25">
      <c r="A3844" s="127">
        <v>45299</v>
      </c>
      <c r="B3844" s="24" t="s">
        <v>165</v>
      </c>
      <c r="C3844" s="21">
        <f t="shared" si="64"/>
        <v>-17.71</v>
      </c>
      <c r="AN3844" s="106">
        <v>-8.66</v>
      </c>
      <c r="AR3844" s="106">
        <v>-9.0500000000000007</v>
      </c>
    </row>
    <row r="3845" spans="1:208" x14ac:dyDescent="0.25">
      <c r="A3845" s="127">
        <v>45299</v>
      </c>
      <c r="B3845" s="24" t="s">
        <v>18</v>
      </c>
      <c r="C3845" s="21">
        <f t="shared" si="64"/>
        <v>-33.055</v>
      </c>
      <c r="DP3845" s="74">
        <v>-33.055</v>
      </c>
    </row>
    <row r="3846" spans="1:208" x14ac:dyDescent="0.25">
      <c r="A3846" s="127">
        <v>45299</v>
      </c>
      <c r="B3846" s="24" t="s">
        <v>152</v>
      </c>
      <c r="C3846" s="21">
        <f t="shared" si="64"/>
        <v>-447.54500000000002</v>
      </c>
      <c r="Z3846" s="79">
        <v>-30.54</v>
      </c>
      <c r="BO3846" s="106">
        <f>-31-32.62</f>
        <v>-63.62</v>
      </c>
      <c r="DP3846" s="74">
        <v>-91.27</v>
      </c>
      <c r="DU3846" s="106">
        <v>-129.22</v>
      </c>
      <c r="EA3846" s="74">
        <f>-33.29-33.675-33.715-32.215</f>
        <v>-132.89500000000001</v>
      </c>
    </row>
    <row r="3847" spans="1:208" x14ac:dyDescent="0.25">
      <c r="A3847" s="127">
        <v>45299</v>
      </c>
      <c r="B3847" s="24" t="s">
        <v>48</v>
      </c>
      <c r="C3847" s="21">
        <f t="shared" si="64"/>
        <v>-183.71</v>
      </c>
      <c r="Z3847" s="79">
        <f>-7.51-7.1</f>
        <v>-14.61</v>
      </c>
      <c r="AW3847" s="106">
        <v>-36.024999999999999</v>
      </c>
      <c r="BI3847" s="106">
        <v>-34.67</v>
      </c>
      <c r="BO3847" s="106">
        <v>-32.354999999999997</v>
      </c>
      <c r="CG3847" s="106">
        <v>-33.64</v>
      </c>
      <c r="CM3847" s="106">
        <v>-32.409999999999997</v>
      </c>
    </row>
    <row r="3848" spans="1:208" x14ac:dyDescent="0.25">
      <c r="A3848" s="127">
        <v>45300</v>
      </c>
      <c r="B3848" s="24" t="s">
        <v>138</v>
      </c>
      <c r="C3848" s="21">
        <f t="shared" si="64"/>
        <v>-17.135000000000002</v>
      </c>
      <c r="BU3848" s="106">
        <v>-17.135000000000002</v>
      </c>
    </row>
    <row r="3849" spans="1:208" x14ac:dyDescent="0.25">
      <c r="A3849" s="127">
        <v>45300</v>
      </c>
      <c r="B3849" s="24" t="s">
        <v>174</v>
      </c>
      <c r="C3849" s="21">
        <f t="shared" si="64"/>
        <v>-8.9700000000000006</v>
      </c>
      <c r="AR3849" s="106">
        <v>-8.9700000000000006</v>
      </c>
    </row>
    <row r="3850" spans="1:208" x14ac:dyDescent="0.25">
      <c r="A3850" s="127">
        <v>45300</v>
      </c>
      <c r="B3850" s="24" t="s">
        <v>127</v>
      </c>
      <c r="C3850" s="21">
        <f t="shared" si="64"/>
        <v>-8.1750000000000007</v>
      </c>
      <c r="BO3850" s="106">
        <v>-8.1750000000000007</v>
      </c>
    </row>
    <row r="3851" spans="1:208" x14ac:dyDescent="0.25">
      <c r="A3851" s="127">
        <v>45300</v>
      </c>
      <c r="B3851" s="24" t="s">
        <v>139</v>
      </c>
      <c r="C3851" s="21">
        <f t="shared" si="64"/>
        <v>-15.63</v>
      </c>
      <c r="CG3851" s="106">
        <v>-8.2949999999999999</v>
      </c>
      <c r="CM3851" s="106">
        <v>-7.335</v>
      </c>
    </row>
    <row r="3852" spans="1:208" x14ac:dyDescent="0.25">
      <c r="A3852" s="127">
        <v>45300</v>
      </c>
      <c r="B3852" s="24" t="s">
        <v>20</v>
      </c>
      <c r="C3852" s="21">
        <f t="shared" si="64"/>
        <v>-53.56</v>
      </c>
      <c r="Z3852" s="79">
        <v>-7.58</v>
      </c>
      <c r="CA3852" s="106">
        <v>-8.7750000000000004</v>
      </c>
      <c r="CM3852" s="106">
        <v>-8.1150000000000002</v>
      </c>
      <c r="GZ3852" s="106">
        <v>-29.09</v>
      </c>
    </row>
    <row r="3853" spans="1:208" x14ac:dyDescent="0.25">
      <c r="A3853" s="127">
        <v>45300</v>
      </c>
      <c r="B3853" s="24" t="s">
        <v>44</v>
      </c>
      <c r="C3853" s="21">
        <f t="shared" si="64"/>
        <v>0</v>
      </c>
    </row>
    <row r="3854" spans="1:208" x14ac:dyDescent="0.25">
      <c r="A3854" s="127">
        <v>45300</v>
      </c>
      <c r="B3854" s="24" t="s">
        <v>48</v>
      </c>
      <c r="C3854" s="21">
        <f t="shared" si="64"/>
        <v>-8.6300000000000008</v>
      </c>
      <c r="AN3854" s="106">
        <v>-8.6300000000000008</v>
      </c>
    </row>
    <row r="3855" spans="1:208" x14ac:dyDescent="0.25">
      <c r="A3855" s="127">
        <v>45301</v>
      </c>
      <c r="B3855" s="24" t="s">
        <v>183</v>
      </c>
      <c r="C3855" s="21">
        <f t="shared" si="64"/>
        <v>-24.484999999999999</v>
      </c>
      <c r="DE3855" s="74">
        <v>-16.414999999999999</v>
      </c>
      <c r="DP3855" s="74">
        <v>-8.07</v>
      </c>
    </row>
    <row r="3856" spans="1:208" x14ac:dyDescent="0.25">
      <c r="A3856" s="127">
        <v>45301</v>
      </c>
      <c r="B3856" s="24" t="s">
        <v>122</v>
      </c>
      <c r="C3856" s="21">
        <f t="shared" si="64"/>
        <v>-399.79</v>
      </c>
      <c r="GH3856" s="106">
        <v>-399.79</v>
      </c>
    </row>
    <row r="3857" spans="1:167" x14ac:dyDescent="0.25">
      <c r="A3857" s="127">
        <v>45301</v>
      </c>
      <c r="B3857" s="24" t="s">
        <v>184</v>
      </c>
      <c r="C3857" s="21">
        <f t="shared" si="64"/>
        <v>-41.25</v>
      </c>
      <c r="EA3857" s="74">
        <v>-41.25</v>
      </c>
    </row>
    <row r="3858" spans="1:167" x14ac:dyDescent="0.25">
      <c r="A3858" s="127">
        <v>45302</v>
      </c>
      <c r="B3858" s="24" t="s">
        <v>165</v>
      </c>
      <c r="C3858" s="21">
        <f t="shared" si="64"/>
        <v>-32.5</v>
      </c>
      <c r="CA3858" s="106">
        <v>-24.225000000000001</v>
      </c>
      <c r="CS3858" s="74">
        <v>-8.2750000000000004</v>
      </c>
    </row>
    <row r="3859" spans="1:167" x14ac:dyDescent="0.25">
      <c r="A3859" s="127">
        <v>45302</v>
      </c>
      <c r="B3859" s="24" t="s">
        <v>133</v>
      </c>
      <c r="C3859" s="21">
        <f t="shared" si="64"/>
        <v>-34.634999999999998</v>
      </c>
      <c r="BI3859" s="106">
        <v>-34.634999999999998</v>
      </c>
    </row>
    <row r="3860" spans="1:167" x14ac:dyDescent="0.25">
      <c r="A3860" s="127">
        <v>45302</v>
      </c>
      <c r="B3860" s="24" t="s">
        <v>48</v>
      </c>
      <c r="C3860" s="21">
        <f t="shared" si="64"/>
        <v>-100.19499999999999</v>
      </c>
      <c r="AN3860" s="106">
        <v>-33.42</v>
      </c>
      <c r="AR3860" s="106">
        <v>-37.145000000000003</v>
      </c>
      <c r="BI3860" s="106">
        <v>-29.63</v>
      </c>
    </row>
    <row r="3861" spans="1:167" x14ac:dyDescent="0.25">
      <c r="A3861" s="127">
        <v>45303</v>
      </c>
      <c r="B3861" s="24" t="s">
        <v>113</v>
      </c>
      <c r="C3861" s="21">
        <f t="shared" si="64"/>
        <v>2425.712</v>
      </c>
      <c r="AN3861" s="106">
        <v>212.14</v>
      </c>
      <c r="AR3861" s="106">
        <v>108.925</v>
      </c>
      <c r="BC3861" s="106">
        <v>207.18199999999999</v>
      </c>
      <c r="BI3861" s="106">
        <v>206.36500000000001</v>
      </c>
      <c r="BO3861" s="106">
        <v>201.1</v>
      </c>
      <c r="BU3861" s="106">
        <v>197.76</v>
      </c>
      <c r="CA3861" s="106">
        <v>197.55</v>
      </c>
      <c r="CG3861" s="106">
        <v>200.8</v>
      </c>
      <c r="CM3861" s="106">
        <v>198.42</v>
      </c>
      <c r="CS3861" s="74">
        <v>195.935</v>
      </c>
      <c r="DU3861" s="106">
        <v>195.88499999999999</v>
      </c>
      <c r="EA3861" s="74">
        <v>303.64999999999998</v>
      </c>
    </row>
    <row r="3862" spans="1:167" x14ac:dyDescent="0.25">
      <c r="A3862" s="127">
        <v>45303</v>
      </c>
      <c r="B3862" s="24" t="s">
        <v>139</v>
      </c>
      <c r="C3862" s="21">
        <f t="shared" si="64"/>
        <v>-49.26</v>
      </c>
      <c r="CA3862" s="106">
        <v>-8.1300000000000008</v>
      </c>
      <c r="CG3862" s="106">
        <v>-8.4499999999999993</v>
      </c>
      <c r="CM3862" s="106">
        <v>-16.170000000000002</v>
      </c>
      <c r="CS3862" s="74">
        <v>-16.510000000000002</v>
      </c>
    </row>
    <row r="3863" spans="1:167" x14ac:dyDescent="0.25">
      <c r="A3863" s="127">
        <v>45303</v>
      </c>
      <c r="B3863" s="24" t="s">
        <v>184</v>
      </c>
      <c r="C3863" s="21">
        <f t="shared" si="64"/>
        <v>-241.97499999999999</v>
      </c>
      <c r="AN3863" s="106">
        <v>-8.84</v>
      </c>
      <c r="AR3863" s="106">
        <v>-18.175000000000001</v>
      </c>
      <c r="AW3863" s="106">
        <v>-26.914999999999999</v>
      </c>
      <c r="BC3863" s="106">
        <v>-25.97</v>
      </c>
      <c r="BI3863" s="106">
        <v>-34.115000000000002</v>
      </c>
      <c r="BO3863" s="106">
        <v>-37.58</v>
      </c>
      <c r="BU3863" s="106">
        <v>-40.81</v>
      </c>
      <c r="CA3863" s="106">
        <v>-32.909999999999997</v>
      </c>
      <c r="CG3863" s="106">
        <v>-8.5299999999999994</v>
      </c>
      <c r="CM3863" s="106">
        <v>-8.1300000000000008</v>
      </c>
    </row>
    <row r="3864" spans="1:167" x14ac:dyDescent="0.25">
      <c r="A3864" s="127">
        <v>45303</v>
      </c>
      <c r="B3864" s="24" t="s">
        <v>20</v>
      </c>
      <c r="C3864" s="21">
        <f t="shared" si="64"/>
        <v>-41.945</v>
      </c>
      <c r="AN3864" s="106">
        <v>-8.83</v>
      </c>
      <c r="BC3864" s="106">
        <v>-8.64</v>
      </c>
      <c r="BI3864" s="106">
        <v>-8.5150000000000006</v>
      </c>
      <c r="BO3864" s="106">
        <v>-7.79</v>
      </c>
      <c r="BU3864" s="106">
        <v>-8.17</v>
      </c>
    </row>
    <row r="3865" spans="1:167" x14ac:dyDescent="0.25">
      <c r="A3865" s="127">
        <v>45303</v>
      </c>
      <c r="B3865" s="24" t="s">
        <v>169</v>
      </c>
      <c r="C3865" s="21">
        <f t="shared" si="64"/>
        <v>-78.989999999999995</v>
      </c>
      <c r="E3865" s="386">
        <v>-59.4</v>
      </c>
      <c r="G3865" s="145">
        <v>-19.59</v>
      </c>
    </row>
    <row r="3866" spans="1:167" x14ac:dyDescent="0.25">
      <c r="A3866" s="127">
        <v>45303</v>
      </c>
      <c r="B3866" s="24" t="s">
        <v>138</v>
      </c>
      <c r="C3866" s="21">
        <f t="shared" si="64"/>
        <v>-66.06</v>
      </c>
      <c r="BC3866" s="106">
        <v>-16.295000000000002</v>
      </c>
      <c r="BI3866" s="106">
        <v>-16.91</v>
      </c>
      <c r="BU3866" s="106">
        <v>-8.2050000000000001</v>
      </c>
      <c r="CA3866" s="106">
        <v>-24.65</v>
      </c>
    </row>
    <row r="3867" spans="1:167" x14ac:dyDescent="0.25">
      <c r="A3867" s="127">
        <v>45303</v>
      </c>
      <c r="B3867" s="24" t="s">
        <v>18</v>
      </c>
      <c r="C3867" s="21">
        <f t="shared" si="64"/>
        <v>-492.68200000000002</v>
      </c>
      <c r="AW3867" s="106">
        <v>-35.865000000000002</v>
      </c>
      <c r="BC3867" s="106">
        <v>-34.392000000000003</v>
      </c>
      <c r="BI3867" s="106">
        <v>-35.03</v>
      </c>
      <c r="BO3867" s="106">
        <v>-30.72</v>
      </c>
      <c r="BU3867" s="106">
        <v>-32.715000000000003</v>
      </c>
      <c r="CA3867" s="106">
        <v>-65.94</v>
      </c>
      <c r="CG3867" s="106">
        <v>-67.844999999999999</v>
      </c>
      <c r="CM3867" s="106">
        <v>-32.49</v>
      </c>
      <c r="CS3867" s="74">
        <v>-30.145</v>
      </c>
      <c r="CY3867" s="106">
        <v>-31.565000000000001</v>
      </c>
      <c r="DE3867" s="74">
        <v>-32.655000000000001</v>
      </c>
      <c r="DN3867" s="42">
        <v>-8.75</v>
      </c>
      <c r="DP3867" s="74">
        <f>-8.01-7.64-6.96</f>
        <v>-22.61</v>
      </c>
      <c r="DU3867" s="106">
        <v>-31.96</v>
      </c>
    </row>
    <row r="3868" spans="1:167" x14ac:dyDescent="0.25">
      <c r="A3868" s="127">
        <v>45303</v>
      </c>
      <c r="B3868" s="24" t="s">
        <v>151</v>
      </c>
      <c r="C3868" s="21">
        <f t="shared" si="64"/>
        <v>-92.444999999999993</v>
      </c>
      <c r="EA3868" s="74">
        <v>-92.444999999999993</v>
      </c>
    </row>
    <row r="3869" spans="1:167" x14ac:dyDescent="0.25">
      <c r="A3869" s="127">
        <v>45303</v>
      </c>
      <c r="B3869" s="24" t="s">
        <v>48</v>
      </c>
      <c r="C3869" s="21">
        <f t="shared" si="64"/>
        <v>-84.954999999999998</v>
      </c>
      <c r="BC3869" s="106">
        <v>-51.994999999999997</v>
      </c>
      <c r="BU3869" s="106">
        <v>-32.96</v>
      </c>
    </row>
    <row r="3870" spans="1:167" x14ac:dyDescent="0.25">
      <c r="A3870" s="127">
        <v>45304</v>
      </c>
      <c r="B3870" s="24" t="s">
        <v>184</v>
      </c>
      <c r="C3870" s="21">
        <f t="shared" si="64"/>
        <v>-57.875</v>
      </c>
      <c r="FK3870" s="106">
        <v>-57.875</v>
      </c>
    </row>
    <row r="3871" spans="1:167" x14ac:dyDescent="0.25">
      <c r="A3871" s="127">
        <v>45306</v>
      </c>
      <c r="B3871" s="24" t="s">
        <v>133</v>
      </c>
      <c r="C3871" s="21">
        <f t="shared" si="64"/>
        <v>-165.55</v>
      </c>
      <c r="BC3871" s="106">
        <v>-34.409999999999997</v>
      </c>
      <c r="BI3871" s="106">
        <v>-34.805</v>
      </c>
      <c r="BO3871" s="106">
        <v>-31.18</v>
      </c>
      <c r="CA3871" s="106">
        <v>-32.93</v>
      </c>
      <c r="CG3871" s="106">
        <v>-32.225000000000001</v>
      </c>
    </row>
    <row r="3872" spans="1:167" x14ac:dyDescent="0.25">
      <c r="A3872" s="127">
        <v>45306</v>
      </c>
      <c r="B3872" s="24" t="s">
        <v>32</v>
      </c>
      <c r="C3872" s="21">
        <f t="shared" si="64"/>
        <v>-71.724999999999994</v>
      </c>
      <c r="AN3872" s="106">
        <v>-17.7</v>
      </c>
      <c r="AR3872" s="106">
        <v>-18.22</v>
      </c>
      <c r="AW3872" s="106">
        <v>-35.805</v>
      </c>
    </row>
    <row r="3873" spans="1:237" x14ac:dyDescent="0.25">
      <c r="A3873" s="127">
        <v>45306</v>
      </c>
      <c r="B3873" s="24" t="s">
        <v>140</v>
      </c>
      <c r="C3873" s="21">
        <f t="shared" si="64"/>
        <v>-21.105</v>
      </c>
      <c r="D3873" s="386">
        <v>-21.105</v>
      </c>
    </row>
    <row r="3874" spans="1:237" x14ac:dyDescent="0.25">
      <c r="A3874" s="127">
        <v>45306</v>
      </c>
      <c r="B3874" s="24" t="s">
        <v>152</v>
      </c>
      <c r="C3874" s="21">
        <f t="shared" si="64"/>
        <v>-649.04</v>
      </c>
      <c r="AG3874" s="106">
        <v>-34.659999999999997</v>
      </c>
      <c r="AN3874" s="106">
        <v>-35.380000000000003</v>
      </c>
      <c r="BO3874" s="106">
        <v>-61.89</v>
      </c>
      <c r="BU3874" s="106">
        <v>-66.674999999999997</v>
      </c>
      <c r="CS3874" s="74">
        <v>-99.834999999999994</v>
      </c>
      <c r="DU3874" s="106">
        <v>-131.29</v>
      </c>
      <c r="EA3874" s="74">
        <v>-202.755</v>
      </c>
      <c r="EG3874" s="74">
        <v>-16.555</v>
      </c>
    </row>
    <row r="3875" spans="1:237" x14ac:dyDescent="0.25">
      <c r="A3875" s="127">
        <v>45306</v>
      </c>
      <c r="B3875" s="24" t="s">
        <v>115</v>
      </c>
      <c r="C3875" s="21">
        <f t="shared" si="64"/>
        <v>102.26</v>
      </c>
      <c r="F3875" s="145">
        <v>102.26</v>
      </c>
    </row>
    <row r="3876" spans="1:237" x14ac:dyDescent="0.25">
      <c r="A3876" s="127">
        <v>45307</v>
      </c>
      <c r="B3876" s="24" t="s">
        <v>139</v>
      </c>
      <c r="C3876" s="21">
        <f t="shared" si="64"/>
        <v>-40.98</v>
      </c>
      <c r="BU3876" s="106">
        <v>-8.1649999999999991</v>
      </c>
      <c r="CA3876" s="106">
        <v>-16.18</v>
      </c>
      <c r="CG3876" s="106">
        <v>-8.4949999999999992</v>
      </c>
      <c r="CM3876" s="106">
        <v>-8.14</v>
      </c>
    </row>
    <row r="3877" spans="1:237" x14ac:dyDescent="0.25">
      <c r="A3877" s="127">
        <v>45307</v>
      </c>
      <c r="B3877" s="24" t="s">
        <v>169</v>
      </c>
      <c r="C3877" s="21">
        <f t="shared" si="64"/>
        <v>-68.38</v>
      </c>
      <c r="F3877" s="145">
        <v>-68.38</v>
      </c>
    </row>
    <row r="3878" spans="1:237" x14ac:dyDescent="0.25">
      <c r="A3878" s="127">
        <v>45307</v>
      </c>
      <c r="B3878" s="24" t="s">
        <v>20</v>
      </c>
      <c r="C3878" s="21">
        <f t="shared" si="64"/>
        <v>-30.715</v>
      </c>
      <c r="GZ3878" s="106">
        <v>-30.715</v>
      </c>
    </row>
    <row r="3879" spans="1:237" x14ac:dyDescent="0.25">
      <c r="A3879" s="127">
        <v>45308</v>
      </c>
      <c r="B3879" s="24" t="s">
        <v>113</v>
      </c>
      <c r="C3879" s="21">
        <f t="shared" si="64"/>
        <v>2404.12</v>
      </c>
      <c r="P3879" s="106">
        <v>144.655</v>
      </c>
      <c r="AW3879" s="106">
        <v>167.57499999999999</v>
      </c>
      <c r="BC3879" s="106">
        <v>120.155</v>
      </c>
      <c r="CA3879" s="106">
        <v>173.69</v>
      </c>
      <c r="CG3879" s="106">
        <v>99.32</v>
      </c>
      <c r="CM3879" s="106">
        <v>101.405</v>
      </c>
      <c r="CS3879" s="74">
        <v>169.75</v>
      </c>
      <c r="CY3879" s="106">
        <v>233.29</v>
      </c>
      <c r="DE3879" s="74">
        <v>66.915000000000006</v>
      </c>
      <c r="DP3879" s="74">
        <v>299.29000000000002</v>
      </c>
      <c r="DU3879" s="106">
        <v>161.42500000000001</v>
      </c>
      <c r="EA3879" s="74">
        <v>197.905</v>
      </c>
      <c r="EL3879" s="106">
        <v>98.704999999999998</v>
      </c>
      <c r="ET3879" s="106">
        <v>136.125</v>
      </c>
      <c r="GK3879" s="79">
        <v>83.61</v>
      </c>
      <c r="GZ3879" s="106">
        <v>91.88</v>
      </c>
      <c r="HH3879" s="106">
        <v>58.424999999999997</v>
      </c>
    </row>
    <row r="3880" spans="1:237" x14ac:dyDescent="0.25">
      <c r="A3880" s="127">
        <v>45308</v>
      </c>
      <c r="B3880" s="24" t="s">
        <v>113</v>
      </c>
      <c r="C3880" s="21">
        <f t="shared" si="64"/>
        <v>214.76499999999999</v>
      </c>
      <c r="HM3880" s="106">
        <v>214.76499999999999</v>
      </c>
    </row>
    <row r="3881" spans="1:237" x14ac:dyDescent="0.25">
      <c r="A3881" s="127">
        <v>45308</v>
      </c>
      <c r="B3881" s="24" t="s">
        <v>50</v>
      </c>
      <c r="C3881" s="21">
        <f t="shared" si="64"/>
        <v>-114.035</v>
      </c>
      <c r="HM3881" s="106">
        <v>-114.035</v>
      </c>
    </row>
    <row r="3882" spans="1:237" x14ac:dyDescent="0.25">
      <c r="A3882" s="127">
        <v>45308</v>
      </c>
      <c r="B3882" s="24" t="s">
        <v>48</v>
      </c>
      <c r="C3882" s="21">
        <f t="shared" si="64"/>
        <v>-4.6500000000000004</v>
      </c>
      <c r="GM3882" s="92">
        <v>-4.6500000000000004</v>
      </c>
    </row>
    <row r="3883" spans="1:237" x14ac:dyDescent="0.25">
      <c r="A3883" s="127">
        <v>45308</v>
      </c>
      <c r="B3883" s="24" t="s">
        <v>48</v>
      </c>
      <c r="C3883" s="21">
        <f t="shared" si="64"/>
        <v>-33.83</v>
      </c>
      <c r="CG3883" s="106">
        <v>-33.83</v>
      </c>
    </row>
    <row r="3884" spans="1:237" x14ac:dyDescent="0.25">
      <c r="A3884" s="127">
        <v>45308</v>
      </c>
      <c r="B3884" s="24" t="s">
        <v>44</v>
      </c>
      <c r="C3884" s="21">
        <f t="shared" si="64"/>
        <v>-88.41</v>
      </c>
      <c r="GK3884" s="79">
        <v>-28.16</v>
      </c>
      <c r="GW3884" s="92">
        <v>-25.55</v>
      </c>
      <c r="IC3884" s="92">
        <v>-34.700000000000003</v>
      </c>
    </row>
    <row r="3885" spans="1:237" x14ac:dyDescent="0.25">
      <c r="A3885" s="127">
        <v>45308</v>
      </c>
      <c r="B3885" s="24" t="s">
        <v>12</v>
      </c>
      <c r="C3885" s="21">
        <f t="shared" si="64"/>
        <v>-161.97499999999999</v>
      </c>
      <c r="P3885" s="106">
        <v>-144.655</v>
      </c>
      <c r="AE3885" s="42">
        <v>-17.32</v>
      </c>
    </row>
    <row r="3886" spans="1:237" x14ac:dyDescent="0.25">
      <c r="A3886" s="127">
        <v>45308</v>
      </c>
      <c r="B3886" s="24" t="s">
        <v>183</v>
      </c>
      <c r="C3886" s="21">
        <f t="shared" si="64"/>
        <v>-8.4499999999999993</v>
      </c>
      <c r="EA3886" s="74">
        <v>-8.4499999999999993</v>
      </c>
    </row>
    <row r="3887" spans="1:237" x14ac:dyDescent="0.25">
      <c r="A3887" s="127">
        <v>45309</v>
      </c>
      <c r="B3887" s="24" t="s">
        <v>133</v>
      </c>
      <c r="C3887" s="21">
        <f t="shared" si="64"/>
        <v>-33.674999999999997</v>
      </c>
      <c r="AW3887" s="106">
        <v>-33.674999999999997</v>
      </c>
    </row>
    <row r="3888" spans="1:237" x14ac:dyDescent="0.25">
      <c r="A3888" s="127">
        <v>45309</v>
      </c>
      <c r="B3888" s="24" t="s">
        <v>32</v>
      </c>
      <c r="C3888" s="21">
        <f t="shared" si="64"/>
        <v>-27.46</v>
      </c>
      <c r="BC3888" s="106">
        <v>-27.46</v>
      </c>
    </row>
    <row r="3889" spans="1:237" x14ac:dyDescent="0.25">
      <c r="A3889" s="127">
        <v>45309</v>
      </c>
      <c r="B3889" s="24" t="s">
        <v>48</v>
      </c>
      <c r="C3889" s="21">
        <f t="shared" ref="C3889:C3952" si="65">SUM(D3889:JT3889)</f>
        <v>16.329999999999998</v>
      </c>
      <c r="AA3889" s="42">
        <f>8.13+8.2</f>
        <v>16.329999999999998</v>
      </c>
    </row>
    <row r="3890" spans="1:237" x14ac:dyDescent="0.25">
      <c r="A3890" s="127">
        <v>45310</v>
      </c>
      <c r="B3890" s="24" t="s">
        <v>20</v>
      </c>
      <c r="C3890" s="21">
        <f t="shared" si="65"/>
        <v>-64.31</v>
      </c>
      <c r="AR3890" s="106">
        <v>-9.0449999999999999</v>
      </c>
      <c r="AW3890" s="106">
        <v>-9.0500000000000007</v>
      </c>
      <c r="GZ3890" s="106">
        <v>-46.215000000000003</v>
      </c>
    </row>
    <row r="3891" spans="1:237" x14ac:dyDescent="0.25">
      <c r="A3891" s="127">
        <v>45310</v>
      </c>
      <c r="B3891" s="24" t="s">
        <v>31</v>
      </c>
      <c r="C3891" s="21">
        <f t="shared" si="65"/>
        <v>-8.1300000000000008</v>
      </c>
      <c r="AA3891" s="42">
        <v>-8.1300000000000008</v>
      </c>
    </row>
    <row r="3892" spans="1:237" x14ac:dyDescent="0.25">
      <c r="A3892" s="127">
        <v>45310</v>
      </c>
      <c r="B3892" s="24" t="s">
        <v>188</v>
      </c>
      <c r="C3892" s="21">
        <f t="shared" si="65"/>
        <v>-50.844999999999999</v>
      </c>
      <c r="AW3892" s="106">
        <v>-8.9499999999999993</v>
      </c>
      <c r="BC3892" s="106">
        <v>-8.2100000000000009</v>
      </c>
      <c r="BI3892" s="106">
        <v>-8.4499999999999993</v>
      </c>
      <c r="BO3892" s="106">
        <v>-8.8149999999999995</v>
      </c>
      <c r="BU3892" s="106">
        <v>-8.1950000000000003</v>
      </c>
      <c r="CA3892" s="106">
        <v>-8.2249999999999996</v>
      </c>
    </row>
    <row r="3893" spans="1:237" x14ac:dyDescent="0.25">
      <c r="A3893" s="127">
        <v>45310</v>
      </c>
      <c r="B3893" s="24" t="s">
        <v>139</v>
      </c>
      <c r="C3893" s="21">
        <f t="shared" si="65"/>
        <v>-8.65</v>
      </c>
      <c r="AG3893" s="106">
        <v>-8.65</v>
      </c>
    </row>
    <row r="3894" spans="1:237" x14ac:dyDescent="0.25">
      <c r="A3894" s="127">
        <v>45310</v>
      </c>
      <c r="B3894" s="24" t="s">
        <v>50</v>
      </c>
      <c r="C3894" s="21">
        <f t="shared" si="65"/>
        <v>-71.16</v>
      </c>
      <c r="GW3894" s="92">
        <v>-71.16</v>
      </c>
    </row>
    <row r="3895" spans="1:237" x14ac:dyDescent="0.25">
      <c r="A3895" s="127">
        <v>45310</v>
      </c>
      <c r="B3895" s="24" t="s">
        <v>152</v>
      </c>
      <c r="C3895" s="21">
        <f t="shared" si="65"/>
        <v>-1710.34</v>
      </c>
      <c r="AW3895" s="106">
        <v>-100.53</v>
      </c>
      <c r="BC3895" s="106">
        <v>-67.185000000000002</v>
      </c>
      <c r="BI3895" s="106">
        <v>-98.435000000000002</v>
      </c>
      <c r="CA3895" s="106">
        <v>-138.83000000000001</v>
      </c>
      <c r="CG3895" s="106">
        <v>-133.14500000000001</v>
      </c>
      <c r="CM3895" s="106">
        <v>-168.125</v>
      </c>
      <c r="CS3895" s="74">
        <v>-199.51</v>
      </c>
      <c r="CY3895" s="106">
        <v>-99.83</v>
      </c>
      <c r="DE3895" s="74">
        <v>-66.915000000000006</v>
      </c>
      <c r="DK3895" s="106">
        <v>-101.13</v>
      </c>
      <c r="DP3895" s="74">
        <v>-100.22</v>
      </c>
      <c r="DU3895" s="106">
        <v>-194.06</v>
      </c>
      <c r="EA3895" s="74">
        <v>-164.595</v>
      </c>
      <c r="ET3895" s="106">
        <v>-34.270000000000003</v>
      </c>
      <c r="FK3895" s="106">
        <v>-43.56</v>
      </c>
    </row>
    <row r="3896" spans="1:237" x14ac:dyDescent="0.25">
      <c r="A3896" s="127">
        <v>45310</v>
      </c>
      <c r="B3896" s="24" t="s">
        <v>184</v>
      </c>
      <c r="C3896" s="21">
        <f t="shared" si="65"/>
        <v>-66.495000000000005</v>
      </c>
      <c r="AW3896" s="106">
        <v>-33.47</v>
      </c>
      <c r="CG3896" s="106">
        <v>-33.024999999999999</v>
      </c>
    </row>
    <row r="3897" spans="1:237" x14ac:dyDescent="0.25">
      <c r="A3897" s="127">
        <v>45311</v>
      </c>
      <c r="B3897" s="24" t="s">
        <v>184</v>
      </c>
      <c r="C3897" s="21">
        <f t="shared" si="65"/>
        <v>-67.75</v>
      </c>
      <c r="DK3897" s="106">
        <v>-34.774999999999999</v>
      </c>
      <c r="DP3897" s="74">
        <v>-32.975000000000001</v>
      </c>
    </row>
    <row r="3898" spans="1:237" x14ac:dyDescent="0.25">
      <c r="A3898" s="127">
        <v>45311</v>
      </c>
      <c r="B3898" s="24" t="s">
        <v>113</v>
      </c>
      <c r="C3898" s="21">
        <f t="shared" si="65"/>
        <v>2069.39</v>
      </c>
      <c r="BO3898" s="106">
        <v>206.08500000000001</v>
      </c>
      <c r="BU3898" s="106">
        <v>197.91499999999999</v>
      </c>
      <c r="CA3898" s="106">
        <v>188.20500000000001</v>
      </c>
      <c r="CM3898" s="106">
        <v>194.70500000000001</v>
      </c>
      <c r="CY3898" s="106">
        <v>189.24</v>
      </c>
      <c r="DE3898" s="74">
        <v>193.81</v>
      </c>
      <c r="DK3898" s="106">
        <v>203.31</v>
      </c>
      <c r="DP3898" s="74">
        <v>198.29</v>
      </c>
      <c r="DU3898" s="106">
        <v>196.84</v>
      </c>
      <c r="EA3898" s="74">
        <v>300.99</v>
      </c>
    </row>
    <row r="3899" spans="1:237" x14ac:dyDescent="0.25">
      <c r="A3899" s="127">
        <v>45313</v>
      </c>
      <c r="B3899" s="24" t="s">
        <v>133</v>
      </c>
      <c r="C3899" s="21">
        <f t="shared" si="65"/>
        <v>-99.885000000000005</v>
      </c>
      <c r="BU3899" s="106">
        <v>-16.3</v>
      </c>
      <c r="CS3899" s="74">
        <v>-35.78</v>
      </c>
      <c r="CY3899" s="106">
        <v>-31.55</v>
      </c>
      <c r="DK3899" s="106">
        <v>-16.254999999999999</v>
      </c>
    </row>
    <row r="3900" spans="1:237" x14ac:dyDescent="0.25">
      <c r="A3900" s="127">
        <v>45313</v>
      </c>
      <c r="B3900" s="24" t="s">
        <v>32</v>
      </c>
      <c r="C3900" s="21">
        <f t="shared" si="65"/>
        <v>-163.19</v>
      </c>
      <c r="AW3900" s="106">
        <v>-33.814999999999998</v>
      </c>
      <c r="BO3900" s="106">
        <v>-63.91</v>
      </c>
      <c r="BU3900" s="106">
        <v>-34.064999999999998</v>
      </c>
      <c r="CA3900" s="106">
        <v>-31.4</v>
      </c>
    </row>
    <row r="3901" spans="1:237" x14ac:dyDescent="0.25">
      <c r="A3901" s="127">
        <v>45314</v>
      </c>
      <c r="B3901" s="24" t="s">
        <v>184</v>
      </c>
      <c r="C3901" s="21">
        <f t="shared" si="65"/>
        <v>-539.62</v>
      </c>
      <c r="AR3901" s="106">
        <v>-18.170000000000002</v>
      </c>
      <c r="AW3901" s="106">
        <v>-69.334999999999994</v>
      </c>
      <c r="BI3901" s="106">
        <v>-67.825000000000003</v>
      </c>
      <c r="BO3901" s="106">
        <v>-31.465</v>
      </c>
      <c r="BU3901" s="106">
        <v>-32.69</v>
      </c>
      <c r="CG3901" s="106">
        <v>-30.535</v>
      </c>
      <c r="CM3901" s="106">
        <v>-32.479999999999997</v>
      </c>
      <c r="CS3901" s="74">
        <v>-32.835000000000001</v>
      </c>
      <c r="CY3901" s="106">
        <v>-31.125</v>
      </c>
      <c r="DE3901" s="74">
        <v>-66.78</v>
      </c>
      <c r="DK3901" s="106">
        <v>-28.43</v>
      </c>
      <c r="DP3901" s="74">
        <v>-33.01</v>
      </c>
      <c r="DU3901" s="106">
        <v>-64.94</v>
      </c>
    </row>
    <row r="3902" spans="1:237" x14ac:dyDescent="0.25">
      <c r="A3902" s="127">
        <v>45314</v>
      </c>
      <c r="B3902" s="24" t="s">
        <v>33</v>
      </c>
      <c r="C3902" s="21">
        <f t="shared" si="65"/>
        <v>-23.59</v>
      </c>
      <c r="BC3902" s="106">
        <v>-7.9349999999999996</v>
      </c>
      <c r="BO3902" s="106">
        <v>-7.415</v>
      </c>
      <c r="BU3902" s="106">
        <v>-8.24</v>
      </c>
    </row>
    <row r="3903" spans="1:237" x14ac:dyDescent="0.25">
      <c r="A3903" s="127">
        <v>45314</v>
      </c>
      <c r="B3903" s="24" t="s">
        <v>50</v>
      </c>
      <c r="C3903" s="21">
        <f t="shared" si="65"/>
        <v>-102</v>
      </c>
      <c r="IC3903" s="92">
        <v>-102</v>
      </c>
    </row>
    <row r="3904" spans="1:237" x14ac:dyDescent="0.25">
      <c r="A3904" s="127">
        <v>45314</v>
      </c>
      <c r="B3904" s="24" t="s">
        <v>17</v>
      </c>
      <c r="C3904" s="21">
        <f t="shared" si="65"/>
        <v>-24.675000000000001</v>
      </c>
      <c r="AG3904" s="106">
        <v>-8.61</v>
      </c>
      <c r="AW3904" s="106">
        <v>-8.3550000000000004</v>
      </c>
      <c r="BO3904" s="106">
        <v>-7.71</v>
      </c>
    </row>
    <row r="3905" spans="1:208" x14ac:dyDescent="0.25">
      <c r="A3905" s="127">
        <v>45314</v>
      </c>
      <c r="B3905" s="24" t="s">
        <v>178</v>
      </c>
      <c r="C3905" s="21">
        <f t="shared" si="65"/>
        <v>-122.125</v>
      </c>
      <c r="BC3905" s="106">
        <v>-56.68</v>
      </c>
      <c r="BU3905" s="106">
        <v>-65.444999999999993</v>
      </c>
    </row>
    <row r="3906" spans="1:208" x14ac:dyDescent="0.25">
      <c r="A3906" s="127">
        <v>45314</v>
      </c>
      <c r="B3906" s="24" t="s">
        <v>20</v>
      </c>
      <c r="C3906" s="21">
        <f t="shared" si="65"/>
        <v>-8.4600000000000009</v>
      </c>
      <c r="BO3906" s="106">
        <v>-8.4600000000000009</v>
      </c>
    </row>
    <row r="3907" spans="1:208" x14ac:dyDescent="0.25">
      <c r="A3907" s="127">
        <v>45314</v>
      </c>
      <c r="B3907" s="24" t="s">
        <v>39</v>
      </c>
      <c r="C3907" s="21">
        <f t="shared" si="65"/>
        <v>-30.295000000000002</v>
      </c>
      <c r="BI3907" s="106">
        <v>-14.965</v>
      </c>
      <c r="BO3907" s="106">
        <v>-7.25</v>
      </c>
      <c r="CA3907" s="106">
        <v>-8.08</v>
      </c>
    </row>
    <row r="3908" spans="1:208" x14ac:dyDescent="0.25">
      <c r="A3908" s="127">
        <v>45314</v>
      </c>
      <c r="B3908" s="24" t="s">
        <v>17</v>
      </c>
      <c r="C3908" s="21">
        <f t="shared" si="65"/>
        <v>-24.675000000000001</v>
      </c>
      <c r="AG3908" s="106">
        <v>-8.61</v>
      </c>
      <c r="AW3908" s="106">
        <v>-8.3550000000000004</v>
      </c>
      <c r="BO3908" s="106">
        <v>-7.71</v>
      </c>
    </row>
    <row r="3909" spans="1:208" x14ac:dyDescent="0.25">
      <c r="A3909" s="127">
        <v>45315</v>
      </c>
      <c r="B3909" s="24" t="s">
        <v>184</v>
      </c>
      <c r="C3909" s="21">
        <f t="shared" si="65"/>
        <v>-140.72</v>
      </c>
      <c r="AG3909" s="106">
        <v>-8.61</v>
      </c>
      <c r="AN3909" s="106">
        <v>-8.86</v>
      </c>
      <c r="AR3909" s="106">
        <v>-9.08</v>
      </c>
      <c r="AW3909" s="106">
        <v>-25.395</v>
      </c>
      <c r="BO3909" s="106">
        <v>-15.9</v>
      </c>
      <c r="CA3909" s="106">
        <v>-40.47</v>
      </c>
      <c r="CM3909" s="106">
        <v>-15.25</v>
      </c>
      <c r="DU3909" s="106">
        <v>-17.155000000000001</v>
      </c>
    </row>
    <row r="3910" spans="1:208" x14ac:dyDescent="0.25">
      <c r="A3910" s="127">
        <v>45315</v>
      </c>
      <c r="B3910" s="24" t="s">
        <v>48</v>
      </c>
      <c r="C3910" s="21">
        <f t="shared" si="65"/>
        <v>-5.2</v>
      </c>
      <c r="GM3910" s="92">
        <v>-5.2</v>
      </c>
    </row>
    <row r="3911" spans="1:208" x14ac:dyDescent="0.25">
      <c r="A3911" s="127">
        <v>45317</v>
      </c>
      <c r="B3911" s="24" t="s">
        <v>48</v>
      </c>
      <c r="C3911" s="21">
        <f t="shared" si="65"/>
        <v>57.87</v>
      </c>
      <c r="T3911" s="42">
        <f>7.33+7.33+7.34</f>
        <v>22</v>
      </c>
      <c r="EE3911" s="42">
        <v>35.869999999999997</v>
      </c>
    </row>
    <row r="3912" spans="1:208" x14ac:dyDescent="0.25">
      <c r="A3912" s="127">
        <v>45317</v>
      </c>
      <c r="B3912" s="24" t="s">
        <v>48</v>
      </c>
      <c r="C3912" s="21">
        <f t="shared" si="65"/>
        <v>-113.495</v>
      </c>
      <c r="BI3912" s="106">
        <v>-29.47</v>
      </c>
      <c r="BO3912" s="106">
        <v>-32.4</v>
      </c>
      <c r="BU3912" s="106">
        <f>-33.64-8.96-9.025</f>
        <v>-51.625</v>
      </c>
    </row>
    <row r="3913" spans="1:208" x14ac:dyDescent="0.25">
      <c r="A3913" s="127">
        <v>45317</v>
      </c>
      <c r="B3913" s="24" t="s">
        <v>113</v>
      </c>
      <c r="C3913" s="21">
        <f t="shared" si="65"/>
        <v>2236.9050000000002</v>
      </c>
      <c r="P3913" s="106">
        <v>129.435</v>
      </c>
      <c r="AW3913" s="106">
        <v>148.465</v>
      </c>
      <c r="BC3913" s="106">
        <v>100.105</v>
      </c>
      <c r="CA3913" s="106">
        <v>168.76499999999999</v>
      </c>
      <c r="CG3913" s="106">
        <v>301.97000000000003</v>
      </c>
      <c r="CM3913" s="106">
        <v>133.685</v>
      </c>
      <c r="CS3913" s="74">
        <v>166.91</v>
      </c>
      <c r="CY3913" s="106">
        <v>115.61499999999999</v>
      </c>
      <c r="DE3913" s="74">
        <v>66.844999999999999</v>
      </c>
      <c r="DP3913" s="74">
        <f>181.495+140.19</f>
        <v>321.685</v>
      </c>
      <c r="DU3913" s="106">
        <v>163.77000000000001</v>
      </c>
      <c r="EA3913" s="74">
        <v>197.67500000000001</v>
      </c>
      <c r="ET3913" s="106">
        <v>103.2</v>
      </c>
      <c r="GK3913" s="79">
        <v>57.35</v>
      </c>
      <c r="GZ3913" s="106">
        <v>61.43</v>
      </c>
    </row>
    <row r="3914" spans="1:208" x14ac:dyDescent="0.25">
      <c r="A3914" s="127">
        <v>45317</v>
      </c>
      <c r="B3914" s="24" t="s">
        <v>113</v>
      </c>
      <c r="C3914" s="21">
        <f t="shared" si="65"/>
        <v>2074.1880000000001</v>
      </c>
      <c r="AN3914" s="106">
        <v>104.85</v>
      </c>
      <c r="AW3914" s="106">
        <v>198.393</v>
      </c>
      <c r="BC3914" s="106">
        <v>204.88</v>
      </c>
      <c r="BI3914" s="106">
        <v>196.54499999999999</v>
      </c>
      <c r="BO3914" s="106">
        <v>187.33500000000001</v>
      </c>
      <c r="BU3914" s="106">
        <v>204.41499999999999</v>
      </c>
      <c r="CA3914" s="106">
        <v>194.065</v>
      </c>
      <c r="CG3914" s="106">
        <v>197.21</v>
      </c>
      <c r="CS3914" s="74">
        <v>198.97499999999999</v>
      </c>
      <c r="DE3914" s="74">
        <v>190.7</v>
      </c>
      <c r="DP3914" s="74">
        <v>196.82</v>
      </c>
    </row>
    <row r="3915" spans="1:208" x14ac:dyDescent="0.25">
      <c r="A3915" s="127">
        <v>45317</v>
      </c>
      <c r="B3915" s="24" t="s">
        <v>113</v>
      </c>
      <c r="C3915" s="21">
        <f t="shared" si="65"/>
        <v>207.08500000000001</v>
      </c>
      <c r="GQ3915" s="92">
        <v>207.08500000000001</v>
      </c>
    </row>
    <row r="3916" spans="1:208" x14ac:dyDescent="0.25">
      <c r="A3916" s="127">
        <v>45317</v>
      </c>
      <c r="B3916" s="24" t="s">
        <v>184</v>
      </c>
      <c r="C3916" s="21">
        <f t="shared" si="65"/>
        <v>-187.7</v>
      </c>
      <c r="T3916" s="42">
        <v>-14.66</v>
      </c>
      <c r="BC3916" s="106">
        <v>-41.104999999999997</v>
      </c>
      <c r="BI3916" s="106">
        <v>-31.425000000000001</v>
      </c>
      <c r="BU3916" s="106">
        <v>-34.14</v>
      </c>
      <c r="CG3916" s="106">
        <v>-32.97</v>
      </c>
      <c r="DE3916" s="74">
        <v>-33.4</v>
      </c>
    </row>
    <row r="3917" spans="1:208" x14ac:dyDescent="0.25">
      <c r="A3917" s="127">
        <v>45317</v>
      </c>
      <c r="B3917" s="24" t="s">
        <v>184</v>
      </c>
      <c r="C3917" s="21">
        <f t="shared" si="65"/>
        <v>-120.27500000000001</v>
      </c>
      <c r="BC3917" s="106">
        <v>-53.195</v>
      </c>
      <c r="BI3917" s="106">
        <v>-31.21</v>
      </c>
      <c r="EE3917" s="42">
        <v>-35.869999999999997</v>
      </c>
    </row>
    <row r="3918" spans="1:208" x14ac:dyDescent="0.25">
      <c r="A3918" s="127">
        <v>45317</v>
      </c>
      <c r="B3918" s="24" t="s">
        <v>133</v>
      </c>
      <c r="C3918" s="21">
        <f t="shared" si="65"/>
        <v>-223</v>
      </c>
      <c r="BC3918" s="106">
        <v>-34.200000000000003</v>
      </c>
      <c r="BI3918" s="106">
        <v>-30.405000000000001</v>
      </c>
      <c r="BO3918" s="106">
        <v>-31.74</v>
      </c>
      <c r="BU3918" s="106">
        <v>-33.895000000000003</v>
      </c>
      <c r="CS3918" s="74">
        <v>-32.090000000000003</v>
      </c>
      <c r="CY3918" s="106">
        <v>-32.674999999999997</v>
      </c>
      <c r="DK3918" s="106">
        <v>-27.995000000000001</v>
      </c>
    </row>
    <row r="3919" spans="1:208" x14ac:dyDescent="0.25">
      <c r="A3919" s="127">
        <v>45317</v>
      </c>
      <c r="B3919" s="24" t="s">
        <v>20</v>
      </c>
      <c r="C3919" s="21">
        <f t="shared" si="65"/>
        <v>-7.49</v>
      </c>
      <c r="BI3919" s="106">
        <v>-7.49</v>
      </c>
    </row>
    <row r="3920" spans="1:208" x14ac:dyDescent="0.25">
      <c r="A3920" s="127">
        <v>45317</v>
      </c>
      <c r="B3920" s="24" t="s">
        <v>33</v>
      </c>
      <c r="C3920" s="21">
        <f t="shared" si="65"/>
        <v>-24.385000000000002</v>
      </c>
      <c r="AR3920" s="106">
        <v>-9.0350000000000001</v>
      </c>
      <c r="BI3920" s="106">
        <v>-7.5549999999999997</v>
      </c>
      <c r="BU3920" s="106">
        <v>-7.7949999999999999</v>
      </c>
    </row>
    <row r="3921" spans="1:235" x14ac:dyDescent="0.25">
      <c r="A3921" s="127">
        <v>45317</v>
      </c>
      <c r="B3921" s="24" t="s">
        <v>44</v>
      </c>
      <c r="C3921" s="21">
        <f t="shared" si="65"/>
        <v>-207.08500000000001</v>
      </c>
      <c r="GQ3921" s="92">
        <v>-207.08500000000001</v>
      </c>
    </row>
    <row r="3922" spans="1:235" x14ac:dyDescent="0.25">
      <c r="A3922" s="127">
        <v>45317</v>
      </c>
      <c r="B3922" s="29" t="s">
        <v>184</v>
      </c>
      <c r="C3922" s="21">
        <f t="shared" si="65"/>
        <v>-159.87</v>
      </c>
      <c r="AR3922" s="106">
        <v>-9.0350000000000001</v>
      </c>
      <c r="CM3922" s="106">
        <v>-24.625</v>
      </c>
      <c r="CS3922" s="74">
        <v>-16.55</v>
      </c>
      <c r="DK3922" s="106">
        <v>-28</v>
      </c>
      <c r="EA3922" s="74">
        <v>-81.66</v>
      </c>
    </row>
    <row r="3923" spans="1:235" x14ac:dyDescent="0.25">
      <c r="A3923" s="127">
        <v>45320</v>
      </c>
      <c r="B3923" s="29" t="s">
        <v>152</v>
      </c>
      <c r="C3923" s="21">
        <f t="shared" si="65"/>
        <v>-783.68499999999995</v>
      </c>
      <c r="BC3923" s="106">
        <v>-60.854999999999997</v>
      </c>
      <c r="BI3923" s="106">
        <v>-30.004999999999999</v>
      </c>
      <c r="BO3923" s="106">
        <v>-92.18</v>
      </c>
      <c r="BU3923" s="106">
        <v>-34.325000000000003</v>
      </c>
      <c r="CA3923" s="106">
        <v>-98.635000000000005</v>
      </c>
      <c r="CG3923" s="106">
        <v>-100.405</v>
      </c>
      <c r="DU3923" s="106">
        <v>-65.834999999999994</v>
      </c>
      <c r="EA3923" s="74">
        <v>-301.44499999999999</v>
      </c>
    </row>
    <row r="3924" spans="1:235" x14ac:dyDescent="0.25">
      <c r="A3924" s="127">
        <v>45320</v>
      </c>
      <c r="B3924" s="29" t="s">
        <v>17</v>
      </c>
      <c r="C3924" s="21">
        <f t="shared" si="65"/>
        <v>-68.849999999999994</v>
      </c>
      <c r="GH3924" s="106">
        <v>-68.849999999999994</v>
      </c>
    </row>
    <row r="3925" spans="1:235" x14ac:dyDescent="0.25">
      <c r="A3925" s="127">
        <v>45320</v>
      </c>
      <c r="B3925" s="24" t="s">
        <v>184</v>
      </c>
      <c r="C3925" s="21">
        <f t="shared" si="65"/>
        <v>-464.505</v>
      </c>
      <c r="CS3925" s="74">
        <v>-33.435000000000002</v>
      </c>
      <c r="DU3925" s="106">
        <v>-196.14</v>
      </c>
      <c r="EA3925" s="74">
        <v>-99.76</v>
      </c>
      <c r="EL3925" s="106">
        <v>-66.290000000000006</v>
      </c>
      <c r="ET3925" s="106">
        <v>-68.88</v>
      </c>
    </row>
    <row r="3926" spans="1:235" x14ac:dyDescent="0.25">
      <c r="A3926" s="127">
        <v>45321</v>
      </c>
      <c r="B3926" s="24" t="s">
        <v>20</v>
      </c>
      <c r="C3926" s="21">
        <f t="shared" si="65"/>
        <v>-30.675000000000001</v>
      </c>
      <c r="GZ3926" s="106">
        <v>-30.675000000000001</v>
      </c>
    </row>
    <row r="3927" spans="1:235" x14ac:dyDescent="0.25">
      <c r="A3927" s="127">
        <v>45321</v>
      </c>
      <c r="B3927" s="24" t="s">
        <v>174</v>
      </c>
      <c r="C3927" s="21">
        <f t="shared" si="65"/>
        <v>-9.0399999999999991</v>
      </c>
      <c r="CA3927" s="106">
        <v>-9.0399999999999991</v>
      </c>
    </row>
    <row r="3928" spans="1:235" x14ac:dyDescent="0.25">
      <c r="A3928" s="127">
        <v>45321</v>
      </c>
      <c r="B3928" s="24" t="s">
        <v>48</v>
      </c>
      <c r="C3928" s="21">
        <f t="shared" si="65"/>
        <v>-7.69</v>
      </c>
      <c r="GZ3928" s="106">
        <v>-7.69</v>
      </c>
    </row>
    <row r="3929" spans="1:235" x14ac:dyDescent="0.25">
      <c r="A3929" s="127">
        <v>45321</v>
      </c>
      <c r="B3929" s="24" t="s">
        <v>50</v>
      </c>
      <c r="C3929" s="21">
        <f t="shared" si="65"/>
        <v>-66.3</v>
      </c>
      <c r="IA3929" s="79">
        <v>-66.3</v>
      </c>
    </row>
    <row r="3930" spans="1:235" x14ac:dyDescent="0.25">
      <c r="A3930" s="127">
        <v>45321</v>
      </c>
      <c r="B3930" s="24" t="s">
        <v>115</v>
      </c>
      <c r="C3930" s="21">
        <f t="shared" si="65"/>
        <v>297.22000000000003</v>
      </c>
      <c r="D3930" s="386">
        <f>65.7+32.92</f>
        <v>98.62</v>
      </c>
      <c r="E3930" s="386">
        <v>95.58</v>
      </c>
      <c r="F3930" s="145">
        <v>103.02</v>
      </c>
    </row>
    <row r="3931" spans="1:235" x14ac:dyDescent="0.25">
      <c r="A3931" s="127">
        <v>45321</v>
      </c>
      <c r="B3931" s="24" t="s">
        <v>178</v>
      </c>
      <c r="C3931" s="21">
        <f t="shared" si="65"/>
        <v>-66.95</v>
      </c>
      <c r="BC3931" s="106">
        <v>-34.43</v>
      </c>
      <c r="BU3931" s="106">
        <v>-32.520000000000003</v>
      </c>
    </row>
    <row r="3932" spans="1:235" x14ac:dyDescent="0.25">
      <c r="A3932" s="127">
        <v>45321</v>
      </c>
      <c r="B3932" s="24" t="s">
        <v>59</v>
      </c>
      <c r="C3932" s="21">
        <f t="shared" si="65"/>
        <v>-40.36</v>
      </c>
      <c r="P3932" s="106">
        <v>-40.36</v>
      </c>
    </row>
    <row r="3933" spans="1:235" x14ac:dyDescent="0.25">
      <c r="A3933" s="127">
        <v>45321</v>
      </c>
      <c r="B3933" s="24" t="s">
        <v>147</v>
      </c>
      <c r="C3933" s="21">
        <f t="shared" si="65"/>
        <v>-31.04</v>
      </c>
      <c r="AW3933" s="106">
        <v>-8.3550000000000004</v>
      </c>
      <c r="BC3933" s="106">
        <v>-6.6449999999999996</v>
      </c>
      <c r="BI3933" s="106">
        <v>-7.46</v>
      </c>
      <c r="CG3933" s="106">
        <v>-8.58</v>
      </c>
    </row>
    <row r="3934" spans="1:235" x14ac:dyDescent="0.25">
      <c r="A3934" s="127">
        <v>45321</v>
      </c>
      <c r="B3934" s="24" t="s">
        <v>167</v>
      </c>
      <c r="C3934" s="21">
        <f t="shared" si="65"/>
        <v>-32.805</v>
      </c>
      <c r="D3934" s="386">
        <v>-8.6300000000000008</v>
      </c>
      <c r="E3934" s="386">
        <v>-24.175000000000001</v>
      </c>
    </row>
    <row r="3935" spans="1:235" x14ac:dyDescent="0.25">
      <c r="A3935" s="127">
        <v>45322</v>
      </c>
      <c r="B3935" s="24" t="s">
        <v>111</v>
      </c>
      <c r="C3935" s="21">
        <f t="shared" si="65"/>
        <v>-7.85</v>
      </c>
      <c r="EP3935" s="74">
        <v>-7.85</v>
      </c>
    </row>
    <row r="3936" spans="1:235" x14ac:dyDescent="0.25">
      <c r="A3936" s="127">
        <v>45322</v>
      </c>
      <c r="B3936" s="24" t="s">
        <v>59</v>
      </c>
      <c r="C3936" s="21">
        <f t="shared" si="65"/>
        <v>-5.6</v>
      </c>
      <c r="CG3936" s="106">
        <v>-3.6</v>
      </c>
      <c r="CM3936" s="106">
        <v>-2</v>
      </c>
    </row>
    <row r="3937" spans="1:167" x14ac:dyDescent="0.25">
      <c r="A3937" s="127">
        <v>45323</v>
      </c>
      <c r="B3937" s="24" t="s">
        <v>133</v>
      </c>
      <c r="C3937" s="21">
        <f t="shared" si="65"/>
        <v>-115.105</v>
      </c>
      <c r="AR3937" s="106">
        <v>-36.115000000000002</v>
      </c>
      <c r="AW3937" s="106">
        <v>-33.450000000000003</v>
      </c>
      <c r="BC3937" s="106">
        <v>-15.324999999999999</v>
      </c>
      <c r="CA3937" s="106">
        <v>-30.215</v>
      </c>
    </row>
    <row r="3938" spans="1:167" x14ac:dyDescent="0.25">
      <c r="A3938" s="127">
        <v>45323</v>
      </c>
      <c r="B3938" s="24" t="s">
        <v>184</v>
      </c>
      <c r="C3938" s="21">
        <f t="shared" si="65"/>
        <v>-42.145000000000003</v>
      </c>
      <c r="AN3938" s="106">
        <v>-8.8450000000000006</v>
      </c>
      <c r="AR3938" s="106">
        <v>-9.1449999999999996</v>
      </c>
      <c r="BO3938" s="106">
        <v>-15.965</v>
      </c>
      <c r="CS3938" s="74">
        <v>-8.19</v>
      </c>
    </row>
    <row r="3939" spans="1:167" x14ac:dyDescent="0.25">
      <c r="A3939" s="127">
        <v>45323</v>
      </c>
      <c r="B3939" s="24" t="s">
        <v>184</v>
      </c>
      <c r="C3939" s="21">
        <f t="shared" si="65"/>
        <v>-33.625</v>
      </c>
      <c r="DK3939" s="106">
        <v>-9.07</v>
      </c>
      <c r="DU3939" s="106">
        <v>-24.555</v>
      </c>
    </row>
    <row r="3940" spans="1:167" x14ac:dyDescent="0.25">
      <c r="A3940" s="127">
        <v>45324</v>
      </c>
      <c r="B3940" s="24" t="s">
        <v>20</v>
      </c>
      <c r="C3940" s="21">
        <f t="shared" si="65"/>
        <v>-7.8849999999999998</v>
      </c>
      <c r="BO3940" s="106">
        <v>-7.8849999999999998</v>
      </c>
    </row>
    <row r="3941" spans="1:167" x14ac:dyDescent="0.25">
      <c r="A3941" s="127">
        <v>45324</v>
      </c>
      <c r="B3941" s="24" t="s">
        <v>184</v>
      </c>
      <c r="C3941" s="21">
        <f t="shared" si="65"/>
        <v>-356.71499999999997</v>
      </c>
      <c r="AR3941" s="106">
        <v>-36.085000000000001</v>
      </c>
      <c r="AW3941" s="106">
        <v>-67.37</v>
      </c>
      <c r="BO3941" s="106">
        <v>-31.015000000000001</v>
      </c>
      <c r="CA3941" s="106">
        <v>-34.094999999999999</v>
      </c>
      <c r="DE3941" s="74">
        <v>-65.935000000000002</v>
      </c>
      <c r="DK3941" s="106">
        <v>-56.02</v>
      </c>
      <c r="DP3941" s="74">
        <v>-66.194999999999993</v>
      </c>
    </row>
    <row r="3942" spans="1:167" x14ac:dyDescent="0.25">
      <c r="A3942" s="127">
        <v>45324</v>
      </c>
      <c r="B3942" s="24" t="s">
        <v>17</v>
      </c>
      <c r="C3942" s="21">
        <f t="shared" si="65"/>
        <v>-33.31</v>
      </c>
      <c r="EA3942" s="74">
        <v>-33.31</v>
      </c>
    </row>
    <row r="3943" spans="1:167" x14ac:dyDescent="0.25">
      <c r="A3943" s="127">
        <v>45324</v>
      </c>
      <c r="B3943" s="24" t="s">
        <v>152</v>
      </c>
      <c r="C3943" s="21">
        <f t="shared" si="65"/>
        <v>-229.935</v>
      </c>
      <c r="M3943" s="92">
        <v>-29.06</v>
      </c>
      <c r="AN3943" s="106">
        <v>-35.36</v>
      </c>
      <c r="AR3943" s="106">
        <v>-33.984999999999999</v>
      </c>
      <c r="CY3943" s="106">
        <v>-66.760000000000005</v>
      </c>
      <c r="DU3943" s="106">
        <v>-64.77</v>
      </c>
    </row>
    <row r="3944" spans="1:167" x14ac:dyDescent="0.25">
      <c r="A3944" s="127">
        <v>45324</v>
      </c>
      <c r="B3944" s="24" t="s">
        <v>75</v>
      </c>
      <c r="C3944" s="21">
        <f t="shared" si="65"/>
        <v>-39.72</v>
      </c>
      <c r="BC3944" s="106">
        <v>-17.274999999999999</v>
      </c>
      <c r="BI3944" s="106">
        <v>-14.055</v>
      </c>
      <c r="CM3944" s="106">
        <v>-8.39</v>
      </c>
    </row>
    <row r="3945" spans="1:167" x14ac:dyDescent="0.25">
      <c r="A3945" s="127">
        <v>45327</v>
      </c>
      <c r="B3945" s="24" t="s">
        <v>184</v>
      </c>
      <c r="C3945" s="21">
        <f t="shared" si="65"/>
        <v>-64.84</v>
      </c>
      <c r="FK3945" s="106">
        <v>-64.84</v>
      </c>
    </row>
    <row r="3946" spans="1:167" x14ac:dyDescent="0.25">
      <c r="A3946" s="127">
        <v>45327</v>
      </c>
      <c r="B3946" s="24" t="s">
        <v>32</v>
      </c>
      <c r="C3946" s="21">
        <f t="shared" si="65"/>
        <v>-166.29</v>
      </c>
      <c r="CM3946" s="106">
        <v>-166.29</v>
      </c>
    </row>
    <row r="3947" spans="1:167" x14ac:dyDescent="0.25">
      <c r="A3947" s="127">
        <v>45328</v>
      </c>
      <c r="B3947" s="24" t="s">
        <v>127</v>
      </c>
      <c r="C3947" s="21">
        <f t="shared" si="65"/>
        <v>-7.71</v>
      </c>
      <c r="BO3947" s="106">
        <v>-7.71</v>
      </c>
    </row>
    <row r="3948" spans="1:167" x14ac:dyDescent="0.25">
      <c r="A3948" s="127">
        <v>45328</v>
      </c>
      <c r="B3948" s="24" t="s">
        <v>139</v>
      </c>
      <c r="C3948" s="21">
        <f t="shared" si="65"/>
        <v>-25.045000000000002</v>
      </c>
      <c r="P3948" s="106">
        <v>-7.9649999999999999</v>
      </c>
      <c r="BO3948" s="106">
        <v>-8.0549999999999997</v>
      </c>
      <c r="BU3948" s="106">
        <v>-9.0250000000000004</v>
      </c>
    </row>
    <row r="3949" spans="1:167" x14ac:dyDescent="0.25">
      <c r="A3949" s="127">
        <v>45328</v>
      </c>
      <c r="B3949" s="24" t="s">
        <v>20</v>
      </c>
      <c r="C3949" s="21">
        <f t="shared" si="65"/>
        <v>-23.364999999999998</v>
      </c>
      <c r="BC3949" s="106">
        <v>-7.2850000000000001</v>
      </c>
      <c r="BI3949" s="106">
        <v>-7.47</v>
      </c>
      <c r="CS3949" s="74">
        <v>-8.61</v>
      </c>
    </row>
    <row r="3950" spans="1:167" x14ac:dyDescent="0.25">
      <c r="A3950" s="127">
        <v>45328</v>
      </c>
      <c r="B3950" s="24" t="s">
        <v>75</v>
      </c>
      <c r="C3950" s="21">
        <f t="shared" si="65"/>
        <v>-17.535</v>
      </c>
      <c r="AN3950" s="106">
        <v>-8.84</v>
      </c>
      <c r="BC3950" s="106">
        <v>-8.6950000000000003</v>
      </c>
    </row>
    <row r="3951" spans="1:167" x14ac:dyDescent="0.25">
      <c r="A3951" s="127">
        <v>45328</v>
      </c>
      <c r="B3951" s="24" t="s">
        <v>138</v>
      </c>
      <c r="C3951" s="21">
        <f t="shared" si="65"/>
        <v>-16.2</v>
      </c>
      <c r="CG3951" s="106">
        <v>-16.2</v>
      </c>
    </row>
    <row r="3952" spans="1:167" x14ac:dyDescent="0.25">
      <c r="A3952" s="127">
        <v>45328</v>
      </c>
      <c r="B3952" s="24" t="s">
        <v>156</v>
      </c>
      <c r="C3952" s="21">
        <f t="shared" si="65"/>
        <v>-17.074999999999999</v>
      </c>
      <c r="F3952" s="145">
        <v>-17.074999999999999</v>
      </c>
    </row>
    <row r="3953" spans="1:226" x14ac:dyDescent="0.25">
      <c r="A3953" s="127">
        <v>45329</v>
      </c>
      <c r="B3953" s="24" t="s">
        <v>18</v>
      </c>
      <c r="C3953" s="21">
        <f t="shared" ref="C3953:C4016" si="66">SUM(D3953:JT3953)</f>
        <v>-67.504999999999995</v>
      </c>
      <c r="AP3953" s="42">
        <v>-17.66</v>
      </c>
      <c r="BO3953" s="106">
        <v>-16.02</v>
      </c>
      <c r="BU3953" s="106">
        <v>-8.0350000000000001</v>
      </c>
      <c r="CA3953" s="106">
        <v>-17.420000000000002</v>
      </c>
      <c r="CM3953" s="106">
        <v>-8.3699999999999992</v>
      </c>
    </row>
    <row r="3954" spans="1:226" x14ac:dyDescent="0.25">
      <c r="A3954" s="127">
        <v>45329</v>
      </c>
      <c r="B3954" s="24" t="s">
        <v>18</v>
      </c>
      <c r="C3954" s="21">
        <f t="shared" si="66"/>
        <v>-26.26</v>
      </c>
      <c r="AW3954" s="106">
        <v>-9</v>
      </c>
      <c r="CA3954" s="106">
        <v>-17.260000000000002</v>
      </c>
    </row>
    <row r="3955" spans="1:226" x14ac:dyDescent="0.25">
      <c r="A3955" s="127">
        <v>45329</v>
      </c>
      <c r="B3955" s="24" t="s">
        <v>189</v>
      </c>
      <c r="C3955" s="21">
        <f t="shared" si="66"/>
        <v>-161.095</v>
      </c>
      <c r="P3955" s="106">
        <v>-7.96</v>
      </c>
      <c r="AN3955" s="106">
        <v>-8.84</v>
      </c>
      <c r="AR3955" s="106">
        <v>-9.0150000000000006</v>
      </c>
      <c r="AW3955" s="106">
        <v>-8.9550000000000001</v>
      </c>
      <c r="BC3955" s="106">
        <v>-8.5749999999999993</v>
      </c>
      <c r="BO3955" s="106">
        <f>-8.005-7.98-7.81</f>
        <v>-23.795000000000002</v>
      </c>
      <c r="BU3955" s="106">
        <v>-25.145</v>
      </c>
      <c r="CA3955" s="106">
        <v>-26.574999999999999</v>
      </c>
      <c r="CG3955" s="106">
        <v>-26.024999999999999</v>
      </c>
      <c r="CM3955" s="106">
        <v>-16.21</v>
      </c>
    </row>
    <row r="3956" spans="1:226" x14ac:dyDescent="0.25">
      <c r="A3956" s="127">
        <v>45330</v>
      </c>
      <c r="B3956" s="24" t="s">
        <v>140</v>
      </c>
      <c r="C3956" s="21">
        <f t="shared" si="66"/>
        <v>-33.634999999999998</v>
      </c>
      <c r="D3956" s="386">
        <f>-31.28-2.355</f>
        <v>-33.634999999999998</v>
      </c>
    </row>
    <row r="3957" spans="1:226" x14ac:dyDescent="0.25">
      <c r="A3957" s="127">
        <v>45330</v>
      </c>
      <c r="B3957" s="24" t="s">
        <v>184</v>
      </c>
      <c r="C3957" s="21">
        <f t="shared" si="66"/>
        <v>-143.05500000000001</v>
      </c>
      <c r="AG3957" s="106">
        <v>-8.59</v>
      </c>
      <c r="AN3957" s="106">
        <v>-26.504999999999999</v>
      </c>
      <c r="AR3957" s="106">
        <v>-9.1199999999999992</v>
      </c>
      <c r="AW3957" s="106">
        <v>-18.215</v>
      </c>
      <c r="CA3957" s="106">
        <v>-23.035</v>
      </c>
      <c r="CM3957" s="106">
        <v>-8.1300000000000008</v>
      </c>
      <c r="CY3957" s="106">
        <v>-16.18</v>
      </c>
      <c r="DE3957" s="74">
        <v>-16.260000000000002</v>
      </c>
      <c r="DK3957" s="106">
        <v>-17.02</v>
      </c>
    </row>
    <row r="3958" spans="1:226" x14ac:dyDescent="0.25">
      <c r="A3958" s="127">
        <v>45330</v>
      </c>
      <c r="B3958" s="24" t="s">
        <v>44</v>
      </c>
      <c r="C3958" s="21">
        <f t="shared" si="66"/>
        <v>0</v>
      </c>
    </row>
    <row r="3959" spans="1:226" x14ac:dyDescent="0.25">
      <c r="A3959" s="127">
        <v>45330</v>
      </c>
      <c r="B3959" s="24" t="s">
        <v>183</v>
      </c>
      <c r="C3959" s="21">
        <f t="shared" si="66"/>
        <v>-8.1349999999999998</v>
      </c>
      <c r="CY3959" s="106">
        <v>-8.1349999999999998</v>
      </c>
    </row>
    <row r="3960" spans="1:226" x14ac:dyDescent="0.25">
      <c r="A3960" s="127">
        <v>45330</v>
      </c>
      <c r="B3960" s="24" t="s">
        <v>113</v>
      </c>
      <c r="C3960" s="21">
        <f t="shared" si="66"/>
        <v>828.06</v>
      </c>
      <c r="Z3960" s="79">
        <v>96.66</v>
      </c>
      <c r="AC3960" s="106">
        <v>136.16999999999999</v>
      </c>
      <c r="AG3960" s="106">
        <v>132.47499999999999</v>
      </c>
      <c r="BO3960" s="106">
        <v>192.88</v>
      </c>
      <c r="EG3960" s="74">
        <v>72.444999999999993</v>
      </c>
      <c r="GZ3960" s="106">
        <v>95.875</v>
      </c>
      <c r="HR3960" s="92">
        <v>101.55500000000001</v>
      </c>
    </row>
    <row r="3961" spans="1:226" x14ac:dyDescent="0.25">
      <c r="A3961" s="127">
        <v>45331</v>
      </c>
      <c r="B3961" s="24" t="s">
        <v>127</v>
      </c>
      <c r="C3961" s="21">
        <f t="shared" si="66"/>
        <v>0</v>
      </c>
    </row>
    <row r="3962" spans="1:226" x14ac:dyDescent="0.25">
      <c r="A3962" s="127">
        <v>45331</v>
      </c>
      <c r="B3962" s="24" t="s">
        <v>20</v>
      </c>
      <c r="C3962" s="21">
        <f t="shared" si="66"/>
        <v>-21.774999999999999</v>
      </c>
      <c r="M3962" s="92">
        <v>-4.83</v>
      </c>
      <c r="BU3962" s="106">
        <v>-8.2249999999999996</v>
      </c>
      <c r="CS3962" s="74">
        <v>-8.7200000000000006</v>
      </c>
    </row>
    <row r="3963" spans="1:226" x14ac:dyDescent="0.25">
      <c r="A3963" s="127">
        <v>45331</v>
      </c>
      <c r="B3963" s="24" t="s">
        <v>53</v>
      </c>
      <c r="C3963" s="21">
        <f t="shared" si="66"/>
        <v>-21.46</v>
      </c>
      <c r="FX3963" s="34">
        <v>-21.46</v>
      </c>
    </row>
    <row r="3964" spans="1:226" x14ac:dyDescent="0.25">
      <c r="A3964" s="127">
        <v>45331</v>
      </c>
      <c r="B3964" s="24" t="s">
        <v>39</v>
      </c>
      <c r="C3964" s="21">
        <f t="shared" si="66"/>
        <v>-32.93</v>
      </c>
      <c r="BO3964" s="106">
        <v>-16.14</v>
      </c>
      <c r="CG3964" s="106">
        <v>-16.79</v>
      </c>
    </row>
    <row r="3965" spans="1:226" x14ac:dyDescent="0.25">
      <c r="A3965" s="127">
        <v>45331</v>
      </c>
      <c r="B3965" s="24" t="s">
        <v>18</v>
      </c>
      <c r="C3965" s="21">
        <f t="shared" si="66"/>
        <v>-540.25800000000004</v>
      </c>
      <c r="AN3965" s="106">
        <v>-34.119999999999997</v>
      </c>
      <c r="AR3965" s="106">
        <v>-37.174999999999997</v>
      </c>
      <c r="AW3965" s="106">
        <v>-36.097999999999999</v>
      </c>
      <c r="BO3965" s="106">
        <v>-32.29</v>
      </c>
      <c r="CA3965" s="106">
        <v>-32.96</v>
      </c>
      <c r="CG3965" s="106">
        <v>-103.235</v>
      </c>
      <c r="CM3965" s="106">
        <v>-65.77</v>
      </c>
      <c r="CS3965" s="74">
        <v>-100.005</v>
      </c>
      <c r="CY3965" s="106">
        <v>-31.12</v>
      </c>
      <c r="DE3965" s="74">
        <v>-32.924999999999997</v>
      </c>
      <c r="DK3965" s="106">
        <v>-34.56</v>
      </c>
    </row>
    <row r="3966" spans="1:226" x14ac:dyDescent="0.25">
      <c r="A3966" s="127">
        <v>45331</v>
      </c>
      <c r="B3966" s="24" t="s">
        <v>18</v>
      </c>
      <c r="C3966" s="21">
        <f t="shared" si="66"/>
        <v>-326.87</v>
      </c>
      <c r="BO3966" s="106">
        <v>-31.48</v>
      </c>
      <c r="CA3966" s="106">
        <v>-6.53</v>
      </c>
      <c r="CG3966" s="106">
        <v>-66.844999999999999</v>
      </c>
      <c r="CM3966" s="106">
        <v>-32.49</v>
      </c>
      <c r="CS3966" s="74">
        <v>-33.134999999999998</v>
      </c>
      <c r="CY3966" s="106">
        <v>-32.17</v>
      </c>
      <c r="DE3966" s="74">
        <v>-59.14</v>
      </c>
      <c r="DK3966" s="106">
        <v>-32.155000000000001</v>
      </c>
      <c r="DP3966" s="74">
        <v>-32.924999999999997</v>
      </c>
    </row>
    <row r="3967" spans="1:226" x14ac:dyDescent="0.25">
      <c r="A3967" s="127">
        <v>45332</v>
      </c>
      <c r="B3967" s="24" t="s">
        <v>113</v>
      </c>
      <c r="C3967" s="21">
        <f t="shared" si="66"/>
        <v>997.05</v>
      </c>
      <c r="BC3967" s="106">
        <v>97.575000000000003</v>
      </c>
      <c r="BO3967" s="106">
        <v>126.99</v>
      </c>
      <c r="DU3967" s="106">
        <v>131.76</v>
      </c>
      <c r="EA3967" s="74">
        <v>224.83500000000001</v>
      </c>
      <c r="EG3967" s="74">
        <v>90.674999999999997</v>
      </c>
      <c r="GQ3967" s="92">
        <f>33.115+65.39</f>
        <v>98.504999999999995</v>
      </c>
      <c r="GW3967" s="92">
        <v>66.72</v>
      </c>
      <c r="GZ3967" s="106">
        <v>95.555000000000007</v>
      </c>
      <c r="HF3967" s="92">
        <v>64.435000000000002</v>
      </c>
    </row>
    <row r="3968" spans="1:226" x14ac:dyDescent="0.25">
      <c r="A3968" s="127">
        <v>45334</v>
      </c>
      <c r="B3968" s="24" t="s">
        <v>184</v>
      </c>
      <c r="C3968" s="21">
        <f t="shared" si="66"/>
        <v>-263.63499999999999</v>
      </c>
      <c r="BC3968" s="106">
        <v>-32.15</v>
      </c>
      <c r="CG3968" s="106">
        <v>-32.015000000000001</v>
      </c>
      <c r="EA3968" s="74">
        <v>-64.355000000000004</v>
      </c>
      <c r="EL3968" s="106">
        <v>-65.775000000000006</v>
      </c>
      <c r="ET3968" s="106">
        <v>-69.34</v>
      </c>
    </row>
    <row r="3969" spans="1:226" x14ac:dyDescent="0.25">
      <c r="A3969" s="127">
        <v>45334</v>
      </c>
      <c r="B3969" s="24" t="s">
        <v>184</v>
      </c>
      <c r="C3969" s="21">
        <f t="shared" si="66"/>
        <v>-363.40499999999997</v>
      </c>
      <c r="DE3969" s="74">
        <v>-32.72</v>
      </c>
      <c r="DK3969" s="106">
        <v>-28.004999999999999</v>
      </c>
      <c r="DP3969" s="74">
        <v>-33.045000000000002</v>
      </c>
      <c r="DU3969" s="106">
        <v>-32.564999999999998</v>
      </c>
      <c r="EA3969" s="74">
        <v>-128.22</v>
      </c>
      <c r="EG3969" s="74">
        <v>-108.85</v>
      </c>
    </row>
    <row r="3970" spans="1:226" x14ac:dyDescent="0.25">
      <c r="A3970" s="127">
        <v>45334</v>
      </c>
      <c r="B3970" s="24" t="s">
        <v>184</v>
      </c>
      <c r="C3970" s="21">
        <f t="shared" si="66"/>
        <v>-229.07</v>
      </c>
      <c r="Z3970" s="79">
        <v>-16.175000000000001</v>
      </c>
      <c r="AN3970" s="106">
        <v>-17.675000000000001</v>
      </c>
      <c r="BO3970" s="106">
        <v>-32.284999999999997</v>
      </c>
      <c r="CA3970" s="106">
        <v>-66.8</v>
      </c>
      <c r="CG3970" s="106">
        <v>-16.43</v>
      </c>
      <c r="CM3970" s="106">
        <v>-16.225000000000001</v>
      </c>
      <c r="CY3970" s="106">
        <v>-32.270000000000003</v>
      </c>
      <c r="DE3970" s="74">
        <v>-31.21</v>
      </c>
    </row>
    <row r="3971" spans="1:226" x14ac:dyDescent="0.25">
      <c r="A3971" s="127">
        <v>45334</v>
      </c>
      <c r="B3971" s="24" t="s">
        <v>18</v>
      </c>
      <c r="C3971" s="21">
        <f t="shared" si="66"/>
        <v>-202.04</v>
      </c>
      <c r="BC3971" s="106">
        <v>-65.424999999999997</v>
      </c>
      <c r="BO3971" s="106">
        <v>-30.19</v>
      </c>
      <c r="CG3971" s="106">
        <v>-7.23</v>
      </c>
      <c r="DU3971" s="106">
        <v>-99.194999999999993</v>
      </c>
    </row>
    <row r="3972" spans="1:226" x14ac:dyDescent="0.25">
      <c r="A3972" s="127">
        <v>45334</v>
      </c>
      <c r="B3972" s="24" t="s">
        <v>59</v>
      </c>
      <c r="C3972" s="21">
        <f t="shared" si="66"/>
        <v>-49.335000000000001</v>
      </c>
      <c r="P3972" s="106">
        <v>-49.335000000000001</v>
      </c>
    </row>
    <row r="3973" spans="1:226" x14ac:dyDescent="0.25">
      <c r="A3973" s="127">
        <v>45334</v>
      </c>
      <c r="B3973" s="24" t="s">
        <v>151</v>
      </c>
      <c r="C3973" s="21">
        <f t="shared" si="66"/>
        <v>-41.23</v>
      </c>
      <c r="CG3973" s="106">
        <v>-8.1999999999999993</v>
      </c>
      <c r="DP3973" s="74">
        <v>-33.03</v>
      </c>
    </row>
    <row r="3974" spans="1:226" x14ac:dyDescent="0.25">
      <c r="A3974" s="127">
        <v>45335</v>
      </c>
      <c r="B3974" s="24" t="s">
        <v>184</v>
      </c>
      <c r="C3974" s="21">
        <f t="shared" si="66"/>
        <v>-88.1</v>
      </c>
      <c r="P3974" s="106">
        <v>-7.92</v>
      </c>
      <c r="Z3974" s="79">
        <v>-8.0299999999999994</v>
      </c>
      <c r="BO3974" s="106">
        <v>-8.07</v>
      </c>
      <c r="CG3974" s="106">
        <v>-33.075000000000003</v>
      </c>
      <c r="CY3974" s="106">
        <v>-31.004999999999999</v>
      </c>
    </row>
    <row r="3975" spans="1:226" x14ac:dyDescent="0.25">
      <c r="A3975" s="127">
        <v>45335</v>
      </c>
      <c r="B3975" s="24" t="s">
        <v>20</v>
      </c>
      <c r="C3975" s="21">
        <f t="shared" si="66"/>
        <v>-8.1549999999999994</v>
      </c>
      <c r="CA3975" s="106">
        <v>-8.1549999999999994</v>
      </c>
    </row>
    <row r="3976" spans="1:226" x14ac:dyDescent="0.25">
      <c r="A3976" s="127">
        <v>45335</v>
      </c>
      <c r="B3976" s="24" t="s">
        <v>169</v>
      </c>
      <c r="C3976" s="21">
        <f t="shared" si="66"/>
        <v>-14.635</v>
      </c>
      <c r="D3976" s="386">
        <v>-14.635</v>
      </c>
    </row>
    <row r="3977" spans="1:226" x14ac:dyDescent="0.25">
      <c r="A3977" s="127">
        <v>45335</v>
      </c>
      <c r="B3977" s="24" t="s">
        <v>139</v>
      </c>
      <c r="C3977" s="21">
        <f t="shared" si="66"/>
        <v>-24.87</v>
      </c>
      <c r="CA3977" s="106">
        <v>-8.0950000000000006</v>
      </c>
      <c r="CG3977" s="106">
        <v>-8.2100000000000009</v>
      </c>
      <c r="CS3977" s="74">
        <v>-8.5649999999999995</v>
      </c>
    </row>
    <row r="3978" spans="1:226" x14ac:dyDescent="0.25">
      <c r="A3978" s="127">
        <v>45335</v>
      </c>
      <c r="B3978" s="24" t="s">
        <v>33</v>
      </c>
      <c r="C3978" s="21">
        <f t="shared" si="66"/>
        <v>-6.2750000000000004</v>
      </c>
      <c r="AG3978" s="106">
        <v>-6.2750000000000004</v>
      </c>
    </row>
    <row r="3979" spans="1:226" x14ac:dyDescent="0.25">
      <c r="A3979" s="127">
        <v>45335</v>
      </c>
      <c r="B3979" s="24" t="s">
        <v>79</v>
      </c>
      <c r="C3979" s="21">
        <f t="shared" si="66"/>
        <v>-24.774999999999999</v>
      </c>
      <c r="BO3979" s="106">
        <f>-8.075-8.055</f>
        <v>-16.13</v>
      </c>
      <c r="BU3979" s="106">
        <v>-8.6449999999999996</v>
      </c>
    </row>
    <row r="3980" spans="1:226" x14ac:dyDescent="0.25">
      <c r="A3980" s="127">
        <v>45335</v>
      </c>
      <c r="B3980" s="24" t="s">
        <v>17</v>
      </c>
      <c r="C3980" s="21">
        <f t="shared" si="66"/>
        <v>-16.864999999999998</v>
      </c>
      <c r="AC3980" s="106">
        <v>-8.7249999999999996</v>
      </c>
      <c r="DU3980" s="106">
        <v>-8.14</v>
      </c>
    </row>
    <row r="3981" spans="1:226" x14ac:dyDescent="0.25">
      <c r="A3981" s="127">
        <v>45335</v>
      </c>
      <c r="B3981" s="24" t="s">
        <v>19</v>
      </c>
      <c r="C3981" s="21">
        <f t="shared" si="66"/>
        <v>0</v>
      </c>
    </row>
    <row r="3982" spans="1:226" x14ac:dyDescent="0.25">
      <c r="A3982" s="127">
        <v>45336</v>
      </c>
      <c r="B3982" s="24" t="s">
        <v>44</v>
      </c>
      <c r="C3982" s="21">
        <f t="shared" si="66"/>
        <v>-23.4</v>
      </c>
      <c r="GQ3982" s="92">
        <v>-23.4</v>
      </c>
    </row>
    <row r="3983" spans="1:226" x14ac:dyDescent="0.25">
      <c r="A3983" s="127">
        <v>45336</v>
      </c>
      <c r="B3983" s="24" t="s">
        <v>44</v>
      </c>
      <c r="C3983" s="21">
        <f t="shared" si="66"/>
        <v>-83.58</v>
      </c>
      <c r="GQ3983" s="92">
        <v>-75.105000000000004</v>
      </c>
      <c r="HR3983" s="92">
        <v>-8.4749999999999996</v>
      </c>
    </row>
    <row r="3984" spans="1:226" x14ac:dyDescent="0.25">
      <c r="A3984" s="127">
        <v>45336</v>
      </c>
      <c r="B3984" s="24" t="s">
        <v>184</v>
      </c>
      <c r="C3984" s="21">
        <f t="shared" si="66"/>
        <v>-137.655</v>
      </c>
      <c r="Z3984" s="79">
        <v>-32.325000000000003</v>
      </c>
      <c r="BO3984" s="106">
        <v>-40.049999999999997</v>
      </c>
      <c r="DP3984" s="74">
        <v>-33.020000000000003</v>
      </c>
      <c r="EA3984" s="74">
        <v>-32.26</v>
      </c>
    </row>
    <row r="3985" spans="1:221" x14ac:dyDescent="0.25">
      <c r="A3985" s="127">
        <v>45336</v>
      </c>
      <c r="B3985" s="24" t="s">
        <v>190</v>
      </c>
      <c r="C3985" s="21">
        <f t="shared" si="66"/>
        <v>-77.055000000000007</v>
      </c>
      <c r="CS3985" s="74">
        <f>-8.31-8.3</f>
        <v>-16.61</v>
      </c>
      <c r="FK3985" s="106">
        <v>-21.815000000000001</v>
      </c>
      <c r="FS3985" s="106">
        <v>-23.73</v>
      </c>
      <c r="HM3985" s="106">
        <v>-14.9</v>
      </c>
    </row>
    <row r="3986" spans="1:221" x14ac:dyDescent="0.25">
      <c r="A3986" s="127">
        <v>45338</v>
      </c>
      <c r="B3986" s="24" t="s">
        <v>17</v>
      </c>
      <c r="C3986" s="21">
        <f t="shared" si="66"/>
        <v>-17.579999999999998</v>
      </c>
      <c r="AW3986" s="106">
        <v>-8.9600000000000009</v>
      </c>
      <c r="BC3986" s="106">
        <v>-8.6199999999999992</v>
      </c>
    </row>
    <row r="3987" spans="1:221" x14ac:dyDescent="0.25">
      <c r="A3987" s="127">
        <v>45338</v>
      </c>
      <c r="B3987" s="24" t="s">
        <v>84</v>
      </c>
      <c r="C3987" s="21">
        <f t="shared" si="66"/>
        <v>-33.409999999999997</v>
      </c>
      <c r="AW3987" s="106">
        <v>-9</v>
      </c>
      <c r="BC3987" s="106">
        <v>-8.73</v>
      </c>
      <c r="BO3987" s="106">
        <v>-8.0749999999999993</v>
      </c>
      <c r="CA3987" s="106">
        <v>-7.6050000000000004</v>
      </c>
    </row>
    <row r="3988" spans="1:221" x14ac:dyDescent="0.25">
      <c r="A3988" s="127">
        <v>45338</v>
      </c>
      <c r="B3988" s="24" t="s">
        <v>139</v>
      </c>
      <c r="C3988" s="21">
        <f t="shared" si="66"/>
        <v>-23.17</v>
      </c>
      <c r="Z3988" s="79">
        <v>-8.02</v>
      </c>
      <c r="BO3988" s="106">
        <v>-8.06</v>
      </c>
      <c r="CM3988" s="106">
        <v>-7.09</v>
      </c>
    </row>
    <row r="3989" spans="1:221" x14ac:dyDescent="0.25">
      <c r="A3989" s="127">
        <v>45338</v>
      </c>
      <c r="B3989" s="24" t="s">
        <v>138</v>
      </c>
      <c r="C3989" s="21">
        <f t="shared" si="66"/>
        <v>-40.08</v>
      </c>
      <c r="T3989" s="42">
        <v>-7.82</v>
      </c>
      <c r="BO3989" s="106">
        <v>-8.09</v>
      </c>
      <c r="CG3989" s="106">
        <v>-7.95</v>
      </c>
      <c r="CM3989" s="106">
        <v>-16.22</v>
      </c>
    </row>
    <row r="3990" spans="1:221" x14ac:dyDescent="0.25">
      <c r="A3990" s="127">
        <v>45338</v>
      </c>
      <c r="B3990" s="24" t="s">
        <v>152</v>
      </c>
      <c r="C3990" s="21">
        <f t="shared" si="66"/>
        <v>-141.065</v>
      </c>
      <c r="P3990" s="106">
        <v>-15.895</v>
      </c>
      <c r="AN3990" s="106">
        <v>-61.755000000000003</v>
      </c>
      <c r="AR3990" s="106">
        <v>-63.414999999999999</v>
      </c>
    </row>
    <row r="3991" spans="1:221" x14ac:dyDescent="0.25">
      <c r="A3991" s="127">
        <v>45338</v>
      </c>
      <c r="B3991" s="24" t="s">
        <v>115</v>
      </c>
      <c r="C3991" s="21">
        <f t="shared" si="66"/>
        <v>67.069999999999993</v>
      </c>
      <c r="BL3991" s="182">
        <v>67.069999999999993</v>
      </c>
    </row>
    <row r="3992" spans="1:221" x14ac:dyDescent="0.25">
      <c r="A3992" s="127">
        <v>45341</v>
      </c>
      <c r="B3992" s="24" t="s">
        <v>37</v>
      </c>
      <c r="C3992" s="21">
        <f t="shared" si="66"/>
        <v>-92.33</v>
      </c>
      <c r="HF3992" s="92">
        <v>-64.435000000000002</v>
      </c>
      <c r="HM3992" s="106">
        <v>-27.895</v>
      </c>
    </row>
    <row r="3993" spans="1:221" x14ac:dyDescent="0.25">
      <c r="A3993" s="127">
        <v>45342</v>
      </c>
      <c r="B3993" s="24" t="s">
        <v>138</v>
      </c>
      <c r="C3993" s="21">
        <f t="shared" si="66"/>
        <v>-33.65</v>
      </c>
      <c r="AR3993" s="106">
        <v>-9.06</v>
      </c>
      <c r="DE3993" s="74">
        <v>-24.59</v>
      </c>
    </row>
    <row r="3994" spans="1:221" x14ac:dyDescent="0.25">
      <c r="A3994" s="127">
        <v>45342</v>
      </c>
      <c r="B3994" s="24" t="s">
        <v>75</v>
      </c>
      <c r="C3994" s="21">
        <f t="shared" si="66"/>
        <v>-16.745000000000001</v>
      </c>
      <c r="CA3994" s="106">
        <v>-8.15</v>
      </c>
      <c r="CG3994" s="106">
        <v>-8.5950000000000006</v>
      </c>
    </row>
    <row r="3995" spans="1:221" x14ac:dyDescent="0.25">
      <c r="A3995" s="127">
        <v>45342</v>
      </c>
      <c r="B3995" s="24" t="s">
        <v>20</v>
      </c>
      <c r="C3995" s="21">
        <f t="shared" si="66"/>
        <v>-7.18</v>
      </c>
      <c r="CA3995" s="106">
        <v>-7.18</v>
      </c>
    </row>
    <row r="3996" spans="1:221" x14ac:dyDescent="0.25">
      <c r="A3996" s="127">
        <v>45342</v>
      </c>
      <c r="B3996" s="24" t="s">
        <v>113</v>
      </c>
      <c r="C3996" s="21">
        <f t="shared" si="66"/>
        <v>1255.21</v>
      </c>
      <c r="V3996" s="74">
        <v>132.30500000000001</v>
      </c>
      <c r="Z3996" s="79">
        <v>89.245000000000005</v>
      </c>
      <c r="BC3996" s="106">
        <f>47.255+114.67</f>
        <v>161.92500000000001</v>
      </c>
      <c r="BI3996" s="106">
        <v>134.13999999999999</v>
      </c>
      <c r="BO3996" s="106">
        <v>131.26</v>
      </c>
      <c r="BU3996" s="106">
        <v>87.125</v>
      </c>
      <c r="CA3996" s="106">
        <v>123.625</v>
      </c>
      <c r="CG3996" s="106">
        <v>98.165000000000006</v>
      </c>
      <c r="CM3996" s="106">
        <v>170.04</v>
      </c>
      <c r="EA3996" s="74">
        <v>127.38</v>
      </c>
    </row>
    <row r="3997" spans="1:221" x14ac:dyDescent="0.25">
      <c r="A3997" s="127">
        <v>45342</v>
      </c>
      <c r="B3997" s="24" t="s">
        <v>184</v>
      </c>
      <c r="C3997" s="21">
        <f t="shared" si="66"/>
        <v>-103.30500000000001</v>
      </c>
      <c r="V3997" s="74">
        <v>-16.355</v>
      </c>
      <c r="BI3997" s="106">
        <v>-8.5649999999999995</v>
      </c>
      <c r="BU3997" s="106">
        <f>-8.655-69.73</f>
        <v>-78.385000000000005</v>
      </c>
    </row>
    <row r="3998" spans="1:221" x14ac:dyDescent="0.25">
      <c r="A3998" s="127">
        <v>45342</v>
      </c>
      <c r="B3998" s="24" t="s">
        <v>17</v>
      </c>
      <c r="C3998" s="21">
        <f t="shared" si="66"/>
        <v>-74.36</v>
      </c>
      <c r="BI3998" s="106">
        <v>-8.0050000000000008</v>
      </c>
      <c r="BO3998" s="106">
        <v>-16.03</v>
      </c>
      <c r="BU3998" s="106">
        <v>-8.74</v>
      </c>
      <c r="CA3998" s="106">
        <v>-8.1750000000000007</v>
      </c>
      <c r="CM3998" s="106">
        <v>-8.5350000000000001</v>
      </c>
      <c r="CS3998" s="74">
        <v>-16.565000000000001</v>
      </c>
      <c r="CY3998" s="106">
        <v>-8.31</v>
      </c>
    </row>
    <row r="3999" spans="1:221" x14ac:dyDescent="0.25">
      <c r="A3999" s="127">
        <v>45343</v>
      </c>
      <c r="B3999" s="24" t="s">
        <v>191</v>
      </c>
      <c r="C3999" s="21">
        <f t="shared" si="66"/>
        <v>-11.685</v>
      </c>
      <c r="M3999" s="92">
        <v>-4.83</v>
      </c>
      <c r="AG3999" s="106">
        <v>-6.8550000000000004</v>
      </c>
    </row>
    <row r="4000" spans="1:221" x14ac:dyDescent="0.25">
      <c r="A4000" s="127">
        <v>45343</v>
      </c>
      <c r="B4000" s="24" t="s">
        <v>59</v>
      </c>
      <c r="C4000" s="21">
        <f t="shared" si="66"/>
        <v>-14.49</v>
      </c>
      <c r="AC4000" s="106">
        <v>-1.7350000000000001</v>
      </c>
      <c r="BI4000" s="106">
        <v>-2.3650000000000002</v>
      </c>
      <c r="BO4000" s="106">
        <v>-2.75</v>
      </c>
      <c r="CM4000" s="106">
        <v>-1.7</v>
      </c>
      <c r="CS4000" s="74">
        <v>-1.8</v>
      </c>
      <c r="CY4000" s="106">
        <v>-4.1399999999999997</v>
      </c>
    </row>
    <row r="4001" spans="1:226" x14ac:dyDescent="0.25">
      <c r="A4001" s="127">
        <v>45344</v>
      </c>
      <c r="B4001" s="24" t="s">
        <v>17</v>
      </c>
      <c r="C4001" s="21">
        <f t="shared" si="66"/>
        <v>-199.595</v>
      </c>
      <c r="AN4001" s="106">
        <v>-8.67</v>
      </c>
      <c r="AR4001" s="106">
        <v>-9.0299999999999994</v>
      </c>
      <c r="AW4001" s="106">
        <v>-9.0050000000000008</v>
      </c>
      <c r="BC4001" s="106">
        <v>-16.420000000000002</v>
      </c>
      <c r="BI4001" s="106">
        <v>-24.535</v>
      </c>
      <c r="BO4001" s="106">
        <v>-24.055</v>
      </c>
      <c r="BS4001" s="42">
        <v>-26.11</v>
      </c>
      <c r="CA4001" s="106">
        <v>-16.114999999999998</v>
      </c>
      <c r="CG4001" s="106">
        <v>-23.664999999999999</v>
      </c>
      <c r="CM4001" s="106">
        <v>-8.5449999999999999</v>
      </c>
      <c r="CS4001" s="74">
        <v>-8.6199999999999992</v>
      </c>
      <c r="CY4001" s="106">
        <v>-16.635000000000002</v>
      </c>
      <c r="DE4001" s="74">
        <v>-8.19</v>
      </c>
    </row>
    <row r="4002" spans="1:226" x14ac:dyDescent="0.25">
      <c r="A4002" s="127">
        <v>45344</v>
      </c>
      <c r="B4002" s="24" t="s">
        <v>184</v>
      </c>
      <c r="C4002" s="21">
        <f t="shared" si="66"/>
        <v>-32.305</v>
      </c>
      <c r="BO4002" s="106">
        <v>-15.86</v>
      </c>
      <c r="CS4002" s="74">
        <v>-16.445</v>
      </c>
    </row>
    <row r="4003" spans="1:226" x14ac:dyDescent="0.25">
      <c r="A4003" s="127">
        <v>45344</v>
      </c>
      <c r="B4003" s="24" t="s">
        <v>178</v>
      </c>
      <c r="C4003" s="21">
        <f t="shared" si="66"/>
        <v>-51.49</v>
      </c>
      <c r="BS4003" s="42">
        <v>-51.49</v>
      </c>
    </row>
    <row r="4004" spans="1:226" x14ac:dyDescent="0.25">
      <c r="A4004" s="127">
        <v>45344</v>
      </c>
      <c r="B4004" s="24" t="s">
        <v>139</v>
      </c>
      <c r="C4004" s="21">
        <f t="shared" si="66"/>
        <v>-33.49</v>
      </c>
      <c r="BI4004" s="106">
        <v>-8.1950000000000003</v>
      </c>
      <c r="CA4004" s="106">
        <v>-8.7349999999999994</v>
      </c>
      <c r="CG4004" s="106">
        <v>-8.2750000000000004</v>
      </c>
      <c r="CS4004" s="74">
        <v>-8.2850000000000001</v>
      </c>
    </row>
    <row r="4005" spans="1:226" x14ac:dyDescent="0.25">
      <c r="A4005" s="127">
        <v>45344</v>
      </c>
      <c r="B4005" s="24" t="s">
        <v>48</v>
      </c>
      <c r="C4005" s="21">
        <f t="shared" si="66"/>
        <v>121.71</v>
      </c>
      <c r="BS4005" s="42">
        <f>34.1+34.52+8.7+8.69</f>
        <v>86.01</v>
      </c>
      <c r="DS4005" s="42">
        <v>35.700000000000003</v>
      </c>
    </row>
    <row r="4006" spans="1:226" x14ac:dyDescent="0.25">
      <c r="A4006" s="127">
        <v>45344</v>
      </c>
      <c r="B4006" s="24" t="s">
        <v>113</v>
      </c>
      <c r="C4006" s="21">
        <f t="shared" si="66"/>
        <v>1236.1600000000001</v>
      </c>
      <c r="GQ4006" s="92">
        <v>99.24</v>
      </c>
      <c r="HF4006" s="92">
        <v>160.97499999999999</v>
      </c>
      <c r="HJ4006" s="79">
        <v>296.3</v>
      </c>
      <c r="HM4006" s="106">
        <v>231.58</v>
      </c>
      <c r="HP4006" s="92">
        <v>312.58499999999998</v>
      </c>
      <c r="HR4006" s="92">
        <v>135.47999999999999</v>
      </c>
    </row>
    <row r="4007" spans="1:226" x14ac:dyDescent="0.25">
      <c r="A4007" s="127">
        <v>45344</v>
      </c>
      <c r="B4007" s="24" t="s">
        <v>37</v>
      </c>
      <c r="C4007" s="21">
        <f t="shared" si="66"/>
        <v>-790.42</v>
      </c>
      <c r="HF4007" s="92">
        <v>-64.45</v>
      </c>
      <c r="HJ4007" s="79">
        <v>-296.3</v>
      </c>
      <c r="HM4007" s="106">
        <v>-117.08499999999999</v>
      </c>
      <c r="HP4007" s="92">
        <v>-312.58499999999998</v>
      </c>
    </row>
    <row r="4008" spans="1:226" x14ac:dyDescent="0.25">
      <c r="A4008" s="127">
        <v>45405</v>
      </c>
      <c r="B4008" s="24" t="s">
        <v>189</v>
      </c>
      <c r="C4008" s="21">
        <f t="shared" si="66"/>
        <v>-25.925000000000001</v>
      </c>
      <c r="BI4008" s="106">
        <f>-21.5-4.425</f>
        <v>-25.925000000000001</v>
      </c>
    </row>
    <row r="4009" spans="1:226" x14ac:dyDescent="0.25">
      <c r="A4009" s="127">
        <v>45405</v>
      </c>
      <c r="B4009" s="24" t="s">
        <v>75</v>
      </c>
      <c r="C4009" s="21">
        <f t="shared" si="66"/>
        <v>-16.78</v>
      </c>
      <c r="BO4009" s="106">
        <v>-16.78</v>
      </c>
    </row>
    <row r="4010" spans="1:226" x14ac:dyDescent="0.25">
      <c r="A4010" s="127">
        <v>45405</v>
      </c>
      <c r="B4010" s="24" t="s">
        <v>79</v>
      </c>
      <c r="C4010" s="21">
        <f t="shared" si="66"/>
        <v>-26.385000000000002</v>
      </c>
      <c r="AW4010" s="106">
        <v>-26.385000000000002</v>
      </c>
    </row>
    <row r="4011" spans="1:226" x14ac:dyDescent="0.25">
      <c r="A4011" s="127">
        <v>45405</v>
      </c>
      <c r="B4011" s="24" t="s">
        <v>82</v>
      </c>
      <c r="C4011" s="21">
        <f t="shared" si="66"/>
        <v>-151.505</v>
      </c>
      <c r="HH4011" s="106">
        <v>-58.424999999999997</v>
      </c>
      <c r="HR4011" s="92">
        <v>-93.08</v>
      </c>
    </row>
    <row r="4012" spans="1:226" x14ac:dyDescent="0.25">
      <c r="A4012" s="127">
        <v>45405</v>
      </c>
      <c r="B4012" s="24" t="s">
        <v>20</v>
      </c>
      <c r="C4012" s="21">
        <f t="shared" si="66"/>
        <v>-17.395</v>
      </c>
      <c r="AW4012" s="106">
        <v>-8.9849999999999994</v>
      </c>
      <c r="BS4012" s="42">
        <v>-8.41</v>
      </c>
    </row>
    <row r="4013" spans="1:226" x14ac:dyDescent="0.25">
      <c r="A4013" s="127">
        <v>45405</v>
      </c>
      <c r="B4013" s="24" t="s">
        <v>184</v>
      </c>
      <c r="C4013" s="21">
        <f t="shared" si="66"/>
        <v>-133.31</v>
      </c>
      <c r="CS4013" s="74">
        <v>-33.454999999999998</v>
      </c>
      <c r="CY4013" s="106">
        <v>-41.61</v>
      </c>
      <c r="DK4013" s="106">
        <v>-14.15</v>
      </c>
      <c r="DS4013" s="42">
        <v>-35.700000000000003</v>
      </c>
      <c r="EA4013" s="74">
        <v>-8.3949999999999996</v>
      </c>
    </row>
    <row r="4014" spans="1:226" x14ac:dyDescent="0.25">
      <c r="A4014" s="127">
        <v>45405</v>
      </c>
      <c r="B4014" s="24" t="s">
        <v>48</v>
      </c>
      <c r="C4014" s="21">
        <f t="shared" si="66"/>
        <v>-59.685000000000002</v>
      </c>
      <c r="BO4014" s="106">
        <v>-26.594999999999999</v>
      </c>
      <c r="CS4014" s="74">
        <v>-33.090000000000003</v>
      </c>
    </row>
    <row r="4015" spans="1:226" x14ac:dyDescent="0.25">
      <c r="A4015" s="127">
        <v>45405</v>
      </c>
      <c r="B4015" s="24" t="s">
        <v>167</v>
      </c>
      <c r="C4015" s="21">
        <f t="shared" si="66"/>
        <v>-23.91</v>
      </c>
      <c r="E4015" s="386">
        <v>-23.91</v>
      </c>
    </row>
    <row r="4016" spans="1:226" x14ac:dyDescent="0.25">
      <c r="A4016" s="127">
        <v>45405</v>
      </c>
      <c r="B4016" s="24" t="s">
        <v>184</v>
      </c>
      <c r="C4016" s="21">
        <f t="shared" si="66"/>
        <v>-114.495</v>
      </c>
      <c r="AW4016" s="106">
        <v>-16.684999999999999</v>
      </c>
      <c r="BC4016" s="106">
        <v>-16.364999999999998</v>
      </c>
      <c r="BI4016" s="106">
        <v>-24.725000000000001</v>
      </c>
      <c r="BO4016" s="106">
        <v>-15.96</v>
      </c>
      <c r="CA4016" s="106">
        <v>-7.55</v>
      </c>
      <c r="CM4016" s="106">
        <v>-8.5399999999999991</v>
      </c>
      <c r="CS4016" s="74">
        <v>-8.2550000000000008</v>
      </c>
      <c r="CY4016" s="106">
        <v>-8.39</v>
      </c>
      <c r="DE4016" s="74">
        <v>-8.0250000000000004</v>
      </c>
    </row>
    <row r="4017" spans="1:214" x14ac:dyDescent="0.25">
      <c r="A4017" s="127">
        <v>45405</v>
      </c>
      <c r="B4017" s="24" t="s">
        <v>183</v>
      </c>
      <c r="C4017" s="21">
        <f t="shared" ref="C4017:C4080" si="67">SUM(D4017:JT4017)</f>
        <v>-16.62</v>
      </c>
      <c r="CY4017" s="106">
        <v>-8.4499999999999993</v>
      </c>
      <c r="DE4017" s="74">
        <v>-8.17</v>
      </c>
    </row>
    <row r="4018" spans="1:214" x14ac:dyDescent="0.25">
      <c r="A4018" s="127">
        <v>45405</v>
      </c>
      <c r="B4018" s="24" t="s">
        <v>18</v>
      </c>
      <c r="C4018" s="21">
        <f t="shared" si="67"/>
        <v>-98.52</v>
      </c>
      <c r="BL4018" s="182">
        <v>-33.549999999999997</v>
      </c>
      <c r="BO4018" s="106">
        <v>-32.29</v>
      </c>
      <c r="CS4018" s="74">
        <v>-32.68</v>
      </c>
    </row>
    <row r="4019" spans="1:214" x14ac:dyDescent="0.25">
      <c r="A4019" s="127">
        <v>45349</v>
      </c>
      <c r="B4019" s="24" t="s">
        <v>25</v>
      </c>
      <c r="C4019" s="21">
        <f t="shared" si="67"/>
        <v>-115.52</v>
      </c>
      <c r="DK4019" s="106">
        <v>-42.314999999999998</v>
      </c>
      <c r="DP4019" s="74">
        <v>-57.11</v>
      </c>
      <c r="EA4019" s="74">
        <v>-16.094999999999999</v>
      </c>
    </row>
    <row r="4020" spans="1:214" x14ac:dyDescent="0.25">
      <c r="A4020" s="127">
        <v>45349</v>
      </c>
      <c r="B4020" s="24" t="s">
        <v>188</v>
      </c>
      <c r="C4020" s="21">
        <f t="shared" si="67"/>
        <v>-24.76</v>
      </c>
      <c r="BO4020" s="106">
        <v>-8.15</v>
      </c>
      <c r="CA4020" s="106">
        <v>-8.0649999999999995</v>
      </c>
      <c r="CS4020" s="74">
        <v>-8.5449999999999999</v>
      </c>
    </row>
    <row r="4021" spans="1:214" x14ac:dyDescent="0.25">
      <c r="A4021" s="127">
        <v>45349</v>
      </c>
      <c r="B4021" s="24" t="s">
        <v>138</v>
      </c>
      <c r="C4021" s="21">
        <f t="shared" si="67"/>
        <v>-16.47</v>
      </c>
      <c r="BL4021" s="182">
        <v>-8.4</v>
      </c>
      <c r="BO4021" s="106">
        <v>-8.07</v>
      </c>
    </row>
    <row r="4022" spans="1:214" x14ac:dyDescent="0.25">
      <c r="A4022" s="127">
        <v>45349</v>
      </c>
      <c r="B4022" s="24" t="s">
        <v>75</v>
      </c>
      <c r="C4022" s="21">
        <f t="shared" si="67"/>
        <v>-24.375</v>
      </c>
      <c r="BI4022" s="106">
        <v>-7.92</v>
      </c>
      <c r="BL4022" s="182">
        <v>-8.3800000000000008</v>
      </c>
      <c r="BO4022" s="106">
        <v>-8.0749999999999993</v>
      </c>
    </row>
    <row r="4023" spans="1:214" x14ac:dyDescent="0.25">
      <c r="A4023" s="127">
        <v>45349</v>
      </c>
      <c r="B4023" s="24" t="s">
        <v>31</v>
      </c>
      <c r="C4023" s="21">
        <f t="shared" si="67"/>
        <v>-14.22</v>
      </c>
      <c r="AW4023" s="106">
        <v>-14.22</v>
      </c>
    </row>
    <row r="4024" spans="1:214" x14ac:dyDescent="0.25">
      <c r="A4024" s="127">
        <v>45349</v>
      </c>
      <c r="B4024" s="24" t="s">
        <v>29</v>
      </c>
      <c r="C4024" s="21">
        <f t="shared" si="67"/>
        <v>-60.07</v>
      </c>
      <c r="AG4024" s="106">
        <v>-8.17</v>
      </c>
      <c r="AN4024" s="106">
        <v>-8.85</v>
      </c>
      <c r="AR4024" s="106">
        <v>-9.06</v>
      </c>
      <c r="AW4024" s="106">
        <v>-8.89</v>
      </c>
      <c r="BC4024" s="106">
        <v>-7.7</v>
      </c>
      <c r="BI4024" s="106">
        <v>-9.33</v>
      </c>
      <c r="BO4024" s="106">
        <v>-8.07</v>
      </c>
    </row>
    <row r="4025" spans="1:214" x14ac:dyDescent="0.25">
      <c r="A4025" s="127">
        <v>45349</v>
      </c>
      <c r="B4025" s="24" t="s">
        <v>20</v>
      </c>
      <c r="C4025" s="21">
        <f t="shared" si="67"/>
        <v>-15.914999999999999</v>
      </c>
      <c r="BI4025" s="106">
        <v>-7.9950000000000001</v>
      </c>
      <c r="BO4025" s="106">
        <v>-7.92</v>
      </c>
    </row>
    <row r="4026" spans="1:214" x14ac:dyDescent="0.25">
      <c r="A4026" s="127">
        <v>45349</v>
      </c>
      <c r="B4026" s="24" t="s">
        <v>37</v>
      </c>
      <c r="C4026" s="21">
        <f t="shared" si="67"/>
        <v>-64.364999999999995</v>
      </c>
      <c r="HF4026" s="92">
        <v>-64.364999999999995</v>
      </c>
    </row>
    <row r="4027" spans="1:214" x14ac:dyDescent="0.25">
      <c r="A4027" s="127">
        <v>45350</v>
      </c>
      <c r="B4027" s="24" t="s">
        <v>113</v>
      </c>
      <c r="C4027" s="21">
        <f t="shared" si="67"/>
        <v>1065.7349999999999</v>
      </c>
      <c r="AW4027" s="106">
        <v>92.355000000000004</v>
      </c>
      <c r="BI4027" s="106">
        <v>129.76</v>
      </c>
      <c r="BO4027" s="106">
        <v>102.32</v>
      </c>
      <c r="BU4027" s="106">
        <v>199.51499999999999</v>
      </c>
      <c r="CG4027" s="106">
        <v>96.724999999999994</v>
      </c>
      <c r="CM4027" s="106">
        <v>81.125</v>
      </c>
      <c r="CS4027" s="74">
        <v>161.57499999999999</v>
      </c>
      <c r="DE4027" s="74">
        <v>98.094999999999999</v>
      </c>
      <c r="DU4027" s="106">
        <v>104.265</v>
      </c>
    </row>
    <row r="4028" spans="1:214" x14ac:dyDescent="0.25">
      <c r="A4028" s="127">
        <v>45350</v>
      </c>
      <c r="B4028" s="24" t="s">
        <v>18</v>
      </c>
      <c r="C4028" s="21">
        <f t="shared" si="67"/>
        <v>-1428.425</v>
      </c>
      <c r="AW4028" s="106">
        <v>-110.64</v>
      </c>
      <c r="BC4028" s="106">
        <v>-96.265000000000001</v>
      </c>
      <c r="BI4028" s="106">
        <v>-64.55</v>
      </c>
      <c r="BO4028" s="106">
        <v>-102.32</v>
      </c>
      <c r="BU4028" s="106">
        <v>-132.74</v>
      </c>
      <c r="CA4028" s="106">
        <v>-132.34</v>
      </c>
      <c r="CG4028" s="106">
        <v>-96.724999999999994</v>
      </c>
      <c r="CM4028" s="106">
        <v>-132.47499999999999</v>
      </c>
      <c r="CS4028" s="74">
        <v>-97.114999999999995</v>
      </c>
      <c r="CY4028" s="106">
        <v>-99.385000000000005</v>
      </c>
      <c r="DE4028" s="74">
        <v>-98.094999999999999</v>
      </c>
      <c r="DK4028" s="106">
        <v>-96.5</v>
      </c>
      <c r="DP4028" s="74">
        <v>-65.010000000000005</v>
      </c>
      <c r="DU4028" s="106">
        <v>-104.265</v>
      </c>
    </row>
    <row r="4029" spans="1:214" x14ac:dyDescent="0.25">
      <c r="A4029" s="127">
        <v>45350</v>
      </c>
      <c r="B4029" s="24" t="s">
        <v>48</v>
      </c>
      <c r="C4029" s="21">
        <f t="shared" si="67"/>
        <v>-33.465000000000003</v>
      </c>
      <c r="CS4029" s="74">
        <v>-33.465000000000003</v>
      </c>
    </row>
    <row r="4030" spans="1:214" x14ac:dyDescent="0.25">
      <c r="A4030" s="127">
        <v>45350</v>
      </c>
      <c r="B4030" s="24" t="s">
        <v>48</v>
      </c>
      <c r="C4030" s="21">
        <f t="shared" si="67"/>
        <v>277.76</v>
      </c>
      <c r="AU4030" s="42">
        <v>34.42</v>
      </c>
      <c r="BA4030" s="42">
        <v>34.07</v>
      </c>
      <c r="BG4030" s="42">
        <v>33.17</v>
      </c>
      <c r="BM4030" s="88">
        <v>35.72</v>
      </c>
      <c r="BS4030" s="42">
        <v>33.89</v>
      </c>
      <c r="BY4030" s="42">
        <v>33.799999999999997</v>
      </c>
      <c r="CK4030" s="42">
        <v>36.700000000000003</v>
      </c>
      <c r="DS4030" s="42">
        <v>35.99</v>
      </c>
    </row>
    <row r="4031" spans="1:214" x14ac:dyDescent="0.25">
      <c r="A4031" s="127">
        <v>45350</v>
      </c>
      <c r="B4031" s="24" t="s">
        <v>44</v>
      </c>
      <c r="C4031" s="21">
        <f t="shared" si="67"/>
        <v>-160.06</v>
      </c>
      <c r="GK4031" s="79">
        <v>-28.66</v>
      </c>
      <c r="GQ4031" s="92">
        <v>-99.24</v>
      </c>
      <c r="HF4031" s="92">
        <v>-32.159999999999997</v>
      </c>
    </row>
    <row r="4032" spans="1:214" x14ac:dyDescent="0.25">
      <c r="A4032" s="127">
        <v>45351</v>
      </c>
      <c r="B4032" s="24" t="s">
        <v>12</v>
      </c>
      <c r="C4032" s="21">
        <f t="shared" si="67"/>
        <v>0</v>
      </c>
    </row>
    <row r="4033" spans="1:180" x14ac:dyDescent="0.25">
      <c r="A4033" s="127">
        <v>45351</v>
      </c>
      <c r="B4033" s="24" t="s">
        <v>152</v>
      </c>
      <c r="C4033" s="21">
        <f t="shared" si="67"/>
        <v>-34.57</v>
      </c>
      <c r="AN4033" s="106">
        <v>-34.57</v>
      </c>
    </row>
    <row r="4034" spans="1:180" x14ac:dyDescent="0.25">
      <c r="A4034" s="127">
        <v>45352</v>
      </c>
      <c r="B4034" s="24" t="s">
        <v>19</v>
      </c>
      <c r="C4034" s="21">
        <f t="shared" si="67"/>
        <v>-173.345</v>
      </c>
      <c r="AL4034" s="42">
        <f>-8.55-8.26</f>
        <v>-16.809999999999999</v>
      </c>
      <c r="AN4034" s="106">
        <f>-34.5-34.505-34.555-35.29-8.845-8.84</f>
        <v>-156.535</v>
      </c>
    </row>
    <row r="4035" spans="1:180" x14ac:dyDescent="0.25">
      <c r="A4035" s="127">
        <v>45352</v>
      </c>
      <c r="B4035" s="24" t="s">
        <v>29</v>
      </c>
      <c r="C4035" s="21">
        <f t="shared" si="67"/>
        <v>-8.6999999999999993</v>
      </c>
      <c r="BS4035" s="42">
        <v>-8.6999999999999993</v>
      </c>
    </row>
    <row r="4036" spans="1:180" x14ac:dyDescent="0.25">
      <c r="A4036" s="127">
        <v>45352</v>
      </c>
      <c r="B4036" s="24" t="s">
        <v>184</v>
      </c>
      <c r="C4036" s="21">
        <f t="shared" si="67"/>
        <v>-66.775000000000006</v>
      </c>
      <c r="BU4036" s="106">
        <v>-66.775000000000006</v>
      </c>
    </row>
    <row r="4037" spans="1:180" x14ac:dyDescent="0.25">
      <c r="A4037" s="127">
        <v>45352</v>
      </c>
      <c r="B4037" s="24" t="s">
        <v>75</v>
      </c>
      <c r="C4037" s="21">
        <f t="shared" si="67"/>
        <v>-17.78</v>
      </c>
      <c r="AW4037" s="106">
        <v>-8.9700000000000006</v>
      </c>
      <c r="BM4037" s="88">
        <v>-8.81</v>
      </c>
    </row>
    <row r="4038" spans="1:180" x14ac:dyDescent="0.25">
      <c r="A4038" s="127">
        <v>45352</v>
      </c>
      <c r="B4038" s="24" t="s">
        <v>20</v>
      </c>
      <c r="C4038" s="21">
        <f t="shared" si="67"/>
        <v>-24.25</v>
      </c>
      <c r="V4038" s="74">
        <v>-8.1950000000000003</v>
      </c>
      <c r="AC4038" s="106">
        <v>-7.87</v>
      </c>
      <c r="BC4038" s="106">
        <v>-8.1850000000000005</v>
      </c>
    </row>
    <row r="4039" spans="1:180" x14ac:dyDescent="0.25">
      <c r="A4039" s="127">
        <v>45352</v>
      </c>
      <c r="B4039" s="24" t="s">
        <v>139</v>
      </c>
      <c r="C4039" s="21">
        <f t="shared" si="67"/>
        <v>-8.69</v>
      </c>
      <c r="BS4039" s="42">
        <v>-8.69</v>
      </c>
    </row>
    <row r="4040" spans="1:180" x14ac:dyDescent="0.25">
      <c r="A4040" s="127">
        <v>45352</v>
      </c>
      <c r="B4040" s="24" t="s">
        <v>127</v>
      </c>
      <c r="C4040" s="21">
        <f t="shared" si="67"/>
        <v>-25.184999999999999</v>
      </c>
      <c r="AW4040" s="106">
        <v>-9.06</v>
      </c>
      <c r="BO4040" s="106">
        <v>-16.125</v>
      </c>
    </row>
    <row r="4041" spans="1:180" x14ac:dyDescent="0.25">
      <c r="A4041" s="127">
        <v>45352</v>
      </c>
      <c r="B4041" s="24" t="s">
        <v>149</v>
      </c>
      <c r="C4041" s="21">
        <f t="shared" si="67"/>
        <v>-8.4499999999999993</v>
      </c>
      <c r="BY4041" s="42">
        <v>-8.4499999999999993</v>
      </c>
    </row>
    <row r="4042" spans="1:180" x14ac:dyDescent="0.25">
      <c r="A4042" s="127">
        <v>45352</v>
      </c>
      <c r="B4042" s="24" t="s">
        <v>48</v>
      </c>
      <c r="C4042" s="21">
        <f t="shared" si="67"/>
        <v>-29.63</v>
      </c>
      <c r="Z4042" s="79">
        <v>-8.0500000000000007</v>
      </c>
      <c r="FX4042" s="34">
        <v>-21.58</v>
      </c>
    </row>
    <row r="4043" spans="1:180" x14ac:dyDescent="0.25">
      <c r="A4043" s="127">
        <v>45352</v>
      </c>
      <c r="B4043" s="24" t="s">
        <v>19</v>
      </c>
      <c r="C4043" s="21">
        <f t="shared" si="67"/>
        <v>113.47</v>
      </c>
      <c r="BJ4043" s="121">
        <v>14.65</v>
      </c>
      <c r="BQ4043" s="126">
        <v>18.07</v>
      </c>
      <c r="BV4043" s="121">
        <v>14.9</v>
      </c>
      <c r="CC4043" s="126">
        <v>15.57</v>
      </c>
      <c r="CH4043" s="121">
        <v>16.43</v>
      </c>
      <c r="CN4043" s="121">
        <v>15.98</v>
      </c>
      <c r="CT4043" s="121">
        <v>17.87</v>
      </c>
    </row>
    <row r="4044" spans="1:180" x14ac:dyDescent="0.25">
      <c r="A4044" s="127">
        <v>45355</v>
      </c>
      <c r="B4044" s="24" t="s">
        <v>32</v>
      </c>
      <c r="C4044" s="21">
        <f t="shared" si="67"/>
        <v>-34.765000000000001</v>
      </c>
      <c r="AR4044" s="106">
        <v>-17.04</v>
      </c>
      <c r="CS4044" s="74">
        <v>-17.725000000000001</v>
      </c>
    </row>
    <row r="4045" spans="1:180" x14ac:dyDescent="0.25">
      <c r="A4045" s="127">
        <v>45355</v>
      </c>
      <c r="B4045" s="24" t="s">
        <v>184</v>
      </c>
      <c r="C4045" s="21">
        <f t="shared" si="67"/>
        <v>-31.82</v>
      </c>
      <c r="BC4045" s="106">
        <v>-8.15</v>
      </c>
      <c r="BO4045" s="106">
        <v>-8.07</v>
      </c>
      <c r="BS4045" s="42">
        <v>-8.2899999999999991</v>
      </c>
      <c r="BV4045" s="121">
        <v>-7.31</v>
      </c>
    </row>
    <row r="4046" spans="1:180" x14ac:dyDescent="0.25">
      <c r="A4046" s="127">
        <v>45355</v>
      </c>
      <c r="B4046" s="24" t="s">
        <v>191</v>
      </c>
      <c r="C4046" s="21">
        <f t="shared" si="67"/>
        <v>-6.74</v>
      </c>
      <c r="AC4046" s="106">
        <v>-6.74</v>
      </c>
    </row>
    <row r="4047" spans="1:180" x14ac:dyDescent="0.25">
      <c r="A4047" s="127">
        <v>45355</v>
      </c>
      <c r="B4047" s="24" t="s">
        <v>183</v>
      </c>
      <c r="C4047" s="21">
        <f t="shared" si="67"/>
        <v>-17.350000000000001</v>
      </c>
      <c r="CY4047" s="106">
        <v>-8.4600000000000009</v>
      </c>
      <c r="DK4047" s="106">
        <v>-8.89</v>
      </c>
    </row>
    <row r="4048" spans="1:180" x14ac:dyDescent="0.25">
      <c r="A4048" s="127">
        <v>45356</v>
      </c>
      <c r="B4048" s="24" t="s">
        <v>138</v>
      </c>
      <c r="C4048" s="21">
        <f t="shared" si="67"/>
        <v>-24.3</v>
      </c>
      <c r="BA4048" s="42">
        <v>-17.84</v>
      </c>
      <c r="CA4048" s="106">
        <v>-6.46</v>
      </c>
    </row>
    <row r="4049" spans="1:221" x14ac:dyDescent="0.25">
      <c r="A4049" s="127">
        <v>45356</v>
      </c>
      <c r="B4049" s="24" t="s">
        <v>139</v>
      </c>
      <c r="C4049" s="21">
        <f t="shared" si="67"/>
        <v>-57.4</v>
      </c>
      <c r="BS4049" s="42">
        <v>-8.2100000000000009</v>
      </c>
      <c r="CA4049" s="106">
        <v>-6.48</v>
      </c>
      <c r="CG4049" s="106">
        <v>-8.31</v>
      </c>
      <c r="CM4049" s="106">
        <v>-8.5250000000000004</v>
      </c>
      <c r="CS4049" s="74">
        <v>-8.6300000000000008</v>
      </c>
      <c r="CY4049" s="106">
        <v>-8.2149999999999999</v>
      </c>
      <c r="DE4049" s="74">
        <v>-9.0299999999999994</v>
      </c>
    </row>
    <row r="4050" spans="1:221" x14ac:dyDescent="0.25">
      <c r="A4050" s="127">
        <v>45356</v>
      </c>
      <c r="B4050" s="24" t="s">
        <v>20</v>
      </c>
      <c r="C4050" s="21">
        <f t="shared" si="67"/>
        <v>-54.96</v>
      </c>
      <c r="BL4050" s="182">
        <v>-8.3699999999999992</v>
      </c>
      <c r="CA4050" s="106">
        <v>-6.44</v>
      </c>
      <c r="CG4050" s="106">
        <v>-8.2149999999999999</v>
      </c>
      <c r="GZ4050" s="106">
        <v>-31.934999999999999</v>
      </c>
    </row>
    <row r="4051" spans="1:221" x14ac:dyDescent="0.25">
      <c r="A4051" s="127">
        <v>45356</v>
      </c>
      <c r="B4051" s="24" t="s">
        <v>113</v>
      </c>
      <c r="C4051" s="21">
        <f t="shared" si="67"/>
        <v>1068.895</v>
      </c>
      <c r="V4051" s="74">
        <v>98.555000000000007</v>
      </c>
      <c r="Z4051" s="79">
        <v>64.245000000000005</v>
      </c>
      <c r="AW4051" s="106">
        <v>65.760000000000005</v>
      </c>
      <c r="BC4051" s="106">
        <v>96.064999999999998</v>
      </c>
      <c r="BU4051" s="106">
        <v>66.66</v>
      </c>
      <c r="CA4051" s="106">
        <v>99.94</v>
      </c>
      <c r="CY4051" s="106">
        <v>114.495</v>
      </c>
      <c r="DE4051" s="74">
        <v>102.505</v>
      </c>
      <c r="DK4051" s="106">
        <v>89.16</v>
      </c>
      <c r="DP4051" s="74">
        <v>95.295000000000002</v>
      </c>
      <c r="HM4051" s="106">
        <v>176.215</v>
      </c>
    </row>
    <row r="4052" spans="1:221" x14ac:dyDescent="0.25">
      <c r="A4052" s="127">
        <v>45357</v>
      </c>
      <c r="B4052" s="24" t="s">
        <v>151</v>
      </c>
      <c r="C4052" s="21">
        <f t="shared" si="67"/>
        <v>-6.58</v>
      </c>
      <c r="BI4052" s="106">
        <v>-6.58</v>
      </c>
    </row>
    <row r="4053" spans="1:221" x14ac:dyDescent="0.25">
      <c r="A4053" s="127">
        <v>45357</v>
      </c>
      <c r="B4053" s="24" t="s">
        <v>133</v>
      </c>
      <c r="C4053" s="21">
        <f t="shared" si="67"/>
        <v>-115.25</v>
      </c>
      <c r="BI4053" s="106">
        <v>-31.74</v>
      </c>
      <c r="BU4053" s="106">
        <v>-16.675000000000001</v>
      </c>
      <c r="CA4053" s="106">
        <v>-33.484999999999999</v>
      </c>
      <c r="CY4053" s="106">
        <v>-33.35</v>
      </c>
    </row>
    <row r="4054" spans="1:221" x14ac:dyDescent="0.25">
      <c r="A4054" s="127">
        <v>45357</v>
      </c>
      <c r="B4054" s="24" t="s">
        <v>183</v>
      </c>
      <c r="C4054" s="21">
        <f t="shared" si="67"/>
        <v>-32.375</v>
      </c>
      <c r="CS4054" s="74">
        <f>-7.73-7.725</f>
        <v>-15.455</v>
      </c>
      <c r="CY4054" s="106">
        <v>-16.920000000000002</v>
      </c>
    </row>
    <row r="4055" spans="1:221" x14ac:dyDescent="0.25">
      <c r="A4055" s="127">
        <v>45357</v>
      </c>
      <c r="B4055" s="24" t="s">
        <v>48</v>
      </c>
      <c r="C4055" s="21">
        <f t="shared" si="67"/>
        <v>-64.435000000000002</v>
      </c>
      <c r="Z4055" s="79">
        <v>-32.08</v>
      </c>
      <c r="CS4055" s="74">
        <v>-32.354999999999997</v>
      </c>
    </row>
    <row r="4056" spans="1:221" x14ac:dyDescent="0.25">
      <c r="A4056" s="127">
        <v>45358</v>
      </c>
      <c r="B4056" s="24" t="s">
        <v>147</v>
      </c>
      <c r="C4056" s="21">
        <f t="shared" si="67"/>
        <v>-34.97</v>
      </c>
      <c r="BY4056" s="42">
        <v>-8.4499999999999993</v>
      </c>
      <c r="CK4056" s="42">
        <v>-26.52</v>
      </c>
    </row>
    <row r="4057" spans="1:221" x14ac:dyDescent="0.25">
      <c r="A4057" s="127">
        <v>45359</v>
      </c>
      <c r="B4057" s="24" t="s">
        <v>20</v>
      </c>
      <c r="C4057" s="21">
        <f t="shared" si="67"/>
        <v>-31.66</v>
      </c>
      <c r="GZ4057" s="106">
        <v>-31.66</v>
      </c>
    </row>
    <row r="4058" spans="1:221" x14ac:dyDescent="0.25">
      <c r="A4058" s="127">
        <v>45359</v>
      </c>
      <c r="B4058" s="24" t="s">
        <v>138</v>
      </c>
      <c r="C4058" s="21">
        <f t="shared" si="67"/>
        <v>-68.215000000000003</v>
      </c>
      <c r="AW4058" s="106">
        <v>-17.350000000000001</v>
      </c>
      <c r="BC4058" s="106">
        <v>-16.454999999999998</v>
      </c>
      <c r="BM4058" s="88">
        <v>-9.32</v>
      </c>
      <c r="BU4058" s="106">
        <v>-8.3149999999999995</v>
      </c>
      <c r="CA4058" s="106">
        <v>-8.3049999999999997</v>
      </c>
      <c r="CG4058" s="106">
        <v>-8.4700000000000006</v>
      </c>
    </row>
    <row r="4059" spans="1:221" x14ac:dyDescent="0.25">
      <c r="A4059" s="127">
        <v>45359</v>
      </c>
      <c r="B4059" s="24" t="s">
        <v>75</v>
      </c>
      <c r="C4059" s="21">
        <f t="shared" si="67"/>
        <v>-17.155000000000001</v>
      </c>
      <c r="BM4059" s="88">
        <v>-8.81</v>
      </c>
      <c r="BU4059" s="106">
        <v>-8.3450000000000006</v>
      </c>
    </row>
    <row r="4060" spans="1:221" x14ac:dyDescent="0.25">
      <c r="A4060" s="127">
        <v>45359</v>
      </c>
      <c r="B4060" s="24" t="s">
        <v>48</v>
      </c>
      <c r="C4060" s="21">
        <f t="shared" si="67"/>
        <v>0</v>
      </c>
    </row>
    <row r="4061" spans="1:221" x14ac:dyDescent="0.25">
      <c r="A4061" s="127">
        <v>45359</v>
      </c>
      <c r="B4061" s="24" t="s">
        <v>188</v>
      </c>
      <c r="C4061" s="21">
        <f t="shared" si="67"/>
        <v>-22.05</v>
      </c>
      <c r="BU4061" s="106">
        <v>-8.3450000000000006</v>
      </c>
      <c r="CA4061" s="106">
        <v>-6.36</v>
      </c>
      <c r="CM4061" s="106">
        <v>-7.3449999999999998</v>
      </c>
    </row>
    <row r="4062" spans="1:221" x14ac:dyDescent="0.25">
      <c r="A4062" s="127">
        <v>45359</v>
      </c>
      <c r="B4062" s="24" t="s">
        <v>181</v>
      </c>
      <c r="C4062" s="21">
        <f t="shared" si="67"/>
        <v>-13.45</v>
      </c>
      <c r="I4062" s="84">
        <v>-13.45</v>
      </c>
    </row>
    <row r="4063" spans="1:221" x14ac:dyDescent="0.25">
      <c r="A4063" s="127">
        <v>45359</v>
      </c>
      <c r="B4063" s="24" t="s">
        <v>184</v>
      </c>
      <c r="C4063" s="21">
        <f t="shared" si="67"/>
        <v>-66.900000000000006</v>
      </c>
      <c r="BC4063" s="106">
        <v>-8.7349999999999994</v>
      </c>
      <c r="BI4063" s="106">
        <v>-8.9350000000000005</v>
      </c>
      <c r="BY4063" s="42">
        <v>-16.899999999999999</v>
      </c>
      <c r="EA4063" s="74">
        <v>-32.33</v>
      </c>
    </row>
    <row r="4064" spans="1:221" x14ac:dyDescent="0.25">
      <c r="A4064" s="127">
        <v>45359</v>
      </c>
      <c r="B4064" s="24" t="s">
        <v>64</v>
      </c>
      <c r="C4064" s="21">
        <f t="shared" si="67"/>
        <v>34.18</v>
      </c>
      <c r="AN4064" s="106">
        <v>34.18</v>
      </c>
    </row>
    <row r="4065" spans="1:224" x14ac:dyDescent="0.25">
      <c r="A4065" s="127">
        <v>45359</v>
      </c>
      <c r="B4065" s="24" t="s">
        <v>152</v>
      </c>
      <c r="C4065" s="21">
        <f t="shared" si="67"/>
        <v>-261.495</v>
      </c>
      <c r="AW4065" s="106">
        <v>-65.825000000000003</v>
      </c>
      <c r="CA4065" s="106">
        <v>-63.784999999999997</v>
      </c>
      <c r="CY4065" s="106">
        <v>-32.524999999999999</v>
      </c>
      <c r="DE4065" s="74">
        <v>-34.215000000000003</v>
      </c>
      <c r="EA4065" s="74">
        <v>-65.144999999999996</v>
      </c>
    </row>
    <row r="4066" spans="1:224" x14ac:dyDescent="0.25">
      <c r="A4066" s="127">
        <v>45362</v>
      </c>
      <c r="B4066" s="24" t="s">
        <v>19</v>
      </c>
      <c r="C4066" s="21">
        <f t="shared" si="67"/>
        <v>0</v>
      </c>
    </row>
    <row r="4067" spans="1:224" x14ac:dyDescent="0.25">
      <c r="A4067" s="127">
        <v>45362</v>
      </c>
      <c r="B4067" s="24" t="s">
        <v>133</v>
      </c>
      <c r="C4067" s="21">
        <f t="shared" si="67"/>
        <v>-96.98</v>
      </c>
      <c r="DE4067" s="74">
        <v>-34.204999999999998</v>
      </c>
      <c r="DK4067" s="106">
        <v>-62.774999999999999</v>
      </c>
    </row>
    <row r="4068" spans="1:224" x14ac:dyDescent="0.25">
      <c r="A4068" s="127">
        <v>45363</v>
      </c>
      <c r="B4068" s="24" t="s">
        <v>17</v>
      </c>
      <c r="C4068" s="21">
        <f t="shared" si="67"/>
        <v>-17.68</v>
      </c>
      <c r="AW4068" s="106">
        <v>-9.3450000000000006</v>
      </c>
      <c r="BU4068" s="106">
        <v>-8.3350000000000009</v>
      </c>
    </row>
    <row r="4069" spans="1:224" x14ac:dyDescent="0.25">
      <c r="A4069" s="127">
        <v>45363</v>
      </c>
      <c r="B4069" s="24" t="s">
        <v>181</v>
      </c>
      <c r="C4069" s="21">
        <f t="shared" si="67"/>
        <v>-9.85</v>
      </c>
      <c r="I4069" s="84">
        <v>-9.85</v>
      </c>
    </row>
    <row r="4070" spans="1:224" x14ac:dyDescent="0.25">
      <c r="A4070" s="127">
        <v>45364</v>
      </c>
      <c r="B4070" s="24" t="s">
        <v>133</v>
      </c>
      <c r="C4070" s="21">
        <f t="shared" si="67"/>
        <v>-101.325</v>
      </c>
      <c r="AR4070" s="106">
        <v>-34.07</v>
      </c>
      <c r="BG4070" s="42">
        <v>-33.17</v>
      </c>
      <c r="DE4070" s="74">
        <v>-34.085000000000001</v>
      </c>
    </row>
    <row r="4071" spans="1:224" x14ac:dyDescent="0.25">
      <c r="A4071" s="127">
        <v>45364</v>
      </c>
      <c r="B4071" s="24" t="s">
        <v>48</v>
      </c>
      <c r="C4071" s="21">
        <f t="shared" si="67"/>
        <v>-32.274999999999999</v>
      </c>
      <c r="ET4071" s="106">
        <v>-32.274999999999999</v>
      </c>
    </row>
    <row r="4072" spans="1:224" x14ac:dyDescent="0.25">
      <c r="A4072" s="127">
        <v>45364</v>
      </c>
      <c r="B4072" s="24" t="s">
        <v>139</v>
      </c>
      <c r="C4072" s="21">
        <f t="shared" si="67"/>
        <v>-25.454999999999998</v>
      </c>
      <c r="CS4072" s="74">
        <v>-16.95</v>
      </c>
      <c r="DK4072" s="106">
        <v>-8.5050000000000008</v>
      </c>
    </row>
    <row r="4073" spans="1:224" x14ac:dyDescent="0.25">
      <c r="A4073" s="127">
        <v>45365</v>
      </c>
      <c r="B4073" s="24" t="s">
        <v>113</v>
      </c>
      <c r="C4073" s="21">
        <f t="shared" si="67"/>
        <v>7.1</v>
      </c>
      <c r="HJ4073" s="79">
        <v>7.1</v>
      </c>
    </row>
    <row r="4074" spans="1:224" x14ac:dyDescent="0.25">
      <c r="A4074" s="127">
        <v>45365</v>
      </c>
      <c r="B4074" s="24" t="s">
        <v>113</v>
      </c>
      <c r="C4074" s="21">
        <f t="shared" si="67"/>
        <v>1085.3800000000001</v>
      </c>
      <c r="HJ4074" s="79">
        <v>420.78</v>
      </c>
      <c r="HM4074" s="106">
        <v>202.98</v>
      </c>
      <c r="HP4074" s="92">
        <v>461.62</v>
      </c>
    </row>
    <row r="4075" spans="1:224" x14ac:dyDescent="0.25">
      <c r="A4075" s="127">
        <v>45365</v>
      </c>
      <c r="B4075" s="24" t="s">
        <v>113</v>
      </c>
      <c r="C4075" s="21">
        <f t="shared" si="67"/>
        <v>521.22500000000002</v>
      </c>
      <c r="BI4075" s="106">
        <v>35.155000000000001</v>
      </c>
      <c r="BO4075" s="106">
        <v>33.284999999999997</v>
      </c>
      <c r="BU4075" s="106">
        <v>32.4</v>
      </c>
      <c r="CG4075" s="106">
        <v>100.625</v>
      </c>
      <c r="CM4075" s="106">
        <v>101.995</v>
      </c>
      <c r="DU4075" s="106">
        <v>115.41</v>
      </c>
      <c r="EA4075" s="74">
        <v>102.355</v>
      </c>
    </row>
    <row r="4076" spans="1:224" x14ac:dyDescent="0.25">
      <c r="A4076" s="127">
        <v>45365</v>
      </c>
      <c r="B4076" s="24" t="s">
        <v>184</v>
      </c>
      <c r="C4076" s="21">
        <f t="shared" si="67"/>
        <v>-693.03499999999997</v>
      </c>
      <c r="CG4076" s="106">
        <v>-66.739999999999995</v>
      </c>
      <c r="CM4076" s="106">
        <v>-68.105000000000004</v>
      </c>
      <c r="CS4076" s="74">
        <v>-25.2</v>
      </c>
      <c r="CY4076" s="106">
        <v>-56.854999999999997</v>
      </c>
      <c r="DE4076" s="74">
        <v>-64.14</v>
      </c>
      <c r="DK4076" s="106">
        <v>-57.92</v>
      </c>
      <c r="DP4076" s="74">
        <v>-62.94</v>
      </c>
      <c r="DS4076" s="42">
        <v>-35.99</v>
      </c>
      <c r="DU4076" s="106">
        <f>-32.82-31.81-33.89</f>
        <v>-98.52</v>
      </c>
      <c r="EA4076" s="74">
        <v>-102.355</v>
      </c>
      <c r="EG4076" s="74">
        <v>-54.27</v>
      </c>
    </row>
    <row r="4077" spans="1:224" x14ac:dyDescent="0.25">
      <c r="A4077" s="127">
        <v>45365</v>
      </c>
      <c r="B4077" s="24" t="s">
        <v>37</v>
      </c>
      <c r="C4077" s="21">
        <f t="shared" si="67"/>
        <v>-547.39499999999998</v>
      </c>
      <c r="HJ4077" s="79">
        <v>-85.775000000000006</v>
      </c>
      <c r="HP4077" s="92">
        <v>-461.62</v>
      </c>
    </row>
    <row r="4078" spans="1:224" x14ac:dyDescent="0.25">
      <c r="A4078" s="127">
        <v>45366</v>
      </c>
      <c r="B4078" s="24" t="s">
        <v>48</v>
      </c>
      <c r="C4078" s="21">
        <f t="shared" si="67"/>
        <v>-14.57</v>
      </c>
      <c r="BC4078" s="106">
        <v>-14.57</v>
      </c>
    </row>
    <row r="4079" spans="1:224" x14ac:dyDescent="0.25">
      <c r="A4079" s="127">
        <v>45366</v>
      </c>
      <c r="B4079" s="24" t="s">
        <v>192</v>
      </c>
      <c r="C4079" s="21">
        <f t="shared" si="67"/>
        <v>-7.89</v>
      </c>
      <c r="AC4079" s="106">
        <v>-7.89</v>
      </c>
    </row>
    <row r="4080" spans="1:224" x14ac:dyDescent="0.25">
      <c r="A4080" s="127">
        <v>45366</v>
      </c>
      <c r="B4080" s="24" t="s">
        <v>75</v>
      </c>
      <c r="C4080" s="21">
        <f t="shared" si="67"/>
        <v>-8.0449999999999999</v>
      </c>
      <c r="Z4080" s="79">
        <v>-8.0449999999999999</v>
      </c>
    </row>
    <row r="4081" spans="1:231" x14ac:dyDescent="0.25">
      <c r="A4081" s="127">
        <v>45366</v>
      </c>
      <c r="B4081" s="24" t="s">
        <v>20</v>
      </c>
      <c r="C4081" s="21">
        <f t="shared" ref="C4081:C4144" si="68">SUM(D4081:JT4081)</f>
        <v>-17.29</v>
      </c>
      <c r="AR4081" s="106">
        <v>-8.7899999999999991</v>
      </c>
      <c r="AU4081" s="42">
        <v>-8.5</v>
      </c>
    </row>
    <row r="4082" spans="1:231" x14ac:dyDescent="0.25">
      <c r="A4082" s="127">
        <v>45366</v>
      </c>
      <c r="B4082" s="24" t="s">
        <v>139</v>
      </c>
      <c r="C4082" s="21">
        <f t="shared" si="68"/>
        <v>-16.585000000000001</v>
      </c>
      <c r="Z4082" s="79">
        <v>-7.9649999999999999</v>
      </c>
      <c r="CM4082" s="106">
        <v>-8.6199999999999992</v>
      </c>
    </row>
    <row r="4083" spans="1:231" x14ac:dyDescent="0.25">
      <c r="A4083" s="127">
        <v>45366</v>
      </c>
      <c r="B4083" s="24" t="s">
        <v>48</v>
      </c>
      <c r="C4083" s="21">
        <f t="shared" si="68"/>
        <v>26.55</v>
      </c>
      <c r="EJ4083" s="42">
        <v>26.55</v>
      </c>
    </row>
    <row r="4084" spans="1:231" x14ac:dyDescent="0.25">
      <c r="A4084" s="127">
        <v>45369</v>
      </c>
      <c r="B4084" s="24" t="s">
        <v>17</v>
      </c>
      <c r="C4084" s="21">
        <f t="shared" si="68"/>
        <v>-16.305</v>
      </c>
      <c r="BI4084" s="106">
        <v>-7.92</v>
      </c>
      <c r="BO4084" s="106">
        <v>-8.3849999999999998</v>
      </c>
    </row>
    <row r="4085" spans="1:231" x14ac:dyDescent="0.25">
      <c r="A4085" s="127">
        <v>45369</v>
      </c>
      <c r="B4085" s="24" t="s">
        <v>138</v>
      </c>
      <c r="C4085" s="21">
        <f t="shared" si="68"/>
        <v>-74.08</v>
      </c>
      <c r="EL4085" s="106">
        <v>-16.484999999999999</v>
      </c>
      <c r="EP4085" s="74">
        <v>-40.314999999999998</v>
      </c>
      <c r="ET4085" s="106">
        <v>-17.28</v>
      </c>
    </row>
    <row r="4086" spans="1:231" x14ac:dyDescent="0.25">
      <c r="A4086" s="127">
        <v>45370</v>
      </c>
      <c r="B4086" s="24" t="s">
        <v>75</v>
      </c>
      <c r="C4086" s="21">
        <f t="shared" si="68"/>
        <v>-17.484999999999999</v>
      </c>
      <c r="AR4086" s="106">
        <v>-8.8699999999999992</v>
      </c>
      <c r="BI4086" s="106">
        <v>-8.6150000000000002</v>
      </c>
    </row>
    <row r="4087" spans="1:231" x14ac:dyDescent="0.25">
      <c r="A4087" s="127">
        <v>45370</v>
      </c>
      <c r="B4087" s="24" t="s">
        <v>20</v>
      </c>
      <c r="C4087" s="21">
        <f t="shared" si="68"/>
        <v>-15.3</v>
      </c>
      <c r="BC4087" s="106">
        <v>-7.3</v>
      </c>
      <c r="BI4087" s="106">
        <v>-8</v>
      </c>
    </row>
    <row r="4088" spans="1:231" x14ac:dyDescent="0.25">
      <c r="A4088" s="127">
        <v>45370</v>
      </c>
      <c r="B4088" s="24" t="s">
        <v>139</v>
      </c>
      <c r="C4088" s="21">
        <f t="shared" si="68"/>
        <v>-15.815</v>
      </c>
      <c r="V4088" s="74">
        <v>-7.85</v>
      </c>
      <c r="Z4088" s="79">
        <v>-7.9649999999999999</v>
      </c>
    </row>
    <row r="4089" spans="1:231" x14ac:dyDescent="0.25">
      <c r="A4089" s="127">
        <v>45370</v>
      </c>
      <c r="B4089" s="24" t="s">
        <v>164</v>
      </c>
      <c r="C4089" s="21">
        <f t="shared" si="68"/>
        <v>-8.14</v>
      </c>
      <c r="DE4089" s="74">
        <v>-8.14</v>
      </c>
    </row>
    <row r="4090" spans="1:231" x14ac:dyDescent="0.25">
      <c r="A4090" s="127">
        <v>45371</v>
      </c>
      <c r="B4090" s="24" t="s">
        <v>167</v>
      </c>
      <c r="C4090" s="21">
        <f t="shared" si="68"/>
        <v>-40.82</v>
      </c>
      <c r="D4090" s="386">
        <v>-8.8000000000000007</v>
      </c>
      <c r="E4090" s="386">
        <v>-32.020000000000003</v>
      </c>
    </row>
    <row r="4091" spans="1:231" x14ac:dyDescent="0.25">
      <c r="A4091" s="127">
        <v>45371</v>
      </c>
      <c r="B4091" s="24" t="s">
        <v>44</v>
      </c>
      <c r="C4091" s="21">
        <f t="shared" si="68"/>
        <v>-32.72</v>
      </c>
      <c r="GW4091" s="92">
        <v>-8.3249999999999993</v>
      </c>
      <c r="HR4091" s="92">
        <v>-16.895</v>
      </c>
      <c r="HW4091" s="42">
        <v>-7.5</v>
      </c>
    </row>
    <row r="4092" spans="1:231" x14ac:dyDescent="0.25">
      <c r="A4092" s="127">
        <v>45371</v>
      </c>
      <c r="B4092" s="24" t="s">
        <v>184</v>
      </c>
      <c r="C4092" s="21">
        <f t="shared" si="68"/>
        <v>-83.05</v>
      </c>
      <c r="V4092" s="74">
        <v>-16.344999999999999</v>
      </c>
      <c r="BI4092" s="106">
        <v>-17.600000000000001</v>
      </c>
      <c r="BO4092" s="106">
        <v>-16.66</v>
      </c>
      <c r="BU4092" s="106">
        <v>-16.645</v>
      </c>
      <c r="CC4092" s="126">
        <v>-7.56</v>
      </c>
      <c r="CG4092" s="106">
        <v>-8.24</v>
      </c>
    </row>
    <row r="4093" spans="1:231" x14ac:dyDescent="0.25">
      <c r="A4093" s="127">
        <v>45372</v>
      </c>
      <c r="B4093" s="24" t="s">
        <v>183</v>
      </c>
      <c r="C4093" s="21">
        <f t="shared" si="68"/>
        <v>-8.4700000000000006</v>
      </c>
      <c r="DU4093" s="106">
        <v>-8.4700000000000006</v>
      </c>
    </row>
    <row r="4094" spans="1:231" x14ac:dyDescent="0.25">
      <c r="A4094" s="127">
        <v>45373</v>
      </c>
      <c r="B4094" s="24" t="s">
        <v>20</v>
      </c>
      <c r="C4094" s="21">
        <f t="shared" si="68"/>
        <v>-8.7799999999999994</v>
      </c>
      <c r="BM4094" s="88">
        <v>-8.7799999999999994</v>
      </c>
    </row>
    <row r="4095" spans="1:231" x14ac:dyDescent="0.25">
      <c r="A4095" s="127">
        <v>45373</v>
      </c>
      <c r="B4095" s="24" t="s">
        <v>152</v>
      </c>
      <c r="C4095" s="21">
        <f t="shared" si="68"/>
        <v>-103.345</v>
      </c>
      <c r="AC4095" s="106">
        <v>-33.104999999999997</v>
      </c>
      <c r="AG4095" s="106">
        <v>-35.380000000000003</v>
      </c>
      <c r="EJ4095" s="42">
        <v>-26.55</v>
      </c>
      <c r="EL4095" s="106">
        <v>-8.31</v>
      </c>
    </row>
    <row r="4096" spans="1:231" x14ac:dyDescent="0.25">
      <c r="A4096" s="127">
        <v>45373</v>
      </c>
      <c r="B4096" s="24" t="s">
        <v>27</v>
      </c>
      <c r="C4096" s="21">
        <f t="shared" si="68"/>
        <v>-25.05</v>
      </c>
      <c r="AN4096" s="106">
        <v>-8.64</v>
      </c>
      <c r="BC4096" s="106">
        <v>-8.2850000000000001</v>
      </c>
      <c r="BU4096" s="106">
        <v>-8.125</v>
      </c>
    </row>
    <row r="4097" spans="1:235" x14ac:dyDescent="0.25">
      <c r="A4097" s="127">
        <v>45373</v>
      </c>
      <c r="B4097" s="24" t="s">
        <v>44</v>
      </c>
      <c r="C4097" s="21">
        <f t="shared" si="68"/>
        <v>-8.4700000000000006</v>
      </c>
      <c r="HR4097" s="92">
        <v>-8.4700000000000006</v>
      </c>
    </row>
    <row r="4098" spans="1:235" x14ac:dyDescent="0.25">
      <c r="A4098" s="127">
        <v>45374</v>
      </c>
      <c r="B4098" s="24" t="s">
        <v>113</v>
      </c>
      <c r="C4098" s="21">
        <f t="shared" si="68"/>
        <v>1097.08</v>
      </c>
      <c r="V4098" s="74">
        <v>108.83</v>
      </c>
      <c r="Z4098" s="79">
        <v>91.715000000000003</v>
      </c>
      <c r="AC4098" s="106">
        <v>99.715000000000003</v>
      </c>
      <c r="AW4098" s="106">
        <v>69.63</v>
      </c>
      <c r="BU4098" s="106">
        <v>132.745</v>
      </c>
      <c r="CY4098" s="106">
        <v>96.82</v>
      </c>
      <c r="DE4098" s="74">
        <v>102.31</v>
      </c>
      <c r="DP4098" s="74">
        <v>114.955</v>
      </c>
      <c r="GO4098" s="110">
        <v>86.834999999999994</v>
      </c>
      <c r="GQ4098" s="92">
        <v>96.66</v>
      </c>
      <c r="GW4098" s="92">
        <v>96.864999999999995</v>
      </c>
    </row>
    <row r="4099" spans="1:235" x14ac:dyDescent="0.25">
      <c r="A4099" s="127">
        <v>45374</v>
      </c>
      <c r="B4099" s="24" t="s">
        <v>113</v>
      </c>
      <c r="C4099" s="21">
        <f t="shared" si="68"/>
        <v>192.27500000000001</v>
      </c>
      <c r="BI4099" s="106">
        <v>64.510000000000005</v>
      </c>
      <c r="BO4099" s="106">
        <v>62.42</v>
      </c>
      <c r="CA4099" s="106">
        <v>65.344999999999999</v>
      </c>
    </row>
    <row r="4100" spans="1:235" x14ac:dyDescent="0.25">
      <c r="A4100" s="127">
        <v>45374</v>
      </c>
      <c r="B4100" s="24" t="s">
        <v>113</v>
      </c>
      <c r="C4100" s="21">
        <f t="shared" si="68"/>
        <v>939.16</v>
      </c>
      <c r="AG4100" s="106">
        <v>106.05</v>
      </c>
      <c r="AW4100" s="106">
        <v>74.605000000000004</v>
      </c>
      <c r="CS4100" s="74">
        <v>101.1</v>
      </c>
      <c r="CY4100" s="106">
        <v>69.415000000000006</v>
      </c>
      <c r="DE4100" s="74">
        <v>114.74</v>
      </c>
      <c r="DK4100" s="106">
        <v>79.41</v>
      </c>
      <c r="DP4100" s="74">
        <v>97.31</v>
      </c>
      <c r="EA4100" s="74">
        <v>97.09</v>
      </c>
      <c r="GO4100" s="110">
        <v>72.454999999999998</v>
      </c>
      <c r="GZ4100" s="106">
        <v>126.985</v>
      </c>
    </row>
    <row r="4101" spans="1:235" x14ac:dyDescent="0.25">
      <c r="A4101" s="127">
        <v>45376</v>
      </c>
      <c r="B4101" s="24" t="s">
        <v>44</v>
      </c>
      <c r="C4101" s="21">
        <f t="shared" si="68"/>
        <v>-96.66</v>
      </c>
      <c r="GQ4101" s="92">
        <v>-96.66</v>
      </c>
    </row>
    <row r="4102" spans="1:235" x14ac:dyDescent="0.25">
      <c r="A4102" s="127">
        <v>45376</v>
      </c>
      <c r="B4102" s="24" t="s">
        <v>180</v>
      </c>
      <c r="C4102" s="21">
        <f t="shared" si="68"/>
        <v>-57.9</v>
      </c>
      <c r="GO4102" s="110">
        <v>-57.9</v>
      </c>
    </row>
    <row r="4103" spans="1:235" x14ac:dyDescent="0.25">
      <c r="A4103" s="127">
        <v>45377</v>
      </c>
      <c r="B4103" s="24" t="s">
        <v>75</v>
      </c>
      <c r="C4103" s="21">
        <f t="shared" si="68"/>
        <v>-50.475000000000001</v>
      </c>
      <c r="AN4103" s="106">
        <v>-8.66</v>
      </c>
      <c r="BC4103" s="106">
        <v>-8.2850000000000001</v>
      </c>
      <c r="BO4103" s="106">
        <v>-16.829999999999998</v>
      </c>
      <c r="CA4103" s="106">
        <v>-8.15</v>
      </c>
      <c r="CM4103" s="106">
        <v>-8.5500000000000007</v>
      </c>
    </row>
    <row r="4104" spans="1:235" x14ac:dyDescent="0.25">
      <c r="A4104" s="127">
        <v>45377</v>
      </c>
      <c r="B4104" s="24" t="s">
        <v>79</v>
      </c>
      <c r="C4104" s="21">
        <f t="shared" si="68"/>
        <v>-8.75</v>
      </c>
      <c r="BI4104" s="106">
        <v>-8.75</v>
      </c>
    </row>
    <row r="4105" spans="1:235" x14ac:dyDescent="0.25">
      <c r="A4105" s="127">
        <v>45377</v>
      </c>
      <c r="B4105" s="24" t="s">
        <v>31</v>
      </c>
      <c r="C4105" s="21">
        <f t="shared" si="68"/>
        <v>-129.155</v>
      </c>
      <c r="GO4105" s="110">
        <v>-28.92</v>
      </c>
      <c r="GW4105" s="92">
        <v>-41.695</v>
      </c>
      <c r="HR4105" s="92">
        <v>-16.940000000000001</v>
      </c>
      <c r="IA4105" s="79">
        <v>-41.6</v>
      </c>
    </row>
    <row r="4106" spans="1:235" x14ac:dyDescent="0.25">
      <c r="A4106" s="127">
        <v>45377</v>
      </c>
      <c r="B4106" s="24" t="s">
        <v>192</v>
      </c>
      <c r="C4106" s="21">
        <f t="shared" si="68"/>
        <v>-7.8550000000000004</v>
      </c>
      <c r="V4106" s="74">
        <v>-7.8550000000000004</v>
      </c>
    </row>
    <row r="4107" spans="1:235" x14ac:dyDescent="0.25">
      <c r="A4107" s="127">
        <v>45377</v>
      </c>
      <c r="B4107" s="24" t="s">
        <v>138</v>
      </c>
      <c r="C4107" s="21">
        <f t="shared" si="68"/>
        <v>-33.155000000000001</v>
      </c>
      <c r="BI4107" s="106">
        <v>-16.5</v>
      </c>
      <c r="BU4107" s="106">
        <v>-16.655000000000001</v>
      </c>
    </row>
    <row r="4108" spans="1:235" x14ac:dyDescent="0.25">
      <c r="A4108" s="127">
        <v>45377</v>
      </c>
      <c r="B4108" s="24" t="s">
        <v>27</v>
      </c>
      <c r="C4108" s="21">
        <f t="shared" si="68"/>
        <v>-7.8</v>
      </c>
      <c r="BI4108" s="106">
        <v>-7.8</v>
      </c>
    </row>
    <row r="4109" spans="1:235" x14ac:dyDescent="0.25">
      <c r="A4109" s="127">
        <v>45377</v>
      </c>
      <c r="B4109" s="24" t="s">
        <v>20</v>
      </c>
      <c r="C4109" s="21">
        <f t="shared" si="68"/>
        <v>-16.245000000000001</v>
      </c>
      <c r="BU4109" s="106">
        <v>-8.0549999999999997</v>
      </c>
      <c r="CA4109" s="106">
        <v>-8.19</v>
      </c>
    </row>
    <row r="4110" spans="1:235" x14ac:dyDescent="0.25">
      <c r="A4110" s="127">
        <v>45377</v>
      </c>
      <c r="B4110" s="24" t="s">
        <v>184</v>
      </c>
      <c r="C4110" s="21">
        <f t="shared" si="68"/>
        <v>-116.61499999999999</v>
      </c>
      <c r="BC4110" s="106">
        <v>-6.69</v>
      </c>
      <c r="BI4110" s="106">
        <v>-26.395</v>
      </c>
      <c r="BU4110" s="106">
        <v>-16.22</v>
      </c>
      <c r="CA4110" s="106">
        <v>-16.34</v>
      </c>
      <c r="CS4110" s="74">
        <v>-25.065000000000001</v>
      </c>
      <c r="CY4110" s="106">
        <v>-25.905000000000001</v>
      </c>
    </row>
    <row r="4111" spans="1:235" x14ac:dyDescent="0.25">
      <c r="A4111" s="127">
        <v>45377</v>
      </c>
      <c r="B4111" s="24" t="s">
        <v>181</v>
      </c>
      <c r="C4111" s="21">
        <f t="shared" si="68"/>
        <v>-23.28</v>
      </c>
      <c r="I4111" s="84">
        <v>-23.28</v>
      </c>
    </row>
    <row r="4112" spans="1:235" x14ac:dyDescent="0.25">
      <c r="A4112" s="127">
        <v>45378</v>
      </c>
      <c r="B4112" s="24" t="s">
        <v>183</v>
      </c>
      <c r="C4112" s="21">
        <f t="shared" si="68"/>
        <v>-8.41</v>
      </c>
      <c r="CS4112" s="74">
        <v>-8.41</v>
      </c>
    </row>
    <row r="4113" spans="1:231" x14ac:dyDescent="0.25">
      <c r="A4113" s="127">
        <v>45378</v>
      </c>
      <c r="B4113" s="24" t="s">
        <v>152</v>
      </c>
      <c r="C4113" s="21">
        <f t="shared" si="68"/>
        <v>-101.11</v>
      </c>
      <c r="CG4113" s="106">
        <v>-33.884999999999998</v>
      </c>
      <c r="CY4113" s="106">
        <v>-67.224999999999994</v>
      </c>
    </row>
    <row r="4114" spans="1:231" x14ac:dyDescent="0.25">
      <c r="A4114" s="127">
        <v>45378</v>
      </c>
      <c r="B4114" s="24" t="s">
        <v>59</v>
      </c>
      <c r="C4114" s="21">
        <f t="shared" si="68"/>
        <v>-10.414999999999999</v>
      </c>
      <c r="V4114" s="74">
        <v>-0.78500000000000003</v>
      </c>
      <c r="BI4114" s="106">
        <v>-1.55</v>
      </c>
      <c r="CM4114" s="106">
        <v>-2.12</v>
      </c>
      <c r="CS4114" s="74">
        <v>-5.96</v>
      </c>
    </row>
    <row r="4115" spans="1:231" x14ac:dyDescent="0.25">
      <c r="A4115" s="127">
        <v>45379</v>
      </c>
      <c r="B4115" s="24" t="s">
        <v>190</v>
      </c>
      <c r="C4115" s="21">
        <f t="shared" si="68"/>
        <v>-96.405000000000001</v>
      </c>
      <c r="BC4115" s="106">
        <v>-8.3149999999999995</v>
      </c>
      <c r="BI4115" s="106">
        <v>-6.5</v>
      </c>
      <c r="CG4115" s="106">
        <v>-7.9749999999999996</v>
      </c>
      <c r="CS4115" s="74">
        <v>-8.3949999999999996</v>
      </c>
      <c r="DE4115" s="74">
        <v>-16.984999999999999</v>
      </c>
      <c r="FS4115" s="106">
        <v>-23.72</v>
      </c>
      <c r="HR4115" s="92">
        <v>-8.4649999999999999</v>
      </c>
      <c r="HV4115" s="92">
        <v>-8.5500000000000007</v>
      </c>
      <c r="HW4115" s="42">
        <v>-7.5</v>
      </c>
    </row>
    <row r="4116" spans="1:231" x14ac:dyDescent="0.25">
      <c r="A4116" s="127">
        <v>45379</v>
      </c>
      <c r="B4116" s="24" t="s">
        <v>183</v>
      </c>
      <c r="C4116" s="21">
        <f t="shared" si="68"/>
        <v>-15.35</v>
      </c>
      <c r="CS4116" s="74">
        <v>-8.4</v>
      </c>
      <c r="DE4116" s="74">
        <v>-6.95</v>
      </c>
    </row>
    <row r="4117" spans="1:231" x14ac:dyDescent="0.25">
      <c r="A4117" s="127">
        <v>45379</v>
      </c>
      <c r="B4117" s="24" t="s">
        <v>184</v>
      </c>
      <c r="C4117" s="21">
        <f t="shared" si="68"/>
        <v>-198.45500000000001</v>
      </c>
      <c r="BI4117" s="106">
        <v>-7.23</v>
      </c>
      <c r="BO4117" s="106">
        <v>-8.2550000000000008</v>
      </c>
      <c r="BU4117" s="106">
        <v>-8.34</v>
      </c>
      <c r="CA4117" s="106">
        <v>-8.15</v>
      </c>
      <c r="CM4117" s="106">
        <v>-33.89</v>
      </c>
      <c r="CS4117" s="74">
        <v>-34.06</v>
      </c>
      <c r="CY4117" s="106">
        <v>-32.11</v>
      </c>
      <c r="DE4117" s="74">
        <v>-34.090000000000003</v>
      </c>
      <c r="DK4117" s="106">
        <v>-32.33</v>
      </c>
    </row>
    <row r="4118" spans="1:231" x14ac:dyDescent="0.25">
      <c r="A4118" s="127">
        <v>45380</v>
      </c>
      <c r="B4118" s="24" t="s">
        <v>184</v>
      </c>
      <c r="C4118" s="21">
        <f t="shared" si="68"/>
        <v>-167.77500000000001</v>
      </c>
      <c r="BO4118" s="106">
        <v>-17.149999999999999</v>
      </c>
      <c r="BU4118" s="106">
        <v>-16.684999999999999</v>
      </c>
      <c r="CA4118" s="106">
        <v>-16.324999999999999</v>
      </c>
      <c r="CG4118" s="106">
        <v>-15.935</v>
      </c>
      <c r="CY4118" s="106">
        <v>-16.864999999999998</v>
      </c>
      <c r="DP4118" s="74">
        <v>-25.4</v>
      </c>
      <c r="DS4118" s="42">
        <v>-27.06</v>
      </c>
      <c r="EA4118" s="74">
        <v>-32.354999999999997</v>
      </c>
    </row>
    <row r="4119" spans="1:231" x14ac:dyDescent="0.25">
      <c r="A4119" s="127">
        <v>45380</v>
      </c>
      <c r="B4119" s="24" t="s">
        <v>138</v>
      </c>
      <c r="C4119" s="21">
        <f t="shared" si="68"/>
        <v>-97.84</v>
      </c>
      <c r="Z4119" s="79">
        <v>-8.0950000000000006</v>
      </c>
      <c r="AG4119" s="106">
        <v>-7.52</v>
      </c>
      <c r="AN4119" s="106">
        <v>-8.66</v>
      </c>
      <c r="AW4119" s="106">
        <v>-17.420000000000002</v>
      </c>
      <c r="BC4119" s="106">
        <v>-8.1449999999999996</v>
      </c>
      <c r="BO4119" s="106">
        <v>-15.115</v>
      </c>
      <c r="BU4119" s="106">
        <v>-16.715</v>
      </c>
      <c r="CA4119" s="106">
        <v>-8.19</v>
      </c>
      <c r="CG4119" s="106">
        <v>-7.98</v>
      </c>
    </row>
    <row r="4120" spans="1:231" x14ac:dyDescent="0.25">
      <c r="A4120" s="127">
        <v>45380</v>
      </c>
      <c r="B4120" s="24" t="s">
        <v>48</v>
      </c>
      <c r="C4120" s="21">
        <f t="shared" si="68"/>
        <v>10.87</v>
      </c>
      <c r="BU4120" s="106">
        <v>-16.7</v>
      </c>
      <c r="DE4120" s="74">
        <v>-8.2799999999999994</v>
      </c>
      <c r="DS4120" s="42">
        <v>35.85</v>
      </c>
    </row>
    <row r="4121" spans="1:231" x14ac:dyDescent="0.25">
      <c r="A4121" s="127">
        <v>45380</v>
      </c>
      <c r="B4121" s="24" t="s">
        <v>44</v>
      </c>
      <c r="C4121" s="21">
        <f t="shared" si="68"/>
        <v>-162.215</v>
      </c>
      <c r="M4121" s="92">
        <v>-36.704999999999998</v>
      </c>
      <c r="BU4121" s="106">
        <v>-24.355</v>
      </c>
      <c r="GQ4121" s="92">
        <v>-101.155</v>
      </c>
    </row>
    <row r="4122" spans="1:231" x14ac:dyDescent="0.25">
      <c r="A4122" s="127">
        <v>45380</v>
      </c>
      <c r="B4122" s="24" t="s">
        <v>151</v>
      </c>
      <c r="C4122" s="21">
        <f t="shared" si="68"/>
        <v>-24.12</v>
      </c>
      <c r="DK4122" s="106">
        <v>-16.125</v>
      </c>
      <c r="DP4122" s="74">
        <v>-7.9950000000000001</v>
      </c>
    </row>
    <row r="4123" spans="1:231" x14ac:dyDescent="0.25">
      <c r="A4123" s="127">
        <v>45380</v>
      </c>
      <c r="B4123" s="24" t="s">
        <v>25</v>
      </c>
      <c r="C4123" s="21">
        <f t="shared" si="68"/>
        <v>-17.59</v>
      </c>
      <c r="CS4123" s="74">
        <v>-8.39</v>
      </c>
      <c r="CT4123" s="121">
        <v>-9.1999999999999993</v>
      </c>
    </row>
    <row r="4124" spans="1:231" x14ac:dyDescent="0.25">
      <c r="A4124" s="127">
        <v>45380</v>
      </c>
      <c r="B4124" s="24" t="s">
        <v>113</v>
      </c>
      <c r="C4124" s="21">
        <f t="shared" si="68"/>
        <v>332.08</v>
      </c>
      <c r="GQ4124" s="92">
        <v>332.08</v>
      </c>
    </row>
    <row r="4125" spans="1:231" x14ac:dyDescent="0.25">
      <c r="A4125" s="127">
        <v>45380</v>
      </c>
      <c r="B4125" s="24" t="s">
        <v>147</v>
      </c>
      <c r="C4125" s="21">
        <f t="shared" si="68"/>
        <v>-24.925000000000001</v>
      </c>
      <c r="BO4125" s="106">
        <v>-8.06</v>
      </c>
      <c r="BU4125" s="106">
        <v>-8.33</v>
      </c>
      <c r="CM4125" s="106">
        <v>-8.5350000000000001</v>
      </c>
    </row>
    <row r="4126" spans="1:231" x14ac:dyDescent="0.25">
      <c r="A4126" s="127">
        <v>45383</v>
      </c>
      <c r="B4126" s="24" t="s">
        <v>183</v>
      </c>
      <c r="C4126" s="21">
        <f t="shared" si="68"/>
        <v>-8.67</v>
      </c>
      <c r="CT4126" s="121">
        <v>-8.67</v>
      </c>
    </row>
    <row r="4127" spans="1:231" x14ac:dyDescent="0.25">
      <c r="A4127" s="127">
        <v>45383</v>
      </c>
      <c r="B4127" s="24" t="s">
        <v>139</v>
      </c>
      <c r="C4127" s="21">
        <f t="shared" si="68"/>
        <v>-16.074999999999999</v>
      </c>
      <c r="CY4127" s="106">
        <f>-8.04-8.035</f>
        <v>-16.074999999999999</v>
      </c>
    </row>
    <row r="4128" spans="1:231" x14ac:dyDescent="0.25">
      <c r="A4128" s="127">
        <v>45383</v>
      </c>
      <c r="B4128" s="24" t="s">
        <v>20</v>
      </c>
      <c r="C4128" s="21">
        <f t="shared" si="68"/>
        <v>-10.675000000000001</v>
      </c>
      <c r="CS4128" s="74">
        <v>-2.62</v>
      </c>
      <c r="CY4128" s="106">
        <v>-8.0549999999999997</v>
      </c>
    </row>
    <row r="4129" spans="1:131" x14ac:dyDescent="0.25">
      <c r="A4129" s="127">
        <v>45383</v>
      </c>
      <c r="B4129" s="24" t="s">
        <v>59</v>
      </c>
      <c r="C4129" s="21">
        <f t="shared" si="68"/>
        <v>-21.475000000000001</v>
      </c>
      <c r="CM4129" s="106">
        <v>-9.9749999999999996</v>
      </c>
      <c r="CS4129" s="74">
        <v>-1.9</v>
      </c>
      <c r="CY4129" s="106">
        <v>-7.28</v>
      </c>
      <c r="DE4129" s="74">
        <v>-2.3199999999999998</v>
      </c>
    </row>
    <row r="4130" spans="1:131" x14ac:dyDescent="0.25">
      <c r="A4130" s="127">
        <v>45383</v>
      </c>
      <c r="B4130" s="24" t="s">
        <v>183</v>
      </c>
      <c r="C4130" s="21">
        <f t="shared" si="68"/>
        <v>-25.125</v>
      </c>
      <c r="DP4130" s="74">
        <v>-7.915</v>
      </c>
      <c r="DS4130" s="42">
        <v>-8.7899999999999991</v>
      </c>
      <c r="DU4130" s="106">
        <v>-8.42</v>
      </c>
    </row>
    <row r="4131" spans="1:131" x14ac:dyDescent="0.25">
      <c r="A4131" s="127">
        <v>45383</v>
      </c>
      <c r="B4131" s="24" t="s">
        <v>83</v>
      </c>
      <c r="C4131" s="21">
        <f t="shared" si="68"/>
        <v>0</v>
      </c>
    </row>
    <row r="4132" spans="1:131" x14ac:dyDescent="0.25">
      <c r="A4132" s="127">
        <v>45385</v>
      </c>
      <c r="B4132" s="24" t="s">
        <v>17</v>
      </c>
      <c r="C4132" s="21">
        <f t="shared" si="68"/>
        <v>-20.53</v>
      </c>
      <c r="BO4132" s="106">
        <v>-5.24</v>
      </c>
      <c r="DK4132" s="106">
        <v>-7.96</v>
      </c>
      <c r="DP4132" s="74">
        <v>-7.33</v>
      </c>
    </row>
    <row r="4133" spans="1:131" x14ac:dyDescent="0.25">
      <c r="A4133" s="127">
        <v>45385</v>
      </c>
      <c r="B4133" s="24" t="s">
        <v>139</v>
      </c>
      <c r="C4133" s="21">
        <f t="shared" si="68"/>
        <v>-8.26</v>
      </c>
      <c r="DE4133" s="74">
        <v>-8.26</v>
      </c>
    </row>
    <row r="4134" spans="1:131" x14ac:dyDescent="0.25">
      <c r="A4134" s="127">
        <v>45385</v>
      </c>
      <c r="B4134" s="24" t="s">
        <v>147</v>
      </c>
      <c r="C4134" s="21">
        <f t="shared" si="68"/>
        <v>-8.33</v>
      </c>
      <c r="BU4134" s="106">
        <v>-8.33</v>
      </c>
    </row>
    <row r="4135" spans="1:131" x14ac:dyDescent="0.25">
      <c r="A4135" s="127">
        <v>45387</v>
      </c>
      <c r="B4135" s="24" t="s">
        <v>113</v>
      </c>
      <c r="C4135" s="21">
        <f t="shared" si="68"/>
        <v>848.77</v>
      </c>
      <c r="BC4135" s="106">
        <v>60.64</v>
      </c>
      <c r="BI4135" s="106">
        <v>91.58</v>
      </c>
      <c r="BO4135" s="106">
        <v>99.72</v>
      </c>
      <c r="CA4135" s="106">
        <v>97.754999999999995</v>
      </c>
      <c r="CG4135" s="106">
        <v>99.43</v>
      </c>
      <c r="CM4135" s="106">
        <v>95.46</v>
      </c>
      <c r="CS4135" s="74">
        <v>101.27</v>
      </c>
      <c r="DU4135" s="106">
        <v>98.864999999999995</v>
      </c>
      <c r="EA4135" s="74">
        <v>104.05</v>
      </c>
    </row>
    <row r="4136" spans="1:131" x14ac:dyDescent="0.25">
      <c r="A4136" s="127">
        <v>45387</v>
      </c>
      <c r="B4136" s="24" t="s">
        <v>184</v>
      </c>
      <c r="C4136" s="21">
        <f t="shared" si="68"/>
        <v>-164.76499999999999</v>
      </c>
      <c r="AW4136" s="106">
        <v>-17.47</v>
      </c>
      <c r="BC4136" s="106">
        <v>-17.34</v>
      </c>
      <c r="BI4136" s="106">
        <v>-15.37</v>
      </c>
      <c r="BO4136" s="106">
        <v>-16.36</v>
      </c>
      <c r="BU4136" s="106">
        <v>-14.12</v>
      </c>
      <c r="CA4136" s="106">
        <v>-16.3</v>
      </c>
      <c r="CG4136" s="106">
        <v>-16.61</v>
      </c>
      <c r="CM4136" s="106">
        <v>-25.655000000000001</v>
      </c>
      <c r="CS4136" s="74">
        <v>-25.54</v>
      </c>
    </row>
    <row r="4137" spans="1:131" x14ac:dyDescent="0.25">
      <c r="A4137" s="127">
        <v>45387</v>
      </c>
      <c r="B4137" s="24" t="s">
        <v>184</v>
      </c>
      <c r="C4137" s="21">
        <f t="shared" si="68"/>
        <v>-133.08000000000001</v>
      </c>
      <c r="AG4137" s="106">
        <v>-8.59</v>
      </c>
      <c r="AN4137" s="106">
        <v>-8.2200000000000006</v>
      </c>
      <c r="AW4137" s="106">
        <v>-18.395</v>
      </c>
      <c r="BC4137" s="106">
        <v>-16.13</v>
      </c>
      <c r="BI4137" s="106">
        <v>-15.21</v>
      </c>
      <c r="BO4137" s="106">
        <v>-16.385000000000002</v>
      </c>
      <c r="CM4137" s="106">
        <v>-16.940000000000001</v>
      </c>
      <c r="CS4137" s="74">
        <v>-33.21</v>
      </c>
    </row>
    <row r="4138" spans="1:131" x14ac:dyDescent="0.25">
      <c r="A4138" s="127">
        <v>45387</v>
      </c>
      <c r="B4138" s="24" t="s">
        <v>17</v>
      </c>
      <c r="C4138" s="21">
        <f t="shared" si="68"/>
        <v>-24.65</v>
      </c>
      <c r="BC4138" s="106">
        <v>-8.0649999999999995</v>
      </c>
      <c r="CA4138" s="106">
        <v>-8.1449999999999996</v>
      </c>
      <c r="CM4138" s="106">
        <v>-8.44</v>
      </c>
    </row>
    <row r="4139" spans="1:131" x14ac:dyDescent="0.25">
      <c r="A4139" s="127">
        <v>45387</v>
      </c>
      <c r="B4139" s="24" t="s">
        <v>133</v>
      </c>
      <c r="C4139" s="21">
        <f t="shared" si="68"/>
        <v>-94.625</v>
      </c>
      <c r="BI4139" s="106">
        <v>-61</v>
      </c>
      <c r="BO4139" s="106">
        <v>-33.625</v>
      </c>
    </row>
    <row r="4140" spans="1:131" x14ac:dyDescent="0.25">
      <c r="A4140" s="127">
        <v>45387</v>
      </c>
      <c r="B4140" s="24" t="s">
        <v>64</v>
      </c>
      <c r="C4140" s="21">
        <f t="shared" si="68"/>
        <v>34.125</v>
      </c>
      <c r="AN4140" s="106">
        <v>34.125</v>
      </c>
    </row>
    <row r="4141" spans="1:131" x14ac:dyDescent="0.25">
      <c r="A4141" s="127">
        <v>45388</v>
      </c>
      <c r="B4141" s="24" t="s">
        <v>188</v>
      </c>
      <c r="C4141" s="21">
        <f t="shared" si="68"/>
        <v>-27.19</v>
      </c>
      <c r="AR4141" s="106">
        <v>-3.92</v>
      </c>
      <c r="BC4141" s="106">
        <v>-6.65</v>
      </c>
      <c r="BO4141" s="106">
        <v>-8.34</v>
      </c>
      <c r="CG4141" s="106">
        <v>-8.2799999999999994</v>
      </c>
    </row>
    <row r="4142" spans="1:131" x14ac:dyDescent="0.25">
      <c r="A4142" s="127">
        <v>45388</v>
      </c>
      <c r="B4142" s="24" t="s">
        <v>139</v>
      </c>
      <c r="C4142" s="21">
        <f t="shared" si="68"/>
        <v>-41.18</v>
      </c>
      <c r="CA4142" s="106">
        <v>-8.1150000000000002</v>
      </c>
      <c r="CG4142" s="106">
        <v>-8.2899999999999991</v>
      </c>
      <c r="CM4142" s="106">
        <v>-8.4749999999999996</v>
      </c>
      <c r="CS4142" s="74">
        <v>-7.76</v>
      </c>
      <c r="DE4142" s="74">
        <v>-8.5399999999999991</v>
      </c>
    </row>
    <row r="4143" spans="1:131" x14ac:dyDescent="0.25">
      <c r="A4143" s="127">
        <v>45388</v>
      </c>
      <c r="B4143" s="24" t="s">
        <v>39</v>
      </c>
      <c r="C4143" s="21">
        <f t="shared" si="68"/>
        <v>-32.204999999999998</v>
      </c>
      <c r="BI4143" s="106">
        <v>-7.34</v>
      </c>
      <c r="BL4143" s="182">
        <v>-8.3699999999999992</v>
      </c>
      <c r="BO4143" s="106">
        <f>-8.235-8.26</f>
        <v>-16.495000000000001</v>
      </c>
    </row>
    <row r="4144" spans="1:131" x14ac:dyDescent="0.25">
      <c r="A4144" s="127">
        <v>45398</v>
      </c>
      <c r="B4144" s="24" t="s">
        <v>79</v>
      </c>
      <c r="C4144" s="21">
        <f t="shared" si="68"/>
        <v>-7.26</v>
      </c>
      <c r="BJ4144" s="121">
        <v>-7.26</v>
      </c>
    </row>
    <row r="4145" spans="1:237" x14ac:dyDescent="0.25">
      <c r="A4145" s="127">
        <v>45398</v>
      </c>
      <c r="B4145" s="24" t="s">
        <v>31</v>
      </c>
      <c r="C4145" s="21">
        <f t="shared" ref="C4145:C4208" si="69">SUM(D4145:JT4145)</f>
        <v>-7.84</v>
      </c>
      <c r="V4145" s="74">
        <v>-7.84</v>
      </c>
    </row>
    <row r="4146" spans="1:237" x14ac:dyDescent="0.25">
      <c r="A4146" s="127">
        <v>45398</v>
      </c>
      <c r="B4146" s="24" t="s">
        <v>152</v>
      </c>
      <c r="C4146" s="21">
        <f t="shared" si="69"/>
        <v>-271.42</v>
      </c>
      <c r="DE4146" s="74">
        <v>-100.08499999999999</v>
      </c>
      <c r="DU4146" s="106">
        <v>-67.284999999999997</v>
      </c>
      <c r="EA4146" s="74">
        <v>-104.05</v>
      </c>
    </row>
    <row r="4147" spans="1:237" x14ac:dyDescent="0.25">
      <c r="A4147" s="127">
        <v>45398</v>
      </c>
      <c r="B4147" s="24" t="s">
        <v>20</v>
      </c>
      <c r="C4147" s="21">
        <f t="shared" si="69"/>
        <v>-65.215000000000003</v>
      </c>
      <c r="AW4147" s="106">
        <v>-9.3849999999999998</v>
      </c>
      <c r="BC4147" s="106">
        <v>-7.98</v>
      </c>
      <c r="BJ4147" s="121">
        <v>-7.39</v>
      </c>
      <c r="BO4147" s="106">
        <v>-8.5150000000000006</v>
      </c>
      <c r="GZ4147" s="106">
        <v>-31.945</v>
      </c>
    </row>
    <row r="4148" spans="1:237" x14ac:dyDescent="0.25">
      <c r="A4148" s="127">
        <v>45398</v>
      </c>
      <c r="B4148" s="24" t="s">
        <v>147</v>
      </c>
      <c r="C4148" s="21">
        <f t="shared" si="69"/>
        <v>-16.27</v>
      </c>
      <c r="AN4148" s="106">
        <v>-8.2200000000000006</v>
      </c>
      <c r="BC4148" s="106">
        <v>-8.0500000000000007</v>
      </c>
    </row>
    <row r="4149" spans="1:237" x14ac:dyDescent="0.25">
      <c r="A4149" s="127">
        <v>45399</v>
      </c>
      <c r="B4149" s="24" t="s">
        <v>44</v>
      </c>
      <c r="C4149" s="21">
        <f t="shared" si="69"/>
        <v>-250.02500000000001</v>
      </c>
      <c r="GQ4149" s="92">
        <v>-144.38499999999999</v>
      </c>
      <c r="GW4149" s="92">
        <v>-47.91</v>
      </c>
      <c r="HW4149" s="42">
        <v>-14.93</v>
      </c>
      <c r="IC4149" s="92">
        <v>-42.8</v>
      </c>
    </row>
    <row r="4150" spans="1:237" x14ac:dyDescent="0.25">
      <c r="A4150" s="127">
        <v>45399</v>
      </c>
      <c r="B4150" s="24" t="s">
        <v>184</v>
      </c>
      <c r="C4150" s="21">
        <f t="shared" si="69"/>
        <v>-66.364999999999995</v>
      </c>
      <c r="AW4150" s="106">
        <v>-17.29</v>
      </c>
      <c r="BC4150" s="106">
        <v>-8.0549999999999997</v>
      </c>
      <c r="CG4150" s="106">
        <v>-16.495000000000001</v>
      </c>
      <c r="CM4150" s="106">
        <v>-8.4949999999999992</v>
      </c>
      <c r="DK4150" s="106">
        <f>-7.98-8.05</f>
        <v>-16.03</v>
      </c>
    </row>
    <row r="4151" spans="1:237" x14ac:dyDescent="0.25">
      <c r="A4151" s="127">
        <v>45399</v>
      </c>
      <c r="B4151" s="24" t="s">
        <v>169</v>
      </c>
      <c r="C4151" s="21">
        <f t="shared" si="69"/>
        <v>-66.47</v>
      </c>
      <c r="E4151" s="386">
        <v>-15.385</v>
      </c>
      <c r="F4151" s="145">
        <v>-51.085000000000001</v>
      </c>
    </row>
    <row r="4152" spans="1:237" x14ac:dyDescent="0.25">
      <c r="A4152" s="127">
        <v>45399</v>
      </c>
      <c r="B4152" s="24" t="s">
        <v>17</v>
      </c>
      <c r="C4152" s="21">
        <f t="shared" si="69"/>
        <v>-67.3</v>
      </c>
      <c r="GH4152" s="106">
        <v>-67.3</v>
      </c>
    </row>
    <row r="4153" spans="1:237" x14ac:dyDescent="0.25">
      <c r="A4153" s="127">
        <v>45400</v>
      </c>
      <c r="B4153" s="24" t="s">
        <v>133</v>
      </c>
      <c r="C4153" s="21">
        <f t="shared" si="69"/>
        <v>-96.314999999999998</v>
      </c>
      <c r="DU4153" s="106">
        <v>-31.58</v>
      </c>
      <c r="EA4153" s="74">
        <v>-64.734999999999999</v>
      </c>
    </row>
    <row r="4154" spans="1:237" x14ac:dyDescent="0.25">
      <c r="A4154" s="127">
        <v>45401</v>
      </c>
      <c r="B4154" s="24" t="s">
        <v>192</v>
      </c>
      <c r="C4154" s="21">
        <f t="shared" si="69"/>
        <v>-34.75</v>
      </c>
      <c r="AW4154" s="106">
        <v>-9.42</v>
      </c>
      <c r="BC4154" s="106">
        <v>-8.0350000000000001</v>
      </c>
      <c r="BQ4154" s="126">
        <v>-9</v>
      </c>
      <c r="CG4154" s="106">
        <v>-8.2949999999999999</v>
      </c>
    </row>
    <row r="4155" spans="1:237" x14ac:dyDescent="0.25">
      <c r="A4155" s="127">
        <v>45401</v>
      </c>
      <c r="B4155" s="24" t="s">
        <v>139</v>
      </c>
      <c r="C4155" s="21">
        <f t="shared" si="69"/>
        <v>-8.1449999999999996</v>
      </c>
      <c r="CA4155" s="106">
        <v>-8.1449999999999996</v>
      </c>
    </row>
    <row r="4156" spans="1:237" x14ac:dyDescent="0.25">
      <c r="A4156" s="127">
        <v>45401</v>
      </c>
      <c r="B4156" s="24" t="s">
        <v>29</v>
      </c>
      <c r="C4156" s="21">
        <f t="shared" si="69"/>
        <v>-8.93</v>
      </c>
      <c r="BA4156" s="42">
        <v>-8.93</v>
      </c>
    </row>
    <row r="4157" spans="1:237" x14ac:dyDescent="0.25">
      <c r="A4157" s="127">
        <v>45401</v>
      </c>
      <c r="B4157" s="24" t="s">
        <v>20</v>
      </c>
      <c r="C4157" s="21">
        <f t="shared" si="69"/>
        <v>-8.16</v>
      </c>
      <c r="CA4157" s="106">
        <v>-8.16</v>
      </c>
    </row>
    <row r="4158" spans="1:237" x14ac:dyDescent="0.25">
      <c r="A4158" s="127">
        <v>45404</v>
      </c>
      <c r="B4158" s="24" t="s">
        <v>37</v>
      </c>
      <c r="C4158" s="21">
        <f t="shared" si="69"/>
        <v>-56.55</v>
      </c>
      <c r="HJ4158" s="79">
        <v>-27.61</v>
      </c>
      <c r="HM4158" s="106">
        <v>-28.94</v>
      </c>
    </row>
    <row r="4159" spans="1:237" x14ac:dyDescent="0.25">
      <c r="A4159" s="127">
        <v>45405</v>
      </c>
      <c r="B4159" s="24" t="s">
        <v>20</v>
      </c>
      <c r="C4159" s="21">
        <f t="shared" si="69"/>
        <v>-33.99</v>
      </c>
      <c r="Z4159" s="79">
        <v>-8.0350000000000001</v>
      </c>
      <c r="BQ4159" s="126">
        <v>-9.07</v>
      </c>
      <c r="CG4159" s="106">
        <v>-8.2949999999999999</v>
      </c>
      <c r="CS4159" s="74">
        <v>-8.59</v>
      </c>
    </row>
    <row r="4160" spans="1:237" x14ac:dyDescent="0.25">
      <c r="A4160" s="127">
        <v>45405</v>
      </c>
      <c r="B4160" s="24" t="s">
        <v>50</v>
      </c>
      <c r="C4160" s="21">
        <f t="shared" si="69"/>
        <v>-94.525000000000006</v>
      </c>
      <c r="GZ4160" s="106">
        <v>-94.525000000000006</v>
      </c>
    </row>
    <row r="4161" spans="1:235" x14ac:dyDescent="0.25">
      <c r="A4161" s="127">
        <v>45405</v>
      </c>
      <c r="B4161" s="24" t="s">
        <v>84</v>
      </c>
      <c r="C4161" s="21">
        <f t="shared" si="69"/>
        <v>-26.535</v>
      </c>
      <c r="AC4161" s="106">
        <v>-8.9550000000000001</v>
      </c>
      <c r="AU4161" s="42">
        <v>-8.43</v>
      </c>
      <c r="DP4161" s="74">
        <v>-9.15</v>
      </c>
    </row>
    <row r="4162" spans="1:235" x14ac:dyDescent="0.25">
      <c r="A4162" s="127">
        <v>45405</v>
      </c>
      <c r="B4162" s="24" t="s">
        <v>75</v>
      </c>
      <c r="C4162" s="21">
        <f t="shared" si="69"/>
        <v>-17.71</v>
      </c>
      <c r="AW4162" s="106">
        <v>-9.23</v>
      </c>
      <c r="CM4162" s="106">
        <v>-8.48</v>
      </c>
    </row>
    <row r="4163" spans="1:235" x14ac:dyDescent="0.25">
      <c r="A4163" s="127">
        <v>45406</v>
      </c>
      <c r="B4163" s="24" t="s">
        <v>37</v>
      </c>
      <c r="C4163" s="21">
        <f t="shared" si="69"/>
        <v>-29.475000000000001</v>
      </c>
      <c r="HM4163" s="106">
        <v>-29.475000000000001</v>
      </c>
    </row>
    <row r="4164" spans="1:235" x14ac:dyDescent="0.25">
      <c r="A4164" s="127">
        <v>45407</v>
      </c>
      <c r="B4164" s="24" t="s">
        <v>184</v>
      </c>
      <c r="C4164" s="21">
        <f t="shared" si="69"/>
        <v>-32.375</v>
      </c>
      <c r="Z4164" s="79">
        <v>-16.035</v>
      </c>
      <c r="CA4164" s="106">
        <v>-16.34</v>
      </c>
    </row>
    <row r="4165" spans="1:235" x14ac:dyDescent="0.25">
      <c r="A4165" s="127">
        <v>45407</v>
      </c>
      <c r="B4165" s="24" t="s">
        <v>190</v>
      </c>
      <c r="C4165" s="21">
        <f t="shared" si="69"/>
        <v>-17.074999999999999</v>
      </c>
      <c r="DE4165" s="74">
        <f>-8.52-8.555</f>
        <v>-17.074999999999999</v>
      </c>
    </row>
    <row r="4166" spans="1:235" x14ac:dyDescent="0.25">
      <c r="A4166" s="127">
        <v>45408</v>
      </c>
      <c r="B4166" s="24" t="s">
        <v>138</v>
      </c>
      <c r="C4166" s="21">
        <f t="shared" si="69"/>
        <v>-30.805</v>
      </c>
      <c r="DE4166" s="74">
        <v>-16.38</v>
      </c>
      <c r="DK4166" s="106">
        <v>-6.6950000000000003</v>
      </c>
      <c r="DM4166" s="46">
        <v>-7.73</v>
      </c>
    </row>
    <row r="4167" spans="1:235" x14ac:dyDescent="0.25">
      <c r="A4167" s="127">
        <v>45408</v>
      </c>
      <c r="B4167" s="24" t="s">
        <v>31</v>
      </c>
      <c r="C4167" s="21">
        <f t="shared" si="69"/>
        <v>-97.875</v>
      </c>
      <c r="GZ4167" s="106">
        <v>-55.875</v>
      </c>
      <c r="IA4167" s="79">
        <v>-42</v>
      </c>
    </row>
    <row r="4168" spans="1:235" x14ac:dyDescent="0.25">
      <c r="A4168" s="127">
        <v>45408</v>
      </c>
      <c r="B4168" s="24" t="s">
        <v>190</v>
      </c>
      <c r="C4168" s="21">
        <f t="shared" si="69"/>
        <v>-17.074999999999999</v>
      </c>
      <c r="DE4168" s="74">
        <v>-17.074999999999999</v>
      </c>
    </row>
    <row r="4169" spans="1:235" x14ac:dyDescent="0.25">
      <c r="A4169" s="127">
        <v>45408</v>
      </c>
      <c r="B4169" s="24" t="s">
        <v>184</v>
      </c>
      <c r="C4169" s="21">
        <f t="shared" si="69"/>
        <v>-32.375</v>
      </c>
      <c r="Z4169" s="79">
        <v>-16.035</v>
      </c>
      <c r="CA4169" s="106">
        <v>-16.34</v>
      </c>
    </row>
    <row r="4170" spans="1:235" x14ac:dyDescent="0.25">
      <c r="A4170" s="127">
        <v>45408</v>
      </c>
      <c r="B4170" s="24" t="s">
        <v>174</v>
      </c>
      <c r="C4170" s="21">
        <f t="shared" si="69"/>
        <v>-16.57</v>
      </c>
      <c r="CG4170" s="106">
        <v>-16.57</v>
      </c>
    </row>
    <row r="4171" spans="1:235" x14ac:dyDescent="0.25">
      <c r="A4171" s="127">
        <v>45408</v>
      </c>
      <c r="B4171" s="24" t="s">
        <v>113</v>
      </c>
      <c r="C4171" s="21">
        <f t="shared" si="69"/>
        <v>842.28</v>
      </c>
      <c r="BC4171" s="106">
        <v>64.064999999999998</v>
      </c>
      <c r="BI4171" s="106">
        <v>88.694999999999993</v>
      </c>
      <c r="BO4171" s="106">
        <v>97.81</v>
      </c>
      <c r="CA4171" s="106">
        <v>98.07</v>
      </c>
      <c r="CG4171" s="106">
        <v>99.26</v>
      </c>
      <c r="CM4171" s="106">
        <v>101.125</v>
      </c>
      <c r="CS4171" s="74">
        <v>94.215000000000003</v>
      </c>
      <c r="DU4171" s="106">
        <v>101.65</v>
      </c>
      <c r="EA4171" s="74">
        <v>97.39</v>
      </c>
    </row>
    <row r="4172" spans="1:235" x14ac:dyDescent="0.25">
      <c r="A4172" s="127">
        <v>45409</v>
      </c>
      <c r="B4172" s="24" t="s">
        <v>184</v>
      </c>
      <c r="C4172" s="21">
        <f t="shared" si="69"/>
        <v>-32.325000000000003</v>
      </c>
      <c r="AG4172" s="106">
        <v>-7.5149999999999997</v>
      </c>
      <c r="BC4172" s="106">
        <v>-16.940000000000001</v>
      </c>
      <c r="BO4172" s="106">
        <v>-7.87</v>
      </c>
    </row>
    <row r="4173" spans="1:235" x14ac:dyDescent="0.25">
      <c r="A4173" s="133">
        <v>45411</v>
      </c>
      <c r="B4173" s="64" t="s">
        <v>193</v>
      </c>
      <c r="C4173" s="21">
        <f t="shared" si="69"/>
        <v>-107.52500000000001</v>
      </c>
      <c r="V4173" s="74">
        <v>-7.12</v>
      </c>
      <c r="AC4173" s="106">
        <v>-7.68</v>
      </c>
      <c r="AN4173" s="106">
        <v>-4.82</v>
      </c>
      <c r="AW4173" s="106">
        <v>-2.2999999999999998</v>
      </c>
      <c r="BO4173" s="106">
        <v>-5.24</v>
      </c>
      <c r="BV4173" s="121">
        <v>-7.59</v>
      </c>
      <c r="CA4173" s="106">
        <f>-8.185-1.34</f>
        <v>-9.5250000000000004</v>
      </c>
      <c r="CG4173" s="106">
        <v>-17.125</v>
      </c>
      <c r="CM4173" s="106">
        <v>-15.09</v>
      </c>
      <c r="CS4173" s="74">
        <v>-17.21</v>
      </c>
      <c r="DE4173" s="74">
        <v>-10.585000000000001</v>
      </c>
      <c r="DK4173" s="106">
        <v>-3.24</v>
      </c>
    </row>
    <row r="4174" spans="1:235" x14ac:dyDescent="0.25">
      <c r="A4174" s="127">
        <v>45411</v>
      </c>
      <c r="B4174" s="24" t="s">
        <v>181</v>
      </c>
      <c r="C4174" s="21">
        <f t="shared" si="69"/>
        <v>-11.7</v>
      </c>
      <c r="I4174" s="84">
        <v>-11.7</v>
      </c>
    </row>
    <row r="4175" spans="1:235" x14ac:dyDescent="0.25">
      <c r="A4175" s="127">
        <v>45411</v>
      </c>
      <c r="B4175" s="24" t="s">
        <v>12</v>
      </c>
      <c r="C4175" s="21">
        <f t="shared" si="69"/>
        <v>-75.95</v>
      </c>
      <c r="V4175" s="74">
        <v>-7.8250000000000002</v>
      </c>
      <c r="Z4175" s="79">
        <v>-14.02</v>
      </c>
      <c r="AA4175" s="42">
        <v>-8.1999999999999993</v>
      </c>
      <c r="AG4175" s="106">
        <v>-45.905000000000001</v>
      </c>
    </row>
    <row r="4176" spans="1:235" x14ac:dyDescent="0.25">
      <c r="A4176" s="127">
        <v>45411</v>
      </c>
      <c r="B4176" s="24" t="s">
        <v>48</v>
      </c>
      <c r="C4176" s="21">
        <f t="shared" si="69"/>
        <v>-45.75</v>
      </c>
      <c r="DP4176" s="74">
        <v>-134.59</v>
      </c>
      <c r="EE4176" s="42">
        <v>88.84</v>
      </c>
    </row>
    <row r="4177" spans="1:218" x14ac:dyDescent="0.25">
      <c r="A4177" s="127">
        <v>45412</v>
      </c>
      <c r="B4177" s="24" t="s">
        <v>133</v>
      </c>
      <c r="C4177" s="21">
        <f t="shared" si="69"/>
        <v>-67.22</v>
      </c>
      <c r="CM4177" s="106">
        <v>-33.9</v>
      </c>
      <c r="CS4177" s="74">
        <v>-33.32</v>
      </c>
    </row>
    <row r="4178" spans="1:218" x14ac:dyDescent="0.25">
      <c r="A4178" s="127">
        <v>45412</v>
      </c>
      <c r="B4178" s="24" t="s">
        <v>29</v>
      </c>
      <c r="C4178" s="21">
        <f t="shared" si="69"/>
        <v>-7.6950000000000003</v>
      </c>
      <c r="BI4178" s="106">
        <v>-7.6950000000000003</v>
      </c>
    </row>
    <row r="4179" spans="1:218" x14ac:dyDescent="0.25">
      <c r="A4179" s="127">
        <v>45412</v>
      </c>
      <c r="B4179" s="24" t="s">
        <v>127</v>
      </c>
      <c r="C4179" s="21">
        <f t="shared" si="69"/>
        <v>-8.0500000000000007</v>
      </c>
      <c r="AC4179" s="106">
        <v>-8.0500000000000007</v>
      </c>
    </row>
    <row r="4180" spans="1:218" x14ac:dyDescent="0.25">
      <c r="A4180" s="127">
        <v>45412</v>
      </c>
      <c r="B4180" s="24" t="s">
        <v>139</v>
      </c>
      <c r="C4180" s="21">
        <f t="shared" si="69"/>
        <v>-39.905000000000001</v>
      </c>
      <c r="BI4180" s="106">
        <v>-6.82</v>
      </c>
      <c r="BO4180" s="106">
        <v>-8.5649999999999995</v>
      </c>
      <c r="CG4180" s="106">
        <v>-8.2949999999999999</v>
      </c>
      <c r="CM4180" s="106">
        <v>-8.4499999999999993</v>
      </c>
      <c r="CS4180" s="74">
        <v>-7.7750000000000004</v>
      </c>
    </row>
    <row r="4181" spans="1:218" x14ac:dyDescent="0.25">
      <c r="A4181" s="127">
        <v>45412</v>
      </c>
      <c r="B4181" s="24" t="s">
        <v>180</v>
      </c>
      <c r="C4181" s="21">
        <f t="shared" si="69"/>
        <v>-14.42</v>
      </c>
      <c r="GO4181" s="110">
        <v>-14.42</v>
      </c>
    </row>
    <row r="4182" spans="1:218" x14ac:dyDescent="0.25">
      <c r="A4182" s="127">
        <v>45412</v>
      </c>
      <c r="B4182" s="24" t="s">
        <v>147</v>
      </c>
      <c r="C4182" s="21">
        <f t="shared" si="69"/>
        <v>-31.954999999999998</v>
      </c>
      <c r="BC4182" s="106">
        <v>-8.0850000000000009</v>
      </c>
      <c r="BI4182" s="106">
        <v>-7.36</v>
      </c>
      <c r="CA4182" s="106">
        <v>-8.2100000000000009</v>
      </c>
      <c r="CG4182" s="106">
        <v>-8.3000000000000007</v>
      </c>
    </row>
    <row r="4183" spans="1:218" x14ac:dyDescent="0.25">
      <c r="A4183" s="127">
        <v>45412</v>
      </c>
      <c r="B4183" s="24" t="s">
        <v>20</v>
      </c>
      <c r="C4183" s="21">
        <f t="shared" si="69"/>
        <v>-49.34</v>
      </c>
      <c r="AG4183" s="106">
        <v>-9.7550000000000008</v>
      </c>
      <c r="BI4183" s="106">
        <v>-7.625</v>
      </c>
      <c r="GZ4183" s="106">
        <v>-31.96</v>
      </c>
    </row>
    <row r="4184" spans="1:218" x14ac:dyDescent="0.25">
      <c r="A4184" s="127">
        <v>45412</v>
      </c>
      <c r="B4184" s="24" t="s">
        <v>33</v>
      </c>
      <c r="C4184" s="21">
        <f t="shared" si="69"/>
        <v>-16.22</v>
      </c>
      <c r="BC4184" s="106">
        <v>-8.0749999999999993</v>
      </c>
      <c r="CA4184" s="106">
        <v>-8.1449999999999996</v>
      </c>
    </row>
    <row r="4185" spans="1:218" x14ac:dyDescent="0.25">
      <c r="A4185" s="127">
        <v>45412</v>
      </c>
      <c r="B4185" s="24" t="s">
        <v>138</v>
      </c>
      <c r="C4185" s="21">
        <f t="shared" si="69"/>
        <v>-14.574999999999999</v>
      </c>
      <c r="BI4185" s="106">
        <v>-14.574999999999999</v>
      </c>
    </row>
    <row r="4186" spans="1:218" x14ac:dyDescent="0.25">
      <c r="A4186" s="127">
        <v>45412</v>
      </c>
      <c r="B4186" s="24" t="s">
        <v>184</v>
      </c>
      <c r="C4186" s="21">
        <f t="shared" si="69"/>
        <v>-97.91</v>
      </c>
      <c r="AW4186" s="106">
        <v>-17.45</v>
      </c>
      <c r="BC4186" s="106">
        <v>-13.78</v>
      </c>
      <c r="BO4186" s="106">
        <v>-16.815000000000001</v>
      </c>
      <c r="CA4186" s="106">
        <v>-16.29</v>
      </c>
      <c r="CG4186" s="106">
        <v>-16.605</v>
      </c>
      <c r="CM4186" s="106">
        <v>-16.97</v>
      </c>
    </row>
    <row r="4187" spans="1:218" x14ac:dyDescent="0.25">
      <c r="A4187" s="127">
        <v>45412</v>
      </c>
      <c r="B4187" s="24" t="s">
        <v>184</v>
      </c>
      <c r="C4187" s="21">
        <f t="shared" si="69"/>
        <v>-114.12</v>
      </c>
      <c r="AN4187" s="106">
        <v>-7.82</v>
      </c>
      <c r="AW4187" s="106">
        <v>-9.3350000000000009</v>
      </c>
      <c r="BC4187" s="106">
        <v>-6.7149999999999999</v>
      </c>
      <c r="BI4187" s="106">
        <v>-7.6</v>
      </c>
      <c r="BO4187" s="106">
        <v>-6.82</v>
      </c>
      <c r="CA4187" s="106">
        <v>-8.0749999999999993</v>
      </c>
      <c r="DU4187" s="106">
        <v>-51.16</v>
      </c>
      <c r="EA4187" s="74">
        <v>-16.594999999999999</v>
      </c>
    </row>
    <row r="4188" spans="1:218" x14ac:dyDescent="0.25">
      <c r="A4188" s="127">
        <v>45415</v>
      </c>
      <c r="B4188" s="24" t="s">
        <v>184</v>
      </c>
      <c r="C4188" s="21">
        <f t="shared" si="69"/>
        <v>-426.14</v>
      </c>
      <c r="BI4188" s="106">
        <v>-29.175000000000001</v>
      </c>
      <c r="CA4188" s="106">
        <v>-65.400000000000006</v>
      </c>
      <c r="CG4188" s="106">
        <v>-66.06</v>
      </c>
      <c r="DU4188" s="106">
        <v>-50.49</v>
      </c>
      <c r="EA4188" s="74">
        <v>-126.175</v>
      </c>
      <c r="EE4188" s="42">
        <v>-88.84</v>
      </c>
    </row>
    <row r="4189" spans="1:218" x14ac:dyDescent="0.25">
      <c r="A4189" s="127">
        <v>45415</v>
      </c>
      <c r="B4189" s="24" t="s">
        <v>184</v>
      </c>
      <c r="C4189" s="21">
        <f t="shared" si="69"/>
        <v>-126.33499999999999</v>
      </c>
      <c r="DP4189" s="74">
        <v>-126.33499999999999</v>
      </c>
    </row>
    <row r="4190" spans="1:218" x14ac:dyDescent="0.25">
      <c r="A4190" s="127">
        <v>45415</v>
      </c>
      <c r="B4190" s="24" t="s">
        <v>37</v>
      </c>
      <c r="C4190" s="21">
        <f t="shared" si="69"/>
        <v>-314.495</v>
      </c>
      <c r="HJ4190" s="79">
        <v>-314.495</v>
      </c>
    </row>
    <row r="4191" spans="1:218" x14ac:dyDescent="0.25">
      <c r="A4191" s="127">
        <v>45415</v>
      </c>
      <c r="B4191" s="24" t="s">
        <v>75</v>
      </c>
      <c r="C4191" s="21">
        <f t="shared" si="69"/>
        <v>-7.8449999999999998</v>
      </c>
      <c r="BI4191" s="106">
        <v>-7.8449999999999998</v>
      </c>
    </row>
    <row r="4192" spans="1:218" x14ac:dyDescent="0.25">
      <c r="A4192" s="127">
        <v>45415</v>
      </c>
      <c r="B4192" s="24" t="s">
        <v>20</v>
      </c>
      <c r="C4192" s="21">
        <f t="shared" si="69"/>
        <v>-16.495000000000001</v>
      </c>
      <c r="CA4192" s="106">
        <v>-8.1750000000000007</v>
      </c>
      <c r="CM4192" s="106">
        <v>-8.32</v>
      </c>
    </row>
    <row r="4193" spans="1:199" x14ac:dyDescent="0.25">
      <c r="A4193" s="127">
        <v>45418</v>
      </c>
      <c r="B4193" s="24" t="s">
        <v>113</v>
      </c>
      <c r="C4193" s="21">
        <f t="shared" si="69"/>
        <v>1121.78</v>
      </c>
      <c r="BC4193" s="106">
        <v>64.400000000000006</v>
      </c>
      <c r="BI4193" s="106">
        <v>174.685</v>
      </c>
      <c r="BO4193" s="106">
        <v>127.495</v>
      </c>
      <c r="BU4193" s="106">
        <v>160.41</v>
      </c>
      <c r="CA4193" s="106">
        <v>131.47</v>
      </c>
      <c r="CG4193" s="106">
        <v>144.435</v>
      </c>
      <c r="CM4193" s="106">
        <v>66.849999999999994</v>
      </c>
      <c r="CS4193" s="74">
        <v>121.425</v>
      </c>
      <c r="DU4193" s="106">
        <v>130.61000000000001</v>
      </c>
    </row>
    <row r="4194" spans="1:199" x14ac:dyDescent="0.25">
      <c r="A4194" s="127">
        <v>45418</v>
      </c>
      <c r="B4194" s="24" t="s">
        <v>113</v>
      </c>
      <c r="C4194" s="21">
        <f t="shared" si="69"/>
        <v>285.14499999999998</v>
      </c>
      <c r="GQ4194" s="92">
        <v>285.14499999999998</v>
      </c>
    </row>
    <row r="4195" spans="1:199" x14ac:dyDescent="0.25">
      <c r="A4195" s="127">
        <v>45418</v>
      </c>
      <c r="B4195" s="24" t="s">
        <v>44</v>
      </c>
      <c r="C4195" s="21">
        <f t="shared" si="69"/>
        <v>-172.11</v>
      </c>
      <c r="GK4195" s="79">
        <v>-28.69</v>
      </c>
      <c r="GQ4195" s="92">
        <v>-143.41999999999999</v>
      </c>
    </row>
    <row r="4196" spans="1:199" x14ac:dyDescent="0.25">
      <c r="A4196" s="127">
        <v>45418</v>
      </c>
      <c r="B4196" s="24" t="s">
        <v>184</v>
      </c>
      <c r="C4196" s="21">
        <f t="shared" si="69"/>
        <v>-73.739999999999995</v>
      </c>
      <c r="BC4196" s="106">
        <v>-8.0649999999999995</v>
      </c>
      <c r="BI4196" s="106">
        <v>-16.68</v>
      </c>
      <c r="BO4196" s="106">
        <v>-8.15</v>
      </c>
      <c r="BU4196" s="106">
        <v>-16.2</v>
      </c>
      <c r="CA4196" s="106">
        <v>-16.350000000000001</v>
      </c>
      <c r="CG4196" s="106">
        <v>-8.2949999999999999</v>
      </c>
    </row>
    <row r="4197" spans="1:199" x14ac:dyDescent="0.25">
      <c r="A4197" s="127">
        <v>45419</v>
      </c>
      <c r="B4197" s="24" t="s">
        <v>75</v>
      </c>
      <c r="C4197" s="21">
        <f t="shared" si="69"/>
        <v>-25.46</v>
      </c>
      <c r="AW4197" s="106">
        <v>-9.2750000000000004</v>
      </c>
      <c r="BC4197" s="106">
        <v>-8.08</v>
      </c>
      <c r="BU4197" s="106">
        <v>-8.1050000000000004</v>
      </c>
    </row>
    <row r="4198" spans="1:199" x14ac:dyDescent="0.25">
      <c r="A4198" s="127">
        <v>45419</v>
      </c>
      <c r="B4198" s="24" t="s">
        <v>29</v>
      </c>
      <c r="C4198" s="21">
        <f t="shared" si="69"/>
        <v>-16.23</v>
      </c>
      <c r="BO4198" s="106">
        <v>-7.96</v>
      </c>
      <c r="CG4198" s="106">
        <v>-8.27</v>
      </c>
    </row>
    <row r="4199" spans="1:199" x14ac:dyDescent="0.25">
      <c r="A4199" s="127">
        <v>45419</v>
      </c>
      <c r="B4199" s="24" t="s">
        <v>162</v>
      </c>
      <c r="C4199" s="21">
        <f t="shared" si="69"/>
        <v>-6.85</v>
      </c>
      <c r="I4199" s="84">
        <v>-6.85</v>
      </c>
    </row>
    <row r="4200" spans="1:199" x14ac:dyDescent="0.25">
      <c r="A4200" s="127">
        <v>45419</v>
      </c>
      <c r="B4200" s="24" t="s">
        <v>134</v>
      </c>
      <c r="C4200" s="21">
        <f t="shared" si="69"/>
        <v>-34.86</v>
      </c>
      <c r="F4200" s="145">
        <v>-34.86</v>
      </c>
    </row>
    <row r="4201" spans="1:199" x14ac:dyDescent="0.25">
      <c r="A4201" s="127">
        <v>45419</v>
      </c>
      <c r="B4201" s="24" t="s">
        <v>84</v>
      </c>
      <c r="C4201" s="21">
        <f t="shared" si="69"/>
        <v>-62.57</v>
      </c>
      <c r="BC4201" s="106">
        <v>-16.04</v>
      </c>
      <c r="BI4201" s="106">
        <v>-15.295</v>
      </c>
      <c r="BO4201" s="106">
        <v>-16.79</v>
      </c>
      <c r="BU4201" s="106">
        <v>-14.445</v>
      </c>
    </row>
    <row r="4202" spans="1:199" x14ac:dyDescent="0.25">
      <c r="A4202" s="127">
        <v>45419</v>
      </c>
      <c r="B4202" s="24" t="s">
        <v>20</v>
      </c>
      <c r="C4202" s="21">
        <f t="shared" si="69"/>
        <v>-16.145</v>
      </c>
      <c r="BU4202" s="106">
        <v>-8.1150000000000002</v>
      </c>
      <c r="CG4202" s="106">
        <v>-8.0299999999999994</v>
      </c>
    </row>
    <row r="4203" spans="1:199" x14ac:dyDescent="0.25">
      <c r="A4203" s="127">
        <v>45419</v>
      </c>
      <c r="B4203" s="24" t="s">
        <v>149</v>
      </c>
      <c r="C4203" s="21">
        <f t="shared" si="69"/>
        <v>-24.524999999999999</v>
      </c>
      <c r="AW4203" s="106">
        <v>-9.2949999999999999</v>
      </c>
      <c r="BC4203" s="106">
        <v>-8.06</v>
      </c>
      <c r="BI4203" s="106">
        <v>-7.17</v>
      </c>
    </row>
    <row r="4204" spans="1:199" x14ac:dyDescent="0.25">
      <c r="A4204" s="127">
        <v>45419</v>
      </c>
      <c r="B4204" s="24" t="s">
        <v>25</v>
      </c>
      <c r="C4204" s="21">
        <f t="shared" si="69"/>
        <v>-49.994999999999997</v>
      </c>
      <c r="Z4204" s="79">
        <v>-9.2799999999999994</v>
      </c>
      <c r="AG4204" s="106">
        <v>-7.49</v>
      </c>
      <c r="AU4204" s="42">
        <v>-8.3699999999999992</v>
      </c>
      <c r="BC4204" s="106">
        <v>-8.0549999999999997</v>
      </c>
      <c r="BO4204" s="106">
        <v>-8.6</v>
      </c>
      <c r="CA4204" s="106">
        <v>-8.1999999999999993</v>
      </c>
    </row>
    <row r="4205" spans="1:199" x14ac:dyDescent="0.25">
      <c r="A4205" s="127">
        <v>45419</v>
      </c>
      <c r="B4205" s="24" t="s">
        <v>137</v>
      </c>
      <c r="C4205" s="21">
        <f t="shared" si="69"/>
        <v>-39.875</v>
      </c>
      <c r="AU4205" s="42">
        <v>-7.87</v>
      </c>
      <c r="BC4205" s="106">
        <v>-8.0050000000000008</v>
      </c>
      <c r="BI4205" s="106">
        <v>-7.68</v>
      </c>
      <c r="BO4205" s="106">
        <v>-8.14</v>
      </c>
      <c r="BU4205" s="106">
        <v>-8.18</v>
      </c>
    </row>
    <row r="4206" spans="1:199" x14ac:dyDescent="0.25">
      <c r="A4206" s="127">
        <v>45419</v>
      </c>
      <c r="B4206" s="24" t="s">
        <v>184</v>
      </c>
      <c r="C4206" s="21">
        <f t="shared" si="69"/>
        <v>-155.04499999999999</v>
      </c>
      <c r="BI4206" s="106">
        <v>-71.375</v>
      </c>
      <c r="DU4206" s="106">
        <v>-83.67</v>
      </c>
    </row>
    <row r="4207" spans="1:199" x14ac:dyDescent="0.25">
      <c r="A4207" s="127">
        <v>45420</v>
      </c>
      <c r="B4207" s="24" t="s">
        <v>115</v>
      </c>
      <c r="C4207" s="21">
        <f t="shared" si="69"/>
        <v>0</v>
      </c>
    </row>
    <row r="4208" spans="1:199" x14ac:dyDescent="0.25">
      <c r="A4208" s="127">
        <v>45420</v>
      </c>
      <c r="B4208" s="24" t="s">
        <v>192</v>
      </c>
      <c r="C4208" s="21">
        <f t="shared" si="69"/>
        <v>-24.545000000000002</v>
      </c>
      <c r="BO4208" s="106">
        <v>-8.4149999999999991</v>
      </c>
      <c r="BU4208" s="106">
        <v>-8.1150000000000002</v>
      </c>
      <c r="CG4208" s="106">
        <v>-8.0150000000000006</v>
      </c>
    </row>
    <row r="4209" spans="1:208" x14ac:dyDescent="0.25">
      <c r="A4209" s="127">
        <v>45420</v>
      </c>
      <c r="B4209" s="24" t="s">
        <v>134</v>
      </c>
      <c r="C4209" s="21">
        <f t="shared" ref="C4209:C4272" si="70">SUM(D4209:JT4209)</f>
        <v>-56.87</v>
      </c>
      <c r="E4209" s="386">
        <v>-56.87</v>
      </c>
    </row>
    <row r="4210" spans="1:208" x14ac:dyDescent="0.25">
      <c r="A4210" s="127">
        <v>45420</v>
      </c>
      <c r="B4210" s="24" t="s">
        <v>31</v>
      </c>
      <c r="C4210" s="21">
        <f t="shared" si="70"/>
        <v>-58.05</v>
      </c>
      <c r="GO4210" s="110">
        <v>-58.05</v>
      </c>
    </row>
    <row r="4211" spans="1:208" x14ac:dyDescent="0.25">
      <c r="A4211" s="127">
        <v>45420</v>
      </c>
      <c r="B4211" s="24" t="s">
        <v>152</v>
      </c>
      <c r="C4211" s="21">
        <f t="shared" si="70"/>
        <v>-565.08500000000004</v>
      </c>
      <c r="H4211" s="84">
        <v>-9.6999999999999993</v>
      </c>
      <c r="V4211" s="74">
        <v>-61.62</v>
      </c>
      <c r="Z4211" s="79">
        <v>-31.82</v>
      </c>
      <c r="AC4211" s="106">
        <v>-32.299999999999997</v>
      </c>
      <c r="AG4211" s="106">
        <v>-30.1</v>
      </c>
      <c r="AN4211" s="106">
        <v>-13.25</v>
      </c>
      <c r="AU4211" s="42">
        <v>-17.38</v>
      </c>
      <c r="BC4211" s="106">
        <v>-16.094999999999999</v>
      </c>
      <c r="BO4211" s="106">
        <v>-61.85</v>
      </c>
      <c r="BU4211" s="106">
        <v>-64.965000000000003</v>
      </c>
      <c r="CA4211" s="106">
        <v>-66.22</v>
      </c>
      <c r="CG4211" s="106">
        <v>-64.510000000000005</v>
      </c>
      <c r="CS4211" s="74">
        <v>-31.844999999999999</v>
      </c>
      <c r="DE4211" s="74">
        <v>-16.489999999999998</v>
      </c>
      <c r="DU4211" s="106">
        <v>-46.94</v>
      </c>
    </row>
    <row r="4212" spans="1:208" x14ac:dyDescent="0.25">
      <c r="A4212" s="127">
        <v>45420</v>
      </c>
      <c r="B4212" s="24" t="s">
        <v>17</v>
      </c>
      <c r="C4212" s="21">
        <f t="shared" si="70"/>
        <v>-31.934999999999999</v>
      </c>
      <c r="AU4212" s="42">
        <v>-8.3699999999999992</v>
      </c>
      <c r="BC4212" s="106">
        <v>-8.125</v>
      </c>
      <c r="BI4212" s="106">
        <v>-7.2949999999999999</v>
      </c>
      <c r="BO4212" s="106">
        <v>-8.1449999999999996</v>
      </c>
    </row>
    <row r="4213" spans="1:208" x14ac:dyDescent="0.25">
      <c r="A4213" s="127">
        <v>45420</v>
      </c>
      <c r="B4213" s="24" t="s">
        <v>167</v>
      </c>
      <c r="C4213" s="21">
        <f t="shared" si="70"/>
        <v>-44.7</v>
      </c>
      <c r="D4213" s="386">
        <v>-16.395</v>
      </c>
      <c r="E4213" s="386">
        <v>-28.305</v>
      </c>
    </row>
    <row r="4214" spans="1:208" x14ac:dyDescent="0.25">
      <c r="A4214" s="127">
        <v>45420</v>
      </c>
      <c r="B4214" s="24" t="s">
        <v>115</v>
      </c>
      <c r="C4214" s="21">
        <f t="shared" si="70"/>
        <v>0</v>
      </c>
    </row>
    <row r="4215" spans="1:208" x14ac:dyDescent="0.25">
      <c r="A4215" s="127">
        <v>45420</v>
      </c>
      <c r="B4215" s="24" t="s">
        <v>115</v>
      </c>
      <c r="C4215" s="21">
        <f t="shared" si="70"/>
        <v>106.905</v>
      </c>
      <c r="E4215" s="386">
        <v>106.905</v>
      </c>
    </row>
    <row r="4216" spans="1:208" x14ac:dyDescent="0.25">
      <c r="A4216" s="127">
        <v>45421</v>
      </c>
      <c r="B4216" s="24" t="s">
        <v>167</v>
      </c>
      <c r="C4216" s="21">
        <f t="shared" si="70"/>
        <v>-8.4149999999999991</v>
      </c>
      <c r="F4216" s="145">
        <v>-8.4149999999999991</v>
      </c>
    </row>
    <row r="4217" spans="1:208" x14ac:dyDescent="0.25">
      <c r="A4217" s="127">
        <v>45421</v>
      </c>
      <c r="B4217" s="24" t="s">
        <v>12</v>
      </c>
      <c r="C4217" s="21">
        <f t="shared" si="70"/>
        <v>0</v>
      </c>
    </row>
    <row r="4218" spans="1:208" x14ac:dyDescent="0.25">
      <c r="A4218" s="127">
        <v>45422</v>
      </c>
      <c r="B4218" s="24" t="s">
        <v>20</v>
      </c>
      <c r="C4218" s="21">
        <f t="shared" si="70"/>
        <v>-22.99</v>
      </c>
      <c r="BI4218" s="106">
        <v>-7.2249999999999996</v>
      </c>
      <c r="CA4218" s="106">
        <v>-8.14</v>
      </c>
      <c r="GZ4218" s="106">
        <v>-7.625</v>
      </c>
    </row>
    <row r="4219" spans="1:208" x14ac:dyDescent="0.25">
      <c r="A4219" s="127">
        <v>45422</v>
      </c>
      <c r="B4219" s="24" t="s">
        <v>174</v>
      </c>
      <c r="C4219" s="21">
        <f t="shared" si="70"/>
        <v>-8.1950000000000003</v>
      </c>
      <c r="BO4219" s="106">
        <v>-8.1950000000000003</v>
      </c>
    </row>
    <row r="4220" spans="1:208" x14ac:dyDescent="0.25">
      <c r="A4220" s="127">
        <v>45422</v>
      </c>
      <c r="B4220" s="24" t="s">
        <v>188</v>
      </c>
      <c r="C4220" s="21">
        <f t="shared" si="70"/>
        <v>-16.425000000000001</v>
      </c>
      <c r="AU4220" s="42">
        <v>-8.67</v>
      </c>
      <c r="BI4220" s="106">
        <v>-7.7549999999999999</v>
      </c>
    </row>
    <row r="4221" spans="1:208" x14ac:dyDescent="0.25">
      <c r="A4221" s="127">
        <v>45425</v>
      </c>
      <c r="B4221" s="24" t="s">
        <v>48</v>
      </c>
      <c r="C4221" s="21">
        <f t="shared" si="70"/>
        <v>-33.08</v>
      </c>
      <c r="DP4221" s="74">
        <v>-33.08</v>
      </c>
    </row>
    <row r="4222" spans="1:208" x14ac:dyDescent="0.25">
      <c r="A4222" s="127">
        <v>45425</v>
      </c>
      <c r="B4222" s="24" t="s">
        <v>194</v>
      </c>
      <c r="C4222" s="21">
        <f t="shared" si="70"/>
        <v>0</v>
      </c>
    </row>
    <row r="4223" spans="1:208" x14ac:dyDescent="0.25">
      <c r="A4223" s="127">
        <v>45425</v>
      </c>
      <c r="B4223" s="24" t="s">
        <v>25</v>
      </c>
      <c r="C4223" s="21">
        <f t="shared" si="70"/>
        <v>-33.549999999999997</v>
      </c>
      <c r="CY4223" s="106">
        <v>-17.364999999999998</v>
      </c>
      <c r="DK4223" s="106">
        <v>-16.184999999999999</v>
      </c>
    </row>
    <row r="4224" spans="1:208" x14ac:dyDescent="0.25">
      <c r="A4224" s="127">
        <v>45425</v>
      </c>
      <c r="B4224" s="24" t="s">
        <v>113</v>
      </c>
      <c r="C4224" s="21">
        <f t="shared" si="70"/>
        <v>1297.79</v>
      </c>
      <c r="AN4224" s="106">
        <v>284.14499999999998</v>
      </c>
      <c r="AR4224" s="106">
        <v>250.23500000000001</v>
      </c>
      <c r="AW4224" s="106">
        <v>139.5</v>
      </c>
      <c r="BU4224" s="106">
        <v>230.7</v>
      </c>
      <c r="CY4224" s="106">
        <v>134.11000000000001</v>
      </c>
      <c r="DK4224" s="106">
        <v>259.10000000000002</v>
      </c>
    </row>
    <row r="4225" spans="1:226" x14ac:dyDescent="0.25">
      <c r="A4225" s="127">
        <v>45425</v>
      </c>
      <c r="B4225" s="24" t="s">
        <v>195</v>
      </c>
      <c r="C4225" s="21">
        <f t="shared" si="70"/>
        <v>-16.524999999999999</v>
      </c>
      <c r="D4225" s="386">
        <v>-16.524999999999999</v>
      </c>
    </row>
    <row r="4226" spans="1:226" x14ac:dyDescent="0.25">
      <c r="A4226" s="127">
        <v>45426</v>
      </c>
      <c r="B4226" s="24" t="s">
        <v>39</v>
      </c>
      <c r="C4226" s="21">
        <f t="shared" si="70"/>
        <v>-33.549999999999997</v>
      </c>
      <c r="AN4226" s="106">
        <v>-8.93</v>
      </c>
      <c r="AR4226" s="106">
        <v>-8.9350000000000005</v>
      </c>
      <c r="AW4226" s="106">
        <f>-7.865-7.82</f>
        <v>-15.685</v>
      </c>
    </row>
    <row r="4227" spans="1:226" x14ac:dyDescent="0.25">
      <c r="A4227" s="127">
        <v>45426</v>
      </c>
      <c r="B4227" s="24" t="s">
        <v>84</v>
      </c>
      <c r="C4227" s="21">
        <f t="shared" si="70"/>
        <v>-16.605</v>
      </c>
      <c r="AR4227" s="106">
        <v>-7.9649999999999999</v>
      </c>
      <c r="EA4227" s="74">
        <v>-8.64</v>
      </c>
    </row>
    <row r="4228" spans="1:226" x14ac:dyDescent="0.25">
      <c r="A4228" s="127">
        <v>45426</v>
      </c>
      <c r="B4228" s="24" t="s">
        <v>75</v>
      </c>
      <c r="C4228" s="21">
        <f t="shared" si="70"/>
        <v>-17.614999999999998</v>
      </c>
      <c r="AR4228" s="106">
        <v>-9.65</v>
      </c>
      <c r="AW4228" s="106">
        <v>-7.9649999999999999</v>
      </c>
    </row>
    <row r="4229" spans="1:226" x14ac:dyDescent="0.25">
      <c r="A4229" s="127">
        <v>45426</v>
      </c>
      <c r="B4229" s="24" t="s">
        <v>188</v>
      </c>
      <c r="C4229" s="21">
        <f t="shared" si="70"/>
        <v>-13.375</v>
      </c>
      <c r="AR4229" s="106">
        <v>-5.7949999999999999</v>
      </c>
      <c r="BI4229" s="106">
        <v>-7.58</v>
      </c>
    </row>
    <row r="4230" spans="1:226" x14ac:dyDescent="0.25">
      <c r="A4230" s="127">
        <v>45426</v>
      </c>
      <c r="B4230" s="24" t="s">
        <v>138</v>
      </c>
      <c r="C4230" s="21">
        <f t="shared" si="70"/>
        <v>-9.23</v>
      </c>
      <c r="AR4230" s="106">
        <v>-9.23</v>
      </c>
    </row>
    <row r="4231" spans="1:226" x14ac:dyDescent="0.25">
      <c r="A4231" s="127">
        <v>45426</v>
      </c>
      <c r="B4231" s="24" t="s">
        <v>20</v>
      </c>
      <c r="C4231" s="21">
        <f t="shared" si="70"/>
        <v>-7.98</v>
      </c>
      <c r="AW4231" s="106">
        <v>-7.98</v>
      </c>
    </row>
    <row r="4232" spans="1:226" x14ac:dyDescent="0.25">
      <c r="A4232" s="127">
        <v>45426</v>
      </c>
      <c r="B4232" s="24" t="s">
        <v>17</v>
      </c>
      <c r="C4232" s="21">
        <f t="shared" si="70"/>
        <v>-32.54</v>
      </c>
      <c r="DK4232" s="106">
        <v>-32.54</v>
      </c>
    </row>
    <row r="4233" spans="1:226" x14ac:dyDescent="0.25">
      <c r="A4233" s="127">
        <v>45426</v>
      </c>
      <c r="B4233" s="24" t="s">
        <v>17</v>
      </c>
      <c r="C4233" s="21">
        <f t="shared" si="70"/>
        <v>-60.8</v>
      </c>
      <c r="BO4233" s="106">
        <v>-24.885000000000002</v>
      </c>
      <c r="BU4233" s="106">
        <v>-35.914999999999999</v>
      </c>
    </row>
    <row r="4234" spans="1:226" x14ac:dyDescent="0.25">
      <c r="A4234" s="127">
        <v>45426</v>
      </c>
      <c r="B4234" s="24" t="s">
        <v>147</v>
      </c>
      <c r="C4234" s="21">
        <f t="shared" si="70"/>
        <v>-24.46</v>
      </c>
      <c r="AN4234" s="106">
        <v>-9.0150000000000006</v>
      </c>
      <c r="BU4234" s="106">
        <v>-7.2949999999999999</v>
      </c>
      <c r="CA4234" s="106">
        <v>-8.15</v>
      </c>
    </row>
    <row r="4235" spans="1:226" x14ac:dyDescent="0.25">
      <c r="A4235" s="127">
        <v>45426</v>
      </c>
      <c r="B4235" s="24" t="s">
        <v>171</v>
      </c>
      <c r="C4235" s="21">
        <f t="shared" si="70"/>
        <v>-8.01</v>
      </c>
      <c r="CG4235" s="106">
        <v>-8.01</v>
      </c>
    </row>
    <row r="4236" spans="1:226" x14ac:dyDescent="0.25">
      <c r="A4236" s="127">
        <v>45427</v>
      </c>
      <c r="B4236" s="24" t="s">
        <v>184</v>
      </c>
      <c r="C4236" s="21">
        <f t="shared" si="70"/>
        <v>-95.034999999999997</v>
      </c>
      <c r="AN4236" s="106">
        <v>-8.98</v>
      </c>
      <c r="AR4236" s="106">
        <v>-9.19</v>
      </c>
      <c r="AW4236" s="106">
        <v>-15.89</v>
      </c>
      <c r="BI4236" s="106">
        <v>-21.684999999999999</v>
      </c>
      <c r="BU4236" s="106">
        <v>-15.17</v>
      </c>
      <c r="CA4236" s="106">
        <v>-16.28</v>
      </c>
      <c r="CS4236" s="74">
        <v>-7.84</v>
      </c>
    </row>
    <row r="4237" spans="1:226" x14ac:dyDescent="0.25">
      <c r="A4237" s="127">
        <v>45427</v>
      </c>
      <c r="B4237" s="24" t="s">
        <v>193</v>
      </c>
      <c r="C4237" s="21">
        <f t="shared" si="70"/>
        <v>-14.845000000000001</v>
      </c>
      <c r="CG4237" s="106">
        <v>-7.24</v>
      </c>
      <c r="CY4237" s="106">
        <v>-7.6050000000000004</v>
      </c>
    </row>
    <row r="4238" spans="1:226" x14ac:dyDescent="0.25">
      <c r="A4238" s="127">
        <v>45427</v>
      </c>
      <c r="B4238" s="24" t="s">
        <v>190</v>
      </c>
      <c r="C4238" s="21">
        <f t="shared" si="70"/>
        <v>-48.954999999999998</v>
      </c>
      <c r="ET4238" s="106">
        <v>-17.28</v>
      </c>
      <c r="FS4238" s="106">
        <v>-23.21</v>
      </c>
      <c r="HR4238" s="92">
        <v>-8.4649999999999999</v>
      </c>
    </row>
    <row r="4239" spans="1:226" x14ac:dyDescent="0.25">
      <c r="A4239" s="127">
        <v>45427</v>
      </c>
      <c r="B4239" s="24" t="s">
        <v>139</v>
      </c>
      <c r="C4239" s="21">
        <f t="shared" si="70"/>
        <v>-56.35</v>
      </c>
      <c r="AG4239" s="106">
        <v>-8.8849999999999998</v>
      </c>
      <c r="AN4239" s="106">
        <v>-8.9450000000000003</v>
      </c>
      <c r="BU4239" s="106">
        <v>-7.1150000000000002</v>
      </c>
      <c r="CG4239" s="106">
        <v>-8.0250000000000004</v>
      </c>
      <c r="CM4239" s="106">
        <v>-8.3450000000000006</v>
      </c>
      <c r="CS4239" s="74">
        <v>-7.24</v>
      </c>
      <c r="CY4239" s="106">
        <v>-7.7949999999999999</v>
      </c>
    </row>
    <row r="4240" spans="1:226" x14ac:dyDescent="0.25">
      <c r="A4240" s="127">
        <v>45427</v>
      </c>
      <c r="B4240" s="24" t="s">
        <v>162</v>
      </c>
      <c r="C4240" s="21">
        <f t="shared" si="70"/>
        <v>-15.824999999999999</v>
      </c>
      <c r="V4240" s="74">
        <v>-7.8550000000000004</v>
      </c>
      <c r="CG4240" s="106">
        <v>-7.97</v>
      </c>
    </row>
    <row r="4241" spans="1:226" x14ac:dyDescent="0.25">
      <c r="A4241" s="127">
        <v>45428</v>
      </c>
      <c r="B4241" s="24" t="s">
        <v>79</v>
      </c>
      <c r="C4241" s="21">
        <f t="shared" si="70"/>
        <v>-3.12</v>
      </c>
      <c r="FG4241" s="74">
        <v>-3.12</v>
      </c>
    </row>
    <row r="4242" spans="1:226" x14ac:dyDescent="0.25">
      <c r="A4242" s="127">
        <v>45428</v>
      </c>
      <c r="B4242" s="24" t="s">
        <v>115</v>
      </c>
      <c r="C4242" s="21">
        <f t="shared" si="70"/>
        <v>319.10000000000002</v>
      </c>
      <c r="D4242" s="386">
        <v>104.19</v>
      </c>
      <c r="E4242" s="386">
        <f>45.035+28.77</f>
        <v>73.805000000000007</v>
      </c>
      <c r="F4242" s="145">
        <f>100.955</f>
        <v>100.955</v>
      </c>
      <c r="GD4242" s="115">
        <v>40.15</v>
      </c>
    </row>
    <row r="4243" spans="1:226" x14ac:dyDescent="0.25">
      <c r="A4243" s="127">
        <v>45428</v>
      </c>
      <c r="B4243" s="24" t="s">
        <v>184</v>
      </c>
      <c r="C4243" s="21">
        <f t="shared" si="70"/>
        <v>-92.4</v>
      </c>
      <c r="CS4243" s="74">
        <v>-57.62</v>
      </c>
      <c r="CY4243" s="106">
        <v>-34.78</v>
      </c>
    </row>
    <row r="4244" spans="1:226" x14ac:dyDescent="0.25">
      <c r="A4244" s="127">
        <v>45429</v>
      </c>
      <c r="B4244" s="24" t="s">
        <v>84</v>
      </c>
      <c r="C4244" s="21">
        <f t="shared" si="70"/>
        <v>-16.989999999999998</v>
      </c>
      <c r="AR4244" s="106">
        <v>-8.91</v>
      </c>
      <c r="BU4244" s="106">
        <v>-8.08</v>
      </c>
    </row>
    <row r="4245" spans="1:226" x14ac:dyDescent="0.25">
      <c r="A4245" s="127">
        <v>45429</v>
      </c>
      <c r="B4245" s="24" t="s">
        <v>75</v>
      </c>
      <c r="C4245" s="21">
        <f t="shared" si="70"/>
        <v>-8.93</v>
      </c>
      <c r="AN4245" s="106">
        <v>-8.93</v>
      </c>
    </row>
    <row r="4246" spans="1:226" x14ac:dyDescent="0.25">
      <c r="A4246" s="127">
        <v>45429</v>
      </c>
      <c r="B4246" s="24" t="s">
        <v>115</v>
      </c>
      <c r="C4246" s="21">
        <f t="shared" si="70"/>
        <v>34.435000000000002</v>
      </c>
      <c r="E4246" s="386">
        <v>34.435000000000002</v>
      </c>
    </row>
    <row r="4247" spans="1:226" x14ac:dyDescent="0.25">
      <c r="A4247" s="127">
        <v>45429</v>
      </c>
      <c r="B4247" s="24" t="s">
        <v>184</v>
      </c>
      <c r="C4247" s="21">
        <f t="shared" si="70"/>
        <v>-32.395000000000003</v>
      </c>
      <c r="V4247" s="74">
        <v>-7.8449999999999998</v>
      </c>
      <c r="Z4247" s="79">
        <v>-6.4950000000000001</v>
      </c>
      <c r="AN4247" s="106">
        <v>-18.055</v>
      </c>
    </row>
    <row r="4248" spans="1:226" x14ac:dyDescent="0.25">
      <c r="A4248" s="127">
        <v>45430</v>
      </c>
      <c r="B4248" s="24" t="s">
        <v>147</v>
      </c>
      <c r="C4248" s="21">
        <f t="shared" si="70"/>
        <v>-15.055</v>
      </c>
      <c r="BI4248" s="106">
        <v>-6.9450000000000003</v>
      </c>
      <c r="BU4248" s="106">
        <v>-8.11</v>
      </c>
    </row>
    <row r="4249" spans="1:226" x14ac:dyDescent="0.25">
      <c r="A4249" s="127">
        <v>45433</v>
      </c>
      <c r="B4249" s="24" t="s">
        <v>113</v>
      </c>
      <c r="C4249" s="21">
        <f t="shared" si="70"/>
        <v>1106.18</v>
      </c>
      <c r="BC4249" s="106">
        <v>158.625</v>
      </c>
      <c r="BI4249" s="106">
        <v>162.96</v>
      </c>
      <c r="BO4249" s="106">
        <v>127.845</v>
      </c>
      <c r="CA4249" s="106">
        <v>106.7</v>
      </c>
      <c r="CG4249" s="106">
        <v>98.29</v>
      </c>
      <c r="DE4249" s="74">
        <v>151.07</v>
      </c>
      <c r="DU4249" s="106">
        <v>65.34</v>
      </c>
      <c r="EG4249" s="74">
        <v>101.9</v>
      </c>
      <c r="HF4249" s="92">
        <v>67.36</v>
      </c>
      <c r="HH4249" s="106">
        <v>66.09</v>
      </c>
    </row>
    <row r="4250" spans="1:226" x14ac:dyDescent="0.25">
      <c r="A4250" s="127">
        <v>45433</v>
      </c>
      <c r="B4250" s="24" t="s">
        <v>184</v>
      </c>
      <c r="C4250" s="21">
        <f t="shared" si="70"/>
        <v>-362.6</v>
      </c>
      <c r="AR4250" s="106">
        <v>-17.79</v>
      </c>
      <c r="BC4250" s="106">
        <v>-48.145000000000003</v>
      </c>
      <c r="BI4250" s="106">
        <v>-49.72</v>
      </c>
      <c r="BO4250" s="106">
        <v>-31.795000000000002</v>
      </c>
      <c r="BU4250" s="106">
        <v>-51.454999999999998</v>
      </c>
      <c r="CA4250" s="106">
        <v>-17.760000000000002</v>
      </c>
      <c r="DK4250" s="106">
        <v>-63.49</v>
      </c>
      <c r="DP4250" s="74">
        <v>-15.824999999999999</v>
      </c>
      <c r="DU4250" s="106">
        <v>-32.43</v>
      </c>
      <c r="EG4250" s="74">
        <v>-34.19</v>
      </c>
    </row>
    <row r="4251" spans="1:226" x14ac:dyDescent="0.25">
      <c r="A4251" s="127">
        <v>45433</v>
      </c>
      <c r="B4251" s="24" t="s">
        <v>31</v>
      </c>
      <c r="C4251" s="21">
        <f t="shared" si="70"/>
        <v>-83.16</v>
      </c>
      <c r="GW4251" s="92">
        <v>-48.954999999999998</v>
      </c>
      <c r="HH4251" s="106">
        <v>-17.234999999999999</v>
      </c>
      <c r="HR4251" s="92">
        <v>-16.97</v>
      </c>
    </row>
    <row r="4252" spans="1:226" x14ac:dyDescent="0.25">
      <c r="A4252" s="127">
        <v>45433</v>
      </c>
      <c r="B4252" s="24" t="s">
        <v>75</v>
      </c>
      <c r="C4252" s="21">
        <f t="shared" si="70"/>
        <v>-15.875</v>
      </c>
      <c r="BO4252" s="106">
        <v>-15.875</v>
      </c>
    </row>
    <row r="4253" spans="1:226" x14ac:dyDescent="0.25">
      <c r="A4253" s="127">
        <v>45433</v>
      </c>
      <c r="B4253" s="24" t="s">
        <v>20</v>
      </c>
      <c r="C4253" s="21">
        <f t="shared" si="70"/>
        <v>-7.9550000000000001</v>
      </c>
      <c r="BC4253" s="106">
        <v>-7.9550000000000001</v>
      </c>
    </row>
    <row r="4254" spans="1:226" x14ac:dyDescent="0.25">
      <c r="A4254" s="127">
        <v>45433</v>
      </c>
      <c r="B4254" s="24" t="s">
        <v>84</v>
      </c>
      <c r="C4254" s="21">
        <f t="shared" si="70"/>
        <v>-33.945</v>
      </c>
      <c r="CA4254" s="106">
        <v>-8.9</v>
      </c>
      <c r="DU4254" s="106">
        <v>-25.045000000000002</v>
      </c>
    </row>
    <row r="4255" spans="1:226" x14ac:dyDescent="0.25">
      <c r="A4255" s="127">
        <v>45433</v>
      </c>
      <c r="B4255" s="24" t="s">
        <v>152</v>
      </c>
      <c r="C4255" s="21">
        <f t="shared" si="70"/>
        <v>-317.19</v>
      </c>
      <c r="DE4255" s="74">
        <v>-89.224999999999994</v>
      </c>
      <c r="DK4255" s="106">
        <v>-65.150000000000006</v>
      </c>
      <c r="DP4255" s="74">
        <v>-95.105000000000004</v>
      </c>
      <c r="EG4255" s="74">
        <v>-67.709999999999994</v>
      </c>
    </row>
    <row r="4256" spans="1:226" x14ac:dyDescent="0.25">
      <c r="A4256" s="127">
        <v>45433</v>
      </c>
      <c r="B4256" s="24" t="s">
        <v>25</v>
      </c>
      <c r="C4256" s="21">
        <f t="shared" si="70"/>
        <v>-32.935000000000002</v>
      </c>
      <c r="AW4256" s="106">
        <v>-7.7949999999999999</v>
      </c>
      <c r="BU4256" s="106">
        <v>-8.7550000000000008</v>
      </c>
      <c r="CG4256" s="106">
        <v>-8.0500000000000007</v>
      </c>
      <c r="CM4256" s="106">
        <v>-8.3350000000000009</v>
      </c>
    </row>
    <row r="4257" spans="1:231" x14ac:dyDescent="0.25">
      <c r="A4257" s="127">
        <v>45433</v>
      </c>
      <c r="B4257" s="24" t="s">
        <v>25</v>
      </c>
      <c r="C4257" s="21">
        <f t="shared" si="70"/>
        <v>-24.664999999999999</v>
      </c>
      <c r="BC4257" s="106">
        <v>-7.83</v>
      </c>
      <c r="BO4257" s="106">
        <v>-7.93</v>
      </c>
      <c r="CA4257" s="106">
        <v>-8.9049999999999994</v>
      </c>
    </row>
    <row r="4258" spans="1:231" x14ac:dyDescent="0.25">
      <c r="A4258" s="127">
        <v>45433</v>
      </c>
      <c r="B4258" s="24" t="s">
        <v>39</v>
      </c>
      <c r="C4258" s="21">
        <f t="shared" si="70"/>
        <v>-50.32</v>
      </c>
      <c r="BC4258" s="106">
        <v>-15.9</v>
      </c>
      <c r="CG4258" s="106">
        <v>-17.510000000000002</v>
      </c>
      <c r="CM4258" s="106">
        <v>-16.91</v>
      </c>
    </row>
    <row r="4259" spans="1:231" x14ac:dyDescent="0.25">
      <c r="A4259" s="127">
        <v>45433</v>
      </c>
      <c r="B4259" s="24" t="s">
        <v>127</v>
      </c>
      <c r="C4259" s="21">
        <f t="shared" si="70"/>
        <v>-9.35</v>
      </c>
      <c r="AR4259" s="106">
        <v>-9.35</v>
      </c>
    </row>
    <row r="4260" spans="1:231" x14ac:dyDescent="0.25">
      <c r="A4260" s="127">
        <v>45433</v>
      </c>
      <c r="B4260" s="24" t="s">
        <v>174</v>
      </c>
      <c r="C4260" s="21">
        <f t="shared" si="70"/>
        <v>-8.6999999999999993</v>
      </c>
      <c r="CY4260" s="106">
        <v>-8.6999999999999993</v>
      </c>
    </row>
    <row r="4261" spans="1:231" x14ac:dyDescent="0.25">
      <c r="A4261" s="127">
        <v>45434</v>
      </c>
      <c r="B4261" s="24" t="s">
        <v>193</v>
      </c>
      <c r="C4261" s="21">
        <f t="shared" si="70"/>
        <v>-13.77</v>
      </c>
      <c r="CG4261" s="106">
        <v>-6.93</v>
      </c>
      <c r="CS4261" s="74">
        <v>-6.84</v>
      </c>
    </row>
    <row r="4262" spans="1:231" x14ac:dyDescent="0.25">
      <c r="A4262" s="127">
        <v>45434</v>
      </c>
      <c r="B4262" s="24" t="s">
        <v>180</v>
      </c>
      <c r="C4262" s="21">
        <f t="shared" si="70"/>
        <v>-112.825</v>
      </c>
      <c r="GQ4262" s="92">
        <v>-112.825</v>
      </c>
    </row>
    <row r="4263" spans="1:231" x14ac:dyDescent="0.25">
      <c r="A4263" s="127">
        <v>45434</v>
      </c>
      <c r="B4263" s="24" t="s">
        <v>183</v>
      </c>
      <c r="C4263" s="21">
        <f t="shared" si="70"/>
        <v>-111.63500000000001</v>
      </c>
      <c r="CY4263" s="106">
        <v>-34.854999999999997</v>
      </c>
      <c r="DK4263" s="106">
        <v>-16.84</v>
      </c>
      <c r="DP4263" s="74">
        <v>-59.94</v>
      </c>
    </row>
    <row r="4264" spans="1:231" x14ac:dyDescent="0.25">
      <c r="A4264" s="127">
        <v>45434</v>
      </c>
      <c r="B4264" s="24" t="s">
        <v>48</v>
      </c>
      <c r="C4264" s="21">
        <f t="shared" si="70"/>
        <v>-35.64</v>
      </c>
      <c r="DP4264" s="74">
        <v>-35.64</v>
      </c>
    </row>
    <row r="4265" spans="1:231" x14ac:dyDescent="0.25">
      <c r="A4265" s="127">
        <v>45434</v>
      </c>
      <c r="B4265" s="24" t="s">
        <v>17</v>
      </c>
      <c r="C4265" s="21">
        <f t="shared" si="70"/>
        <v>-67.185000000000002</v>
      </c>
      <c r="AN4265" s="106">
        <v>-17.86</v>
      </c>
      <c r="AR4265" s="106">
        <v>-8.8249999999999993</v>
      </c>
      <c r="AW4265" s="106">
        <v>-7.9050000000000002</v>
      </c>
      <c r="BC4265" s="106">
        <v>-7.8</v>
      </c>
      <c r="BI4265" s="106">
        <v>-16.11</v>
      </c>
      <c r="BO4265" s="106">
        <v>-8.6850000000000005</v>
      </c>
    </row>
    <row r="4266" spans="1:231" x14ac:dyDescent="0.25">
      <c r="A4266" s="127">
        <v>45434</v>
      </c>
      <c r="B4266" s="24" t="s">
        <v>44</v>
      </c>
      <c r="C4266" s="21">
        <f t="shared" si="70"/>
        <v>-150.13</v>
      </c>
      <c r="GQ4266" s="92">
        <v>-116.44</v>
      </c>
      <c r="HF4266" s="92">
        <v>-33.69</v>
      </c>
    </row>
    <row r="4267" spans="1:231" x14ac:dyDescent="0.25">
      <c r="A4267" s="127">
        <v>45434</v>
      </c>
      <c r="B4267" s="24" t="s">
        <v>190</v>
      </c>
      <c r="C4267" s="21">
        <f t="shared" si="70"/>
        <v>-63.13</v>
      </c>
      <c r="BI4267" s="106">
        <v>-16.22</v>
      </c>
      <c r="BO4267" s="106">
        <v>-15.88</v>
      </c>
      <c r="BU4267" s="106">
        <v>-7.5750000000000002</v>
      </c>
      <c r="DE4267" s="74">
        <v>-15.244999999999999</v>
      </c>
      <c r="HW4267" s="42">
        <v>-8.2100000000000009</v>
      </c>
    </row>
    <row r="4268" spans="1:231" x14ac:dyDescent="0.25">
      <c r="A4268" s="127">
        <v>45434</v>
      </c>
      <c r="B4268" s="24" t="s">
        <v>184</v>
      </c>
      <c r="C4268" s="21">
        <f t="shared" si="70"/>
        <v>-36.4</v>
      </c>
      <c r="AN4268" s="106">
        <v>-8.9600000000000009</v>
      </c>
      <c r="AR4268" s="106">
        <v>-9.0299999999999994</v>
      </c>
      <c r="CG4268" s="106">
        <v>-8.25</v>
      </c>
      <c r="CY4268" s="106">
        <v>-8.16</v>
      </c>
      <c r="GD4268" s="115">
        <v>-2</v>
      </c>
    </row>
    <row r="4269" spans="1:231" x14ac:dyDescent="0.25">
      <c r="A4269" s="127">
        <v>45434</v>
      </c>
      <c r="B4269" s="24" t="s">
        <v>133</v>
      </c>
      <c r="C4269" s="21">
        <f t="shared" si="70"/>
        <v>-160.19999999999999</v>
      </c>
      <c r="AW4269" s="106">
        <v>-31.56</v>
      </c>
      <c r="BC4269" s="106">
        <v>-31.004999999999999</v>
      </c>
      <c r="BI4269" s="106">
        <v>-32.265000000000001</v>
      </c>
      <c r="CM4269" s="106">
        <v>-33.409999999999997</v>
      </c>
      <c r="CS4269" s="74">
        <v>-31.96</v>
      </c>
    </row>
    <row r="4270" spans="1:231" x14ac:dyDescent="0.25">
      <c r="A4270" s="127">
        <v>45434</v>
      </c>
      <c r="B4270" s="24" t="s">
        <v>196</v>
      </c>
      <c r="C4270" s="21">
        <f t="shared" si="70"/>
        <v>-7.2649999999999997</v>
      </c>
      <c r="HM4270" s="106">
        <v>-7.2649999999999997</v>
      </c>
    </row>
    <row r="4271" spans="1:231" x14ac:dyDescent="0.25">
      <c r="A4271" s="127">
        <v>45434</v>
      </c>
      <c r="B4271" s="24" t="s">
        <v>137</v>
      </c>
      <c r="C4271" s="21">
        <f t="shared" si="70"/>
        <v>-24.975000000000001</v>
      </c>
      <c r="AR4271" s="106">
        <v>-8.94</v>
      </c>
      <c r="BI4271" s="106">
        <v>-8.11</v>
      </c>
      <c r="BO4271" s="106">
        <v>-7.9249999999999998</v>
      </c>
    </row>
    <row r="4272" spans="1:231" x14ac:dyDescent="0.25">
      <c r="A4272" s="127">
        <v>45435</v>
      </c>
      <c r="B4272" s="24" t="s">
        <v>79</v>
      </c>
      <c r="C4272" s="21">
        <f t="shared" si="70"/>
        <v>-32.744999999999997</v>
      </c>
      <c r="BI4272" s="106">
        <v>-8.0549999999999997</v>
      </c>
      <c r="BU4272" s="106">
        <v>-8.6549999999999994</v>
      </c>
      <c r="CG4272" s="106">
        <v>-16.035</v>
      </c>
    </row>
    <row r="4273" spans="1:208" x14ac:dyDescent="0.25">
      <c r="A4273" s="127">
        <v>45435</v>
      </c>
      <c r="B4273" s="24" t="s">
        <v>33</v>
      </c>
      <c r="C4273" s="21">
        <f t="shared" ref="C4273:C4336" si="71">SUM(D4273:JT4273)</f>
        <v>-16.010000000000002</v>
      </c>
      <c r="AW4273" s="106">
        <v>-7.9050000000000002</v>
      </c>
      <c r="BI4273" s="106">
        <v>-8.1050000000000004</v>
      </c>
    </row>
    <row r="4274" spans="1:208" x14ac:dyDescent="0.25">
      <c r="A4274" s="127">
        <v>45435</v>
      </c>
      <c r="B4274" s="24" t="s">
        <v>127</v>
      </c>
      <c r="C4274" s="21">
        <f t="shared" si="71"/>
        <v>-14.785</v>
      </c>
      <c r="CG4274" s="106">
        <v>-7.04</v>
      </c>
      <c r="CS4274" s="74">
        <v>-7.7450000000000001</v>
      </c>
    </row>
    <row r="4275" spans="1:208" x14ac:dyDescent="0.25">
      <c r="A4275" s="127">
        <v>45436</v>
      </c>
      <c r="B4275" s="24" t="s">
        <v>20</v>
      </c>
      <c r="C4275" s="21">
        <f t="shared" si="71"/>
        <v>-39.409999999999997</v>
      </c>
      <c r="BI4275" s="106">
        <v>-8.0950000000000006</v>
      </c>
      <c r="BO4275" s="106">
        <v>-7.94</v>
      </c>
      <c r="GZ4275" s="106">
        <v>-23.375</v>
      </c>
    </row>
    <row r="4276" spans="1:208" x14ac:dyDescent="0.25">
      <c r="A4276" s="127">
        <v>45436</v>
      </c>
      <c r="B4276" s="24" t="s">
        <v>139</v>
      </c>
      <c r="C4276" s="21">
        <f t="shared" si="71"/>
        <v>-16.015000000000001</v>
      </c>
      <c r="BO4276" s="106">
        <v>-7.94</v>
      </c>
      <c r="BU4276" s="106">
        <v>-8.0749999999999993</v>
      </c>
    </row>
    <row r="4277" spans="1:208" x14ac:dyDescent="0.25">
      <c r="A4277" s="127">
        <v>45436</v>
      </c>
      <c r="B4277" s="24" t="s">
        <v>17</v>
      </c>
      <c r="C4277" s="21">
        <f t="shared" si="71"/>
        <v>-8.1300000000000008</v>
      </c>
      <c r="AC4277" s="106">
        <v>-8.1300000000000008</v>
      </c>
    </row>
    <row r="4278" spans="1:208" x14ac:dyDescent="0.25">
      <c r="A4278" s="127">
        <v>45437</v>
      </c>
      <c r="B4278" s="24" t="s">
        <v>127</v>
      </c>
      <c r="C4278" s="21">
        <f t="shared" si="71"/>
        <v>-15.795</v>
      </c>
      <c r="AW4278" s="106">
        <v>-7.9349999999999996</v>
      </c>
      <c r="BC4278" s="106">
        <v>-7.86</v>
      </c>
    </row>
    <row r="4279" spans="1:208" x14ac:dyDescent="0.25">
      <c r="A4279" s="127">
        <v>45439</v>
      </c>
      <c r="B4279" s="24" t="s">
        <v>33</v>
      </c>
      <c r="C4279" s="21">
        <f t="shared" si="71"/>
        <v>-16.315000000000001</v>
      </c>
      <c r="BC4279" s="106">
        <v>-7.8650000000000002</v>
      </c>
      <c r="BI4279" s="106">
        <v>-8.4499999999999993</v>
      </c>
    </row>
    <row r="4280" spans="1:208" x14ac:dyDescent="0.25">
      <c r="A4280" s="127">
        <v>45440</v>
      </c>
      <c r="B4280" s="24" t="s">
        <v>29</v>
      </c>
      <c r="C4280" s="21">
        <f t="shared" si="71"/>
        <v>-15.244999999999999</v>
      </c>
      <c r="BO4280" s="106">
        <v>-7.93</v>
      </c>
      <c r="BU4280" s="106">
        <v>-7.3150000000000004</v>
      </c>
    </row>
    <row r="4281" spans="1:208" x14ac:dyDescent="0.25">
      <c r="A4281" s="127">
        <v>45440</v>
      </c>
      <c r="B4281" s="24" t="s">
        <v>127</v>
      </c>
      <c r="C4281" s="21">
        <f t="shared" si="71"/>
        <v>-16.399999999999999</v>
      </c>
      <c r="CG4281" s="106">
        <v>-16.399999999999999</v>
      </c>
    </row>
    <row r="4282" spans="1:208" x14ac:dyDescent="0.25">
      <c r="A4282" s="127">
        <v>45440</v>
      </c>
      <c r="B4282" s="24" t="s">
        <v>188</v>
      </c>
      <c r="C4282" s="21">
        <f t="shared" si="71"/>
        <v>-7.8250000000000002</v>
      </c>
      <c r="Z4282" s="79">
        <v>-7.8250000000000002</v>
      </c>
    </row>
    <row r="4283" spans="1:208" x14ac:dyDescent="0.25">
      <c r="A4283" s="127">
        <v>45440</v>
      </c>
      <c r="B4283" s="24" t="s">
        <v>20</v>
      </c>
      <c r="C4283" s="21">
        <f t="shared" si="71"/>
        <v>-9.2200000000000006</v>
      </c>
      <c r="AR4283" s="106">
        <v>-9.2200000000000006</v>
      </c>
    </row>
    <row r="4284" spans="1:208" x14ac:dyDescent="0.25">
      <c r="A4284" s="127">
        <v>45440</v>
      </c>
      <c r="B4284" s="24" t="s">
        <v>184</v>
      </c>
      <c r="C4284" s="21">
        <f t="shared" si="71"/>
        <v>-98.114999999999995</v>
      </c>
      <c r="M4284" s="92">
        <v>-6.24</v>
      </c>
      <c r="AW4284" s="106">
        <v>-7.8949999999999996</v>
      </c>
      <c r="BC4284" s="106">
        <v>-7.84</v>
      </c>
      <c r="BI4284" s="106">
        <v>-8.1349999999999998</v>
      </c>
      <c r="BO4284" s="106">
        <v>-7.9649999999999999</v>
      </c>
      <c r="BU4284" s="106">
        <f>-7.03-17.46</f>
        <v>-24.49</v>
      </c>
      <c r="CA4284" s="106">
        <v>-35.549999999999997</v>
      </c>
    </row>
    <row r="4285" spans="1:208" x14ac:dyDescent="0.25">
      <c r="A4285" s="127">
        <v>45440</v>
      </c>
      <c r="B4285" s="24" t="s">
        <v>17</v>
      </c>
      <c r="C4285" s="21">
        <f t="shared" si="71"/>
        <v>-8.74</v>
      </c>
      <c r="AC4285" s="106">
        <v>-8.74</v>
      </c>
    </row>
    <row r="4286" spans="1:208" x14ac:dyDescent="0.25">
      <c r="A4286" s="127">
        <v>45440</v>
      </c>
      <c r="B4286" s="24" t="s">
        <v>139</v>
      </c>
      <c r="C4286" s="21">
        <f t="shared" si="71"/>
        <v>-41.52</v>
      </c>
      <c r="AC4286" s="106">
        <v>-8.73</v>
      </c>
      <c r="CA4286" s="106">
        <v>-8.8800000000000008</v>
      </c>
      <c r="CG4286" s="106">
        <v>-8.0399999999999991</v>
      </c>
      <c r="CM4286" s="106">
        <v>-8.35</v>
      </c>
      <c r="CS4286" s="74">
        <v>-7.52</v>
      </c>
    </row>
    <row r="4287" spans="1:208" x14ac:dyDescent="0.25">
      <c r="A4287" s="127">
        <v>45440</v>
      </c>
      <c r="B4287" s="24" t="s">
        <v>20</v>
      </c>
      <c r="C4287" s="21">
        <f t="shared" si="71"/>
        <v>-20.22</v>
      </c>
      <c r="GD4287" s="115">
        <v>-20.22</v>
      </c>
    </row>
    <row r="4288" spans="1:208" x14ac:dyDescent="0.25">
      <c r="A4288" s="127">
        <v>45441</v>
      </c>
      <c r="B4288" s="24" t="s">
        <v>193</v>
      </c>
      <c r="C4288" s="21">
        <f t="shared" si="71"/>
        <v>-8.8800000000000008</v>
      </c>
      <c r="CA4288" s="106">
        <v>-8.8800000000000008</v>
      </c>
    </row>
    <row r="4289" spans="1:208" x14ac:dyDescent="0.25">
      <c r="A4289" s="127">
        <v>45441</v>
      </c>
      <c r="B4289" s="24" t="s">
        <v>192</v>
      </c>
      <c r="C4289" s="21">
        <f t="shared" si="71"/>
        <v>-66.144999999999996</v>
      </c>
      <c r="DE4289" s="74">
        <v>-7.82</v>
      </c>
      <c r="DK4289" s="106">
        <v>-50.045000000000002</v>
      </c>
      <c r="DP4289" s="74">
        <v>-8.2799999999999994</v>
      </c>
    </row>
    <row r="4290" spans="1:208" x14ac:dyDescent="0.25">
      <c r="A4290" s="127">
        <v>45441</v>
      </c>
      <c r="B4290" s="24" t="s">
        <v>183</v>
      </c>
      <c r="C4290" s="21">
        <f t="shared" si="71"/>
        <v>-30.69</v>
      </c>
      <c r="CY4290" s="106">
        <v>-6.1349999999999998</v>
      </c>
      <c r="DE4290" s="74">
        <v>-16.059999999999999</v>
      </c>
      <c r="DK4290" s="106">
        <v>-8.4949999999999992</v>
      </c>
    </row>
    <row r="4291" spans="1:208" x14ac:dyDescent="0.25">
      <c r="A4291" s="127">
        <v>45441</v>
      </c>
      <c r="B4291" s="24" t="s">
        <v>133</v>
      </c>
      <c r="C4291" s="21">
        <f t="shared" si="71"/>
        <v>-70.28</v>
      </c>
      <c r="BU4291" s="106">
        <v>-35.134999999999998</v>
      </c>
      <c r="CA4291" s="106">
        <v>-17.824999999999999</v>
      </c>
      <c r="CG4291" s="106">
        <v>-17.32</v>
      </c>
    </row>
    <row r="4292" spans="1:208" x14ac:dyDescent="0.25">
      <c r="A4292" s="127">
        <v>45441</v>
      </c>
      <c r="B4292" s="24" t="s">
        <v>184</v>
      </c>
      <c r="C4292" s="21">
        <f t="shared" si="71"/>
        <v>-80.284999999999997</v>
      </c>
      <c r="AN4292" s="106">
        <v>-18.004999999999999</v>
      </c>
      <c r="AR4292" s="106">
        <v>-9.24</v>
      </c>
      <c r="AW4292" s="106">
        <v>-15.74</v>
      </c>
      <c r="BC4292" s="106">
        <v>-15.824999999999999</v>
      </c>
      <c r="BU4292" s="106">
        <v>-12.96</v>
      </c>
      <c r="CG4292" s="106">
        <v>-8.5150000000000006</v>
      </c>
    </row>
    <row r="4293" spans="1:208" x14ac:dyDescent="0.25">
      <c r="A4293" s="127">
        <v>45441</v>
      </c>
      <c r="B4293" s="24" t="s">
        <v>64</v>
      </c>
      <c r="C4293" s="21">
        <f t="shared" si="71"/>
        <v>85.974999999999994</v>
      </c>
      <c r="L4293" s="69">
        <v>-34.44</v>
      </c>
      <c r="M4293" s="92">
        <v>34.44</v>
      </c>
      <c r="AW4293" s="106">
        <v>68.265000000000001</v>
      </c>
      <c r="CM4293" s="106">
        <v>17.71</v>
      </c>
    </row>
    <row r="4294" spans="1:208" x14ac:dyDescent="0.25">
      <c r="A4294" s="127">
        <v>45442</v>
      </c>
      <c r="B4294" s="24" t="s">
        <v>53</v>
      </c>
      <c r="C4294" s="21">
        <f t="shared" si="71"/>
        <v>-369.79500000000002</v>
      </c>
      <c r="M4294" s="92">
        <v>-34.44</v>
      </c>
      <c r="V4294" s="74">
        <v>-33.075000000000003</v>
      </c>
      <c r="Z4294" s="79">
        <v>-31.87</v>
      </c>
      <c r="AG4294" s="106">
        <v>-30.605</v>
      </c>
      <c r="AN4294" s="106">
        <v>-33.034999999999997</v>
      </c>
      <c r="AR4294" s="106">
        <v>-72.52</v>
      </c>
      <c r="AW4294" s="106">
        <v>-68.265000000000001</v>
      </c>
      <c r="DP4294" s="74">
        <v>-34.435000000000002</v>
      </c>
      <c r="EP4294" s="74">
        <v>-31.55</v>
      </c>
    </row>
    <row r="4295" spans="1:208" x14ac:dyDescent="0.25">
      <c r="A4295" s="127">
        <v>45443</v>
      </c>
      <c r="B4295" s="24" t="s">
        <v>20</v>
      </c>
      <c r="C4295" s="21">
        <f t="shared" si="71"/>
        <v>-9.0299999999999994</v>
      </c>
      <c r="AN4295" s="106">
        <v>-9.0299999999999994</v>
      </c>
    </row>
    <row r="4296" spans="1:208" x14ac:dyDescent="0.25">
      <c r="A4296" s="127">
        <v>45443</v>
      </c>
      <c r="B4296" s="24" t="s">
        <v>25</v>
      </c>
      <c r="C4296" s="21">
        <f t="shared" si="71"/>
        <v>-10.925000000000001</v>
      </c>
      <c r="CM4296" s="106">
        <v>-8.4749999999999996</v>
      </c>
      <c r="FS4296" s="106">
        <v>-0.48</v>
      </c>
      <c r="GD4296" s="115">
        <v>-1.97</v>
      </c>
    </row>
    <row r="4297" spans="1:208" x14ac:dyDescent="0.25">
      <c r="A4297" s="127">
        <v>45446</v>
      </c>
      <c r="B4297" s="24" t="s">
        <v>167</v>
      </c>
      <c r="C4297" s="21">
        <f t="shared" si="71"/>
        <v>-23.85</v>
      </c>
      <c r="D4297" s="386">
        <v>-7.63</v>
      </c>
      <c r="E4297" s="386">
        <v>-16.22</v>
      </c>
    </row>
    <row r="4298" spans="1:208" x14ac:dyDescent="0.25">
      <c r="A4298" s="127">
        <v>45447</v>
      </c>
      <c r="B4298" s="24" t="s">
        <v>75</v>
      </c>
      <c r="C4298" s="21">
        <f t="shared" si="71"/>
        <v>-16.63</v>
      </c>
      <c r="AR4298" s="106">
        <v>-8.9749999999999996</v>
      </c>
      <c r="CS4298" s="74">
        <v>-7.6550000000000002</v>
      </c>
    </row>
    <row r="4299" spans="1:208" x14ac:dyDescent="0.25">
      <c r="A4299" s="127">
        <v>45447</v>
      </c>
      <c r="B4299" s="24" t="s">
        <v>113</v>
      </c>
      <c r="C4299" s="21">
        <f t="shared" si="71"/>
        <v>1097.54</v>
      </c>
      <c r="BI4299" s="106">
        <v>64.37</v>
      </c>
      <c r="BO4299" s="106">
        <v>98.76</v>
      </c>
      <c r="BU4299" s="106">
        <v>102.02500000000001</v>
      </c>
      <c r="CA4299" s="106">
        <v>31.37</v>
      </c>
      <c r="CM4299" s="106">
        <v>103.01</v>
      </c>
      <c r="CS4299" s="74">
        <v>98.555000000000007</v>
      </c>
      <c r="CY4299" s="106">
        <v>67.575000000000003</v>
      </c>
      <c r="DK4299" s="106">
        <v>65.105000000000004</v>
      </c>
      <c r="DU4299" s="106">
        <v>64.564999999999998</v>
      </c>
      <c r="EA4299" s="74">
        <v>103.535</v>
      </c>
      <c r="GO4299" s="110">
        <v>104.075</v>
      </c>
      <c r="GQ4299" s="92">
        <v>114.715</v>
      </c>
      <c r="GZ4299" s="106">
        <v>79.88</v>
      </c>
    </row>
    <row r="4300" spans="1:208" x14ac:dyDescent="0.25">
      <c r="A4300" s="127">
        <v>45447</v>
      </c>
      <c r="B4300" s="24" t="s">
        <v>192</v>
      </c>
      <c r="C4300" s="21">
        <f t="shared" si="71"/>
        <v>-8.06</v>
      </c>
      <c r="BI4300" s="106">
        <v>-8.06</v>
      </c>
    </row>
    <row r="4301" spans="1:208" x14ac:dyDescent="0.25">
      <c r="A4301" s="127">
        <v>45448</v>
      </c>
      <c r="B4301" s="24" t="s">
        <v>193</v>
      </c>
      <c r="C4301" s="21">
        <f t="shared" si="71"/>
        <v>-22.844999999999999</v>
      </c>
      <c r="BU4301" s="106">
        <v>-8.43</v>
      </c>
      <c r="CY4301" s="106">
        <v>-8.4149999999999991</v>
      </c>
      <c r="DE4301" s="74">
        <v>-6</v>
      </c>
    </row>
    <row r="4302" spans="1:208" x14ac:dyDescent="0.25">
      <c r="A4302" s="127">
        <v>45448</v>
      </c>
      <c r="B4302" s="24" t="s">
        <v>44</v>
      </c>
      <c r="C4302" s="21">
        <f t="shared" si="71"/>
        <v>-143.16499999999999</v>
      </c>
      <c r="GK4302" s="79">
        <v>-29.45</v>
      </c>
      <c r="GQ4302" s="92">
        <v>-113.715</v>
      </c>
    </row>
    <row r="4303" spans="1:208" x14ac:dyDescent="0.25">
      <c r="A4303" s="127">
        <v>45448</v>
      </c>
      <c r="B4303" s="24" t="s">
        <v>139</v>
      </c>
      <c r="C4303" s="21">
        <f t="shared" si="71"/>
        <v>-43.354999999999997</v>
      </c>
      <c r="BU4303" s="106">
        <v>-8.8149999999999995</v>
      </c>
      <c r="CA4303" s="106">
        <v>-9.0050000000000008</v>
      </c>
      <c r="CH4303" s="121">
        <v>-8.33</v>
      </c>
      <c r="CM4303" s="106">
        <v>-8.49</v>
      </c>
      <c r="CY4303" s="106">
        <v>-8.7149999999999999</v>
      </c>
    </row>
    <row r="4304" spans="1:208" x14ac:dyDescent="0.25">
      <c r="A4304" s="127">
        <v>45448</v>
      </c>
      <c r="B4304" s="24" t="s">
        <v>20</v>
      </c>
      <c r="C4304" s="21">
        <f t="shared" si="71"/>
        <v>-32.33</v>
      </c>
      <c r="CH4304" s="121">
        <v>-8.1</v>
      </c>
      <c r="CM4304" s="106">
        <v>-8.3249999999999993</v>
      </c>
      <c r="CS4304" s="74">
        <v>-7.5049999999999999</v>
      </c>
      <c r="GZ4304" s="106">
        <v>-8.4</v>
      </c>
    </row>
    <row r="4305" spans="1:230" x14ac:dyDescent="0.25">
      <c r="A4305" s="127">
        <v>45448</v>
      </c>
      <c r="B4305" s="24" t="s">
        <v>180</v>
      </c>
      <c r="C4305" s="21">
        <f t="shared" si="71"/>
        <v>-45.494999999999997</v>
      </c>
      <c r="GO4305" s="110">
        <v>-45.494999999999997</v>
      </c>
    </row>
    <row r="4306" spans="1:230" x14ac:dyDescent="0.25">
      <c r="A4306" s="127">
        <v>45448</v>
      </c>
      <c r="B4306" s="24" t="s">
        <v>17</v>
      </c>
      <c r="C4306" s="21">
        <f t="shared" si="71"/>
        <v>-8.0250000000000004</v>
      </c>
      <c r="BI4306" s="106">
        <v>-8.0250000000000004</v>
      </c>
    </row>
    <row r="4307" spans="1:230" x14ac:dyDescent="0.25">
      <c r="A4307" s="127">
        <v>45448</v>
      </c>
      <c r="B4307" s="24" t="s">
        <v>184</v>
      </c>
      <c r="C4307" s="21">
        <f t="shared" si="71"/>
        <v>-62.325000000000003</v>
      </c>
      <c r="AN4307" s="106">
        <v>-9.0050000000000008</v>
      </c>
      <c r="AR4307" s="106">
        <v>-9</v>
      </c>
      <c r="BI4307" s="106">
        <v>-8.0950000000000006</v>
      </c>
      <c r="BO4307" s="106">
        <v>-9.3949999999999996</v>
      </c>
      <c r="BU4307" s="106">
        <v>-8.5</v>
      </c>
      <c r="CA4307" s="106">
        <v>-9.32</v>
      </c>
      <c r="CY4307" s="106">
        <v>-9.01</v>
      </c>
    </row>
    <row r="4308" spans="1:230" x14ac:dyDescent="0.25">
      <c r="A4308" s="127">
        <v>45448</v>
      </c>
      <c r="B4308" s="24" t="s">
        <v>19</v>
      </c>
      <c r="C4308" s="21">
        <f t="shared" si="71"/>
        <v>-368.52</v>
      </c>
      <c r="HM4308" s="106">
        <v>-203.17</v>
      </c>
      <c r="HV4308" s="92">
        <v>-165.35</v>
      </c>
    </row>
    <row r="4309" spans="1:230" x14ac:dyDescent="0.25">
      <c r="A4309" s="127">
        <v>45448</v>
      </c>
      <c r="B4309" s="24" t="s">
        <v>197</v>
      </c>
      <c r="C4309" s="21">
        <f t="shared" si="71"/>
        <v>-99.02</v>
      </c>
      <c r="DP4309" s="74">
        <v>-32.905000000000001</v>
      </c>
      <c r="DU4309" s="106">
        <v>-32.340000000000003</v>
      </c>
      <c r="EA4309" s="74">
        <v>-33.774999999999999</v>
      </c>
    </row>
    <row r="4310" spans="1:230" x14ac:dyDescent="0.25">
      <c r="A4310" s="127">
        <v>45417</v>
      </c>
      <c r="B4310" s="24" t="s">
        <v>19</v>
      </c>
      <c r="C4310" s="21">
        <f t="shared" si="71"/>
        <v>69.3</v>
      </c>
      <c r="BA4310" s="42">
        <v>35.409999999999997</v>
      </c>
      <c r="CF4310" s="69">
        <v>33.89</v>
      </c>
    </row>
    <row r="4311" spans="1:230" x14ac:dyDescent="0.25">
      <c r="A4311" s="127">
        <v>45417</v>
      </c>
      <c r="B4311" s="24" t="s">
        <v>19</v>
      </c>
      <c r="C4311" s="21">
        <f t="shared" si="71"/>
        <v>94.974999999999994</v>
      </c>
      <c r="BE4311" s="126">
        <v>26.2</v>
      </c>
      <c r="BY4311" s="42">
        <v>35.76</v>
      </c>
      <c r="CF4311" s="69">
        <v>33.015000000000001</v>
      </c>
    </row>
    <row r="4312" spans="1:230" x14ac:dyDescent="0.25">
      <c r="A4312" s="127">
        <v>45448</v>
      </c>
      <c r="B4312" s="24" t="s">
        <v>29</v>
      </c>
      <c r="C4312" s="21">
        <f t="shared" si="71"/>
        <v>-8.0250000000000004</v>
      </c>
      <c r="BI4312" s="106">
        <v>-8.0250000000000004</v>
      </c>
    </row>
    <row r="4313" spans="1:230" x14ac:dyDescent="0.25">
      <c r="A4313" s="127">
        <v>45448</v>
      </c>
      <c r="B4313" s="24" t="s">
        <v>31</v>
      </c>
      <c r="C4313" s="21">
        <f t="shared" si="71"/>
        <v>-107.435</v>
      </c>
      <c r="GO4313" s="110">
        <v>-58.58</v>
      </c>
      <c r="HH4313" s="106">
        <v>-48.854999999999997</v>
      </c>
    </row>
    <row r="4314" spans="1:230" x14ac:dyDescent="0.25">
      <c r="A4314" s="127">
        <v>45449</v>
      </c>
      <c r="B4314" s="24" t="s">
        <v>17</v>
      </c>
      <c r="C4314" s="21">
        <f t="shared" si="71"/>
        <v>-89.6</v>
      </c>
      <c r="AG4314" s="106">
        <v>-8.8450000000000006</v>
      </c>
      <c r="AN4314" s="106">
        <v>-8.9149999999999991</v>
      </c>
      <c r="AR4314" s="106">
        <v>-9.3049999999999997</v>
      </c>
      <c r="AW4314" s="106">
        <v>-5.2549999999999999</v>
      </c>
      <c r="BA4314" s="42">
        <v>-8.86</v>
      </c>
      <c r="BI4314" s="106">
        <v>-8.0250000000000004</v>
      </c>
      <c r="BO4314" s="106">
        <v>-9.2899999999999991</v>
      </c>
      <c r="BU4314" s="106">
        <v>-8.4550000000000001</v>
      </c>
      <c r="CA4314" s="106">
        <v>-6.79</v>
      </c>
      <c r="CF4314" s="69">
        <v>-7.65</v>
      </c>
      <c r="CS4314" s="74">
        <v>-8.2100000000000009</v>
      </c>
    </row>
    <row r="4315" spans="1:230" x14ac:dyDescent="0.25">
      <c r="A4315" s="127">
        <v>45449</v>
      </c>
      <c r="B4315" s="24" t="s">
        <v>184</v>
      </c>
      <c r="C4315" s="21">
        <f t="shared" si="71"/>
        <v>-195.45</v>
      </c>
      <c r="I4315" s="84">
        <v>-6.31</v>
      </c>
      <c r="BA4315" s="42">
        <v>-8.85</v>
      </c>
      <c r="BI4315" s="106">
        <v>-8.5350000000000001</v>
      </c>
      <c r="BO4315" s="106">
        <v>-39.090000000000003</v>
      </c>
      <c r="BU4315" s="106">
        <v>-25.524999999999999</v>
      </c>
      <c r="CF4315" s="69">
        <f>-25.48-16.92</f>
        <v>-42.4</v>
      </c>
      <c r="CM4315" s="106">
        <v>-16.739999999999998</v>
      </c>
      <c r="DP4315" s="74">
        <v>-23.66</v>
      </c>
      <c r="DU4315" s="106">
        <v>-24.34</v>
      </c>
    </row>
    <row r="4316" spans="1:230" x14ac:dyDescent="0.25">
      <c r="A4316" s="127">
        <v>45450</v>
      </c>
      <c r="B4316" s="24" t="s">
        <v>29</v>
      </c>
      <c r="C4316" s="21">
        <f t="shared" si="71"/>
        <v>-8.85</v>
      </c>
      <c r="BA4316" s="42">
        <v>-8.85</v>
      </c>
    </row>
    <row r="4317" spans="1:230" x14ac:dyDescent="0.25">
      <c r="A4317" s="127">
        <v>45450</v>
      </c>
      <c r="B4317" s="24" t="s">
        <v>20</v>
      </c>
      <c r="C4317" s="21">
        <f t="shared" si="71"/>
        <v>-17.015000000000001</v>
      </c>
      <c r="BA4317" s="42">
        <v>-8.85</v>
      </c>
      <c r="CY4317" s="106">
        <v>-8.1649999999999991</v>
      </c>
    </row>
    <row r="4318" spans="1:230" x14ac:dyDescent="0.25">
      <c r="A4318" s="127">
        <v>45450</v>
      </c>
      <c r="B4318" s="24" t="s">
        <v>139</v>
      </c>
      <c r="C4318" s="21">
        <f t="shared" si="71"/>
        <v>-16.625</v>
      </c>
      <c r="CS4318" s="74">
        <v>-8.24</v>
      </c>
      <c r="CY4318" s="106">
        <v>-8.3849999999999998</v>
      </c>
    </row>
    <row r="4319" spans="1:230" x14ac:dyDescent="0.25">
      <c r="A4319" s="127">
        <v>45450</v>
      </c>
      <c r="B4319" s="24" t="s">
        <v>12</v>
      </c>
      <c r="C4319" s="21">
        <f t="shared" si="71"/>
        <v>-73.375</v>
      </c>
      <c r="V4319" s="74">
        <v>-8.5350000000000001</v>
      </c>
      <c r="Z4319" s="79">
        <v>-14.02</v>
      </c>
      <c r="AC4319" s="106">
        <v>-17.46</v>
      </c>
      <c r="CY4319" s="106">
        <v>-16.8</v>
      </c>
      <c r="DP4319" s="74">
        <v>-16.559999999999999</v>
      </c>
    </row>
    <row r="4320" spans="1:230" x14ac:dyDescent="0.25">
      <c r="A4320" s="127">
        <v>45450</v>
      </c>
      <c r="B4320" s="24" t="s">
        <v>75</v>
      </c>
      <c r="C4320" s="21">
        <f t="shared" si="71"/>
        <v>-8.6950000000000003</v>
      </c>
      <c r="BO4320" s="106">
        <v>-8.6950000000000003</v>
      </c>
    </row>
    <row r="4321" spans="1:214" x14ac:dyDescent="0.25">
      <c r="A4321" s="127">
        <v>45450</v>
      </c>
      <c r="B4321" s="24" t="s">
        <v>113</v>
      </c>
      <c r="C4321" s="21">
        <f t="shared" si="71"/>
        <v>1006.7</v>
      </c>
      <c r="BI4321" s="106">
        <v>96.77</v>
      </c>
      <c r="BO4321" s="106">
        <v>95.284999999999997</v>
      </c>
      <c r="CM4321" s="106">
        <v>68.715000000000003</v>
      </c>
      <c r="CS4321" s="74">
        <v>128.70500000000001</v>
      </c>
      <c r="CY4321" s="106">
        <v>66.95</v>
      </c>
      <c r="DE4321" s="74">
        <v>89.85</v>
      </c>
      <c r="DK4321" s="106">
        <v>66.37</v>
      </c>
      <c r="EA4321" s="74">
        <v>33.555</v>
      </c>
      <c r="GO4321" s="110">
        <v>74.454999999999998</v>
      </c>
      <c r="GQ4321" s="92">
        <v>144.22</v>
      </c>
      <c r="GZ4321" s="106">
        <v>67.16</v>
      </c>
      <c r="HD4321" s="92">
        <v>74.665000000000006</v>
      </c>
    </row>
    <row r="4322" spans="1:214" x14ac:dyDescent="0.25">
      <c r="A4322" s="127">
        <v>45450</v>
      </c>
      <c r="B4322" s="24" t="s">
        <v>113</v>
      </c>
      <c r="C4322" s="21">
        <f t="shared" si="71"/>
        <v>958.15</v>
      </c>
      <c r="AW4322" s="106">
        <v>136.66999999999999</v>
      </c>
      <c r="BI4322" s="106">
        <v>96.534999999999997</v>
      </c>
      <c r="BU4322" s="106">
        <v>101.565</v>
      </c>
      <c r="DK4322" s="106">
        <v>115.245</v>
      </c>
      <c r="EG4322" s="74">
        <v>65.135000000000005</v>
      </c>
      <c r="GQ4322" s="92">
        <f>96.645+49.54</f>
        <v>146.185</v>
      </c>
      <c r="GZ4322" s="106">
        <v>87.454999999999998</v>
      </c>
      <c r="HD4322" s="92">
        <v>74.67</v>
      </c>
      <c r="HF4322" s="92">
        <v>134.69</v>
      </c>
    </row>
    <row r="4323" spans="1:214" x14ac:dyDescent="0.25">
      <c r="A4323" s="127">
        <v>45450</v>
      </c>
      <c r="B4323" s="24" t="s">
        <v>197</v>
      </c>
      <c r="C4323" s="21">
        <f t="shared" si="71"/>
        <v>-71.12</v>
      </c>
      <c r="AN4323" s="106">
        <v>-9.0350000000000001</v>
      </c>
      <c r="BU4323" s="106">
        <v>-16.895</v>
      </c>
      <c r="CA4323" s="106">
        <v>-6.2549999999999999</v>
      </c>
      <c r="CF4323" s="69">
        <v>-8.4149999999999991</v>
      </c>
      <c r="DE4323" s="74">
        <v>-30.52</v>
      </c>
    </row>
    <row r="4324" spans="1:214" x14ac:dyDescent="0.25">
      <c r="A4324" s="127">
        <v>45451</v>
      </c>
      <c r="B4324" s="24" t="s">
        <v>156</v>
      </c>
      <c r="C4324" s="21">
        <f t="shared" si="71"/>
        <v>-42.335000000000001</v>
      </c>
      <c r="E4324" s="386">
        <v>-25.3</v>
      </c>
      <c r="F4324" s="145">
        <v>-17.035</v>
      </c>
    </row>
    <row r="4325" spans="1:214" x14ac:dyDescent="0.25">
      <c r="A4325" s="127">
        <v>45451</v>
      </c>
      <c r="B4325" s="24" t="s">
        <v>138</v>
      </c>
      <c r="C4325" s="21">
        <f t="shared" si="71"/>
        <v>-8.9350000000000005</v>
      </c>
      <c r="AN4325" s="106">
        <v>-8.9350000000000005</v>
      </c>
    </row>
    <row r="4326" spans="1:214" x14ac:dyDescent="0.25">
      <c r="A4326" s="127">
        <v>45451</v>
      </c>
      <c r="B4326" s="24" t="s">
        <v>19</v>
      </c>
      <c r="C4326" s="21">
        <f t="shared" si="71"/>
        <v>309.685</v>
      </c>
      <c r="AV4326" s="69">
        <v>33.765000000000001</v>
      </c>
      <c r="BA4326" s="42">
        <v>70.790000000000006</v>
      </c>
      <c r="BZ4326" s="69">
        <v>34.01</v>
      </c>
      <c r="CF4326" s="69">
        <v>67.489999999999995</v>
      </c>
      <c r="CK4326" s="42">
        <v>69.91</v>
      </c>
      <c r="CR4326" s="69">
        <v>33.72</v>
      </c>
    </row>
    <row r="4327" spans="1:214" x14ac:dyDescent="0.25">
      <c r="A4327" s="127">
        <v>45453</v>
      </c>
      <c r="B4327" s="24" t="s">
        <v>152</v>
      </c>
      <c r="C4327" s="21">
        <f t="shared" si="71"/>
        <v>-827.45</v>
      </c>
      <c r="L4327" s="69">
        <v>-16.14</v>
      </c>
      <c r="AC4327" s="106">
        <v>-34.914999999999999</v>
      </c>
      <c r="AG4327" s="106">
        <v>-17.704999999999998</v>
      </c>
      <c r="AN4327" s="106">
        <v>-71.84</v>
      </c>
      <c r="AW4327" s="106">
        <v>-102.44</v>
      </c>
      <c r="BA4327" s="42">
        <v>-35.39</v>
      </c>
      <c r="BI4327" s="106">
        <v>-96.79</v>
      </c>
      <c r="BO4327" s="106">
        <v>-61.88</v>
      </c>
      <c r="BU4327" s="106">
        <v>-67.84</v>
      </c>
      <c r="CM4327" s="106">
        <v>-34.384999999999998</v>
      </c>
      <c r="CS4327" s="74">
        <v>-96.97</v>
      </c>
      <c r="CY4327" s="106">
        <v>-66.95</v>
      </c>
      <c r="DE4327" s="74">
        <v>-59.33</v>
      </c>
      <c r="DK4327" s="106">
        <v>-64.875</v>
      </c>
    </row>
    <row r="4328" spans="1:214" x14ac:dyDescent="0.25">
      <c r="A4328" s="127">
        <v>45453</v>
      </c>
      <c r="B4328" s="24" t="s">
        <v>133</v>
      </c>
      <c r="C4328" s="21">
        <f t="shared" si="71"/>
        <v>-6.04</v>
      </c>
      <c r="GD4328" s="115">
        <v>-6.04</v>
      </c>
    </row>
    <row r="4329" spans="1:214" x14ac:dyDescent="0.25">
      <c r="A4329" s="127">
        <v>45454</v>
      </c>
      <c r="B4329" s="24" t="s">
        <v>184</v>
      </c>
      <c r="C4329" s="21">
        <f t="shared" si="71"/>
        <v>-84.504999999999995</v>
      </c>
      <c r="AR4329" s="106">
        <v>-8.5050000000000008</v>
      </c>
      <c r="BA4329" s="42">
        <v>-17.7</v>
      </c>
      <c r="BI4329" s="106">
        <v>-16.094999999999999</v>
      </c>
      <c r="BU4329" s="106">
        <v>-16.934999999999999</v>
      </c>
      <c r="BZ4329" s="69">
        <v>-16.895</v>
      </c>
      <c r="CF4329" s="69">
        <v>-8.375</v>
      </c>
    </row>
    <row r="4330" spans="1:214" x14ac:dyDescent="0.25">
      <c r="A4330" s="127">
        <v>45454</v>
      </c>
      <c r="B4330" s="24" t="s">
        <v>184</v>
      </c>
      <c r="C4330" s="21">
        <f t="shared" si="71"/>
        <v>-111.935</v>
      </c>
      <c r="L4330" s="69">
        <v>-8.27</v>
      </c>
      <c r="V4330" s="74">
        <v>-23.69</v>
      </c>
      <c r="Z4330" s="79">
        <v>-21.92</v>
      </c>
      <c r="AC4330" s="106">
        <v>-17.13</v>
      </c>
      <c r="AG4330" s="106">
        <v>-7.52</v>
      </c>
      <c r="BO4330" s="106">
        <v>-33.405000000000001</v>
      </c>
    </row>
    <row r="4331" spans="1:214" x14ac:dyDescent="0.25">
      <c r="A4331" s="127">
        <v>45454</v>
      </c>
      <c r="B4331" s="24" t="s">
        <v>184</v>
      </c>
      <c r="C4331" s="21">
        <f t="shared" si="71"/>
        <v>-84.86</v>
      </c>
      <c r="Z4331" s="79">
        <v>-50.89</v>
      </c>
      <c r="CF4331" s="69">
        <v>-33.97</v>
      </c>
    </row>
    <row r="4332" spans="1:214" x14ac:dyDescent="0.25">
      <c r="A4332" s="127">
        <v>45454</v>
      </c>
      <c r="B4332" s="24" t="s">
        <v>20</v>
      </c>
      <c r="C4332" s="21">
        <f t="shared" si="71"/>
        <v>-33.585000000000001</v>
      </c>
      <c r="GZ4332" s="106">
        <v>-33.585000000000001</v>
      </c>
    </row>
    <row r="4333" spans="1:214" x14ac:dyDescent="0.25">
      <c r="A4333" s="127">
        <v>45454</v>
      </c>
      <c r="B4333" s="24" t="s">
        <v>222</v>
      </c>
      <c r="C4333" s="21">
        <f t="shared" si="71"/>
        <v>-25.355</v>
      </c>
      <c r="AN4333" s="106">
        <v>-8.875</v>
      </c>
      <c r="BI4333" s="106">
        <v>-8.0299999999999994</v>
      </c>
      <c r="BU4333" s="106">
        <v>-8.4499999999999993</v>
      </c>
    </row>
    <row r="4334" spans="1:214" x14ac:dyDescent="0.25">
      <c r="A4334" s="127">
        <v>45454</v>
      </c>
      <c r="B4334" s="24" t="s">
        <v>25</v>
      </c>
      <c r="C4334" s="21">
        <f t="shared" si="71"/>
        <v>-24.46</v>
      </c>
      <c r="CR4334" s="69">
        <f>-8.42-8.425</f>
        <v>-16.844999999999999</v>
      </c>
      <c r="CS4334" s="74">
        <v>-7.6150000000000002</v>
      </c>
    </row>
    <row r="4335" spans="1:214" x14ac:dyDescent="0.25">
      <c r="A4335" s="127">
        <v>45455</v>
      </c>
      <c r="B4335" s="24" t="s">
        <v>48</v>
      </c>
      <c r="C4335" s="21">
        <f t="shared" si="71"/>
        <v>232.06</v>
      </c>
      <c r="AL4335" s="42">
        <v>63.68</v>
      </c>
      <c r="BM4335" s="88">
        <v>64.61</v>
      </c>
      <c r="BY4335" s="42">
        <v>68.33</v>
      </c>
      <c r="DC4335" s="42">
        <v>35.44</v>
      </c>
    </row>
    <row r="4336" spans="1:214" x14ac:dyDescent="0.25">
      <c r="A4336" s="127">
        <v>45455</v>
      </c>
      <c r="B4336" s="24" t="s">
        <v>147</v>
      </c>
      <c r="C4336" s="21">
        <f t="shared" si="71"/>
        <v>-34.119999999999997</v>
      </c>
      <c r="AR4336" s="106">
        <v>-9.0050000000000008</v>
      </c>
      <c r="BA4336" s="42">
        <v>-8.86</v>
      </c>
      <c r="BI4336" s="106">
        <v>-8.0250000000000004</v>
      </c>
      <c r="BO4336" s="106">
        <v>-8.23</v>
      </c>
    </row>
    <row r="4337" spans="1:208" x14ac:dyDescent="0.25">
      <c r="A4337" s="127">
        <v>45455</v>
      </c>
      <c r="B4337" s="24" t="s">
        <v>139</v>
      </c>
      <c r="C4337" s="21">
        <f t="shared" ref="C4337:C4400" si="72">SUM(D4337:JT4337)</f>
        <v>-32.979999999999997</v>
      </c>
      <c r="V4337" s="74">
        <v>-7.8550000000000004</v>
      </c>
      <c r="CF4337" s="69">
        <v>-8.49</v>
      </c>
      <c r="CM4337" s="106">
        <v>-8.375</v>
      </c>
      <c r="CS4337" s="74">
        <v>-8.26</v>
      </c>
    </row>
    <row r="4338" spans="1:208" x14ac:dyDescent="0.25">
      <c r="A4338" s="127">
        <v>45456</v>
      </c>
      <c r="B4338" s="24" t="s">
        <v>79</v>
      </c>
      <c r="C4338" s="21">
        <f t="shared" si="72"/>
        <v>-15.97</v>
      </c>
      <c r="BO4338" s="106">
        <v>-15.97</v>
      </c>
    </row>
    <row r="4339" spans="1:208" x14ac:dyDescent="0.25">
      <c r="A4339" s="127">
        <v>45456</v>
      </c>
      <c r="B4339" s="24" t="s">
        <v>58</v>
      </c>
      <c r="C4339" s="21">
        <f t="shared" si="72"/>
        <v>-8.2149999999999999</v>
      </c>
      <c r="CS4339" s="74">
        <v>-8.2149999999999999</v>
      </c>
    </row>
    <row r="4340" spans="1:208" x14ac:dyDescent="0.25">
      <c r="A4340" s="127">
        <v>45457</v>
      </c>
      <c r="B4340" s="24" t="s">
        <v>20</v>
      </c>
      <c r="C4340" s="21">
        <f t="shared" si="72"/>
        <v>-33.575000000000003</v>
      </c>
      <c r="GZ4340" s="106">
        <v>-33.575000000000003</v>
      </c>
    </row>
    <row r="4341" spans="1:208" x14ac:dyDescent="0.25">
      <c r="A4341" s="127">
        <v>45457</v>
      </c>
      <c r="B4341" s="24" t="s">
        <v>180</v>
      </c>
      <c r="C4341" s="21">
        <f t="shared" si="72"/>
        <v>-74.454999999999998</v>
      </c>
      <c r="GO4341" s="110">
        <v>-74.454999999999998</v>
      </c>
    </row>
    <row r="4342" spans="1:208" x14ac:dyDescent="0.25">
      <c r="A4342" s="127">
        <v>45457</v>
      </c>
      <c r="B4342" s="24" t="s">
        <v>184</v>
      </c>
      <c r="C4342" s="21">
        <f t="shared" si="72"/>
        <v>-8.2899999999999991</v>
      </c>
      <c r="L4342" s="69">
        <v>-8.2899999999999991</v>
      </c>
    </row>
    <row r="4343" spans="1:208" x14ac:dyDescent="0.25">
      <c r="A4343" s="127">
        <v>45464</v>
      </c>
      <c r="B4343" s="24" t="s">
        <v>127</v>
      </c>
      <c r="C4343" s="21">
        <f t="shared" si="72"/>
        <v>-16.84</v>
      </c>
      <c r="CR4343" s="69">
        <v>-8.44</v>
      </c>
      <c r="CY4343" s="106">
        <v>-8.4</v>
      </c>
    </row>
    <row r="4344" spans="1:208" x14ac:dyDescent="0.25">
      <c r="A4344" s="127">
        <v>45464</v>
      </c>
      <c r="B4344" s="24" t="s">
        <v>197</v>
      </c>
      <c r="C4344" s="21">
        <f t="shared" si="72"/>
        <v>-122.89</v>
      </c>
      <c r="AW4344" s="106">
        <v>-8.5299999999999994</v>
      </c>
      <c r="BI4344" s="106">
        <v>-16.079999999999998</v>
      </c>
      <c r="BO4344" s="106">
        <v>-8.0299999999999994</v>
      </c>
      <c r="BU4344" s="106">
        <v>-16.824999999999999</v>
      </c>
      <c r="BY4344" s="42">
        <v>-8.5399999999999991</v>
      </c>
      <c r="CF4344" s="69">
        <v>-16.78</v>
      </c>
      <c r="DE4344" s="74">
        <v>-7.52</v>
      </c>
      <c r="DP4344" s="74">
        <v>-24.835000000000001</v>
      </c>
      <c r="DU4344" s="106">
        <v>-15.75</v>
      </c>
    </row>
    <row r="4345" spans="1:208" x14ac:dyDescent="0.25">
      <c r="A4345" s="127">
        <v>45467</v>
      </c>
      <c r="B4345" s="24" t="s">
        <v>44</v>
      </c>
      <c r="C4345" s="21">
        <f t="shared" si="72"/>
        <v>-144.22</v>
      </c>
      <c r="GQ4345" s="92">
        <v>-144.22</v>
      </c>
    </row>
    <row r="4346" spans="1:208" x14ac:dyDescent="0.25">
      <c r="A4346" s="127">
        <v>45468</v>
      </c>
      <c r="B4346" s="24" t="s">
        <v>25</v>
      </c>
      <c r="C4346" s="21">
        <f t="shared" si="72"/>
        <v>-51.354999999999997</v>
      </c>
      <c r="BA4346" s="42">
        <v>-8.84</v>
      </c>
      <c r="BO4346" s="106">
        <v>-8.0399999999999991</v>
      </c>
      <c r="BU4346" s="106">
        <v>-8.4550000000000001</v>
      </c>
      <c r="BZ4346" s="69">
        <v>-8.44</v>
      </c>
      <c r="CK4346" s="42">
        <v>-9.18</v>
      </c>
      <c r="CY4346" s="106">
        <v>-8.4</v>
      </c>
    </row>
    <row r="4347" spans="1:208" x14ac:dyDescent="0.25">
      <c r="A4347" s="127">
        <v>45468</v>
      </c>
      <c r="B4347" s="24" t="s">
        <v>184</v>
      </c>
      <c r="C4347" s="21">
        <f t="shared" si="72"/>
        <v>-100.495</v>
      </c>
      <c r="AC4347" s="106">
        <v>-8.0500000000000007</v>
      </c>
      <c r="AW4347" s="106">
        <v>-8.6150000000000002</v>
      </c>
      <c r="BI4347" s="106">
        <v>-8.0500000000000007</v>
      </c>
      <c r="BM4347" s="88">
        <v>-7.4</v>
      </c>
      <c r="BY4347" s="42">
        <v>-8.65</v>
      </c>
      <c r="CM4347" s="106">
        <v>-17.204999999999998</v>
      </c>
      <c r="CS4347" s="74">
        <v>-16.414999999999999</v>
      </c>
      <c r="DC4347" s="42">
        <v>-9.76</v>
      </c>
      <c r="DK4347" s="106">
        <v>-8.08</v>
      </c>
      <c r="DP4347" s="74">
        <v>-8.27</v>
      </c>
    </row>
    <row r="4348" spans="1:208" x14ac:dyDescent="0.25">
      <c r="A4348" s="127">
        <v>45467</v>
      </c>
      <c r="B4348" s="24" t="s">
        <v>48</v>
      </c>
      <c r="C4348" s="21">
        <f t="shared" si="72"/>
        <v>104.32</v>
      </c>
      <c r="AP4348" s="42">
        <v>32.979999999999997</v>
      </c>
      <c r="BS4348" s="42">
        <v>34.89</v>
      </c>
      <c r="CE4348" s="42">
        <v>36.450000000000003</v>
      </c>
    </row>
    <row r="4349" spans="1:208" x14ac:dyDescent="0.25">
      <c r="A4349" s="127">
        <v>45468</v>
      </c>
      <c r="B4349" s="24" t="s">
        <v>25</v>
      </c>
      <c r="C4349" s="21">
        <f t="shared" si="72"/>
        <v>-17.25</v>
      </c>
      <c r="AP4349" s="42">
        <v>-8.24</v>
      </c>
      <c r="CE4349" s="42">
        <v>-9.01</v>
      </c>
    </row>
    <row r="4350" spans="1:208" x14ac:dyDescent="0.25">
      <c r="A4350" s="127">
        <v>45468</v>
      </c>
      <c r="B4350" s="24" t="s">
        <v>79</v>
      </c>
      <c r="C4350" s="21">
        <f t="shared" si="72"/>
        <v>-30.25</v>
      </c>
      <c r="BE4350" s="126">
        <v>-12.1</v>
      </c>
      <c r="BY4350" s="42">
        <v>-18.149999999999999</v>
      </c>
    </row>
    <row r="4351" spans="1:208" x14ac:dyDescent="0.25">
      <c r="A4351" s="127">
        <v>45468</v>
      </c>
      <c r="B4351" s="24" t="s">
        <v>20</v>
      </c>
      <c r="C4351" s="21">
        <f t="shared" si="72"/>
        <v>-39.335000000000001</v>
      </c>
      <c r="BE4351" s="126">
        <v>-14.1</v>
      </c>
      <c r="BI4351" s="106">
        <v>-8.0449999999999999</v>
      </c>
      <c r="BY4351" s="42">
        <v>-8.64</v>
      </c>
      <c r="CM4351" s="106">
        <v>-8.5500000000000007</v>
      </c>
    </row>
    <row r="4352" spans="1:208" x14ac:dyDescent="0.25">
      <c r="A4352" s="127">
        <v>45469</v>
      </c>
      <c r="B4352" s="24" t="s">
        <v>137</v>
      </c>
      <c r="C4352" s="21">
        <f t="shared" si="72"/>
        <v>-59.844999999999999</v>
      </c>
      <c r="AP4352" s="42">
        <v>-8.25</v>
      </c>
      <c r="AW4352" s="106">
        <v>-8.56</v>
      </c>
      <c r="BI4352" s="106">
        <v>-8.0549999999999997</v>
      </c>
      <c r="BM4352" s="88">
        <v>-8.8699999999999992</v>
      </c>
      <c r="BS4352" s="42">
        <v>-8.73</v>
      </c>
      <c r="BY4352" s="42">
        <v>-8.8000000000000007</v>
      </c>
      <c r="CM4352" s="106">
        <v>-8.58</v>
      </c>
    </row>
    <row r="4353" spans="1:224" x14ac:dyDescent="0.25">
      <c r="A4353" s="127">
        <v>45469</v>
      </c>
      <c r="B4353" s="24" t="s">
        <v>198</v>
      </c>
      <c r="C4353" s="21">
        <f t="shared" si="72"/>
        <v>-42.35</v>
      </c>
      <c r="AP4353" s="42">
        <v>-8.24</v>
      </c>
      <c r="AW4353" s="106">
        <v>-8.5250000000000004</v>
      </c>
      <c r="BI4353" s="106">
        <v>-8.0449999999999999</v>
      </c>
      <c r="BM4353" s="88">
        <v>-8.73</v>
      </c>
      <c r="BY4353" s="42">
        <v>-8.81</v>
      </c>
    </row>
    <row r="4354" spans="1:224" x14ac:dyDescent="0.25">
      <c r="A4354" s="127">
        <v>45469</v>
      </c>
      <c r="B4354" s="24" t="s">
        <v>152</v>
      </c>
      <c r="C4354" s="21">
        <f t="shared" si="72"/>
        <v>-58.55</v>
      </c>
      <c r="EG4354" s="74">
        <v>-31.745000000000001</v>
      </c>
      <c r="GM4354" s="92">
        <v>-12.3</v>
      </c>
      <c r="HM4354" s="106">
        <v>-14.505000000000001</v>
      </c>
    </row>
    <row r="4355" spans="1:224" x14ac:dyDescent="0.25">
      <c r="A4355" s="127">
        <v>45469</v>
      </c>
      <c r="B4355" s="24" t="s">
        <v>33</v>
      </c>
      <c r="C4355" s="21">
        <f t="shared" si="72"/>
        <v>-17.065000000000001</v>
      </c>
      <c r="AV4355" s="69">
        <v>-8.4450000000000003</v>
      </c>
      <c r="BU4355" s="106">
        <v>-8.6199999999999992</v>
      </c>
    </row>
    <row r="4356" spans="1:224" x14ac:dyDescent="0.25">
      <c r="A4356" s="127">
        <v>45469</v>
      </c>
      <c r="B4356" s="24" t="s">
        <v>169</v>
      </c>
      <c r="C4356" s="21">
        <f t="shared" si="72"/>
        <v>-7.31</v>
      </c>
      <c r="D4356" s="386">
        <v>-7.31</v>
      </c>
    </row>
    <row r="4357" spans="1:224" x14ac:dyDescent="0.25">
      <c r="A4357" s="127">
        <v>45469</v>
      </c>
      <c r="B4357" s="24" t="s">
        <v>139</v>
      </c>
      <c r="C4357" s="21">
        <f t="shared" si="72"/>
        <v>-48.11</v>
      </c>
      <c r="BI4357" s="106">
        <v>-8.0549999999999997</v>
      </c>
      <c r="BM4357" s="88">
        <v>-7.1</v>
      </c>
      <c r="BS4357" s="42">
        <v>-8.8650000000000002</v>
      </c>
      <c r="BZ4357" s="69">
        <v>-8.5299999999999994</v>
      </c>
      <c r="CM4357" s="106">
        <v>-8</v>
      </c>
      <c r="CS4357" s="74">
        <v>-7.56</v>
      </c>
    </row>
    <row r="4358" spans="1:224" x14ac:dyDescent="0.25">
      <c r="A4358" s="127">
        <v>45469</v>
      </c>
      <c r="B4358" s="24" t="s">
        <v>193</v>
      </c>
      <c r="C4358" s="21">
        <f t="shared" si="72"/>
        <v>-14.47</v>
      </c>
      <c r="CE4358" s="42">
        <v>-9.01</v>
      </c>
      <c r="CM4358" s="106">
        <v>-5.46</v>
      </c>
    </row>
    <row r="4359" spans="1:224" x14ac:dyDescent="0.25">
      <c r="A4359" s="127">
        <v>45470</v>
      </c>
      <c r="B4359" s="24" t="s">
        <v>33</v>
      </c>
      <c r="C4359" s="21">
        <f t="shared" si="72"/>
        <v>-8.25</v>
      </c>
      <c r="DP4359" s="74">
        <v>-8.25</v>
      </c>
    </row>
    <row r="4360" spans="1:224" x14ac:dyDescent="0.25">
      <c r="A4360" s="127">
        <v>45470</v>
      </c>
      <c r="B4360" s="24" t="s">
        <v>140</v>
      </c>
      <c r="C4360" s="21">
        <f t="shared" si="72"/>
        <v>-58.034999999999997</v>
      </c>
      <c r="D4360" s="386">
        <v>-58.034999999999997</v>
      </c>
    </row>
    <row r="4361" spans="1:224" x14ac:dyDescent="0.25">
      <c r="A4361" s="127">
        <v>45470</v>
      </c>
      <c r="B4361" s="24" t="s">
        <v>115</v>
      </c>
      <c r="C4361" s="21">
        <f t="shared" si="72"/>
        <v>43.56</v>
      </c>
      <c r="G4361" s="145">
        <v>43.56</v>
      </c>
    </row>
    <row r="4362" spans="1:224" x14ac:dyDescent="0.25">
      <c r="A4362" s="127">
        <v>45470</v>
      </c>
      <c r="B4362" s="24" t="s">
        <v>169</v>
      </c>
      <c r="C4362" s="21">
        <f t="shared" si="72"/>
        <v>-21.69</v>
      </c>
      <c r="G4362" s="145">
        <v>-21.69</v>
      </c>
    </row>
    <row r="4363" spans="1:224" x14ac:dyDescent="0.25">
      <c r="A4363" s="127">
        <v>45470</v>
      </c>
      <c r="B4363" s="24" t="s">
        <v>169</v>
      </c>
      <c r="C4363" s="21">
        <f t="shared" si="72"/>
        <v>-21.87</v>
      </c>
      <c r="G4363" s="145">
        <v>-21.87</v>
      </c>
    </row>
    <row r="4364" spans="1:224" x14ac:dyDescent="0.25">
      <c r="A4364" s="127">
        <v>45471</v>
      </c>
      <c r="B4364" s="24" t="s">
        <v>138</v>
      </c>
      <c r="C4364" s="21">
        <f t="shared" si="72"/>
        <v>-34.215000000000003</v>
      </c>
      <c r="AV4364" s="69">
        <v>-8.4350000000000005</v>
      </c>
      <c r="BI4364" s="106">
        <v>-8.0500000000000007</v>
      </c>
      <c r="BM4364" s="88">
        <v>-17.73</v>
      </c>
    </row>
    <row r="4365" spans="1:224" x14ac:dyDescent="0.25">
      <c r="A4365" s="127">
        <v>45471</v>
      </c>
      <c r="B4365" s="24" t="s">
        <v>75</v>
      </c>
      <c r="C4365" s="21">
        <f t="shared" si="72"/>
        <v>-24.695</v>
      </c>
      <c r="AP4365" s="42">
        <v>-8.25</v>
      </c>
      <c r="AV4365" s="69">
        <v>-8.4450000000000003</v>
      </c>
      <c r="CM4365" s="106">
        <v>-8</v>
      </c>
    </row>
    <row r="4366" spans="1:224" x14ac:dyDescent="0.25">
      <c r="A4366" s="127">
        <v>45471</v>
      </c>
      <c r="B4366" s="24" t="s">
        <v>20</v>
      </c>
      <c r="C4366" s="21">
        <f t="shared" si="72"/>
        <v>-32.65</v>
      </c>
      <c r="AV4366" s="69">
        <v>-8.4649999999999999</v>
      </c>
      <c r="BU4366" s="106">
        <v>-8.4649999999999999</v>
      </c>
      <c r="GZ4366" s="106">
        <v>-15.72</v>
      </c>
    </row>
    <row r="4367" spans="1:224" x14ac:dyDescent="0.25">
      <c r="A4367" s="127">
        <v>45471</v>
      </c>
      <c r="B4367" s="24" t="s">
        <v>113</v>
      </c>
      <c r="C4367" s="21">
        <f t="shared" si="72"/>
        <v>401.565</v>
      </c>
      <c r="P4367" s="106">
        <v>164.77</v>
      </c>
      <c r="HP4367" s="92">
        <v>236.79499999999999</v>
      </c>
    </row>
    <row r="4368" spans="1:224" x14ac:dyDescent="0.25">
      <c r="A4368" s="127">
        <v>45471</v>
      </c>
      <c r="B4368" s="24" t="s">
        <v>113</v>
      </c>
      <c r="C4368" s="21">
        <f t="shared" si="72"/>
        <v>31.83</v>
      </c>
      <c r="DU4368" s="106">
        <v>31.83</v>
      </c>
    </row>
    <row r="4369" spans="1:221" x14ac:dyDescent="0.25">
      <c r="A4369" s="127">
        <v>45471</v>
      </c>
      <c r="B4369" s="24" t="s">
        <v>113</v>
      </c>
      <c r="C4369" s="21">
        <f t="shared" si="72"/>
        <v>826.19500000000005</v>
      </c>
      <c r="CY4369" s="106">
        <v>49.31</v>
      </c>
      <c r="EG4369" s="74">
        <v>68.814999999999998</v>
      </c>
      <c r="GQ4369" s="92">
        <v>257.05</v>
      </c>
      <c r="GZ4369" s="106">
        <v>62.81</v>
      </c>
      <c r="HH4369" s="106">
        <v>137.26499999999999</v>
      </c>
      <c r="HJ4369" s="79">
        <v>250.94499999999999</v>
      </c>
    </row>
    <row r="4370" spans="1:221" x14ac:dyDescent="0.25">
      <c r="A4370" s="127">
        <v>45471</v>
      </c>
      <c r="B4370" s="24" t="s">
        <v>48</v>
      </c>
      <c r="C4370" s="21">
        <f t="shared" si="72"/>
        <v>-33.630000000000003</v>
      </c>
      <c r="BI4370" s="106">
        <v>-16.09</v>
      </c>
      <c r="BS4370" s="42">
        <v>-17.54</v>
      </c>
    </row>
    <row r="4371" spans="1:221" x14ac:dyDescent="0.25">
      <c r="A4371" s="127">
        <v>45472</v>
      </c>
      <c r="B4371" s="24" t="s">
        <v>199</v>
      </c>
      <c r="C4371" s="21">
        <f t="shared" si="72"/>
        <v>-104.425</v>
      </c>
      <c r="BX4371" s="182">
        <v>-8.82</v>
      </c>
      <c r="CJ4371" s="182">
        <v>-8.3699999999999992</v>
      </c>
      <c r="DC4371" s="42">
        <v>-8.56</v>
      </c>
      <c r="DH4371" s="115">
        <v>-33.61</v>
      </c>
      <c r="DP4371" s="74">
        <v>-45.064999999999998</v>
      </c>
    </row>
    <row r="4372" spans="1:221" x14ac:dyDescent="0.25">
      <c r="A4372" s="127">
        <v>45474</v>
      </c>
      <c r="B4372" s="24" t="s">
        <v>17</v>
      </c>
      <c r="C4372" s="21">
        <f t="shared" si="72"/>
        <v>-49.994999999999997</v>
      </c>
      <c r="P4372" s="106">
        <v>-8.0500000000000007</v>
      </c>
      <c r="V4372" s="74">
        <v>-8.18</v>
      </c>
      <c r="CY4372" s="106">
        <v>-8.5250000000000004</v>
      </c>
      <c r="DC4372" s="42">
        <v>-17.12</v>
      </c>
      <c r="DK4372" s="106">
        <v>-8.1199999999999992</v>
      </c>
    </row>
    <row r="4373" spans="1:221" x14ac:dyDescent="0.25">
      <c r="A4373" s="127">
        <v>45474</v>
      </c>
      <c r="B4373" s="24" t="s">
        <v>115</v>
      </c>
      <c r="C4373" s="21">
        <f t="shared" si="72"/>
        <v>237.94</v>
      </c>
      <c r="BR4373" s="182">
        <v>65.995000000000005</v>
      </c>
      <c r="BX4373" s="182">
        <v>71.400000000000006</v>
      </c>
      <c r="CJ4373" s="182">
        <v>66.935000000000002</v>
      </c>
      <c r="DH4373" s="115">
        <v>33.61</v>
      </c>
    </row>
    <row r="4374" spans="1:221" x14ac:dyDescent="0.25">
      <c r="A4374" s="127">
        <v>45475</v>
      </c>
      <c r="B4374" s="29" t="s">
        <v>20</v>
      </c>
      <c r="C4374" s="21">
        <f t="shared" si="72"/>
        <v>-27.47</v>
      </c>
      <c r="L4374" s="69">
        <v>-1.73</v>
      </c>
      <c r="AC4374" s="106">
        <v>-8.0850000000000009</v>
      </c>
      <c r="CM4374" s="106">
        <v>-8.59</v>
      </c>
      <c r="CS4374" s="74">
        <v>-9.0649999999999995</v>
      </c>
    </row>
    <row r="4375" spans="1:221" x14ac:dyDescent="0.25">
      <c r="A4375" s="127">
        <v>45475</v>
      </c>
      <c r="B4375" s="29" t="s">
        <v>139</v>
      </c>
      <c r="C4375" s="21">
        <f t="shared" si="72"/>
        <v>-8.4</v>
      </c>
      <c r="CJ4375" s="182">
        <v>-8.4</v>
      </c>
    </row>
    <row r="4376" spans="1:221" x14ac:dyDescent="0.25">
      <c r="A4376" s="127">
        <v>45475</v>
      </c>
      <c r="B4376" s="29" t="s">
        <v>25</v>
      </c>
      <c r="C4376" s="21">
        <f t="shared" si="72"/>
        <v>-69.760000000000005</v>
      </c>
      <c r="EA4376" s="74">
        <v>-69.760000000000005</v>
      </c>
    </row>
    <row r="4377" spans="1:221" x14ac:dyDescent="0.25">
      <c r="A4377" s="158">
        <v>45475</v>
      </c>
      <c r="B4377" s="29" t="s">
        <v>196</v>
      </c>
      <c r="C4377" s="21">
        <f t="shared" si="72"/>
        <v>-49.98</v>
      </c>
      <c r="HM4377" s="106">
        <v>-49.98</v>
      </c>
    </row>
    <row r="4378" spans="1:221" x14ac:dyDescent="0.25">
      <c r="A4378" s="127">
        <v>45475</v>
      </c>
      <c r="B4378" s="24" t="s">
        <v>113</v>
      </c>
      <c r="C4378" s="21">
        <f t="shared" si="72"/>
        <v>1629.24</v>
      </c>
      <c r="Z4378" s="79">
        <v>201.255</v>
      </c>
      <c r="AC4378" s="106">
        <v>203.55</v>
      </c>
      <c r="AR4378" s="106">
        <v>207.94</v>
      </c>
      <c r="BC4378" s="106">
        <v>231.08500000000001</v>
      </c>
      <c r="BI4378" s="106">
        <v>112.77500000000001</v>
      </c>
      <c r="DU4378" s="106">
        <v>214.54499999999999</v>
      </c>
      <c r="EA4378" s="74">
        <v>314.83999999999997</v>
      </c>
      <c r="GO4378" s="110">
        <v>143.25</v>
      </c>
    </row>
    <row r="4379" spans="1:221" x14ac:dyDescent="0.25">
      <c r="A4379" s="127">
        <v>45475</v>
      </c>
      <c r="B4379" s="24" t="s">
        <v>200</v>
      </c>
      <c r="C4379" s="21">
        <f t="shared" si="72"/>
        <v>-17.03</v>
      </c>
      <c r="BY4379" s="42">
        <v>-17.03</v>
      </c>
    </row>
    <row r="4380" spans="1:221" x14ac:dyDescent="0.25">
      <c r="A4380" s="127">
        <v>45475</v>
      </c>
      <c r="B4380" s="24" t="s">
        <v>138</v>
      </c>
      <c r="C4380" s="21">
        <f t="shared" si="72"/>
        <v>-24.27</v>
      </c>
      <c r="BC4380" s="106">
        <v>-16.16</v>
      </c>
      <c r="BI4380" s="106">
        <v>-8.11</v>
      </c>
    </row>
    <row r="4381" spans="1:221" x14ac:dyDescent="0.25">
      <c r="A4381" s="127">
        <v>45475</v>
      </c>
      <c r="B4381" s="24" t="s">
        <v>75</v>
      </c>
      <c r="C4381" s="21">
        <f t="shared" si="72"/>
        <v>-16.21</v>
      </c>
      <c r="BC4381" s="106">
        <v>-8.1050000000000004</v>
      </c>
      <c r="BI4381" s="106">
        <v>-8.1050000000000004</v>
      </c>
    </row>
    <row r="4382" spans="1:221" x14ac:dyDescent="0.25">
      <c r="A4382" s="127">
        <v>45475</v>
      </c>
      <c r="B4382" s="24" t="s">
        <v>19</v>
      </c>
      <c r="C4382" s="21">
        <f t="shared" si="72"/>
        <v>-87.295000000000002</v>
      </c>
      <c r="HM4382" s="106">
        <v>-87.295000000000002</v>
      </c>
    </row>
    <row r="4383" spans="1:221" x14ac:dyDescent="0.25">
      <c r="A4383" s="127">
        <v>45476</v>
      </c>
      <c r="B4383" s="24" t="s">
        <v>147</v>
      </c>
      <c r="C4383" s="21">
        <f t="shared" si="72"/>
        <v>-25.35</v>
      </c>
      <c r="BI4383" s="106">
        <v>-8.0150000000000006</v>
      </c>
      <c r="BX4383" s="182">
        <v>-8.7949999999999999</v>
      </c>
      <c r="BY4383" s="42">
        <v>-8.5399999999999991</v>
      </c>
    </row>
    <row r="4384" spans="1:221" x14ac:dyDescent="0.25">
      <c r="A4384" s="127">
        <v>45476</v>
      </c>
      <c r="B4384" s="24" t="s">
        <v>171</v>
      </c>
      <c r="C4384" s="21">
        <f t="shared" si="72"/>
        <v>-8.2100000000000009</v>
      </c>
      <c r="V4384" s="74">
        <v>-8.2100000000000009</v>
      </c>
    </row>
    <row r="4385" spans="1:214" x14ac:dyDescent="0.25">
      <c r="A4385" s="127">
        <v>45476</v>
      </c>
      <c r="B4385" s="24" t="s">
        <v>152</v>
      </c>
      <c r="C4385" s="21">
        <f t="shared" si="72"/>
        <v>-528.91</v>
      </c>
      <c r="BI4385" s="106">
        <v>-48.53</v>
      </c>
      <c r="CS4385" s="74">
        <v>-32.81</v>
      </c>
      <c r="DK4385" s="106">
        <v>-67.784999999999997</v>
      </c>
      <c r="DU4385" s="106">
        <v>-180.38</v>
      </c>
      <c r="EA4385" s="74">
        <v>-199.405</v>
      </c>
    </row>
    <row r="4386" spans="1:214" x14ac:dyDescent="0.25">
      <c r="A4386" s="127">
        <v>45476</v>
      </c>
      <c r="B4386" s="24" t="s">
        <v>20</v>
      </c>
      <c r="C4386" s="21">
        <f t="shared" si="72"/>
        <v>-8.39</v>
      </c>
      <c r="Z4386" s="79">
        <v>-8.39</v>
      </c>
    </row>
    <row r="4387" spans="1:214" x14ac:dyDescent="0.25">
      <c r="A4387" s="127">
        <v>45476</v>
      </c>
      <c r="B4387" s="24" t="s">
        <v>139</v>
      </c>
      <c r="C4387" s="21">
        <f t="shared" si="72"/>
        <v>-8.52</v>
      </c>
      <c r="BC4387" s="106">
        <v>-8.52</v>
      </c>
    </row>
    <row r="4388" spans="1:214" x14ac:dyDescent="0.25">
      <c r="A4388" s="127">
        <v>45476</v>
      </c>
      <c r="B4388" s="24" t="s">
        <v>127</v>
      </c>
      <c r="C4388" s="21">
        <f t="shared" si="72"/>
        <v>-33.090000000000003</v>
      </c>
      <c r="BC4388" s="106">
        <v>-15.9</v>
      </c>
      <c r="BX4388" s="182">
        <v>-8.83</v>
      </c>
      <c r="CJ4388" s="182">
        <v>-8.36</v>
      </c>
    </row>
    <row r="4389" spans="1:214" x14ac:dyDescent="0.25">
      <c r="A4389" s="127">
        <v>45476</v>
      </c>
      <c r="B4389" s="24" t="s">
        <v>17</v>
      </c>
      <c r="C4389" s="21">
        <f t="shared" si="72"/>
        <v>-24.44</v>
      </c>
      <c r="AR4389" s="106">
        <v>-7.89</v>
      </c>
      <c r="BI4389" s="106">
        <v>-8.1199999999999992</v>
      </c>
      <c r="BR4389" s="182">
        <v>-8.43</v>
      </c>
    </row>
    <row r="4390" spans="1:214" x14ac:dyDescent="0.25">
      <c r="A4390" s="127">
        <v>45477</v>
      </c>
      <c r="B4390" s="24" t="s">
        <v>193</v>
      </c>
      <c r="C4390" s="21">
        <f t="shared" si="72"/>
        <v>-16.125</v>
      </c>
      <c r="CM4390" s="106">
        <v>-8.5749999999999993</v>
      </c>
      <c r="CS4390" s="74">
        <v>-7.55</v>
      </c>
    </row>
    <row r="4391" spans="1:214" x14ac:dyDescent="0.25">
      <c r="A4391" s="127">
        <v>45478</v>
      </c>
      <c r="B4391" s="24" t="s">
        <v>138</v>
      </c>
      <c r="C4391" s="21">
        <f t="shared" si="72"/>
        <v>-7.5049999999999999</v>
      </c>
      <c r="AC4391" s="106">
        <v>-7.5049999999999999</v>
      </c>
    </row>
    <row r="4392" spans="1:214" x14ac:dyDescent="0.25">
      <c r="A4392" s="127">
        <v>45478</v>
      </c>
      <c r="B4392" s="24" t="s">
        <v>79</v>
      </c>
      <c r="C4392" s="21">
        <f t="shared" si="72"/>
        <v>-8.8000000000000007</v>
      </c>
      <c r="BC4392" s="106">
        <v>-8.8000000000000007</v>
      </c>
    </row>
    <row r="4393" spans="1:214" x14ac:dyDescent="0.25">
      <c r="A4393" s="127">
        <v>45478</v>
      </c>
      <c r="B4393" s="24" t="s">
        <v>20</v>
      </c>
      <c r="C4393" s="21">
        <f t="shared" si="72"/>
        <v>-29.065000000000001</v>
      </c>
      <c r="GZ4393" s="106">
        <v>-29.065000000000001</v>
      </c>
    </row>
    <row r="4394" spans="1:214" x14ac:dyDescent="0.25">
      <c r="A4394" s="127">
        <v>45478</v>
      </c>
      <c r="B4394" s="24" t="s">
        <v>184</v>
      </c>
      <c r="C4394" s="21">
        <f t="shared" si="72"/>
        <v>-117.605</v>
      </c>
      <c r="Z4394" s="79">
        <v>-16.84</v>
      </c>
      <c r="AN4394" s="106">
        <v>-8.7949999999999999</v>
      </c>
      <c r="AR4394" s="106">
        <v>-8.5250000000000004</v>
      </c>
      <c r="BC4394" s="106">
        <v>-16.085000000000001</v>
      </c>
      <c r="BI4394" s="106">
        <v>-8.1150000000000002</v>
      </c>
      <c r="BR4394" s="182">
        <v>-16.84</v>
      </c>
      <c r="BX4394" s="182">
        <v>-16.965</v>
      </c>
      <c r="BY4394" s="42">
        <v>-8.48</v>
      </c>
      <c r="CJ4394" s="182">
        <v>-8.3350000000000009</v>
      </c>
      <c r="CM4394" s="106">
        <v>-8.625</v>
      </c>
    </row>
    <row r="4395" spans="1:214" x14ac:dyDescent="0.25">
      <c r="A4395" s="127">
        <v>45478</v>
      </c>
      <c r="B4395" s="24" t="s">
        <v>39</v>
      </c>
      <c r="C4395" s="21">
        <f t="shared" si="72"/>
        <v>-41.104999999999997</v>
      </c>
      <c r="BI4395" s="106">
        <v>-8.0950000000000006</v>
      </c>
      <c r="BR4395" s="182">
        <v>-8</v>
      </c>
      <c r="BX4395" s="182">
        <v>-9</v>
      </c>
      <c r="BY4395" s="42">
        <v>-8.4499999999999993</v>
      </c>
      <c r="CS4395" s="74">
        <v>-7.56</v>
      </c>
    </row>
    <row r="4396" spans="1:214" x14ac:dyDescent="0.25">
      <c r="A4396" s="127">
        <v>45481</v>
      </c>
      <c r="B4396" s="24" t="s">
        <v>201</v>
      </c>
      <c r="C4396" s="21">
        <f t="shared" si="72"/>
        <v>16.010000000000002</v>
      </c>
      <c r="D4396" s="386">
        <v>-7.49</v>
      </c>
      <c r="AD4396" s="115">
        <v>7.4</v>
      </c>
      <c r="AW4396" s="106">
        <v>16.100000000000001</v>
      </c>
    </row>
    <row r="4397" spans="1:214" x14ac:dyDescent="0.25">
      <c r="A4397" s="127">
        <v>45481</v>
      </c>
      <c r="B4397" s="24" t="s">
        <v>44</v>
      </c>
      <c r="C4397" s="21">
        <f t="shared" si="72"/>
        <v>-229.51</v>
      </c>
      <c r="GK4397" s="79">
        <v>-26</v>
      </c>
      <c r="GQ4397" s="92">
        <v>-169.85</v>
      </c>
      <c r="HF4397" s="92">
        <v>-33.659999999999997</v>
      </c>
    </row>
    <row r="4398" spans="1:214" x14ac:dyDescent="0.25">
      <c r="A4398" s="127">
        <v>45481</v>
      </c>
      <c r="B4398" s="24" t="s">
        <v>184</v>
      </c>
      <c r="C4398" s="21">
        <f t="shared" si="72"/>
        <v>-142.5</v>
      </c>
      <c r="AN4398" s="106">
        <v>-9</v>
      </c>
      <c r="AR4398" s="106">
        <v>-8.09</v>
      </c>
      <c r="AW4398" s="106">
        <v>-16.100000000000001</v>
      </c>
      <c r="BC4398" s="106">
        <v>-33.365000000000002</v>
      </c>
      <c r="BR4398" s="182">
        <v>-16.395</v>
      </c>
      <c r="CM4398" s="106">
        <v>-17.47</v>
      </c>
      <c r="CS4398" s="74">
        <v>-8.2149999999999999</v>
      </c>
      <c r="CY4398" s="106">
        <v>-16.63</v>
      </c>
      <c r="DE4398" s="74">
        <v>-15.9</v>
      </c>
      <c r="HD4398" s="92">
        <v>-1.335</v>
      </c>
    </row>
    <row r="4399" spans="1:214" x14ac:dyDescent="0.25">
      <c r="A4399" s="127">
        <v>45482</v>
      </c>
      <c r="B4399" s="24" t="s">
        <v>68</v>
      </c>
      <c r="C4399" s="21">
        <f t="shared" si="72"/>
        <v>-32.375</v>
      </c>
      <c r="BC4399" s="106">
        <v>-32.375</v>
      </c>
    </row>
    <row r="4400" spans="1:214" x14ac:dyDescent="0.25">
      <c r="A4400" s="127">
        <v>45482</v>
      </c>
      <c r="B4400" s="24" t="s">
        <v>138</v>
      </c>
      <c r="C4400" s="21">
        <f t="shared" si="72"/>
        <v>-8.2949999999999999</v>
      </c>
      <c r="P4400" s="106">
        <v>-8.2949999999999999</v>
      </c>
    </row>
    <row r="4401" spans="1:212" x14ac:dyDescent="0.25">
      <c r="A4401" s="127">
        <v>45482</v>
      </c>
      <c r="B4401" s="24" t="s">
        <v>33</v>
      </c>
      <c r="C4401" s="21">
        <f t="shared" ref="C4401:C4464" si="73">SUM(D4401:JT4401)</f>
        <v>-11.79</v>
      </c>
      <c r="P4401" s="106">
        <v>-3.28</v>
      </c>
      <c r="BZ4401" s="69">
        <v>-8.51</v>
      </c>
    </row>
    <row r="4402" spans="1:212" x14ac:dyDescent="0.25">
      <c r="A4402" s="127">
        <v>45482</v>
      </c>
      <c r="B4402" s="24" t="s">
        <v>20</v>
      </c>
      <c r="C4402" s="21">
        <f t="shared" si="73"/>
        <v>-33.305</v>
      </c>
      <c r="AR4402" s="106">
        <v>-7.72</v>
      </c>
      <c r="BI4402" s="106">
        <v>-8.1850000000000005</v>
      </c>
      <c r="BR4402" s="182">
        <v>-8.43</v>
      </c>
      <c r="BX4402" s="182">
        <v>-8.9700000000000006</v>
      </c>
    </row>
    <row r="4403" spans="1:212" x14ac:dyDescent="0.25">
      <c r="A4403" s="127">
        <v>45482</v>
      </c>
      <c r="B4403" s="24" t="s">
        <v>75</v>
      </c>
      <c r="C4403" s="21">
        <f t="shared" si="73"/>
        <v>-16.565000000000001</v>
      </c>
      <c r="CS4403" s="74">
        <v>-8.19</v>
      </c>
      <c r="CY4403" s="106">
        <v>-8.375</v>
      </c>
    </row>
    <row r="4404" spans="1:212" x14ac:dyDescent="0.25">
      <c r="A4404" s="127">
        <v>45482</v>
      </c>
      <c r="B4404" s="24" t="s">
        <v>196</v>
      </c>
      <c r="C4404" s="21">
        <f t="shared" si="73"/>
        <v>-7.34</v>
      </c>
      <c r="R4404" s="115">
        <v>2</v>
      </c>
      <c r="HD4404" s="92">
        <v>-9.34</v>
      </c>
    </row>
    <row r="4405" spans="1:212" x14ac:dyDescent="0.25">
      <c r="A4405" s="127">
        <v>45482</v>
      </c>
      <c r="B4405" s="29" t="s">
        <v>140</v>
      </c>
      <c r="C4405" s="21">
        <f t="shared" si="73"/>
        <v>0</v>
      </c>
    </row>
    <row r="4406" spans="1:212" x14ac:dyDescent="0.25">
      <c r="A4406" s="127">
        <v>45482</v>
      </c>
      <c r="B4406" s="24" t="s">
        <v>48</v>
      </c>
      <c r="C4406" s="21">
        <f t="shared" si="73"/>
        <v>-0.12</v>
      </c>
      <c r="Z4406" s="79">
        <v>-33.674999999999997</v>
      </c>
      <c r="AE4406" s="42">
        <v>17.09</v>
      </c>
      <c r="BC4406" s="106">
        <v>-67.495000000000005</v>
      </c>
      <c r="BG4406" s="42">
        <v>31.25</v>
      </c>
      <c r="BM4406" s="88">
        <v>34.99</v>
      </c>
      <c r="CQ4406" s="42">
        <v>17.72</v>
      </c>
    </row>
    <row r="4407" spans="1:212" x14ac:dyDescent="0.25">
      <c r="A4407" s="127">
        <v>45483</v>
      </c>
      <c r="B4407" s="24" t="s">
        <v>180</v>
      </c>
      <c r="C4407" s="21">
        <f t="shared" si="73"/>
        <v>-113.97499999999999</v>
      </c>
      <c r="GO4407" s="110">
        <v>-113.97499999999999</v>
      </c>
    </row>
    <row r="4408" spans="1:212" x14ac:dyDescent="0.25">
      <c r="A4408" s="127">
        <v>45483</v>
      </c>
      <c r="B4408" s="24" t="s">
        <v>202</v>
      </c>
      <c r="C4408" s="21">
        <f t="shared" si="73"/>
        <v>-28.815000000000001</v>
      </c>
      <c r="E4408" s="386">
        <v>-28.815000000000001</v>
      </c>
    </row>
    <row r="4409" spans="1:212" x14ac:dyDescent="0.25">
      <c r="A4409" s="127">
        <v>45484</v>
      </c>
      <c r="B4409" s="24" t="s">
        <v>184</v>
      </c>
      <c r="C4409" s="21">
        <f t="shared" si="73"/>
        <v>-75.094999999999999</v>
      </c>
      <c r="V4409" s="74">
        <v>-16.71</v>
      </c>
      <c r="AL4409" s="42">
        <v>-8.01</v>
      </c>
      <c r="AR4409" s="106">
        <v>-6.92</v>
      </c>
      <c r="BG4409" s="42">
        <v>-8.35</v>
      </c>
      <c r="BM4409" s="88">
        <v>-8.5299999999999994</v>
      </c>
      <c r="CE4409" s="42">
        <v>-9.42</v>
      </c>
      <c r="CM4409" s="106">
        <v>-17.155000000000001</v>
      </c>
    </row>
    <row r="4410" spans="1:212" x14ac:dyDescent="0.25">
      <c r="A4410" s="127">
        <v>45484</v>
      </c>
      <c r="B4410" s="24" t="s">
        <v>139</v>
      </c>
      <c r="C4410" s="21">
        <f t="shared" si="73"/>
        <v>-16.940000000000001</v>
      </c>
      <c r="Z4410" s="79">
        <v>-8.44</v>
      </c>
      <c r="AC4410" s="106">
        <v>-8.5</v>
      </c>
    </row>
    <row r="4411" spans="1:212" x14ac:dyDescent="0.25">
      <c r="A4411" s="127">
        <v>45484</v>
      </c>
      <c r="B4411" s="24" t="s">
        <v>181</v>
      </c>
      <c r="C4411" s="21">
        <f t="shared" si="73"/>
        <v>-13.5</v>
      </c>
      <c r="I4411" s="84">
        <v>-13.5</v>
      </c>
    </row>
    <row r="4412" spans="1:212" x14ac:dyDescent="0.25">
      <c r="A4412" s="127">
        <v>45485</v>
      </c>
      <c r="B4412" s="24" t="s">
        <v>79</v>
      </c>
      <c r="C4412" s="21">
        <f t="shared" si="73"/>
        <v>0</v>
      </c>
    </row>
    <row r="4413" spans="1:212" x14ac:dyDescent="0.25">
      <c r="A4413" s="127">
        <v>45485</v>
      </c>
      <c r="B4413" s="24" t="s">
        <v>20</v>
      </c>
      <c r="C4413" s="21">
        <f t="shared" si="73"/>
        <v>-42.284999999999997</v>
      </c>
      <c r="AE4413" s="42">
        <v>-8.5399999999999991</v>
      </c>
      <c r="GZ4413" s="106">
        <v>-33.744999999999997</v>
      </c>
    </row>
    <row r="4414" spans="1:212" x14ac:dyDescent="0.25">
      <c r="A4414" s="127">
        <v>45485</v>
      </c>
      <c r="B4414" s="24" t="s">
        <v>64</v>
      </c>
      <c r="C4414" s="21">
        <f t="shared" si="73"/>
        <v>104.24</v>
      </c>
      <c r="AW4414" s="106">
        <v>104.24</v>
      </c>
    </row>
    <row r="4415" spans="1:212" x14ac:dyDescent="0.25">
      <c r="A4415" s="127">
        <v>45486</v>
      </c>
      <c r="B4415" s="24" t="s">
        <v>113</v>
      </c>
      <c r="C4415" s="21">
        <f t="shared" si="73"/>
        <v>907.48</v>
      </c>
      <c r="BI4415" s="106">
        <v>205.56</v>
      </c>
      <c r="BO4415" s="106">
        <v>98.33</v>
      </c>
      <c r="BU4415" s="106">
        <v>83.375</v>
      </c>
      <c r="CA4415" s="106">
        <v>99.564999999999998</v>
      </c>
      <c r="CG4415" s="106">
        <v>83.745000000000005</v>
      </c>
      <c r="CS4415" s="74">
        <v>65.31</v>
      </c>
      <c r="DE4415" s="74">
        <v>69.575000000000003</v>
      </c>
      <c r="DK4415" s="106">
        <v>136.09</v>
      </c>
      <c r="DP4415" s="74">
        <v>33.200000000000003</v>
      </c>
      <c r="EL4415" s="106">
        <v>32.729999999999997</v>
      </c>
    </row>
    <row r="4416" spans="1:212" x14ac:dyDescent="0.25">
      <c r="A4416" s="127">
        <v>45489</v>
      </c>
      <c r="B4416" s="24" t="s">
        <v>152</v>
      </c>
      <c r="C4416" s="21">
        <f t="shared" si="73"/>
        <v>-165.57499999999999</v>
      </c>
      <c r="Z4416" s="79">
        <v>-33.72</v>
      </c>
      <c r="AC4416" s="106">
        <v>-68.105000000000004</v>
      </c>
      <c r="AR4416" s="106">
        <v>-63.75</v>
      </c>
    </row>
    <row r="4417" spans="1:216" x14ac:dyDescent="0.25">
      <c r="A4417" s="127">
        <v>45489</v>
      </c>
      <c r="B4417" s="24" t="s">
        <v>25</v>
      </c>
      <c r="C4417" s="21">
        <f t="shared" si="73"/>
        <v>-16.625</v>
      </c>
      <c r="AW4417" s="106">
        <v>-8.5399999999999991</v>
      </c>
      <c r="BO4417" s="106">
        <v>-8.0850000000000009</v>
      </c>
    </row>
    <row r="4418" spans="1:216" x14ac:dyDescent="0.25">
      <c r="A4418" s="127">
        <v>45489</v>
      </c>
      <c r="B4418" s="24" t="s">
        <v>20</v>
      </c>
      <c r="C4418" s="21">
        <f t="shared" si="73"/>
        <v>-34.255000000000003</v>
      </c>
      <c r="CA4418" s="106">
        <v>-8.7349999999999994</v>
      </c>
      <c r="CG4418" s="106">
        <v>-8.34</v>
      </c>
      <c r="CM4418" s="106">
        <v>-8.5449999999999999</v>
      </c>
      <c r="CS4418" s="74">
        <v>-8.6349999999999998</v>
      </c>
    </row>
    <row r="4419" spans="1:216" x14ac:dyDescent="0.25">
      <c r="A4419" s="127">
        <v>45489</v>
      </c>
      <c r="B4419" s="24" t="s">
        <v>75</v>
      </c>
      <c r="C4419" s="21">
        <f t="shared" si="73"/>
        <v>-8.1300000000000008</v>
      </c>
      <c r="BC4419" s="106">
        <v>-8.1300000000000008</v>
      </c>
    </row>
    <row r="4420" spans="1:216" x14ac:dyDescent="0.25">
      <c r="A4420" s="127">
        <v>45489</v>
      </c>
      <c r="B4420" s="24" t="s">
        <v>31</v>
      </c>
      <c r="C4420" s="21">
        <f t="shared" si="73"/>
        <v>-63.685000000000002</v>
      </c>
      <c r="GO4420" s="110">
        <v>-29.274999999999999</v>
      </c>
      <c r="HH4420" s="106">
        <v>-34.409999999999997</v>
      </c>
    </row>
    <row r="4421" spans="1:216" x14ac:dyDescent="0.25">
      <c r="A4421" s="127">
        <v>45489</v>
      </c>
      <c r="B4421" s="24" t="s">
        <v>139</v>
      </c>
      <c r="C4421" s="21">
        <f t="shared" si="73"/>
        <v>-25.055</v>
      </c>
      <c r="BU4421" s="106">
        <v>-8.1999999999999993</v>
      </c>
      <c r="CA4421" s="106">
        <v>-8.5500000000000007</v>
      </c>
      <c r="CG4421" s="106">
        <v>-8.3049999999999997</v>
      </c>
    </row>
    <row r="4422" spans="1:216" x14ac:dyDescent="0.25">
      <c r="A4422" s="127">
        <v>45490</v>
      </c>
      <c r="B4422" s="24" t="s">
        <v>48</v>
      </c>
      <c r="C4422" s="21">
        <f t="shared" si="73"/>
        <v>29.114999999999998</v>
      </c>
      <c r="AC4422" s="106">
        <v>-17.05</v>
      </c>
      <c r="DU4422" s="106">
        <v>-24.984999999999999</v>
      </c>
      <c r="ER4422" s="42">
        <v>71.150000000000006</v>
      </c>
    </row>
    <row r="4423" spans="1:216" x14ac:dyDescent="0.25">
      <c r="A4423" s="127">
        <v>45490</v>
      </c>
      <c r="B4423" s="24" t="s">
        <v>17</v>
      </c>
      <c r="C4423" s="21">
        <f t="shared" si="73"/>
        <v>-41.72</v>
      </c>
      <c r="AC4423" s="106">
        <v>-8.49</v>
      </c>
      <c r="AW4423" s="106">
        <v>-8.0500000000000007</v>
      </c>
      <c r="BI4423" s="106">
        <v>-8.4250000000000007</v>
      </c>
      <c r="BO4423" s="106">
        <v>-8.0549999999999997</v>
      </c>
      <c r="BU4423" s="106">
        <v>-8.6999999999999993</v>
      </c>
    </row>
    <row r="4424" spans="1:216" x14ac:dyDescent="0.25">
      <c r="A4424" s="127">
        <v>45490</v>
      </c>
      <c r="B4424" s="24" t="s">
        <v>184</v>
      </c>
      <c r="C4424" s="21">
        <f t="shared" si="73"/>
        <v>-171.36500000000001</v>
      </c>
      <c r="Z4424" s="79">
        <v>-33.604999999999997</v>
      </c>
      <c r="EP4424" s="74">
        <f>-34.25-32.36</f>
        <v>-66.61</v>
      </c>
      <c r="ER4424" s="42">
        <v>-71.150000000000006</v>
      </c>
    </row>
    <row r="4425" spans="1:216" x14ac:dyDescent="0.25">
      <c r="A4425" s="127">
        <v>45490</v>
      </c>
      <c r="B4425" s="24" t="s">
        <v>184</v>
      </c>
      <c r="C4425" s="21">
        <f t="shared" si="73"/>
        <v>-188.37</v>
      </c>
      <c r="V4425" s="74">
        <v>-8.2149999999999999</v>
      </c>
      <c r="AE4425" s="42">
        <v>-8.5500000000000007</v>
      </c>
      <c r="AL4425" s="42">
        <v>-16.2</v>
      </c>
      <c r="AR4425" s="106">
        <v>-8.0500000000000007</v>
      </c>
      <c r="AW4425" s="106">
        <v>-8.0500000000000007</v>
      </c>
      <c r="BI4425" s="106">
        <v>-33.89</v>
      </c>
      <c r="BO4425" s="106">
        <v>-16.145</v>
      </c>
      <c r="BU4425" s="106">
        <v>-33.03</v>
      </c>
      <c r="CA4425" s="106">
        <v>-24.594999999999999</v>
      </c>
      <c r="CG4425" s="106">
        <v>-8.81</v>
      </c>
      <c r="CM4425" s="106">
        <v>-8.6549999999999994</v>
      </c>
      <c r="CS4425" s="74">
        <v>-14.18</v>
      </c>
    </row>
    <row r="4426" spans="1:216" x14ac:dyDescent="0.25">
      <c r="A4426" s="127">
        <v>45490</v>
      </c>
      <c r="B4426" s="24" t="s">
        <v>169</v>
      </c>
      <c r="C4426" s="21">
        <f t="shared" si="73"/>
        <v>-92.734999999999999</v>
      </c>
      <c r="E4426" s="386">
        <v>-59.634999999999998</v>
      </c>
      <c r="F4426" s="145">
        <v>-33.1</v>
      </c>
    </row>
    <row r="4427" spans="1:216" x14ac:dyDescent="0.25">
      <c r="A4427" s="127">
        <v>45490</v>
      </c>
      <c r="B4427" s="24" t="s">
        <v>193</v>
      </c>
      <c r="C4427" s="21">
        <f t="shared" si="73"/>
        <v>-8.11</v>
      </c>
      <c r="CY4427" s="106">
        <v>-8.11</v>
      </c>
    </row>
    <row r="4428" spans="1:216" x14ac:dyDescent="0.25">
      <c r="A4428" s="127">
        <v>45490</v>
      </c>
      <c r="B4428" s="24" t="s">
        <v>173</v>
      </c>
      <c r="C4428" s="21">
        <f t="shared" si="73"/>
        <v>-8.1750000000000007</v>
      </c>
      <c r="V4428" s="74">
        <v>-8.1750000000000007</v>
      </c>
    </row>
    <row r="4429" spans="1:216" x14ac:dyDescent="0.25">
      <c r="A4429" s="127">
        <v>45490</v>
      </c>
      <c r="B4429" s="24" t="s">
        <v>203</v>
      </c>
      <c r="C4429" s="21">
        <f t="shared" si="73"/>
        <v>-33.9</v>
      </c>
      <c r="AL4429" s="42">
        <v>-8.02</v>
      </c>
      <c r="AR4429" s="106">
        <v>-7.86</v>
      </c>
      <c r="AW4429" s="106">
        <v>-8.9499999999999993</v>
      </c>
      <c r="BC4429" s="106">
        <v>-8.1349999999999998</v>
      </c>
      <c r="BG4429" s="42">
        <v>-6.92</v>
      </c>
      <c r="BI4429" s="106">
        <v>-7.5</v>
      </c>
      <c r="BM4429" s="88">
        <v>-16.61</v>
      </c>
      <c r="BU4429" s="106">
        <v>-16.895</v>
      </c>
      <c r="CA4429" s="106">
        <v>-14.4</v>
      </c>
      <c r="CE4429" s="42">
        <v>-9.01</v>
      </c>
      <c r="CG4429" s="106">
        <f>-8.45-8.315-8.3</f>
        <v>-25.065000000000001</v>
      </c>
      <c r="CM4429" s="106">
        <v>-17.14</v>
      </c>
      <c r="CS4429" s="74">
        <v>-16.975000000000001</v>
      </c>
      <c r="DM4429" s="46">
        <v>16.59</v>
      </c>
      <c r="DR4429" s="46">
        <v>9.73</v>
      </c>
      <c r="EC4429" s="126">
        <v>10.15</v>
      </c>
      <c r="EI4429" s="150">
        <v>16.91</v>
      </c>
      <c r="EM4429" s="150">
        <v>8.74</v>
      </c>
      <c r="EQ4429" s="46">
        <v>24.9</v>
      </c>
      <c r="EU4429" s="126">
        <v>17.010000000000002</v>
      </c>
      <c r="EX4429" s="251">
        <v>13.35</v>
      </c>
      <c r="FD4429" s="126">
        <v>12.2</v>
      </c>
    </row>
    <row r="4430" spans="1:216" x14ac:dyDescent="0.25">
      <c r="A4430" s="127">
        <v>45491</v>
      </c>
      <c r="B4430" s="24" t="s">
        <v>58</v>
      </c>
      <c r="C4430" s="21">
        <f t="shared" si="73"/>
        <v>-7.9</v>
      </c>
      <c r="BR4430" s="182">
        <v>-7.9</v>
      </c>
    </row>
    <row r="4431" spans="1:216" x14ac:dyDescent="0.25">
      <c r="A4431" s="127">
        <v>45491</v>
      </c>
      <c r="B4431" s="24" t="s">
        <v>204</v>
      </c>
      <c r="C4431" s="21">
        <f t="shared" si="73"/>
        <v>-16.62</v>
      </c>
      <c r="AW4431" s="106">
        <v>-8</v>
      </c>
      <c r="BM4431" s="88">
        <v>-8.6199999999999992</v>
      </c>
    </row>
    <row r="4432" spans="1:216" x14ac:dyDescent="0.25">
      <c r="A4432" s="127">
        <v>45491</v>
      </c>
      <c r="B4432" s="24" t="s">
        <v>17</v>
      </c>
      <c r="C4432" s="21">
        <f t="shared" si="73"/>
        <v>-116.8</v>
      </c>
      <c r="AL4432" s="42">
        <v>-7.45</v>
      </c>
      <c r="AR4432" s="106">
        <v>-8.1950000000000003</v>
      </c>
      <c r="AW4432" s="106">
        <v>-16.149999999999999</v>
      </c>
      <c r="BI4432" s="106">
        <v>-17.164999999999999</v>
      </c>
      <c r="BO4432" s="106">
        <v>-16.524999999999999</v>
      </c>
      <c r="BU4432" s="106">
        <v>-8.3849999999999998</v>
      </c>
      <c r="CA4432" s="106">
        <v>-8.9849999999999994</v>
      </c>
      <c r="CG4432" s="106">
        <v>-16.645</v>
      </c>
      <c r="CK4432" s="42">
        <v>-8.58</v>
      </c>
      <c r="CS4432" s="74">
        <v>-8.7200000000000006</v>
      </c>
    </row>
    <row r="4433" spans="1:231" x14ac:dyDescent="0.25">
      <c r="A4433" s="127">
        <v>45492</v>
      </c>
      <c r="B4433" s="24" t="s">
        <v>25</v>
      </c>
      <c r="C4433" s="21">
        <f t="shared" si="73"/>
        <v>-25.77</v>
      </c>
      <c r="BU4433" s="106">
        <v>-8.1649999999999991</v>
      </c>
      <c r="CA4433" s="106">
        <v>-9.25</v>
      </c>
      <c r="CJ4433" s="182">
        <v>-8.3550000000000004</v>
      </c>
    </row>
    <row r="4434" spans="1:231" x14ac:dyDescent="0.25">
      <c r="A4434" s="127">
        <v>45492</v>
      </c>
      <c r="B4434" s="24" t="s">
        <v>75</v>
      </c>
      <c r="C4434" s="21">
        <f t="shared" si="73"/>
        <v>-8.0150000000000006</v>
      </c>
      <c r="BC4434" s="106">
        <v>-8.0150000000000006</v>
      </c>
    </row>
    <row r="4435" spans="1:231" x14ac:dyDescent="0.25">
      <c r="A4435" s="127">
        <v>45492</v>
      </c>
      <c r="B4435" s="24" t="s">
        <v>20</v>
      </c>
      <c r="C4435" s="21">
        <f t="shared" si="73"/>
        <v>-3.32</v>
      </c>
      <c r="V4435" s="74">
        <v>-3.32</v>
      </c>
    </row>
    <row r="4436" spans="1:231" x14ac:dyDescent="0.25">
      <c r="A4436" s="127">
        <v>45492</v>
      </c>
      <c r="B4436" s="24" t="s">
        <v>115</v>
      </c>
      <c r="C4436" s="21">
        <f t="shared" si="73"/>
        <v>129.22999999999999</v>
      </c>
      <c r="D4436" s="386">
        <v>67.825000000000003</v>
      </c>
      <c r="E4436" s="386">
        <v>61.405000000000001</v>
      </c>
    </row>
    <row r="4437" spans="1:231" x14ac:dyDescent="0.25">
      <c r="A4437" s="127">
        <v>45493</v>
      </c>
      <c r="B4437" s="24" t="s">
        <v>137</v>
      </c>
      <c r="C4437" s="21">
        <f t="shared" si="73"/>
        <v>-43.034999999999997</v>
      </c>
      <c r="AL4437" s="42">
        <v>-7.98</v>
      </c>
      <c r="AW4437" s="106">
        <v>-8.5</v>
      </c>
      <c r="BO4437" s="106">
        <v>-8.2449999999999992</v>
      </c>
      <c r="BX4437" s="182">
        <v>-10.02</v>
      </c>
      <c r="CG4437" s="106">
        <v>-8.2899999999999991</v>
      </c>
    </row>
    <row r="4438" spans="1:231" x14ac:dyDescent="0.25">
      <c r="A4438" s="127">
        <v>45493</v>
      </c>
      <c r="B4438" s="24" t="s">
        <v>113</v>
      </c>
      <c r="C4438" s="21">
        <f t="shared" si="73"/>
        <v>949.01</v>
      </c>
      <c r="AW4438" s="106">
        <v>96.685000000000002</v>
      </c>
      <c r="BC4438" s="106">
        <v>116.27500000000001</v>
      </c>
      <c r="BO4438" s="106">
        <v>67.400000000000006</v>
      </c>
      <c r="BU4438" s="106">
        <v>84.954999999999998</v>
      </c>
      <c r="CA4438" s="106">
        <v>97.62</v>
      </c>
      <c r="CG4438" s="106">
        <v>116.91500000000001</v>
      </c>
      <c r="CM4438" s="106">
        <v>65.834999999999994</v>
      </c>
      <c r="CS4438" s="74">
        <v>68.234999999999999</v>
      </c>
      <c r="CY4438" s="106">
        <v>100.655</v>
      </c>
      <c r="DE4438" s="74">
        <v>69.62</v>
      </c>
      <c r="DP4438" s="74">
        <v>64.814999999999998</v>
      </c>
    </row>
    <row r="4439" spans="1:231" x14ac:dyDescent="0.25">
      <c r="A4439" s="127">
        <v>45495</v>
      </c>
      <c r="B4439" s="24" t="s">
        <v>193</v>
      </c>
      <c r="C4439" s="21">
        <f t="shared" si="73"/>
        <v>-7.165</v>
      </c>
      <c r="BU4439" s="106">
        <v>-7.165</v>
      </c>
    </row>
    <row r="4440" spans="1:231" x14ac:dyDescent="0.25">
      <c r="A4440" s="127">
        <v>45495</v>
      </c>
      <c r="B4440" s="24" t="s">
        <v>44</v>
      </c>
      <c r="C4440" s="21">
        <f t="shared" si="73"/>
        <v>-198.69</v>
      </c>
      <c r="GQ4440" s="92">
        <v>-149.10499999999999</v>
      </c>
      <c r="GZ4440" s="106">
        <v>-33.53</v>
      </c>
      <c r="HR4440" s="92">
        <v>-8.4749999999999996</v>
      </c>
      <c r="HW4440" s="42">
        <v>-7.58</v>
      </c>
    </row>
    <row r="4441" spans="1:231" x14ac:dyDescent="0.25">
      <c r="A4441" s="127">
        <v>45495</v>
      </c>
      <c r="B4441" s="24" t="s">
        <v>184</v>
      </c>
      <c r="C4441" s="21">
        <f t="shared" si="73"/>
        <v>-56.62</v>
      </c>
      <c r="AW4441" s="106">
        <v>-8.34</v>
      </c>
      <c r="BC4441" s="106">
        <v>-33.119999999999997</v>
      </c>
      <c r="BU4441" s="106">
        <v>-8.1850000000000005</v>
      </c>
      <c r="CA4441" s="106">
        <v>-6.9749999999999996</v>
      </c>
    </row>
    <row r="4442" spans="1:231" x14ac:dyDescent="0.25">
      <c r="A4442" s="127">
        <v>45495</v>
      </c>
      <c r="B4442" s="24" t="s">
        <v>17</v>
      </c>
      <c r="C4442" s="21">
        <f t="shared" si="73"/>
        <v>-16.64</v>
      </c>
      <c r="CA4442" s="106">
        <v>-16.64</v>
      </c>
    </row>
    <row r="4443" spans="1:231" x14ac:dyDescent="0.25">
      <c r="A4443" s="127">
        <v>45496</v>
      </c>
      <c r="B4443" s="24" t="s">
        <v>139</v>
      </c>
      <c r="C4443" s="21">
        <f t="shared" si="73"/>
        <v>-16.899999999999999</v>
      </c>
      <c r="BO4443" s="106">
        <v>-8.375</v>
      </c>
      <c r="CG4443" s="106">
        <v>-8.5250000000000004</v>
      </c>
    </row>
    <row r="4444" spans="1:231" x14ac:dyDescent="0.25">
      <c r="A4444" s="127">
        <v>45496</v>
      </c>
      <c r="B4444" s="24" t="s">
        <v>20</v>
      </c>
      <c r="C4444" s="21">
        <f t="shared" si="73"/>
        <v>-23.495000000000001</v>
      </c>
      <c r="BI4444" s="106">
        <v>-8.15</v>
      </c>
      <c r="BO4444" s="106">
        <v>-7.8949999999999996</v>
      </c>
      <c r="BU4444" s="106">
        <v>-7.45</v>
      </c>
    </row>
    <row r="4445" spans="1:231" x14ac:dyDescent="0.25">
      <c r="A4445" s="127">
        <v>45496</v>
      </c>
      <c r="B4445" s="24" t="s">
        <v>147</v>
      </c>
      <c r="C4445" s="21">
        <f t="shared" si="73"/>
        <v>-33.729999999999997</v>
      </c>
      <c r="BC4445" s="106">
        <v>-8.32</v>
      </c>
      <c r="BO4445" s="106">
        <v>-8.5299999999999994</v>
      </c>
      <c r="CG4445" s="106">
        <v>-8.2899999999999991</v>
      </c>
      <c r="CM4445" s="106">
        <v>-8.59</v>
      </c>
    </row>
    <row r="4446" spans="1:231" x14ac:dyDescent="0.25">
      <c r="A4446" s="127">
        <v>45496</v>
      </c>
      <c r="B4446" s="24" t="s">
        <v>204</v>
      </c>
      <c r="C4446" s="21">
        <f t="shared" si="73"/>
        <v>-12.24</v>
      </c>
      <c r="V4446" s="74">
        <v>-4.84</v>
      </c>
      <c r="AC4446" s="106">
        <v>-7.4</v>
      </c>
    </row>
    <row r="4447" spans="1:231" x14ac:dyDescent="0.25">
      <c r="A4447" s="127">
        <v>45496</v>
      </c>
      <c r="B4447" s="24" t="s">
        <v>33</v>
      </c>
      <c r="C4447" s="21">
        <f t="shared" si="73"/>
        <v>-16.254999999999999</v>
      </c>
      <c r="AL4447" s="42">
        <v>-8.01</v>
      </c>
      <c r="BO4447" s="106">
        <v>-8.2449999999999992</v>
      </c>
    </row>
    <row r="4448" spans="1:231" x14ac:dyDescent="0.25">
      <c r="A4448" s="127">
        <v>45496</v>
      </c>
      <c r="B4448" s="24" t="s">
        <v>115</v>
      </c>
      <c r="C4448" s="21">
        <f t="shared" si="73"/>
        <v>42.774999999999999</v>
      </c>
      <c r="E4448" s="386">
        <v>42.774999999999999</v>
      </c>
    </row>
    <row r="4449" spans="1:208" x14ac:dyDescent="0.25">
      <c r="A4449" s="127">
        <v>45498</v>
      </c>
      <c r="B4449" s="24" t="s">
        <v>204</v>
      </c>
      <c r="C4449" s="21">
        <f t="shared" si="73"/>
        <v>-5.35</v>
      </c>
      <c r="I4449" s="84">
        <v>-1.02</v>
      </c>
      <c r="L4449" s="69">
        <v>-4.33</v>
      </c>
    </row>
    <row r="4450" spans="1:208" x14ac:dyDescent="0.25">
      <c r="A4450" s="127">
        <v>45498</v>
      </c>
      <c r="B4450" s="24" t="s">
        <v>200</v>
      </c>
      <c r="C4450" s="21">
        <f t="shared" si="73"/>
        <v>-33.57</v>
      </c>
      <c r="CG4450" s="106">
        <v>-33.57</v>
      </c>
    </row>
    <row r="4451" spans="1:208" x14ac:dyDescent="0.25">
      <c r="A4451" s="127">
        <v>45499</v>
      </c>
      <c r="B4451" s="24" t="s">
        <v>138</v>
      </c>
      <c r="C4451" s="21">
        <f t="shared" si="73"/>
        <v>-15.895</v>
      </c>
      <c r="AL4451" s="42">
        <v>-8.01</v>
      </c>
      <c r="AR4451" s="106">
        <v>-7.8849999999999998</v>
      </c>
    </row>
    <row r="4452" spans="1:208" x14ac:dyDescent="0.25">
      <c r="A4452" s="127">
        <v>45499</v>
      </c>
      <c r="B4452" s="24" t="s">
        <v>20</v>
      </c>
      <c r="C4452" s="21">
        <f t="shared" si="73"/>
        <v>-16.579999999999998</v>
      </c>
      <c r="AW4452" s="106">
        <v>-8.23</v>
      </c>
      <c r="BC4452" s="106">
        <v>-8.35</v>
      </c>
    </row>
    <row r="4453" spans="1:208" x14ac:dyDescent="0.25">
      <c r="A4453" s="127">
        <v>45499</v>
      </c>
      <c r="B4453" s="24" t="s">
        <v>184</v>
      </c>
      <c r="C4453" s="21">
        <f t="shared" si="73"/>
        <v>-108.1</v>
      </c>
      <c r="AW4453" s="106">
        <v>-7.58</v>
      </c>
      <c r="BI4453" s="106">
        <v>-17.920000000000002</v>
      </c>
      <c r="BO4453" s="106">
        <v>-17.055</v>
      </c>
      <c r="BU4453" s="106">
        <v>-14.99</v>
      </c>
      <c r="CA4453" s="106">
        <v>-16.95</v>
      </c>
      <c r="CG4453" s="106">
        <v>-8.3800000000000008</v>
      </c>
      <c r="CM4453" s="106">
        <v>-8.5500000000000007</v>
      </c>
      <c r="CS4453" s="74">
        <v>-8.2899999999999991</v>
      </c>
      <c r="CY4453" s="106">
        <v>-8.3849999999999998</v>
      </c>
    </row>
    <row r="4454" spans="1:208" x14ac:dyDescent="0.25">
      <c r="A4454" s="127">
        <v>45499</v>
      </c>
      <c r="B4454" s="24" t="s">
        <v>152</v>
      </c>
      <c r="C4454" s="21">
        <f t="shared" si="73"/>
        <v>-132.26499999999999</v>
      </c>
      <c r="EA4454" s="74">
        <v>-132.26499999999999</v>
      </c>
    </row>
    <row r="4455" spans="1:208" x14ac:dyDescent="0.25">
      <c r="A4455" s="127">
        <v>45500</v>
      </c>
      <c r="B4455" s="24" t="s">
        <v>20</v>
      </c>
      <c r="C4455" s="21">
        <f t="shared" si="73"/>
        <v>-33.255000000000003</v>
      </c>
      <c r="BU4455" s="106">
        <v>-8.14</v>
      </c>
      <c r="CG4455" s="106">
        <v>-8.4049999999999994</v>
      </c>
      <c r="CM4455" s="106">
        <v>-8.1999999999999993</v>
      </c>
      <c r="CS4455" s="74">
        <v>-8.51</v>
      </c>
    </row>
    <row r="4456" spans="1:208" x14ac:dyDescent="0.25">
      <c r="A4456" s="127">
        <v>45500</v>
      </c>
      <c r="B4456" s="24" t="s">
        <v>184</v>
      </c>
      <c r="C4456" s="21">
        <f t="shared" si="73"/>
        <v>-24.875</v>
      </c>
      <c r="CM4456" s="106">
        <f>-8.24-8.245</f>
        <v>-16.484999999999999</v>
      </c>
      <c r="EA4456" s="74">
        <v>-8.39</v>
      </c>
    </row>
    <row r="4457" spans="1:208" x14ac:dyDescent="0.25">
      <c r="A4457" s="127">
        <v>45500</v>
      </c>
      <c r="B4457" s="24" t="s">
        <v>222</v>
      </c>
      <c r="C4457" s="21">
        <f t="shared" si="73"/>
        <v>-9.3049999999999997</v>
      </c>
      <c r="CA4457" s="106">
        <v>-9.3049999999999997</v>
      </c>
    </row>
    <row r="4458" spans="1:208" x14ac:dyDescent="0.25">
      <c r="A4458" s="127">
        <v>45502</v>
      </c>
      <c r="B4458" s="24" t="s">
        <v>184</v>
      </c>
      <c r="C4458" s="21">
        <f t="shared" si="73"/>
        <v>-38.6</v>
      </c>
      <c r="BI4458" s="106">
        <v>-8.9600000000000009</v>
      </c>
      <c r="BO4458" s="106">
        <v>-8.3849999999999998</v>
      </c>
      <c r="BU4458" s="106">
        <v>-5.3150000000000004</v>
      </c>
      <c r="CA4458" s="106">
        <v>-7.6950000000000003</v>
      </c>
      <c r="CM4458" s="106">
        <v>-8.2449999999999992</v>
      </c>
    </row>
    <row r="4459" spans="1:208" x14ac:dyDescent="0.25">
      <c r="A4459" s="127">
        <v>45502</v>
      </c>
      <c r="B4459" s="24" t="s">
        <v>48</v>
      </c>
      <c r="C4459" s="21">
        <f t="shared" si="73"/>
        <v>-64.965000000000003</v>
      </c>
      <c r="AC4459" s="106">
        <f>-8.515-8.545</f>
        <v>-17.059999999999999</v>
      </c>
      <c r="AW4459" s="106">
        <f>-8.365-7.125</f>
        <v>-15.49</v>
      </c>
      <c r="CA4459" s="106">
        <v>-32.414999999999999</v>
      </c>
    </row>
    <row r="4460" spans="1:208" x14ac:dyDescent="0.25">
      <c r="A4460" s="127">
        <v>45502</v>
      </c>
      <c r="B4460" s="24" t="s">
        <v>17</v>
      </c>
      <c r="C4460" s="21">
        <f t="shared" si="73"/>
        <v>-8.4849999999999994</v>
      </c>
      <c r="BO4460" s="106">
        <v>-8.4849999999999994</v>
      </c>
    </row>
    <row r="4461" spans="1:208" x14ac:dyDescent="0.25">
      <c r="A4461" s="127">
        <v>45502</v>
      </c>
      <c r="B4461" s="24" t="s">
        <v>188</v>
      </c>
      <c r="C4461" s="21">
        <f t="shared" si="73"/>
        <v>-25.785</v>
      </c>
      <c r="BM4461" s="88">
        <v>-8.6199999999999992</v>
      </c>
      <c r="CK4461" s="42">
        <v>-8.73</v>
      </c>
      <c r="CR4461" s="69">
        <v>-8.4350000000000005</v>
      </c>
    </row>
    <row r="4462" spans="1:208" x14ac:dyDescent="0.25">
      <c r="A4462" s="127">
        <v>45503</v>
      </c>
      <c r="B4462" s="24" t="s">
        <v>75</v>
      </c>
      <c r="C4462" s="21">
        <f t="shared" si="73"/>
        <v>-8.0950000000000006</v>
      </c>
      <c r="BU4462" s="106">
        <v>-8.0950000000000006</v>
      </c>
    </row>
    <row r="4463" spans="1:208" x14ac:dyDescent="0.25">
      <c r="A4463" s="127">
        <v>45503</v>
      </c>
      <c r="B4463" s="24" t="s">
        <v>20</v>
      </c>
      <c r="C4463" s="21">
        <f t="shared" si="73"/>
        <v>-50.63</v>
      </c>
      <c r="AR4463" s="106">
        <v>-7.875</v>
      </c>
      <c r="BI4463" s="106">
        <v>-8.98</v>
      </c>
      <c r="CM4463" s="106">
        <v>-8.2200000000000006</v>
      </c>
      <c r="GZ4463" s="106">
        <v>-25.555</v>
      </c>
    </row>
    <row r="4464" spans="1:208" x14ac:dyDescent="0.25">
      <c r="A4464" s="127">
        <v>45503</v>
      </c>
      <c r="B4464" s="24" t="s">
        <v>138</v>
      </c>
      <c r="C4464" s="21">
        <f t="shared" si="73"/>
        <v>-24.56</v>
      </c>
      <c r="CG4464" s="106">
        <v>-8.41</v>
      </c>
      <c r="CM4464" s="106">
        <v>-8.2149999999999999</v>
      </c>
      <c r="CS4464" s="74">
        <v>-7.9349999999999996</v>
      </c>
    </row>
    <row r="4465" spans="1:226" x14ac:dyDescent="0.25">
      <c r="A4465" s="127">
        <v>45503</v>
      </c>
      <c r="B4465" s="24" t="s">
        <v>197</v>
      </c>
      <c r="C4465" s="21">
        <f t="shared" ref="C4465:C4528" si="74">SUM(D4465:JT4465)</f>
        <v>-99.09</v>
      </c>
      <c r="BC4465" s="106">
        <v>-8.2750000000000004</v>
      </c>
      <c r="BI4465" s="106">
        <v>-17.074999999999999</v>
      </c>
      <c r="BU4465" s="106">
        <v>-15.63</v>
      </c>
      <c r="CA4465" s="106">
        <v>-16.425000000000001</v>
      </c>
      <c r="CG4465" s="106">
        <v>-8.39</v>
      </c>
      <c r="CM4465" s="106">
        <v>-16.47</v>
      </c>
      <c r="CS4465" s="74">
        <v>-16.824999999999999</v>
      </c>
    </row>
    <row r="4466" spans="1:226" x14ac:dyDescent="0.25">
      <c r="A4466" s="127">
        <v>45503</v>
      </c>
      <c r="B4466" s="24" t="s">
        <v>29</v>
      </c>
      <c r="C4466" s="21">
        <f t="shared" si="74"/>
        <v>-8.93</v>
      </c>
      <c r="BI4466" s="106">
        <v>-8.93</v>
      </c>
    </row>
    <row r="4467" spans="1:226" x14ac:dyDescent="0.25">
      <c r="A4467" s="127">
        <v>45503</v>
      </c>
      <c r="B4467" s="24" t="s">
        <v>68</v>
      </c>
      <c r="C4467" s="21">
        <f t="shared" si="74"/>
        <v>-64.605000000000004</v>
      </c>
      <c r="BC4467" s="106">
        <v>-8.2650000000000006</v>
      </c>
      <c r="BI4467" s="106">
        <v>-22.56</v>
      </c>
      <c r="BO4467" s="106">
        <v>-24.78</v>
      </c>
      <c r="CS4467" s="74">
        <v>-9</v>
      </c>
    </row>
    <row r="4468" spans="1:226" x14ac:dyDescent="0.25">
      <c r="A4468" s="127">
        <v>45503</v>
      </c>
      <c r="B4468" s="24" t="s">
        <v>139</v>
      </c>
      <c r="C4468" s="21">
        <f t="shared" si="74"/>
        <v>-8.2449999999999992</v>
      </c>
      <c r="CG4468" s="106">
        <v>-8.2449999999999992</v>
      </c>
    </row>
    <row r="4469" spans="1:226" x14ac:dyDescent="0.25">
      <c r="A4469" s="127">
        <v>45503</v>
      </c>
      <c r="B4469" s="24" t="s">
        <v>130</v>
      </c>
      <c r="C4469" s="21">
        <f t="shared" si="74"/>
        <v>-8.25</v>
      </c>
      <c r="BO4469" s="106">
        <v>-8.25</v>
      </c>
    </row>
    <row r="4470" spans="1:226" x14ac:dyDescent="0.25">
      <c r="A4470" s="127">
        <v>45503</v>
      </c>
      <c r="B4470" s="24" t="s">
        <v>39</v>
      </c>
      <c r="C4470" s="21">
        <f t="shared" si="74"/>
        <v>-34.125</v>
      </c>
      <c r="BC4470" s="106">
        <f>-8.28-8.37</f>
        <v>-16.649999999999999</v>
      </c>
      <c r="BI4470" s="106">
        <v>-8.9499999999999993</v>
      </c>
      <c r="BO4470" s="106">
        <v>-8.5250000000000004</v>
      </c>
    </row>
    <row r="4471" spans="1:226" x14ac:dyDescent="0.25">
      <c r="A4471" s="127">
        <v>45504</v>
      </c>
      <c r="B4471" s="24" t="s">
        <v>82</v>
      </c>
      <c r="C4471" s="21">
        <f t="shared" si="74"/>
        <v>-101.93</v>
      </c>
      <c r="HH4471" s="106">
        <v>-51.13</v>
      </c>
      <c r="HR4471" s="92">
        <v>-50.8</v>
      </c>
    </row>
    <row r="4472" spans="1:226" x14ac:dyDescent="0.25">
      <c r="A4472" s="127">
        <v>45504</v>
      </c>
      <c r="B4472" s="24" t="s">
        <v>48</v>
      </c>
      <c r="C4472" s="21">
        <f t="shared" si="74"/>
        <v>-68.224999999999994</v>
      </c>
      <c r="AW4472" s="106">
        <v>-68.224999999999994</v>
      </c>
    </row>
    <row r="4473" spans="1:226" x14ac:dyDescent="0.25">
      <c r="A4473" s="127">
        <v>45505</v>
      </c>
      <c r="B4473" s="24" t="s">
        <v>193</v>
      </c>
      <c r="C4473" s="21">
        <f t="shared" si="74"/>
        <v>-4.9649999999999999</v>
      </c>
      <c r="BU4473" s="106">
        <v>-4.9649999999999999</v>
      </c>
    </row>
    <row r="4474" spans="1:226" x14ac:dyDescent="0.25">
      <c r="A4474" s="127">
        <v>45506</v>
      </c>
      <c r="B4474" s="24" t="s">
        <v>214</v>
      </c>
      <c r="C4474" s="21">
        <f t="shared" si="74"/>
        <v>-200.51</v>
      </c>
      <c r="AW4474" s="106">
        <v>-24.29</v>
      </c>
      <c r="BC4474" s="106">
        <v>-16.664999999999999</v>
      </c>
      <c r="BI4474" s="106">
        <v>-35.505000000000003</v>
      </c>
      <c r="CA4474" s="106">
        <v>-14.865</v>
      </c>
      <c r="CG4474" s="106">
        <v>-33.14</v>
      </c>
      <c r="CJ4474" s="182">
        <f>-8.38-8.33</f>
        <v>-16.71</v>
      </c>
      <c r="CS4474" s="74">
        <v>-34.475000000000001</v>
      </c>
      <c r="CY4474" s="106">
        <v>-24.86</v>
      </c>
    </row>
    <row r="4475" spans="1:226" x14ac:dyDescent="0.25">
      <c r="A4475" s="127">
        <v>45506</v>
      </c>
      <c r="B4475" s="24" t="s">
        <v>184</v>
      </c>
      <c r="C4475" s="21">
        <f t="shared" si="74"/>
        <v>-52.115000000000002</v>
      </c>
      <c r="CJ4475" s="182">
        <v>-8.4049999999999994</v>
      </c>
      <c r="CK4475" s="42">
        <v>-43.71</v>
      </c>
    </row>
    <row r="4476" spans="1:226" x14ac:dyDescent="0.25">
      <c r="A4476" s="127">
        <v>45506</v>
      </c>
      <c r="B4476" s="24" t="s">
        <v>20</v>
      </c>
      <c r="C4476" s="21">
        <f t="shared" si="74"/>
        <v>-16.010000000000002</v>
      </c>
      <c r="AC4476" s="106">
        <v>-8.6199999999999992</v>
      </c>
      <c r="BM4476" s="88">
        <v>-7.39</v>
      </c>
    </row>
    <row r="4477" spans="1:226" x14ac:dyDescent="0.25">
      <c r="A4477" s="127">
        <v>45506</v>
      </c>
      <c r="B4477" s="24" t="s">
        <v>127</v>
      </c>
      <c r="C4477" s="21">
        <f t="shared" si="74"/>
        <v>-16.305</v>
      </c>
      <c r="AW4477" s="106">
        <v>-7.95</v>
      </c>
      <c r="BC4477" s="106">
        <v>-8.3550000000000004</v>
      </c>
    </row>
    <row r="4478" spans="1:226" x14ac:dyDescent="0.25">
      <c r="A4478" s="127">
        <v>45507</v>
      </c>
      <c r="B4478" s="24" t="s">
        <v>44</v>
      </c>
      <c r="C4478" s="21">
        <f t="shared" si="74"/>
        <v>-84.28</v>
      </c>
      <c r="GQ4478" s="92">
        <v>-84.28</v>
      </c>
    </row>
    <row r="4479" spans="1:226" x14ac:dyDescent="0.25">
      <c r="A4479" s="127">
        <v>45507</v>
      </c>
      <c r="B4479" s="24" t="s">
        <v>20</v>
      </c>
      <c r="C4479" s="21">
        <f t="shared" si="74"/>
        <v>0</v>
      </c>
    </row>
    <row r="4480" spans="1:226" x14ac:dyDescent="0.25">
      <c r="A4480" s="127">
        <v>45509</v>
      </c>
      <c r="B4480" s="24" t="s">
        <v>48</v>
      </c>
      <c r="C4480" s="21">
        <f t="shared" si="74"/>
        <v>-17.059999999999999</v>
      </c>
      <c r="AC4480" s="106">
        <f>-8.54-8.52</f>
        <v>-17.059999999999999</v>
      </c>
    </row>
    <row r="4481" spans="1:208" x14ac:dyDescent="0.25">
      <c r="A4481" s="127">
        <v>45509</v>
      </c>
      <c r="B4481" s="24" t="s">
        <v>32</v>
      </c>
      <c r="C4481" s="21">
        <f t="shared" si="74"/>
        <v>-17.07</v>
      </c>
      <c r="AC4481" s="106">
        <v>-17.07</v>
      </c>
    </row>
    <row r="4482" spans="1:208" x14ac:dyDescent="0.25">
      <c r="A4482" s="127">
        <v>45509</v>
      </c>
      <c r="B4482" s="24" t="s">
        <v>133</v>
      </c>
      <c r="C4482" s="21">
        <f t="shared" si="74"/>
        <v>-34.024999999999999</v>
      </c>
      <c r="AR4482" s="106">
        <v>-34.024999999999999</v>
      </c>
    </row>
    <row r="4483" spans="1:208" x14ac:dyDescent="0.25">
      <c r="A4483" s="127">
        <v>45510</v>
      </c>
      <c r="B4483" s="24" t="s">
        <v>20</v>
      </c>
      <c r="C4483" s="21">
        <f t="shared" si="74"/>
        <v>-53.575000000000003</v>
      </c>
      <c r="CC4483" s="126">
        <v>-8.01</v>
      </c>
      <c r="CQ4483" s="42">
        <v>-8.85</v>
      </c>
      <c r="CY4483" s="106">
        <v>-8.3450000000000006</v>
      </c>
      <c r="GZ4483" s="106">
        <v>-28.37</v>
      </c>
    </row>
    <row r="4484" spans="1:208" x14ac:dyDescent="0.25">
      <c r="A4484" s="127">
        <v>45510</v>
      </c>
      <c r="B4484" s="24" t="s">
        <v>33</v>
      </c>
      <c r="C4484" s="21">
        <f t="shared" si="74"/>
        <v>-17.324999999999999</v>
      </c>
      <c r="BC4484" s="106">
        <v>-8.2750000000000004</v>
      </c>
      <c r="BI4484" s="106">
        <v>-9.0500000000000007</v>
      </c>
    </row>
    <row r="4485" spans="1:208" x14ac:dyDescent="0.25">
      <c r="A4485" s="127">
        <v>45510</v>
      </c>
      <c r="B4485" s="24" t="s">
        <v>184</v>
      </c>
      <c r="C4485" s="21">
        <f t="shared" si="74"/>
        <v>-105.72</v>
      </c>
      <c r="BY4485" s="42">
        <v>-17.98</v>
      </c>
      <c r="CE4485" s="42">
        <v>-35.409999999999997</v>
      </c>
      <c r="CY4485" s="106">
        <v>-17.53</v>
      </c>
      <c r="DE4485" s="74">
        <v>-34.799999999999997</v>
      </c>
    </row>
    <row r="4486" spans="1:208" x14ac:dyDescent="0.25">
      <c r="A4486" s="127">
        <v>45510</v>
      </c>
      <c r="B4486" s="24" t="s">
        <v>48</v>
      </c>
      <c r="C4486" s="21">
        <f t="shared" si="74"/>
        <v>89.42</v>
      </c>
      <c r="BY4486" s="42">
        <f>36.08</f>
        <v>36.08</v>
      </c>
      <c r="CE4486" s="42">
        <f>35.41+8.79+9.14</f>
        <v>53.34</v>
      </c>
    </row>
    <row r="4487" spans="1:208" x14ac:dyDescent="0.25">
      <c r="A4487" s="127">
        <v>45511</v>
      </c>
      <c r="B4487" s="24" t="s">
        <v>162</v>
      </c>
      <c r="C4487" s="21">
        <f t="shared" si="74"/>
        <v>-59.755000000000003</v>
      </c>
      <c r="DE4487" s="74">
        <v>-43.49</v>
      </c>
      <c r="DK4487" s="106">
        <v>-16.265000000000001</v>
      </c>
    </row>
    <row r="4488" spans="1:208" x14ac:dyDescent="0.25">
      <c r="A4488" s="127">
        <v>45511</v>
      </c>
      <c r="B4488" s="24" t="s">
        <v>113</v>
      </c>
      <c r="C4488" s="21">
        <f t="shared" si="74"/>
        <v>1055.25</v>
      </c>
      <c r="AW4488" s="106">
        <v>96.74</v>
      </c>
      <c r="BC4488" s="106">
        <v>145.01499999999999</v>
      </c>
      <c r="BO4488" s="106">
        <v>68.185000000000002</v>
      </c>
      <c r="BU4488" s="106">
        <v>80.06</v>
      </c>
      <c r="CA4488" s="106">
        <v>95.78</v>
      </c>
      <c r="CM4488" s="106">
        <v>97.224999999999994</v>
      </c>
      <c r="CS4488" s="74">
        <v>92.234999999999999</v>
      </c>
      <c r="DU4488" s="106">
        <v>64.185000000000002</v>
      </c>
      <c r="GQ4488" s="92">
        <v>315.82499999999999</v>
      </c>
    </row>
    <row r="4489" spans="1:208" x14ac:dyDescent="0.25">
      <c r="A4489" s="127">
        <v>45511</v>
      </c>
      <c r="B4489" s="24" t="s">
        <v>192</v>
      </c>
      <c r="C4489" s="21">
        <f t="shared" si="74"/>
        <v>-68.900000000000006</v>
      </c>
      <c r="DK4489" s="106">
        <v>-68.900000000000006</v>
      </c>
    </row>
    <row r="4490" spans="1:208" x14ac:dyDescent="0.25">
      <c r="A4490" s="127">
        <v>45511</v>
      </c>
      <c r="B4490" s="24" t="s">
        <v>204</v>
      </c>
      <c r="C4490" s="21">
        <f t="shared" si="74"/>
        <v>-7.5949999999999998</v>
      </c>
      <c r="Z4490" s="79">
        <v>-7.5949999999999998</v>
      </c>
    </row>
    <row r="4491" spans="1:208" x14ac:dyDescent="0.25">
      <c r="A4491" s="127">
        <v>45511</v>
      </c>
      <c r="B4491" s="24" t="s">
        <v>139</v>
      </c>
      <c r="C4491" s="21">
        <f t="shared" si="74"/>
        <v>-16.465</v>
      </c>
      <c r="CY4491" s="106">
        <f>-8.24-8.225</f>
        <v>-16.465</v>
      </c>
    </row>
    <row r="4492" spans="1:208" x14ac:dyDescent="0.25">
      <c r="A4492" s="127">
        <v>45511</v>
      </c>
      <c r="B4492" s="24" t="s">
        <v>214</v>
      </c>
      <c r="C4492" s="21">
        <f t="shared" si="74"/>
        <v>-64.094999999999999</v>
      </c>
      <c r="BO4492" s="106">
        <v>-25.585000000000001</v>
      </c>
      <c r="BU4492" s="106">
        <v>-24.065000000000001</v>
      </c>
      <c r="DK4492" s="106">
        <v>-14.445</v>
      </c>
    </row>
    <row r="4493" spans="1:208" x14ac:dyDescent="0.25">
      <c r="A4493" s="127">
        <v>45511</v>
      </c>
      <c r="B4493" s="24" t="s">
        <v>33</v>
      </c>
      <c r="C4493" s="21">
        <f t="shared" si="74"/>
        <v>-8.9600000000000009</v>
      </c>
      <c r="BY4493" s="42">
        <v>-8.9600000000000009</v>
      </c>
    </row>
    <row r="4494" spans="1:208" x14ac:dyDescent="0.25">
      <c r="A4494" s="127">
        <v>45512</v>
      </c>
      <c r="B4494" s="24" t="s">
        <v>205</v>
      </c>
      <c r="C4494" s="21">
        <f t="shared" si="74"/>
        <v>-573.03</v>
      </c>
      <c r="V4494" s="74">
        <v>-35.034999999999997</v>
      </c>
      <c r="Z4494" s="79">
        <v>-33.729999999999997</v>
      </c>
      <c r="AC4494" s="106">
        <v>-34.090000000000003</v>
      </c>
      <c r="AW4494" s="106">
        <v>-32.414999999999999</v>
      </c>
      <c r="CA4494" s="106">
        <v>-32.704999999999998</v>
      </c>
      <c r="CE4494" s="42">
        <v>-72.599999999999994</v>
      </c>
      <c r="CM4494" s="106">
        <f>-32.97-32.025</f>
        <v>-64.995000000000005</v>
      </c>
      <c r="CQ4494" s="42">
        <v>-70.489999999999995</v>
      </c>
      <c r="CS4494" s="74">
        <v>-31.86</v>
      </c>
      <c r="DP4494" s="74">
        <f>-31.765-33.2</f>
        <v>-64.965000000000003</v>
      </c>
      <c r="DS4494" s="42">
        <v>-35.96</v>
      </c>
      <c r="DU4494" s="106">
        <f>-30.695-33.49</f>
        <v>-64.185000000000002</v>
      </c>
    </row>
    <row r="4495" spans="1:208" x14ac:dyDescent="0.25">
      <c r="A4495" s="127">
        <v>45512</v>
      </c>
      <c r="B4495" s="24" t="s">
        <v>184</v>
      </c>
      <c r="C4495" s="21">
        <f t="shared" si="74"/>
        <v>-97.85</v>
      </c>
      <c r="L4495" s="69">
        <v>-2.1</v>
      </c>
      <c r="AW4495" s="106">
        <v>-24.835000000000001</v>
      </c>
      <c r="BC4495" s="106">
        <v>-6.7649999999999997</v>
      </c>
      <c r="BO4495" s="106">
        <v>-17.015000000000001</v>
      </c>
      <c r="BU4495" s="106">
        <v>-24.015000000000001</v>
      </c>
      <c r="CA4495" s="106">
        <v>-7.18</v>
      </c>
      <c r="CM4495" s="106">
        <v>-15.94</v>
      </c>
    </row>
    <row r="4496" spans="1:208" x14ac:dyDescent="0.25">
      <c r="A4496" s="127">
        <v>45512</v>
      </c>
      <c r="B4496" s="24" t="s">
        <v>193</v>
      </c>
      <c r="C4496" s="21">
        <f t="shared" si="74"/>
        <v>-21.65</v>
      </c>
      <c r="BU4496" s="106">
        <v>-5.0199999999999996</v>
      </c>
      <c r="CM4496" s="106">
        <v>-8.3000000000000007</v>
      </c>
      <c r="CY4496" s="106">
        <v>-8.33</v>
      </c>
    </row>
    <row r="4497" spans="1:224" x14ac:dyDescent="0.25">
      <c r="A4497" s="127">
        <v>45512</v>
      </c>
      <c r="B4497" s="24" t="s">
        <v>44</v>
      </c>
      <c r="C4497" s="21">
        <f t="shared" si="74"/>
        <v>-115.26</v>
      </c>
      <c r="GQ4497" s="92">
        <v>-115.26</v>
      </c>
    </row>
    <row r="4498" spans="1:224" x14ac:dyDescent="0.25">
      <c r="A4498" s="127">
        <v>45512</v>
      </c>
      <c r="B4498" s="24" t="s">
        <v>48</v>
      </c>
      <c r="C4498" s="21">
        <f t="shared" si="74"/>
        <v>179.05</v>
      </c>
      <c r="CE4498" s="42">
        <v>72.599999999999994</v>
      </c>
      <c r="CQ4498" s="42">
        <v>70.489999999999995</v>
      </c>
      <c r="DS4498" s="42">
        <v>35.96</v>
      </c>
    </row>
    <row r="4499" spans="1:224" x14ac:dyDescent="0.25">
      <c r="A4499" s="127">
        <v>45512</v>
      </c>
      <c r="B4499" s="24" t="s">
        <v>147</v>
      </c>
      <c r="C4499" s="21">
        <f t="shared" si="74"/>
        <v>-48.8</v>
      </c>
      <c r="AR4499" s="106">
        <v>-7.86</v>
      </c>
      <c r="AW4499" s="106">
        <v>-8.24</v>
      </c>
      <c r="BG4499" s="42">
        <v>-8.35</v>
      </c>
      <c r="BO4499" s="106">
        <v>-8.52</v>
      </c>
      <c r="BU4499" s="106">
        <v>-8</v>
      </c>
      <c r="CA4499" s="106">
        <v>-7.83</v>
      </c>
    </row>
    <row r="4500" spans="1:224" x14ac:dyDescent="0.25">
      <c r="A4500" s="127">
        <v>45512</v>
      </c>
      <c r="B4500" s="24" t="s">
        <v>48</v>
      </c>
      <c r="C4500" s="21">
        <f t="shared" si="74"/>
        <v>138.13</v>
      </c>
      <c r="CE4500" s="42">
        <v>34.979999999999997</v>
      </c>
      <c r="CK4500" s="42">
        <v>35.090000000000003</v>
      </c>
      <c r="CQ4500" s="42">
        <v>32.659999999999997</v>
      </c>
      <c r="DS4500" s="42">
        <v>35.4</v>
      </c>
    </row>
    <row r="4501" spans="1:224" x14ac:dyDescent="0.25">
      <c r="A4501" s="127">
        <v>45513</v>
      </c>
      <c r="B4501" s="24" t="s">
        <v>184</v>
      </c>
      <c r="C4501" s="21">
        <f t="shared" si="74"/>
        <v>-301.27499999999998</v>
      </c>
      <c r="AW4501" s="106">
        <v>-15.435</v>
      </c>
      <c r="BC4501" s="106">
        <v>-30.51</v>
      </c>
      <c r="CE4501" s="42">
        <v>-34.979999999999997</v>
      </c>
      <c r="CK4501" s="42">
        <v>-35.090000000000003</v>
      </c>
      <c r="CM4501" s="106">
        <v>-7.99</v>
      </c>
      <c r="CN4501" s="121">
        <v>-8.0299999999999994</v>
      </c>
      <c r="CS4501" s="74">
        <v>-31.78</v>
      </c>
      <c r="DE4501" s="74">
        <v>-52.134999999999998</v>
      </c>
      <c r="DK4501" s="106">
        <v>-49.924999999999997</v>
      </c>
      <c r="DS4501" s="42">
        <v>-35.4</v>
      </c>
    </row>
    <row r="4502" spans="1:224" x14ac:dyDescent="0.25">
      <c r="A4502" s="127">
        <v>45513</v>
      </c>
      <c r="B4502" s="24" t="s">
        <v>188</v>
      </c>
      <c r="C4502" s="21">
        <f t="shared" si="74"/>
        <v>-23.88</v>
      </c>
      <c r="BO4502" s="106">
        <v>-8.5299999999999994</v>
      </c>
      <c r="BU4502" s="106">
        <v>-8</v>
      </c>
      <c r="CQ4502" s="42">
        <v>-7.35</v>
      </c>
    </row>
    <row r="4503" spans="1:224" x14ac:dyDescent="0.25">
      <c r="A4503" s="127">
        <v>45513</v>
      </c>
      <c r="B4503" s="24" t="s">
        <v>29</v>
      </c>
      <c r="C4503" s="21">
        <f t="shared" si="74"/>
        <v>-8.5350000000000001</v>
      </c>
      <c r="BO4503" s="106">
        <v>-8.5350000000000001</v>
      </c>
    </row>
    <row r="4504" spans="1:224" x14ac:dyDescent="0.25">
      <c r="A4504" s="127">
        <v>45513</v>
      </c>
      <c r="B4504" s="24" t="s">
        <v>20</v>
      </c>
      <c r="C4504" s="21">
        <f t="shared" si="74"/>
        <v>-32.49</v>
      </c>
      <c r="BC4504" s="106">
        <v>-8.17</v>
      </c>
      <c r="CE4504" s="42">
        <v>-9.08</v>
      </c>
      <c r="CN4504" s="121">
        <v>-7.95</v>
      </c>
      <c r="CQ4504" s="42">
        <v>-7.29</v>
      </c>
    </row>
    <row r="4505" spans="1:224" x14ac:dyDescent="0.25">
      <c r="A4505" s="127">
        <v>45513</v>
      </c>
      <c r="B4505" s="24" t="s">
        <v>25</v>
      </c>
      <c r="C4505" s="21">
        <f t="shared" si="74"/>
        <v>-42.145000000000003</v>
      </c>
      <c r="BC4505" s="106">
        <v>-8.2850000000000001</v>
      </c>
      <c r="BG4505" s="42">
        <v>-7.9</v>
      </c>
      <c r="CA4505" s="106">
        <v>-8.7899999999999991</v>
      </c>
      <c r="CE4505" s="42">
        <v>-8.7899999999999991</v>
      </c>
      <c r="CY4505" s="106">
        <v>-8.3800000000000008</v>
      </c>
    </row>
    <row r="4506" spans="1:224" x14ac:dyDescent="0.25">
      <c r="A4506" s="127">
        <v>45513</v>
      </c>
      <c r="B4506" s="24" t="s">
        <v>138</v>
      </c>
      <c r="C4506" s="21">
        <f t="shared" si="74"/>
        <v>-7.99</v>
      </c>
      <c r="BU4506" s="106">
        <v>-7.99</v>
      </c>
    </row>
    <row r="4507" spans="1:224" x14ac:dyDescent="0.25">
      <c r="A4507" s="127">
        <v>45513</v>
      </c>
      <c r="B4507" s="24" t="s">
        <v>139</v>
      </c>
      <c r="C4507" s="21">
        <f t="shared" si="74"/>
        <v>-16.765000000000001</v>
      </c>
      <c r="BU4507" s="106">
        <v>-7.99</v>
      </c>
      <c r="CA4507" s="106">
        <v>-8.7750000000000004</v>
      </c>
    </row>
    <row r="4508" spans="1:224" x14ac:dyDescent="0.25">
      <c r="A4508" s="127">
        <v>45516</v>
      </c>
      <c r="B4508" s="24" t="s">
        <v>146</v>
      </c>
      <c r="C4508" s="21">
        <f t="shared" si="74"/>
        <v>150.80000000000001</v>
      </c>
      <c r="BN4508" s="69">
        <v>16.414999999999999</v>
      </c>
      <c r="BT4508" s="69">
        <v>34.200000000000003</v>
      </c>
      <c r="BZ4508" s="69">
        <v>17.204999999999998</v>
      </c>
      <c r="CF4508" s="69">
        <v>32.094999999999999</v>
      </c>
      <c r="CL4508" s="69">
        <v>17.024999999999999</v>
      </c>
      <c r="CR4508" s="69">
        <v>33.86</v>
      </c>
    </row>
    <row r="4509" spans="1:224" x14ac:dyDescent="0.25">
      <c r="A4509" s="127">
        <v>45516</v>
      </c>
      <c r="B4509" s="24" t="s">
        <v>206</v>
      </c>
      <c r="C4509" s="21">
        <f t="shared" si="74"/>
        <v>-41.255000000000003</v>
      </c>
      <c r="P4509" s="106">
        <v>-41.255000000000003</v>
      </c>
    </row>
    <row r="4510" spans="1:224" x14ac:dyDescent="0.25">
      <c r="A4510" s="127">
        <v>45516</v>
      </c>
      <c r="B4510" s="24" t="s">
        <v>193</v>
      </c>
      <c r="C4510" s="21">
        <f t="shared" si="74"/>
        <v>-8.67</v>
      </c>
      <c r="BZ4510" s="69">
        <v>-8.67</v>
      </c>
    </row>
    <row r="4511" spans="1:224" x14ac:dyDescent="0.25">
      <c r="A4511" s="127">
        <v>45516</v>
      </c>
      <c r="B4511" s="24" t="s">
        <v>37</v>
      </c>
      <c r="C4511" s="21">
        <f t="shared" si="74"/>
        <v>-443.27499999999998</v>
      </c>
      <c r="HJ4511" s="79">
        <v>-179.29</v>
      </c>
      <c r="HM4511" s="106">
        <v>-87.12</v>
      </c>
      <c r="HP4511" s="92">
        <v>-176.86500000000001</v>
      </c>
    </row>
    <row r="4512" spans="1:224" x14ac:dyDescent="0.25">
      <c r="A4512" s="127">
        <v>45516</v>
      </c>
      <c r="B4512" s="24" t="s">
        <v>125</v>
      </c>
      <c r="C4512" s="21">
        <f t="shared" si="74"/>
        <v>-96.625</v>
      </c>
      <c r="BT4512" s="69">
        <v>-8.5649999999999995</v>
      </c>
      <c r="BZ4512" s="69">
        <v>-8.5350000000000001</v>
      </c>
      <c r="CF4512" s="69">
        <v>-7.0149999999999997</v>
      </c>
      <c r="CL4512" s="69">
        <v>-8.5150000000000006</v>
      </c>
      <c r="CR4512" s="69">
        <v>-33.86</v>
      </c>
      <c r="CS4512" s="74">
        <f>-8.24-6.91-6.375-8.61</f>
        <v>-30.135000000000002</v>
      </c>
    </row>
    <row r="4513" spans="1:197" x14ac:dyDescent="0.25">
      <c r="A4513" s="127">
        <v>45517</v>
      </c>
      <c r="B4513" s="24" t="s">
        <v>151</v>
      </c>
      <c r="C4513" s="21">
        <f t="shared" si="74"/>
        <v>-8.5500000000000007</v>
      </c>
      <c r="BT4513" s="69">
        <v>-8.5500000000000007</v>
      </c>
    </row>
    <row r="4514" spans="1:197" x14ac:dyDescent="0.25">
      <c r="A4514" s="127">
        <v>45517</v>
      </c>
      <c r="B4514" s="24" t="s">
        <v>75</v>
      </c>
      <c r="C4514" s="21">
        <f t="shared" si="74"/>
        <v>-8.0050000000000008</v>
      </c>
      <c r="BN4514" s="69">
        <v>-8.0050000000000008</v>
      </c>
    </row>
    <row r="4515" spans="1:197" x14ac:dyDescent="0.25">
      <c r="A4515" s="127">
        <v>45517</v>
      </c>
      <c r="B4515" s="24" t="s">
        <v>20</v>
      </c>
      <c r="C4515" s="21">
        <f t="shared" si="74"/>
        <v>-8.41</v>
      </c>
      <c r="BN4515" s="69">
        <v>-8.41</v>
      </c>
    </row>
    <row r="4516" spans="1:197" x14ac:dyDescent="0.25">
      <c r="A4516" s="127">
        <v>45517</v>
      </c>
      <c r="B4516" s="24" t="s">
        <v>152</v>
      </c>
      <c r="C4516" s="21">
        <f t="shared" si="74"/>
        <v>-16.535</v>
      </c>
      <c r="P4516" s="106">
        <v>-16.535</v>
      </c>
    </row>
    <row r="4517" spans="1:197" x14ac:dyDescent="0.25">
      <c r="A4517" s="127">
        <v>45517</v>
      </c>
      <c r="B4517" s="24" t="s">
        <v>113</v>
      </c>
      <c r="C4517" s="21">
        <f t="shared" si="74"/>
        <v>991.11500000000001</v>
      </c>
      <c r="AW4517" s="106">
        <v>66.355000000000004</v>
      </c>
      <c r="CM4517" s="106">
        <v>97.81</v>
      </c>
      <c r="CY4517" s="106">
        <v>200.04499999999999</v>
      </c>
      <c r="DE4517" s="74">
        <v>202.98</v>
      </c>
      <c r="DK4517" s="106">
        <v>232.99</v>
      </c>
      <c r="DP4517" s="74">
        <v>190.935</v>
      </c>
    </row>
    <row r="4518" spans="1:197" x14ac:dyDescent="0.25">
      <c r="A4518" s="127">
        <v>45518</v>
      </c>
      <c r="B4518" s="24" t="s">
        <v>214</v>
      </c>
      <c r="C4518" s="21">
        <f t="shared" si="74"/>
        <v>-83.32</v>
      </c>
      <c r="AR4518" s="106">
        <v>-7.86</v>
      </c>
      <c r="BC4518" s="106">
        <v>-16.059999999999999</v>
      </c>
      <c r="CA4518" s="106">
        <v>-16.085000000000001</v>
      </c>
      <c r="CQ4518" s="42">
        <v>-17.77</v>
      </c>
      <c r="DE4518" s="74">
        <v>-9.0749999999999993</v>
      </c>
      <c r="DP4518" s="74">
        <v>-16.47</v>
      </c>
    </row>
    <row r="4519" spans="1:197" x14ac:dyDescent="0.25">
      <c r="A4519" s="127">
        <v>45518</v>
      </c>
      <c r="B4519" s="24" t="s">
        <v>192</v>
      </c>
      <c r="C4519" s="21">
        <f t="shared" si="74"/>
        <v>-40.634999999999998</v>
      </c>
      <c r="CQ4519" s="42">
        <v>-7.58</v>
      </c>
      <c r="CY4519" s="106">
        <v>-33.055</v>
      </c>
    </row>
    <row r="4520" spans="1:197" x14ac:dyDescent="0.25">
      <c r="A4520" s="127">
        <v>45518</v>
      </c>
      <c r="B4520" s="24" t="s">
        <v>25</v>
      </c>
      <c r="C4520" s="21">
        <f t="shared" si="74"/>
        <v>-26.495000000000001</v>
      </c>
      <c r="DU4520" s="106">
        <v>-26.495000000000001</v>
      </c>
    </row>
    <row r="4521" spans="1:197" x14ac:dyDescent="0.25">
      <c r="A4521" s="127">
        <v>45518</v>
      </c>
      <c r="B4521" s="24" t="s">
        <v>184</v>
      </c>
      <c r="C4521" s="21">
        <f t="shared" si="74"/>
        <v>-95.21</v>
      </c>
      <c r="DP4521" s="74">
        <v>-95.21</v>
      </c>
    </row>
    <row r="4522" spans="1:197" x14ac:dyDescent="0.25">
      <c r="A4522" s="127">
        <v>45519</v>
      </c>
      <c r="B4522" s="24" t="s">
        <v>127</v>
      </c>
      <c r="C4522" s="21">
        <f t="shared" si="74"/>
        <v>-24.99</v>
      </c>
      <c r="DK4522" s="106">
        <v>-8.4</v>
      </c>
      <c r="DM4522" s="46">
        <f>-8.19-8.4</f>
        <v>-16.59</v>
      </c>
    </row>
    <row r="4523" spans="1:197" x14ac:dyDescent="0.25">
      <c r="A4523" s="127">
        <v>45520</v>
      </c>
      <c r="B4523" s="24" t="s">
        <v>207</v>
      </c>
      <c r="C4523" s="21">
        <f t="shared" si="74"/>
        <v>-44.62</v>
      </c>
      <c r="GM4523" s="92">
        <f>-24.45-7.35-5.75</f>
        <v>-37.549999999999997</v>
      </c>
      <c r="GN4523" s="110">
        <v>-7.07</v>
      </c>
    </row>
    <row r="4524" spans="1:197" x14ac:dyDescent="0.25">
      <c r="A4524" s="127">
        <v>45520</v>
      </c>
      <c r="B4524" s="24" t="s">
        <v>29</v>
      </c>
      <c r="C4524" s="21">
        <f t="shared" si="74"/>
        <v>-2</v>
      </c>
      <c r="R4524" s="115">
        <v>-2</v>
      </c>
    </row>
    <row r="4525" spans="1:197" x14ac:dyDescent="0.25">
      <c r="A4525" s="127">
        <v>45520</v>
      </c>
      <c r="B4525" s="24" t="s">
        <v>113</v>
      </c>
      <c r="C4525" s="21">
        <f t="shared" si="74"/>
        <v>68.275000000000006</v>
      </c>
      <c r="EA4525" s="74">
        <v>68.275000000000006</v>
      </c>
    </row>
    <row r="4526" spans="1:197" x14ac:dyDescent="0.25">
      <c r="A4526" s="127">
        <v>45520</v>
      </c>
      <c r="B4526" s="24" t="s">
        <v>113</v>
      </c>
      <c r="C4526" s="21">
        <f t="shared" si="74"/>
        <v>735.51</v>
      </c>
      <c r="AN4526" s="106">
        <v>68.88</v>
      </c>
      <c r="AR4526" s="106">
        <v>66.495000000000005</v>
      </c>
      <c r="BI4526" s="106">
        <f>115.56+83.28</f>
        <v>198.84</v>
      </c>
      <c r="BO4526" s="106">
        <v>208.03</v>
      </c>
      <c r="CA4526" s="106">
        <v>95.6</v>
      </c>
      <c r="CG4526" s="106">
        <v>97.665000000000006</v>
      </c>
    </row>
    <row r="4527" spans="1:197" x14ac:dyDescent="0.25">
      <c r="A4527" s="127">
        <v>45520</v>
      </c>
      <c r="B4527" s="24" t="s">
        <v>113</v>
      </c>
      <c r="C4527" s="21">
        <f t="shared" si="74"/>
        <v>833.74</v>
      </c>
      <c r="AG4527" s="106">
        <v>155</v>
      </c>
      <c r="AW4527" s="106">
        <v>206.02500000000001</v>
      </c>
      <c r="DK4527" s="106">
        <v>149.9</v>
      </c>
      <c r="DP4527" s="74">
        <v>131.09</v>
      </c>
      <c r="EG4527" s="74">
        <v>33.65</v>
      </c>
      <c r="GO4527" s="110">
        <v>158.07499999999999</v>
      </c>
    </row>
    <row r="4528" spans="1:197" x14ac:dyDescent="0.25">
      <c r="A4528" s="127">
        <v>45520</v>
      </c>
      <c r="B4528" s="24" t="s">
        <v>20</v>
      </c>
      <c r="C4528" s="21">
        <f t="shared" si="74"/>
        <v>-34.47</v>
      </c>
      <c r="BT4528" s="69">
        <v>-8.5399999999999991</v>
      </c>
      <c r="CA4528" s="106">
        <v>-8.6199999999999992</v>
      </c>
      <c r="CF4528" s="69">
        <v>-8.41</v>
      </c>
      <c r="CY4528" s="106">
        <v>-8.9</v>
      </c>
    </row>
    <row r="4529" spans="1:256" x14ac:dyDescent="0.25">
      <c r="A4529" s="127">
        <v>45523</v>
      </c>
      <c r="B4529" s="24" t="s">
        <v>25</v>
      </c>
      <c r="C4529" s="21">
        <f t="shared" ref="C4529:C4592" si="75">SUM(D4529:JT4529)</f>
        <v>-58.39</v>
      </c>
      <c r="AG4529" s="106">
        <v>-8.59</v>
      </c>
      <c r="AR4529" s="106">
        <v>-8.8550000000000004</v>
      </c>
      <c r="AW4529" s="106">
        <v>-7.89</v>
      </c>
      <c r="BI4529" s="106">
        <v>-8.2249999999999996</v>
      </c>
      <c r="BO4529" s="106">
        <v>-8.2349999999999994</v>
      </c>
      <c r="BT4529" s="69">
        <v>-8.5449999999999999</v>
      </c>
      <c r="CG4529" s="106">
        <v>-8.0500000000000007</v>
      </c>
    </row>
    <row r="4530" spans="1:256" x14ac:dyDescent="0.25">
      <c r="A4530" s="127">
        <v>45523</v>
      </c>
      <c r="B4530" s="24" t="s">
        <v>48</v>
      </c>
      <c r="C4530" s="21">
        <f t="shared" si="75"/>
        <v>-107.11499999999999</v>
      </c>
      <c r="Z4530" s="79">
        <v>-8.4</v>
      </c>
      <c r="AW4530" s="106">
        <f>-31.97-32.24</f>
        <v>-64.209999999999994</v>
      </c>
      <c r="BO4530" s="106">
        <v>-34.505000000000003</v>
      </c>
    </row>
    <row r="4531" spans="1:256" x14ac:dyDescent="0.25">
      <c r="A4531" s="127">
        <v>45523</v>
      </c>
      <c r="B4531" s="24" t="s">
        <v>32</v>
      </c>
      <c r="C4531" s="21">
        <f t="shared" si="75"/>
        <v>-165.26499999999999</v>
      </c>
      <c r="AW4531" s="106">
        <v>-31.51</v>
      </c>
      <c r="BI4531" s="106">
        <v>-33.125</v>
      </c>
      <c r="BO4531" s="106">
        <v>-34.53</v>
      </c>
      <c r="CA4531" s="106">
        <v>-33.174999999999997</v>
      </c>
      <c r="CM4531" s="106">
        <v>-32.924999999999997</v>
      </c>
    </row>
    <row r="4532" spans="1:256" x14ac:dyDescent="0.25">
      <c r="A4532" s="127">
        <v>45523</v>
      </c>
      <c r="B4532" s="24" t="s">
        <v>184</v>
      </c>
      <c r="C4532" s="21">
        <f t="shared" si="75"/>
        <v>-99.185000000000002</v>
      </c>
      <c r="Z4532" s="79">
        <v>-8.4</v>
      </c>
      <c r="BO4532" s="106">
        <v>-25.47</v>
      </c>
      <c r="CA4532" s="106">
        <v>-16.105</v>
      </c>
      <c r="CG4532" s="106">
        <v>-16.094999999999999</v>
      </c>
      <c r="CY4532" s="106">
        <v>-16.545000000000002</v>
      </c>
      <c r="DK4532" s="106">
        <v>-16.57</v>
      </c>
    </row>
    <row r="4533" spans="1:256" x14ac:dyDescent="0.25">
      <c r="A4533" s="127">
        <v>45523</v>
      </c>
      <c r="B4533" s="24" t="s">
        <v>133</v>
      </c>
      <c r="C4533" s="21">
        <f t="shared" si="75"/>
        <v>-134.30000000000001</v>
      </c>
      <c r="AR4533" s="106">
        <v>-33.195</v>
      </c>
      <c r="BI4533" s="106">
        <v>-33.47</v>
      </c>
      <c r="CY4533" s="106">
        <v>-33.07</v>
      </c>
      <c r="DE4533" s="74">
        <v>-34.564999999999998</v>
      </c>
    </row>
    <row r="4534" spans="1:256" x14ac:dyDescent="0.25">
      <c r="A4534" s="127">
        <v>45523</v>
      </c>
      <c r="B4534" s="24" t="s">
        <v>48</v>
      </c>
      <c r="C4534" s="21">
        <f t="shared" si="75"/>
        <v>69.22</v>
      </c>
      <c r="CQ4534" s="42">
        <v>69.22</v>
      </c>
    </row>
    <row r="4535" spans="1:256" x14ac:dyDescent="0.25">
      <c r="A4535" s="127">
        <v>45523</v>
      </c>
      <c r="B4535" s="24" t="s">
        <v>29</v>
      </c>
      <c r="C4535" s="21">
        <f t="shared" si="75"/>
        <v>-7</v>
      </c>
      <c r="CQ4535" s="42">
        <v>-7</v>
      </c>
    </row>
    <row r="4536" spans="1:256" x14ac:dyDescent="0.25">
      <c r="A4536" s="127">
        <v>45523</v>
      </c>
      <c r="B4536" s="24" t="s">
        <v>184</v>
      </c>
      <c r="C4536" s="21">
        <f t="shared" si="75"/>
        <v>-363.83</v>
      </c>
      <c r="P4536" s="106">
        <v>-8.3000000000000007</v>
      </c>
      <c r="V4536" s="74">
        <v>-8.5299999999999994</v>
      </c>
      <c r="Z4536" s="79">
        <v>-8.3800000000000008</v>
      </c>
      <c r="AN4536" s="106">
        <v>-8.6050000000000004</v>
      </c>
      <c r="AW4536" s="106">
        <v>-31.234999999999999</v>
      </c>
      <c r="BC4536" s="106">
        <v>-33.9</v>
      </c>
      <c r="BI4536" s="106">
        <f>-32.915-32.97-33.435</f>
        <v>-99.32</v>
      </c>
      <c r="BO4536" s="106">
        <f>-34.67-35.25</f>
        <v>-69.92</v>
      </c>
      <c r="CA4536" s="106">
        <v>-30.18</v>
      </c>
      <c r="CG4536" s="106">
        <f>-32.225-33.235</f>
        <v>-65.459999999999994</v>
      </c>
    </row>
    <row r="4537" spans="1:256" s="176" customFormat="1" x14ac:dyDescent="0.25">
      <c r="A4537" s="173">
        <v>45524</v>
      </c>
      <c r="B4537" s="174" t="s">
        <v>99</v>
      </c>
      <c r="C4537" s="175">
        <f t="shared" si="75"/>
        <v>54.924999999999997</v>
      </c>
      <c r="D4537" s="386">
        <v>-0.1</v>
      </c>
      <c r="E4537" s="386"/>
      <c r="F4537" s="145"/>
      <c r="I4537" s="176">
        <v>11.08</v>
      </c>
      <c r="K4537" s="178"/>
      <c r="L4537" s="179">
        <v>0.03</v>
      </c>
      <c r="M4537" s="358"/>
      <c r="N4537" s="178"/>
      <c r="O4537" s="375"/>
      <c r="P4537" s="179">
        <v>-2</v>
      </c>
      <c r="Q4537" s="179"/>
      <c r="R4537" s="177"/>
      <c r="S4537" s="179"/>
      <c r="T4537" s="178"/>
      <c r="U4537" s="179"/>
      <c r="V4537" s="74"/>
      <c r="W4537" s="179"/>
      <c r="X4537" s="178"/>
      <c r="Y4537" s="179"/>
      <c r="Z4537" s="79"/>
      <c r="AA4537" s="178"/>
      <c r="AB4537" s="179"/>
      <c r="AC4537" s="106"/>
      <c r="AD4537" s="177"/>
      <c r="AE4537" s="178"/>
      <c r="AF4537" s="179"/>
      <c r="AG4537" s="292"/>
      <c r="AH4537" s="179"/>
      <c r="AI4537" s="179"/>
      <c r="AJ4537" s="179"/>
      <c r="AL4537" s="178"/>
      <c r="AM4537" s="69"/>
      <c r="AN4537" s="106">
        <v>1.1000000000000001</v>
      </c>
      <c r="AO4537" s="358"/>
      <c r="AP4537" s="178"/>
      <c r="AQ4537" s="69"/>
      <c r="AR4537" s="106"/>
      <c r="AS4537" s="179"/>
      <c r="AT4537" s="177"/>
      <c r="AU4537" s="178"/>
      <c r="AV4537" s="179"/>
      <c r="AW4537" s="106">
        <v>19.72</v>
      </c>
      <c r="AX4537" s="179"/>
      <c r="AY4537" s="292"/>
      <c r="AZ4537" s="182"/>
      <c r="BA4537" s="178"/>
      <c r="BB4537" s="69"/>
      <c r="BC4537" s="106"/>
      <c r="BD4537" s="179"/>
      <c r="BE4537" s="179"/>
      <c r="BF4537" s="182"/>
      <c r="BG4537" s="178"/>
      <c r="BH4537" s="69"/>
      <c r="BI4537" s="106"/>
      <c r="BJ4537" s="179"/>
      <c r="BK4537" s="179"/>
      <c r="BL4537" s="182"/>
      <c r="BM4537" s="178"/>
      <c r="BN4537" s="69"/>
      <c r="BO4537" s="106"/>
      <c r="BP4537" s="179"/>
      <c r="BQ4537" s="179"/>
      <c r="BR4537" s="182"/>
      <c r="BS4537" s="178"/>
      <c r="BT4537" s="69"/>
      <c r="BU4537" s="106"/>
      <c r="BV4537" s="179"/>
      <c r="BW4537" s="179"/>
      <c r="BX4537" s="182"/>
      <c r="BY4537" s="178"/>
      <c r="BZ4537" s="179"/>
      <c r="CA4537" s="106">
        <v>2.0299999999999998</v>
      </c>
      <c r="CB4537" s="179"/>
      <c r="CC4537" s="179"/>
      <c r="CD4537" s="182"/>
      <c r="CE4537" s="178"/>
      <c r="CF4537" s="69"/>
      <c r="CG4537" s="106">
        <v>5.0000000000000001E-3</v>
      </c>
      <c r="CH4537" s="179"/>
      <c r="CI4537" s="179"/>
      <c r="CJ4537" s="182"/>
      <c r="CK4537" s="178"/>
      <c r="CL4537" s="179"/>
      <c r="CM4537" s="106"/>
      <c r="CN4537" s="179"/>
      <c r="CO4537" s="179"/>
      <c r="CP4537" s="182"/>
      <c r="CQ4537" s="178"/>
      <c r="CR4537" s="69"/>
      <c r="CS4537" s="74"/>
      <c r="CT4537" s="179"/>
      <c r="CU4537" s="292"/>
      <c r="CV4537" s="177"/>
      <c r="CW4537" s="178"/>
      <c r="CX4537" s="179"/>
      <c r="CY4537" s="106">
        <v>0.66</v>
      </c>
      <c r="CZ4537" s="179"/>
      <c r="DA4537" s="179"/>
      <c r="DB4537" s="177"/>
      <c r="DC4537" s="178"/>
      <c r="DD4537" s="179"/>
      <c r="DE4537" s="74">
        <v>-1</v>
      </c>
      <c r="DF4537" s="179"/>
      <c r="DG4537" s="292"/>
      <c r="DH4537" s="177"/>
      <c r="DI4537" s="178"/>
      <c r="DJ4537" s="179"/>
      <c r="DK4537" s="106">
        <v>8.2850000000000001</v>
      </c>
      <c r="DL4537" s="179"/>
      <c r="DM4537" s="358"/>
      <c r="DN4537" s="178"/>
      <c r="DO4537" s="375"/>
      <c r="DP4537" s="74">
        <v>1.4</v>
      </c>
      <c r="DQ4537" s="179"/>
      <c r="DR4537" s="177"/>
      <c r="DS4537" s="178"/>
      <c r="DT4537" s="179"/>
      <c r="DU4537" s="106"/>
      <c r="DV4537" s="179"/>
      <c r="DW4537" s="126"/>
      <c r="DX4537" s="177"/>
      <c r="DY4537" s="178">
        <v>32.28</v>
      </c>
      <c r="DZ4537" s="179"/>
      <c r="EA4537" s="74"/>
      <c r="EB4537" s="179"/>
      <c r="EC4537" s="126"/>
      <c r="ED4537" s="177"/>
      <c r="EE4537" s="178"/>
      <c r="EF4537" s="179"/>
      <c r="EG4537" s="179"/>
      <c r="EH4537" s="179"/>
      <c r="EI4537" s="177"/>
      <c r="EJ4537" s="178"/>
      <c r="EK4537" s="179"/>
      <c r="EL4537" s="179"/>
      <c r="EM4537" s="177"/>
      <c r="EN4537" s="355"/>
      <c r="EO4537" s="292"/>
      <c r="EP4537" s="179"/>
      <c r="EQ4537" s="46"/>
      <c r="ER4537" s="178"/>
      <c r="ES4537" s="179"/>
      <c r="ET4537" s="179"/>
      <c r="EU4537" s="292"/>
      <c r="EW4537" s="178"/>
      <c r="EX4537" s="178"/>
      <c r="EY4537" s="178"/>
      <c r="EZ4537" s="177"/>
      <c r="FA4537" s="355"/>
      <c r="FB4537" s="179"/>
      <c r="FC4537" s="179"/>
      <c r="FD4537" s="292"/>
      <c r="FF4537" s="178"/>
      <c r="FG4537" s="179">
        <v>-0.01</v>
      </c>
      <c r="FH4537" s="358"/>
      <c r="FI4537" s="178"/>
      <c r="FJ4537" s="179"/>
      <c r="FK4537" s="179"/>
      <c r="FL4537" s="177"/>
      <c r="FM4537" s="178"/>
      <c r="FN4537" s="177"/>
      <c r="FO4537" s="357"/>
      <c r="FQ4537" s="178"/>
      <c r="FR4537" s="179"/>
      <c r="FS4537" s="179">
        <v>0.54</v>
      </c>
      <c r="FT4537" s="177"/>
      <c r="FU4537" s="178"/>
      <c r="FV4537" s="179"/>
      <c r="FW4537" s="177"/>
      <c r="FX4537" s="178"/>
      <c r="FY4537" s="179"/>
      <c r="FZ4537" s="177"/>
      <c r="GA4537" s="178"/>
      <c r="GB4537" s="179"/>
      <c r="GC4537" s="179"/>
      <c r="GD4537" s="177"/>
      <c r="GE4537" s="178"/>
      <c r="GF4537" s="177"/>
      <c r="GH4537" s="179"/>
      <c r="GI4537" s="355"/>
      <c r="GJ4537" s="205"/>
      <c r="GK4537" s="79"/>
      <c r="GL4537" s="178"/>
      <c r="GM4537" s="177"/>
      <c r="GO4537" s="357"/>
      <c r="GP4537" s="178"/>
      <c r="GQ4537" s="92"/>
      <c r="GT4537" s="176">
        <v>-0.03</v>
      </c>
      <c r="GV4537" s="178"/>
      <c r="GW4537" s="177"/>
      <c r="GX4537" s="179"/>
      <c r="GY4537" s="178"/>
      <c r="GZ4537" s="292">
        <v>-7.9649999999999999</v>
      </c>
      <c r="HA4537" s="177"/>
      <c r="HB4537" s="179"/>
      <c r="HC4537" s="178"/>
      <c r="HD4537" s="177"/>
      <c r="HE4537" s="178"/>
      <c r="HF4537" s="358"/>
      <c r="HG4537" s="178"/>
      <c r="HH4537" s="179"/>
      <c r="HI4537" s="177"/>
      <c r="HJ4537" s="177"/>
      <c r="HL4537" s="178"/>
      <c r="HM4537" s="179"/>
      <c r="HN4537" s="177"/>
      <c r="HO4537" s="178"/>
      <c r="HP4537" s="358"/>
      <c r="HQ4537" s="178"/>
      <c r="HR4537" s="358"/>
      <c r="HS4537" s="176">
        <v>-7.85</v>
      </c>
      <c r="HU4537" s="178"/>
      <c r="HV4537" s="358">
        <v>-10.1</v>
      </c>
      <c r="HW4537" s="178"/>
      <c r="HX4537" s="177"/>
      <c r="HZ4537" s="178"/>
      <c r="IA4537" s="177"/>
      <c r="IB4537" s="178"/>
      <c r="IC4537" s="177">
        <v>8.75</v>
      </c>
      <c r="ID4537" s="178"/>
      <c r="IE4537" s="177"/>
      <c r="IG4537" s="176">
        <v>-0.94</v>
      </c>
      <c r="IH4537" s="178">
        <v>-0.96</v>
      </c>
      <c r="II4537" s="178"/>
      <c r="IJ4537" s="291"/>
      <c r="IM4537" s="357"/>
      <c r="IN4537" s="355"/>
      <c r="IO4537" s="177"/>
      <c r="IV4537" s="357"/>
    </row>
    <row r="4538" spans="1:256" x14ac:dyDescent="0.25">
      <c r="A4538" s="127">
        <v>45524</v>
      </c>
      <c r="B4538" s="24" t="s">
        <v>20</v>
      </c>
      <c r="C4538" s="21">
        <f t="shared" si="75"/>
        <v>-33.799999999999997</v>
      </c>
      <c r="BI4538" s="106">
        <v>-8.2449999999999992</v>
      </c>
      <c r="BO4538" s="106">
        <v>-8.6549999999999994</v>
      </c>
      <c r="CM4538" s="106">
        <v>-7.96</v>
      </c>
      <c r="CQ4538" s="42">
        <v>-8.94</v>
      </c>
    </row>
    <row r="4539" spans="1:256" x14ac:dyDescent="0.25">
      <c r="A4539" s="127">
        <v>45524</v>
      </c>
      <c r="B4539" s="24" t="s">
        <v>75</v>
      </c>
      <c r="C4539" s="21">
        <f t="shared" si="75"/>
        <v>-26.035</v>
      </c>
      <c r="AG4539" s="106">
        <v>-8.61</v>
      </c>
      <c r="BO4539" s="106">
        <v>-9.3550000000000004</v>
      </c>
      <c r="CA4539" s="106">
        <v>-8.07</v>
      </c>
    </row>
    <row r="4540" spans="1:256" x14ac:dyDescent="0.25">
      <c r="A4540" s="127">
        <v>45524</v>
      </c>
      <c r="B4540" s="24" t="s">
        <v>138</v>
      </c>
      <c r="C4540" s="21">
        <f t="shared" si="75"/>
        <v>-33.125</v>
      </c>
      <c r="AG4540" s="106">
        <v>-8.6050000000000004</v>
      </c>
      <c r="BI4540" s="106">
        <v>-16.454999999999998</v>
      </c>
      <c r="CG4540" s="106">
        <v>-8.0649999999999995</v>
      </c>
    </row>
    <row r="4541" spans="1:256" x14ac:dyDescent="0.25">
      <c r="A4541" s="127">
        <v>45524</v>
      </c>
      <c r="B4541" s="24" t="s">
        <v>202</v>
      </c>
      <c r="C4541" s="21">
        <f t="shared" si="75"/>
        <v>-17.52</v>
      </c>
      <c r="E4541" s="386">
        <f>-8.75-8.77</f>
        <v>-17.52</v>
      </c>
    </row>
    <row r="4542" spans="1:256" x14ac:dyDescent="0.25">
      <c r="A4542" s="127">
        <v>45525</v>
      </c>
      <c r="B4542" s="24" t="s">
        <v>59</v>
      </c>
      <c r="C4542" s="21">
        <f t="shared" si="75"/>
        <v>-42.67</v>
      </c>
      <c r="CM4542" s="106">
        <f>-8.24-8.255</f>
        <v>-16.495000000000001</v>
      </c>
      <c r="CQ4542" s="42">
        <v>-9</v>
      </c>
      <c r="CY4542" s="106">
        <f>-8.28-8.895</f>
        <v>-17.175000000000001</v>
      </c>
    </row>
    <row r="4543" spans="1:256" x14ac:dyDescent="0.25">
      <c r="A4543" s="127">
        <v>45525</v>
      </c>
      <c r="B4543" s="24" t="s">
        <v>184</v>
      </c>
      <c r="C4543" s="21">
        <f t="shared" si="75"/>
        <v>-33.880000000000003</v>
      </c>
      <c r="CY4543" s="106">
        <v>-8.2100000000000009</v>
      </c>
      <c r="EA4543" s="74">
        <v>-25.67</v>
      </c>
    </row>
    <row r="4544" spans="1:256" x14ac:dyDescent="0.25">
      <c r="A4544" s="127">
        <v>45526</v>
      </c>
      <c r="B4544" s="24" t="s">
        <v>184</v>
      </c>
      <c r="C4544" s="21">
        <f t="shared" si="75"/>
        <v>-57.87</v>
      </c>
      <c r="AW4544" s="106">
        <v>-16.03</v>
      </c>
      <c r="BC4544" s="106">
        <v>-16.079999999999998</v>
      </c>
      <c r="CA4544" s="106">
        <v>-8.07</v>
      </c>
      <c r="CQ4544" s="42">
        <v>-17.690000000000001</v>
      </c>
    </row>
    <row r="4545" spans="1:208" x14ac:dyDescent="0.25">
      <c r="A4545" s="127">
        <v>45526</v>
      </c>
      <c r="B4545" s="24" t="s">
        <v>48</v>
      </c>
      <c r="C4545" s="21">
        <f t="shared" si="75"/>
        <v>-41.49</v>
      </c>
      <c r="AW4545" s="106">
        <v>-33.024999999999999</v>
      </c>
      <c r="GZ4545" s="106">
        <v>-8.4649999999999999</v>
      </c>
    </row>
    <row r="4546" spans="1:208" x14ac:dyDescent="0.25">
      <c r="A4546" s="127">
        <v>45527</v>
      </c>
      <c r="B4546" s="24" t="s">
        <v>197</v>
      </c>
      <c r="C4546" s="21">
        <f t="shared" si="75"/>
        <v>-84.59</v>
      </c>
      <c r="BO4546" s="106">
        <v>-17.36</v>
      </c>
      <c r="CF4546" s="69">
        <v>-16.670000000000002</v>
      </c>
      <c r="CM4546" s="106">
        <v>-23.97</v>
      </c>
      <c r="CQ4546" s="42">
        <v>-26.59</v>
      </c>
    </row>
    <row r="4547" spans="1:208" x14ac:dyDescent="0.25">
      <c r="A4547" s="127">
        <v>45528</v>
      </c>
      <c r="B4547" s="24" t="s">
        <v>44</v>
      </c>
      <c r="C4547" s="21">
        <f t="shared" si="75"/>
        <v>-116.125</v>
      </c>
      <c r="GK4547" s="79">
        <v>-1.8</v>
      </c>
      <c r="GQ4547" s="92">
        <v>-114.325</v>
      </c>
    </row>
    <row r="4548" spans="1:208" x14ac:dyDescent="0.25">
      <c r="A4548" s="127">
        <v>45528</v>
      </c>
      <c r="B4548" s="24" t="s">
        <v>20</v>
      </c>
      <c r="C4548" s="21">
        <f t="shared" si="75"/>
        <v>-50.914999999999999</v>
      </c>
      <c r="L4548" s="69">
        <v>-4.24</v>
      </c>
      <c r="BC4548" s="106">
        <v>-8.5299999999999994</v>
      </c>
      <c r="CA4548" s="106">
        <v>-7.8250000000000002</v>
      </c>
      <c r="GZ4548" s="106">
        <v>-30.32</v>
      </c>
    </row>
    <row r="4549" spans="1:208" x14ac:dyDescent="0.25">
      <c r="A4549" s="127">
        <v>45530</v>
      </c>
      <c r="B4549" s="24" t="s">
        <v>203</v>
      </c>
      <c r="C4549" s="21">
        <f t="shared" si="75"/>
        <v>52.47</v>
      </c>
      <c r="DR4549" s="46">
        <v>8.8000000000000007</v>
      </c>
      <c r="EI4549" s="150">
        <v>9.2799999999999994</v>
      </c>
      <c r="EU4549" s="126">
        <v>8.6</v>
      </c>
      <c r="EV4549" s="170">
        <v>13.55</v>
      </c>
      <c r="FD4549" s="126">
        <v>12.24</v>
      </c>
    </row>
    <row r="4550" spans="1:208" x14ac:dyDescent="0.25">
      <c r="A4550" s="127">
        <v>45530</v>
      </c>
      <c r="B4550" s="29" t="s">
        <v>209</v>
      </c>
      <c r="C4550" s="21">
        <f t="shared" si="75"/>
        <v>-73.795000000000002</v>
      </c>
      <c r="AG4550" s="106">
        <v>-8.625</v>
      </c>
      <c r="AN4550" s="106">
        <v>-8.61</v>
      </c>
      <c r="AR4550" s="106">
        <v>-6.58</v>
      </c>
      <c r="AW4550" s="106">
        <v>-15.904999999999999</v>
      </c>
      <c r="BC4550" s="106">
        <v>-16.715</v>
      </c>
      <c r="BY4550" s="42">
        <v>-9.14</v>
      </c>
      <c r="CM4550" s="106">
        <v>-8.2200000000000006</v>
      </c>
    </row>
    <row r="4551" spans="1:208" x14ac:dyDescent="0.25">
      <c r="A4551" s="127">
        <v>45530</v>
      </c>
      <c r="B4551" s="29" t="s">
        <v>203</v>
      </c>
      <c r="C4551" s="21">
        <f t="shared" si="75"/>
        <v>-66.08</v>
      </c>
      <c r="AW4551" s="106">
        <v>-33.33</v>
      </c>
      <c r="DE4551" s="74">
        <v>-32.75</v>
      </c>
    </row>
    <row r="4552" spans="1:208" x14ac:dyDescent="0.25">
      <c r="A4552" s="127">
        <v>45500</v>
      </c>
      <c r="B4552" s="24" t="s">
        <v>113</v>
      </c>
      <c r="C4552" s="21">
        <f t="shared" si="75"/>
        <v>698.72</v>
      </c>
      <c r="AC4552" s="106">
        <v>63.32</v>
      </c>
      <c r="BC4552" s="106">
        <v>64.465000000000003</v>
      </c>
      <c r="BI4552" s="106">
        <v>82.325000000000003</v>
      </c>
      <c r="BO4552" s="106">
        <v>98.704999999999998</v>
      </c>
      <c r="BU4552" s="106">
        <v>132.30500000000001</v>
      </c>
      <c r="CA4552" s="106">
        <v>69.06</v>
      </c>
      <c r="CG4552" s="106">
        <v>32.729999999999997</v>
      </c>
      <c r="CM4552" s="106">
        <v>67.784999999999997</v>
      </c>
      <c r="GK4552" s="79">
        <v>29.76</v>
      </c>
      <c r="GZ4552" s="106">
        <v>58.265000000000001</v>
      </c>
    </row>
    <row r="4553" spans="1:208" x14ac:dyDescent="0.25">
      <c r="A4553" s="127">
        <v>45500</v>
      </c>
      <c r="B4553" s="24" t="s">
        <v>32</v>
      </c>
      <c r="C4553" s="21">
        <f t="shared" si="75"/>
        <v>-198.065</v>
      </c>
      <c r="BI4553" s="106">
        <v>-33.325000000000003</v>
      </c>
      <c r="BO4553" s="106">
        <v>-65.8</v>
      </c>
      <c r="BU4553" s="106">
        <v>-66.209999999999994</v>
      </c>
      <c r="CG4553" s="106">
        <v>-32.729999999999997</v>
      </c>
    </row>
    <row r="4554" spans="1:208" x14ac:dyDescent="0.25">
      <c r="A4554" s="127">
        <v>45500</v>
      </c>
      <c r="B4554" s="24" t="s">
        <v>184</v>
      </c>
      <c r="C4554" s="21">
        <f t="shared" si="75"/>
        <v>-606.92499999999995</v>
      </c>
      <c r="BC4554" s="106">
        <v>-64.465000000000003</v>
      </c>
      <c r="BU4554" s="106">
        <v>-33.36</v>
      </c>
      <c r="CA4554" s="106">
        <v>-34.82</v>
      </c>
      <c r="CY4554" s="106">
        <v>-66.52</v>
      </c>
      <c r="DE4554" s="74">
        <v>-67.784999999999997</v>
      </c>
      <c r="DK4554" s="106">
        <v>-33.295000000000002</v>
      </c>
      <c r="DP4554" s="74">
        <v>-64.290000000000006</v>
      </c>
      <c r="DS4554" s="42">
        <v>-73.3</v>
      </c>
      <c r="DY4554" s="42">
        <f>-8.03-8.11-7.98</f>
        <v>-24.12</v>
      </c>
      <c r="EA4554" s="74">
        <f>-34.06-8.545</f>
        <v>-42.604999999999997</v>
      </c>
      <c r="EG4554" s="74">
        <v>-102.36499999999999</v>
      </c>
    </row>
    <row r="4555" spans="1:208" x14ac:dyDescent="0.25">
      <c r="A4555" s="127">
        <v>45500</v>
      </c>
      <c r="B4555" s="24" t="s">
        <v>184</v>
      </c>
      <c r="C4555" s="21">
        <f t="shared" si="75"/>
        <v>-51.74</v>
      </c>
      <c r="DE4555" s="74">
        <f>-7.89-8.875</f>
        <v>-16.765000000000001</v>
      </c>
      <c r="DK4555" s="106">
        <v>-34.975000000000001</v>
      </c>
    </row>
    <row r="4556" spans="1:208" x14ac:dyDescent="0.25">
      <c r="A4556" s="127">
        <v>45500</v>
      </c>
      <c r="B4556" s="24" t="s">
        <v>48</v>
      </c>
      <c r="C4556" s="21">
        <f t="shared" si="75"/>
        <v>174.07</v>
      </c>
      <c r="BA4556" s="42">
        <v>35.25</v>
      </c>
      <c r="CQ4556" s="42">
        <v>32.799999999999997</v>
      </c>
      <c r="DS4556" s="42">
        <v>106.02</v>
      </c>
    </row>
    <row r="4557" spans="1:208" x14ac:dyDescent="0.25">
      <c r="A4557" s="127">
        <v>45500</v>
      </c>
      <c r="B4557" s="24" t="s">
        <v>44</v>
      </c>
      <c r="C4557" s="21">
        <f t="shared" si="75"/>
        <v>-29.76</v>
      </c>
      <c r="GK4557" s="79">
        <v>-29.76</v>
      </c>
    </row>
    <row r="4558" spans="1:208" x14ac:dyDescent="0.25">
      <c r="A4558" s="127">
        <v>45500</v>
      </c>
      <c r="B4558" s="24" t="s">
        <v>122</v>
      </c>
      <c r="C4558" s="21">
        <f t="shared" si="75"/>
        <v>0</v>
      </c>
    </row>
    <row r="4559" spans="1:208" x14ac:dyDescent="0.25">
      <c r="A4559" s="127">
        <v>45500</v>
      </c>
      <c r="B4559" s="24" t="s">
        <v>138</v>
      </c>
      <c r="C4559" s="21">
        <f t="shared" si="75"/>
        <v>-24.82</v>
      </c>
      <c r="AC4559" s="106">
        <v>-8.56</v>
      </c>
      <c r="AW4559" s="106">
        <v>-7.8</v>
      </c>
      <c r="BI4559" s="106">
        <v>-8.4600000000000009</v>
      </c>
    </row>
    <row r="4560" spans="1:208" x14ac:dyDescent="0.25">
      <c r="A4560" s="127">
        <v>45500</v>
      </c>
      <c r="B4560" s="24" t="s">
        <v>75</v>
      </c>
      <c r="C4560" s="21">
        <f t="shared" si="75"/>
        <v>-8.31</v>
      </c>
      <c r="CA4560" s="106">
        <v>-8.31</v>
      </c>
    </row>
    <row r="4561" spans="1:212" x14ac:dyDescent="0.25">
      <c r="A4561" s="127">
        <v>45501</v>
      </c>
      <c r="B4561" s="24" t="s">
        <v>20</v>
      </c>
      <c r="C4561" s="21">
        <f t="shared" si="75"/>
        <v>-16.03</v>
      </c>
      <c r="BI4561" s="106">
        <v>-8.42</v>
      </c>
      <c r="BU4561" s="106">
        <v>-7.61</v>
      </c>
    </row>
    <row r="4562" spans="1:212" x14ac:dyDescent="0.25">
      <c r="A4562" s="127">
        <v>45501</v>
      </c>
      <c r="B4562" s="24" t="s">
        <v>197</v>
      </c>
      <c r="C4562" s="21">
        <f t="shared" si="75"/>
        <v>-34.549999999999997</v>
      </c>
      <c r="BU4562" s="106">
        <v>-16.965</v>
      </c>
      <c r="CA4562" s="106">
        <v>-17.585000000000001</v>
      </c>
    </row>
    <row r="4563" spans="1:212" x14ac:dyDescent="0.25">
      <c r="A4563" s="127">
        <v>45501</v>
      </c>
      <c r="B4563" s="24" t="s">
        <v>184</v>
      </c>
      <c r="C4563" s="21">
        <f t="shared" si="75"/>
        <v>-76.194999999999993</v>
      </c>
      <c r="AW4563" s="106">
        <v>-15.965</v>
      </c>
      <c r="BI4563" s="106">
        <v>-16.850000000000001</v>
      </c>
      <c r="CM4563" s="106">
        <v>-35.064999999999998</v>
      </c>
      <c r="CY4563" s="106">
        <v>-8.3149999999999995</v>
      </c>
    </row>
    <row r="4564" spans="1:212" x14ac:dyDescent="0.25">
      <c r="A4564" s="127">
        <v>45501</v>
      </c>
      <c r="B4564" s="24" t="s">
        <v>193</v>
      </c>
      <c r="C4564" s="21">
        <f t="shared" si="75"/>
        <v>-20.754999999999999</v>
      </c>
      <c r="AC4564" s="106">
        <v>-5.7850000000000001</v>
      </c>
      <c r="CQ4564" s="42">
        <v>-7.45</v>
      </c>
      <c r="DE4564" s="74">
        <v>-7.52</v>
      </c>
    </row>
    <row r="4565" spans="1:212" x14ac:dyDescent="0.25">
      <c r="A4565" s="127">
        <v>45501</v>
      </c>
      <c r="B4565" s="24" t="s">
        <v>48</v>
      </c>
      <c r="C4565" s="21">
        <f t="shared" si="75"/>
        <v>-31.055</v>
      </c>
      <c r="AW4565" s="106">
        <v>-31.055</v>
      </c>
    </row>
    <row r="4566" spans="1:212" x14ac:dyDescent="0.25">
      <c r="A4566" s="127">
        <v>45533</v>
      </c>
      <c r="B4566" s="24" t="s">
        <v>138</v>
      </c>
      <c r="C4566" s="21">
        <f t="shared" si="75"/>
        <v>-33.53</v>
      </c>
      <c r="AG4566" s="106">
        <v>-8.61</v>
      </c>
      <c r="AN4566" s="106">
        <v>-8.61</v>
      </c>
      <c r="AR4566" s="106">
        <v>-8.39</v>
      </c>
      <c r="AW4566" s="106">
        <v>-7.92</v>
      </c>
    </row>
    <row r="4567" spans="1:212" x14ac:dyDescent="0.25">
      <c r="A4567" s="127">
        <v>45534</v>
      </c>
      <c r="B4567" s="24" t="s">
        <v>48</v>
      </c>
      <c r="C4567" s="21">
        <f t="shared" si="75"/>
        <v>-54.04</v>
      </c>
      <c r="GZ4567" s="106">
        <v>-16.734999999999999</v>
      </c>
      <c r="HD4567" s="92">
        <v>-37.305</v>
      </c>
    </row>
    <row r="4568" spans="1:212" x14ac:dyDescent="0.25">
      <c r="A4568" s="127">
        <v>45534</v>
      </c>
      <c r="B4568" s="24" t="s">
        <v>139</v>
      </c>
      <c r="C4568" s="21">
        <f t="shared" si="75"/>
        <v>-8.1549999999999994</v>
      </c>
      <c r="AC4568" s="106">
        <v>-8.1549999999999994</v>
      </c>
    </row>
    <row r="4569" spans="1:212" x14ac:dyDescent="0.25">
      <c r="A4569" s="127">
        <v>45534</v>
      </c>
      <c r="B4569" s="24" t="s">
        <v>214</v>
      </c>
      <c r="C4569" s="21">
        <f t="shared" si="75"/>
        <v>-16.864999999999998</v>
      </c>
      <c r="P4569" s="106">
        <v>-8.26</v>
      </c>
      <c r="AG4569" s="106">
        <v>-8.6050000000000004</v>
      </c>
    </row>
    <row r="4570" spans="1:212" x14ac:dyDescent="0.25">
      <c r="A4570" s="127">
        <v>45535</v>
      </c>
      <c r="B4570" s="24" t="s">
        <v>214</v>
      </c>
      <c r="C4570" s="21">
        <f t="shared" si="75"/>
        <v>-16.5</v>
      </c>
      <c r="L4570" s="69">
        <v>-4.1100000000000003</v>
      </c>
      <c r="P4570" s="106">
        <f>-4.11-4.17</f>
        <v>-8.2799999999999994</v>
      </c>
      <c r="U4570" s="69">
        <v>-4.1100000000000003</v>
      </c>
    </row>
    <row r="4571" spans="1:212" x14ac:dyDescent="0.25">
      <c r="A4571" s="127">
        <v>45535</v>
      </c>
      <c r="B4571" s="24" t="s">
        <v>75</v>
      </c>
      <c r="C4571" s="21">
        <f t="shared" si="75"/>
        <v>8.1999999999999993</v>
      </c>
      <c r="U4571" s="69">
        <v>8.1999999999999993</v>
      </c>
    </row>
    <row r="4572" spans="1:212" x14ac:dyDescent="0.25">
      <c r="A4572" s="127">
        <v>45537</v>
      </c>
      <c r="B4572" s="24" t="s">
        <v>193</v>
      </c>
      <c r="C4572" s="21">
        <f t="shared" si="75"/>
        <v>-8.24</v>
      </c>
      <c r="CM4572" s="106">
        <v>-8.24</v>
      </c>
    </row>
    <row r="4573" spans="1:212" x14ac:dyDescent="0.25">
      <c r="A4573" s="127">
        <v>45538</v>
      </c>
      <c r="B4573" s="24" t="s">
        <v>127</v>
      </c>
      <c r="C4573" s="21">
        <f t="shared" si="75"/>
        <v>-15.13</v>
      </c>
      <c r="AX4573" s="121">
        <v>-15.13</v>
      </c>
    </row>
    <row r="4574" spans="1:212" x14ac:dyDescent="0.25">
      <c r="A4574" s="127">
        <v>45538</v>
      </c>
      <c r="B4574" s="24" t="s">
        <v>20</v>
      </c>
      <c r="C4574" s="21">
        <f t="shared" si="75"/>
        <v>-62.734999999999999</v>
      </c>
      <c r="AW4574" s="106">
        <v>-8.0399999999999991</v>
      </c>
      <c r="BO4574" s="106">
        <v>-8.2149999999999999</v>
      </c>
      <c r="BU4574" s="106">
        <v>-8.33</v>
      </c>
      <c r="CQ4574" s="42">
        <v>-8.92</v>
      </c>
      <c r="GZ4574" s="106">
        <v>-29.23</v>
      </c>
    </row>
    <row r="4575" spans="1:212" x14ac:dyDescent="0.25">
      <c r="A4575" s="127">
        <v>45538</v>
      </c>
      <c r="B4575" s="24" t="s">
        <v>29</v>
      </c>
      <c r="C4575" s="21">
        <f t="shared" si="75"/>
        <v>-16.555</v>
      </c>
      <c r="BO4575" s="106">
        <v>-8.2100000000000009</v>
      </c>
      <c r="CA4575" s="106">
        <v>-8.3450000000000006</v>
      </c>
    </row>
    <row r="4576" spans="1:212" x14ac:dyDescent="0.25">
      <c r="A4576" s="127">
        <v>45538</v>
      </c>
      <c r="B4576" s="24" t="s">
        <v>75</v>
      </c>
      <c r="C4576" s="21">
        <f t="shared" si="75"/>
        <v>-8.1850000000000005</v>
      </c>
      <c r="BI4576" s="106">
        <v>-8.1850000000000005</v>
      </c>
    </row>
    <row r="4577" spans="1:221" x14ac:dyDescent="0.25">
      <c r="A4577" s="127">
        <v>45538</v>
      </c>
      <c r="B4577" s="24" t="s">
        <v>25</v>
      </c>
      <c r="C4577" s="21">
        <f t="shared" si="75"/>
        <v>-24.535</v>
      </c>
      <c r="BA4577" s="42">
        <v>-8.94</v>
      </c>
      <c r="BI4577" s="106">
        <v>-7.085</v>
      </c>
      <c r="CL4577" s="69">
        <v>-8.51</v>
      </c>
    </row>
    <row r="4578" spans="1:221" x14ac:dyDescent="0.25">
      <c r="A4578" s="127">
        <v>45539</v>
      </c>
      <c r="B4578" s="24" t="s">
        <v>31</v>
      </c>
      <c r="C4578" s="21">
        <f t="shared" si="75"/>
        <v>-12.59</v>
      </c>
      <c r="U4578" s="69">
        <v>-4.07</v>
      </c>
      <c r="AC4578" s="106">
        <v>-8.52</v>
      </c>
    </row>
    <row r="4579" spans="1:221" x14ac:dyDescent="0.25">
      <c r="A4579" s="127">
        <v>45540</v>
      </c>
      <c r="B4579" s="24" t="s">
        <v>146</v>
      </c>
      <c r="C4579" s="21">
        <f t="shared" si="75"/>
        <v>1018.125</v>
      </c>
      <c r="BB4579" s="69">
        <v>102.11499999999999</v>
      </c>
      <c r="BH4579" s="69">
        <v>202.95</v>
      </c>
      <c r="BN4579" s="69">
        <v>203.56</v>
      </c>
      <c r="BZ4579" s="69">
        <v>136.63999999999999</v>
      </c>
      <c r="CF4579" s="69">
        <v>135.55500000000001</v>
      </c>
      <c r="CL4579" s="69">
        <v>135</v>
      </c>
      <c r="CR4579" s="69">
        <v>34.520000000000003</v>
      </c>
      <c r="DT4579" s="69">
        <v>33.880000000000003</v>
      </c>
      <c r="DZ4579" s="69">
        <v>33.905000000000001</v>
      </c>
    </row>
    <row r="4580" spans="1:221" x14ac:dyDescent="0.25">
      <c r="A4580" s="127">
        <v>45540</v>
      </c>
      <c r="B4580" s="24" t="s">
        <v>190</v>
      </c>
      <c r="C4580" s="21">
        <f t="shared" si="75"/>
        <v>-133.99</v>
      </c>
      <c r="DK4580" s="106">
        <v>-133.99</v>
      </c>
    </row>
    <row r="4581" spans="1:221" x14ac:dyDescent="0.25">
      <c r="A4581" s="127">
        <v>45540</v>
      </c>
      <c r="B4581" s="24" t="s">
        <v>184</v>
      </c>
      <c r="C4581" s="21">
        <f t="shared" si="75"/>
        <v>-51.825000000000003</v>
      </c>
      <c r="BA4581" s="42">
        <v>-17.62</v>
      </c>
      <c r="BN4581" s="69">
        <v>-25.664999999999999</v>
      </c>
      <c r="BZ4581" s="69">
        <v>-8.5399999999999991</v>
      </c>
    </row>
    <row r="4582" spans="1:221" x14ac:dyDescent="0.25">
      <c r="A4582" s="127">
        <v>45540</v>
      </c>
      <c r="B4582" s="24" t="s">
        <v>68</v>
      </c>
      <c r="C4582" s="21">
        <f t="shared" si="75"/>
        <v>-67.015000000000001</v>
      </c>
      <c r="BB4582" s="69">
        <v>-34.034999999999997</v>
      </c>
      <c r="BH4582" s="69">
        <v>-32.979999999999997</v>
      </c>
    </row>
    <row r="4583" spans="1:221" x14ac:dyDescent="0.25">
      <c r="A4583" s="127">
        <v>45540</v>
      </c>
      <c r="B4583" s="24" t="s">
        <v>193</v>
      </c>
      <c r="C4583" s="21">
        <f t="shared" si="75"/>
        <v>-8.41</v>
      </c>
      <c r="CF4583" s="69">
        <v>-8.41</v>
      </c>
    </row>
    <row r="4584" spans="1:221" x14ac:dyDescent="0.25">
      <c r="A4584" s="127">
        <v>45540</v>
      </c>
      <c r="B4584" s="24" t="s">
        <v>210</v>
      </c>
      <c r="C4584" s="21">
        <f t="shared" si="75"/>
        <v>-8.5050000000000008</v>
      </c>
      <c r="BH4584" s="69">
        <v>-8.5050000000000008</v>
      </c>
    </row>
    <row r="4585" spans="1:221" x14ac:dyDescent="0.25">
      <c r="A4585" s="127">
        <v>45540</v>
      </c>
      <c r="B4585" s="24" t="s">
        <v>20</v>
      </c>
      <c r="C4585" s="21">
        <f t="shared" si="75"/>
        <v>-17.079999999999998</v>
      </c>
      <c r="AN4585" s="106">
        <v>-8.4749999999999996</v>
      </c>
      <c r="CF4585" s="69">
        <v>-8.6050000000000004</v>
      </c>
    </row>
    <row r="4586" spans="1:221" x14ac:dyDescent="0.25">
      <c r="A4586" s="127">
        <v>45540</v>
      </c>
      <c r="B4586" s="24" t="s">
        <v>180</v>
      </c>
      <c r="C4586" s="21">
        <f t="shared" si="75"/>
        <v>-87.344999999999999</v>
      </c>
      <c r="GO4586" s="110">
        <v>-87.344999999999999</v>
      </c>
    </row>
    <row r="4587" spans="1:221" x14ac:dyDescent="0.25">
      <c r="A4587" s="127">
        <v>45540</v>
      </c>
      <c r="B4587" s="24" t="s">
        <v>152</v>
      </c>
      <c r="C4587" s="21">
        <f t="shared" si="75"/>
        <v>-130.72499999999999</v>
      </c>
      <c r="L4587" s="69">
        <v>-5.53</v>
      </c>
      <c r="P4587" s="106">
        <f>-5-8.28-8.11</f>
        <v>-21.39</v>
      </c>
      <c r="EG4587" s="74">
        <v>-33.39</v>
      </c>
      <c r="EL4587" s="106">
        <v>-32.729999999999997</v>
      </c>
      <c r="FS4587" s="106">
        <v>-23.18</v>
      </c>
      <c r="HM4587" s="106">
        <f>-7.24-7.265</f>
        <v>-14.505000000000001</v>
      </c>
    </row>
    <row r="4588" spans="1:221" x14ac:dyDescent="0.25">
      <c r="A4588" s="127">
        <v>45540</v>
      </c>
      <c r="B4588" s="24" t="s">
        <v>113</v>
      </c>
      <c r="C4588" s="21">
        <f t="shared" si="75"/>
        <v>850.74800000000005</v>
      </c>
      <c r="AC4588" s="106">
        <v>32.25</v>
      </c>
      <c r="AN4588" s="106">
        <v>34.414999999999999</v>
      </c>
      <c r="AR4588" s="106">
        <v>67.677999999999997</v>
      </c>
      <c r="AW4588" s="106">
        <v>65.394999999999996</v>
      </c>
      <c r="BC4588" s="106">
        <v>96.775000000000006</v>
      </c>
      <c r="BU4588" s="106">
        <v>66.92</v>
      </c>
      <c r="CS4588" s="74">
        <v>51.3</v>
      </c>
      <c r="CY4588" s="106">
        <v>99.284999999999997</v>
      </c>
      <c r="DE4588" s="74">
        <v>103.65</v>
      </c>
      <c r="DU4588" s="106">
        <v>34.505000000000003</v>
      </c>
      <c r="EA4588" s="74">
        <v>102.36</v>
      </c>
      <c r="GQ4588" s="92">
        <v>96.215000000000003</v>
      </c>
    </row>
    <row r="4589" spans="1:221" x14ac:dyDescent="0.25">
      <c r="A4589" s="127">
        <v>45540</v>
      </c>
      <c r="B4589" s="24" t="s">
        <v>113</v>
      </c>
      <c r="C4589" s="21">
        <f t="shared" si="75"/>
        <v>328.08</v>
      </c>
      <c r="V4589" s="74">
        <v>63.725000000000001</v>
      </c>
      <c r="Z4589" s="79">
        <v>68.03</v>
      </c>
      <c r="BI4589" s="106">
        <v>64.334999999999994</v>
      </c>
      <c r="CA4589" s="106">
        <v>66.555000000000007</v>
      </c>
      <c r="CG4589" s="106">
        <v>65.435000000000002</v>
      </c>
    </row>
    <row r="4590" spans="1:221" x14ac:dyDescent="0.25">
      <c r="A4590" s="127">
        <v>45540</v>
      </c>
      <c r="B4590" s="24" t="s">
        <v>64</v>
      </c>
      <c r="C4590" s="21">
        <f t="shared" si="75"/>
        <v>0</v>
      </c>
    </row>
    <row r="4591" spans="1:221" x14ac:dyDescent="0.25">
      <c r="A4591" s="127">
        <v>45540</v>
      </c>
      <c r="B4591" s="24" t="s">
        <v>184</v>
      </c>
      <c r="C4591" s="21">
        <f t="shared" si="75"/>
        <v>-682.75</v>
      </c>
      <c r="Z4591" s="79">
        <v>-17.094999999999999</v>
      </c>
      <c r="AW4591" s="106">
        <v>-32.58</v>
      </c>
      <c r="BC4591" s="106">
        <v>-64.459999999999994</v>
      </c>
      <c r="BI4591" s="106">
        <f>-32.195-32.14</f>
        <v>-64.334999999999994</v>
      </c>
      <c r="BN4591" s="69">
        <v>-34.200000000000003</v>
      </c>
      <c r="BU4591" s="106">
        <v>-33.435000000000002</v>
      </c>
      <c r="CA4591" s="106">
        <v>-33.32</v>
      </c>
      <c r="CG4591" s="106">
        <v>-65.435000000000002</v>
      </c>
      <c r="CM4591" s="106">
        <v>-32.72</v>
      </c>
      <c r="CQ4591" s="42">
        <f>-7.7-8.73</f>
        <v>-16.43</v>
      </c>
      <c r="CS4591" s="74">
        <f>-17.77-33.53</f>
        <v>-51.3</v>
      </c>
      <c r="DE4591" s="74">
        <v>-67.855000000000004</v>
      </c>
      <c r="DS4591" s="42">
        <v>-32.72</v>
      </c>
      <c r="DU4591" s="106">
        <v>-34.505000000000003</v>
      </c>
      <c r="EA4591" s="74">
        <f>-34.62-67.74</f>
        <v>-102.36</v>
      </c>
    </row>
    <row r="4592" spans="1:221" x14ac:dyDescent="0.25">
      <c r="A4592" s="127">
        <v>45541</v>
      </c>
      <c r="B4592" s="24" t="s">
        <v>20</v>
      </c>
      <c r="C4592" s="21">
        <f t="shared" si="75"/>
        <v>-16.46</v>
      </c>
      <c r="V4592" s="74">
        <v>-7.98</v>
      </c>
      <c r="BZ4592" s="69">
        <v>-8.48</v>
      </c>
    </row>
    <row r="4593" spans="1:199" x14ac:dyDescent="0.25">
      <c r="A4593" s="127">
        <v>45541</v>
      </c>
      <c r="B4593" s="24" t="s">
        <v>138</v>
      </c>
      <c r="C4593" s="21">
        <f t="shared" ref="C4593:C4656" si="76">SUM(D4593:JT4593)</f>
        <v>-16.98</v>
      </c>
      <c r="BH4593" s="69">
        <v>-16.98</v>
      </c>
    </row>
    <row r="4594" spans="1:199" x14ac:dyDescent="0.25">
      <c r="A4594" s="127">
        <v>45541</v>
      </c>
      <c r="B4594" s="24" t="s">
        <v>25</v>
      </c>
      <c r="C4594" s="21">
        <f t="shared" si="76"/>
        <v>-25.38</v>
      </c>
      <c r="BU4594" s="106">
        <v>-8.35</v>
      </c>
      <c r="BZ4594" s="69">
        <v>-8.57</v>
      </c>
      <c r="CF4594" s="69">
        <v>-8.4600000000000009</v>
      </c>
    </row>
    <row r="4595" spans="1:199" x14ac:dyDescent="0.25">
      <c r="A4595" s="127">
        <v>45541</v>
      </c>
      <c r="B4595" s="24" t="s">
        <v>29</v>
      </c>
      <c r="C4595" s="21">
        <f t="shared" si="76"/>
        <v>-16.87</v>
      </c>
      <c r="BH4595" s="69">
        <v>-8.5150000000000006</v>
      </c>
      <c r="BU4595" s="106">
        <v>-8.3550000000000004</v>
      </c>
    </row>
    <row r="4596" spans="1:199" x14ac:dyDescent="0.25">
      <c r="A4596" s="127">
        <v>45541</v>
      </c>
      <c r="B4596" s="24" t="s">
        <v>214</v>
      </c>
      <c r="C4596" s="21">
        <f t="shared" si="76"/>
        <v>-50.255000000000003</v>
      </c>
      <c r="V4596" s="74">
        <v>-7.9550000000000001</v>
      </c>
      <c r="Z4596" s="79">
        <v>-8.42</v>
      </c>
      <c r="BO4596" s="106">
        <f>-8.235-8.245</f>
        <v>-16.48</v>
      </c>
      <c r="CR4596" s="69">
        <f>-8.71-8.69</f>
        <v>-17.399999999999999</v>
      </c>
    </row>
    <row r="4597" spans="1:199" x14ac:dyDescent="0.25">
      <c r="A4597" s="127">
        <v>45541</v>
      </c>
      <c r="B4597" s="24" t="s">
        <v>152</v>
      </c>
      <c r="C4597" s="21">
        <f t="shared" si="76"/>
        <v>-199.64</v>
      </c>
      <c r="AC4597" s="106">
        <f>-32.25-8.555-8.515-8.16-7.07</f>
        <v>-64.55</v>
      </c>
      <c r="AN4597" s="106">
        <f>-34.45-34.415</f>
        <v>-68.864999999999995</v>
      </c>
      <c r="CY4597" s="106">
        <v>-33.049999999999997</v>
      </c>
      <c r="DK4597" s="106">
        <v>-33.174999999999997</v>
      </c>
    </row>
    <row r="4598" spans="1:199" x14ac:dyDescent="0.25">
      <c r="A4598" s="127">
        <v>45541</v>
      </c>
      <c r="B4598" s="24" t="s">
        <v>203</v>
      </c>
      <c r="C4598" s="21">
        <f t="shared" si="76"/>
        <v>-77.174999999999997</v>
      </c>
      <c r="Z4598" s="79">
        <v>-8.61</v>
      </c>
      <c r="AG4598" s="106">
        <v>-8.6</v>
      </c>
      <c r="BB4598" s="69">
        <v>-17.02</v>
      </c>
      <c r="BH4598" s="69">
        <v>-16.920000000000002</v>
      </c>
      <c r="BZ4598" s="69">
        <v>-17.065000000000001</v>
      </c>
      <c r="CF4598" s="69">
        <v>-16.975000000000001</v>
      </c>
      <c r="CR4598" s="69">
        <v>-8.8049999999999997</v>
      </c>
      <c r="DE4598" s="74">
        <v>16.82</v>
      </c>
    </row>
    <row r="4599" spans="1:199" x14ac:dyDescent="0.25">
      <c r="A4599" s="127">
        <v>45544</v>
      </c>
      <c r="B4599" s="24" t="s">
        <v>184</v>
      </c>
      <c r="C4599" s="21">
        <f t="shared" si="76"/>
        <v>-101.645</v>
      </c>
      <c r="AR4599" s="106">
        <v>-8.3800000000000008</v>
      </c>
      <c r="AW4599" s="106">
        <v>-8.2850000000000001</v>
      </c>
      <c r="BH4599" s="69">
        <f>-8.485-17.015</f>
        <v>-25.5</v>
      </c>
      <c r="BZ4599" s="69">
        <f>-8.46-17.12</f>
        <v>-25.58</v>
      </c>
      <c r="CF4599" s="69">
        <f>-16.94-16.96</f>
        <v>-33.9</v>
      </c>
    </row>
    <row r="4600" spans="1:199" x14ac:dyDescent="0.25">
      <c r="A4600" s="127">
        <v>45544</v>
      </c>
      <c r="B4600" s="24" t="s">
        <v>193</v>
      </c>
      <c r="C4600" s="21">
        <f t="shared" si="76"/>
        <v>-33.524999999999999</v>
      </c>
      <c r="BU4600" s="106">
        <v>-8.41</v>
      </c>
      <c r="CR4600" s="69">
        <v>-8.6150000000000002</v>
      </c>
      <c r="CY4600" s="106">
        <v>-8.2550000000000008</v>
      </c>
      <c r="DE4600" s="74">
        <v>-8.2449999999999992</v>
      </c>
    </row>
    <row r="4601" spans="1:199" x14ac:dyDescent="0.25">
      <c r="A4601" s="127">
        <v>45544</v>
      </c>
      <c r="B4601" s="24" t="s">
        <v>44</v>
      </c>
      <c r="C4601" s="21">
        <f t="shared" si="76"/>
        <v>-153.62</v>
      </c>
      <c r="GQ4601" s="92">
        <v>-153.62</v>
      </c>
    </row>
    <row r="4602" spans="1:199" x14ac:dyDescent="0.25">
      <c r="A4602" s="127">
        <v>45544</v>
      </c>
      <c r="B4602" s="24" t="s">
        <v>33</v>
      </c>
      <c r="C4602" s="21">
        <f t="shared" si="76"/>
        <v>-33.865000000000002</v>
      </c>
      <c r="BH4602" s="69">
        <v>-8.5</v>
      </c>
      <c r="BN4602" s="69">
        <v>-8.4250000000000007</v>
      </c>
      <c r="BU4602" s="106">
        <v>-8.3699999999999992</v>
      </c>
      <c r="BZ4602" s="69">
        <v>-8.57</v>
      </c>
    </row>
    <row r="4603" spans="1:199" x14ac:dyDescent="0.25">
      <c r="A4603" s="127">
        <v>45544</v>
      </c>
      <c r="B4603" s="24" t="s">
        <v>146</v>
      </c>
      <c r="C4603" s="21">
        <f t="shared" si="76"/>
        <v>-9.92</v>
      </c>
      <c r="GD4603" s="115">
        <v>-9.92</v>
      </c>
    </row>
    <row r="4604" spans="1:199" x14ac:dyDescent="0.25">
      <c r="A4604" s="127">
        <v>45545</v>
      </c>
      <c r="B4604" s="24" t="s">
        <v>184</v>
      </c>
      <c r="C4604" s="21">
        <f t="shared" si="76"/>
        <v>-45.835000000000001</v>
      </c>
      <c r="AG4604" s="106">
        <v>-8.6</v>
      </c>
      <c r="AW4604" s="106">
        <f>-8.09-8.225-4</f>
        <v>-20.315000000000001</v>
      </c>
      <c r="BH4604" s="69">
        <v>-8.51</v>
      </c>
      <c r="BN4604" s="69">
        <v>-8.41</v>
      </c>
    </row>
    <row r="4605" spans="1:199" x14ac:dyDescent="0.25">
      <c r="A4605" s="127">
        <v>45545</v>
      </c>
      <c r="B4605" s="24" t="s">
        <v>75</v>
      </c>
      <c r="C4605" s="21">
        <f t="shared" si="76"/>
        <v>-8.2149999999999999</v>
      </c>
      <c r="AW4605" s="106">
        <v>-8.2149999999999999</v>
      </c>
    </row>
    <row r="4606" spans="1:199" x14ac:dyDescent="0.25">
      <c r="A4606" s="127">
        <v>45545</v>
      </c>
      <c r="B4606" s="24" t="s">
        <v>20</v>
      </c>
      <c r="C4606" s="21">
        <f t="shared" si="76"/>
        <v>-17.055</v>
      </c>
      <c r="BH4606" s="69">
        <v>-8.51</v>
      </c>
      <c r="BZ4606" s="69">
        <v>-8.5449999999999999</v>
      </c>
    </row>
    <row r="4607" spans="1:199" x14ac:dyDescent="0.25">
      <c r="A4607" s="127">
        <v>45545</v>
      </c>
      <c r="B4607" s="24" t="s">
        <v>139</v>
      </c>
      <c r="C4607" s="21">
        <f t="shared" si="76"/>
        <v>-8.5150000000000006</v>
      </c>
      <c r="CF4607" s="69">
        <v>-8.5150000000000006</v>
      </c>
    </row>
    <row r="4608" spans="1:199" x14ac:dyDescent="0.25">
      <c r="A4608" s="127">
        <v>45545</v>
      </c>
      <c r="B4608" s="24" t="s">
        <v>202</v>
      </c>
      <c r="C4608" s="21">
        <f t="shared" si="76"/>
        <v>-25.824999999999999</v>
      </c>
      <c r="E4608" s="386">
        <v>-25.824999999999999</v>
      </c>
    </row>
    <row r="4609" spans="1:208" x14ac:dyDescent="0.25">
      <c r="A4609" s="127">
        <v>45545</v>
      </c>
      <c r="B4609" s="24" t="s">
        <v>32</v>
      </c>
      <c r="C4609" s="21">
        <f t="shared" si="76"/>
        <v>-24.195</v>
      </c>
      <c r="BB4609" s="69">
        <v>-34.034999999999997</v>
      </c>
      <c r="CA4609" s="106">
        <v>-33.234999999999999</v>
      </c>
      <c r="CF4609" s="69">
        <f>-8.51-8.35-8.505-8.51</f>
        <v>-33.875</v>
      </c>
      <c r="DK4609" s="106">
        <v>-8.3049999999999997</v>
      </c>
      <c r="DT4609" s="69">
        <v>-8.4450000000000003</v>
      </c>
      <c r="FD4609" s="126">
        <v>12.55</v>
      </c>
      <c r="FH4609" s="46">
        <v>13.75</v>
      </c>
      <c r="FL4609" s="46">
        <v>22.1</v>
      </c>
      <c r="FW4609" s="150">
        <v>23.85</v>
      </c>
      <c r="GF4609" s="150">
        <v>21.45</v>
      </c>
    </row>
    <row r="4610" spans="1:208" x14ac:dyDescent="0.25">
      <c r="A4610" s="127">
        <v>45546</v>
      </c>
      <c r="B4610" s="24" t="s">
        <v>127</v>
      </c>
      <c r="C4610" s="21">
        <f t="shared" si="76"/>
        <v>-17.204999999999998</v>
      </c>
      <c r="BA4610" s="42">
        <v>-8.69</v>
      </c>
      <c r="BB4610" s="69">
        <v>-8.5150000000000006</v>
      </c>
    </row>
    <row r="4611" spans="1:208" x14ac:dyDescent="0.25">
      <c r="A4611" s="127">
        <v>45547</v>
      </c>
      <c r="B4611" s="24" t="s">
        <v>133</v>
      </c>
      <c r="C4611" s="21">
        <f t="shared" si="76"/>
        <v>-100.425</v>
      </c>
      <c r="BN4611" s="69">
        <v>-33.715000000000003</v>
      </c>
      <c r="CL4611" s="69">
        <v>-33.564999999999998</v>
      </c>
      <c r="CY4611" s="106">
        <v>-33.145000000000003</v>
      </c>
    </row>
    <row r="4612" spans="1:208" x14ac:dyDescent="0.25">
      <c r="A4612" s="127">
        <v>45549</v>
      </c>
      <c r="B4612" s="24" t="s">
        <v>113</v>
      </c>
      <c r="C4612" s="21">
        <f t="shared" si="76"/>
        <v>591.15499999999997</v>
      </c>
      <c r="V4612" s="74">
        <v>31.475000000000001</v>
      </c>
      <c r="Z4612" s="79">
        <v>33.89</v>
      </c>
      <c r="BI4612" s="106">
        <v>145.005</v>
      </c>
      <c r="BU4612" s="106">
        <f>113.575+66.035</f>
        <v>179.61</v>
      </c>
      <c r="CG4612" s="106">
        <v>102.26</v>
      </c>
      <c r="CY4612" s="106">
        <v>64.765000000000001</v>
      </c>
      <c r="DU4612" s="106">
        <v>34.15</v>
      </c>
    </row>
    <row r="4613" spans="1:208" x14ac:dyDescent="0.25">
      <c r="A4613" s="127">
        <v>45549</v>
      </c>
      <c r="B4613" s="24" t="s">
        <v>113</v>
      </c>
      <c r="C4613" s="21">
        <f t="shared" si="76"/>
        <v>906.79</v>
      </c>
      <c r="AN4613" s="106">
        <v>97.6</v>
      </c>
      <c r="AR4613" s="106">
        <f>109.155+92.235</f>
        <v>201.39</v>
      </c>
      <c r="BC4613" s="106">
        <v>64.775000000000006</v>
      </c>
      <c r="CS4613" s="74">
        <v>159.82499999999999</v>
      </c>
      <c r="DE4613" s="74">
        <v>100.34</v>
      </c>
      <c r="DK4613" s="106">
        <v>98.67</v>
      </c>
      <c r="EA4613" s="74">
        <v>101.005</v>
      </c>
      <c r="GZ4613" s="106">
        <v>83.185000000000002</v>
      </c>
    </row>
    <row r="4614" spans="1:208" x14ac:dyDescent="0.25">
      <c r="A4614" s="127">
        <v>45549</v>
      </c>
      <c r="B4614" s="24" t="s">
        <v>113</v>
      </c>
      <c r="C4614" s="21">
        <f t="shared" si="76"/>
        <v>1026.778</v>
      </c>
      <c r="AC4614" s="106">
        <v>32.6</v>
      </c>
      <c r="AG4614" s="106">
        <v>102.44499999999999</v>
      </c>
      <c r="AW4614" s="106">
        <v>65.05</v>
      </c>
      <c r="DP4614" s="74">
        <v>190.84</v>
      </c>
      <c r="GK4614" s="79">
        <v>80.533000000000001</v>
      </c>
      <c r="GO4614" s="110">
        <v>174.535</v>
      </c>
      <c r="GQ4614" s="92">
        <v>205.58500000000001</v>
      </c>
      <c r="GW4614" s="92">
        <v>116.935</v>
      </c>
      <c r="GZ4614" s="106">
        <v>58.255000000000003</v>
      </c>
    </row>
    <row r="4615" spans="1:208" x14ac:dyDescent="0.25">
      <c r="A4615" s="127">
        <v>45549</v>
      </c>
      <c r="B4615" s="24" t="s">
        <v>113</v>
      </c>
      <c r="C4615" s="21">
        <f t="shared" si="76"/>
        <v>932.71500000000003</v>
      </c>
      <c r="AN4615" s="106">
        <v>97.745000000000005</v>
      </c>
      <c r="AR4615" s="106">
        <f>109.145+109.65</f>
        <v>218.79499999999999</v>
      </c>
      <c r="BC4615" s="106">
        <v>64.125</v>
      </c>
      <c r="CS4615" s="74">
        <v>166.71</v>
      </c>
      <c r="DE4615" s="74">
        <v>103.05500000000001</v>
      </c>
      <c r="DK4615" s="106">
        <v>94.12</v>
      </c>
      <c r="EA4615" s="74">
        <v>101.58499999999999</v>
      </c>
      <c r="GZ4615" s="106">
        <v>86.58</v>
      </c>
    </row>
    <row r="4616" spans="1:208" x14ac:dyDescent="0.25">
      <c r="A4616" s="127">
        <v>45549</v>
      </c>
      <c r="B4616" s="24" t="s">
        <v>75</v>
      </c>
      <c r="C4616" s="21">
        <f t="shared" si="76"/>
        <v>-16.285</v>
      </c>
      <c r="AC4616" s="106">
        <v>-8.1300000000000008</v>
      </c>
      <c r="AR4616" s="106">
        <v>-8.1549999999999994</v>
      </c>
    </row>
    <row r="4617" spans="1:208" x14ac:dyDescent="0.25">
      <c r="A4617" s="127">
        <v>45549</v>
      </c>
      <c r="B4617" s="24" t="s">
        <v>162</v>
      </c>
      <c r="C4617" s="21">
        <f t="shared" si="76"/>
        <v>-8.1649999999999991</v>
      </c>
      <c r="AC4617" s="106">
        <v>-8.1649999999999991</v>
      </c>
    </row>
    <row r="4618" spans="1:208" x14ac:dyDescent="0.25">
      <c r="A4618" s="127">
        <v>45549</v>
      </c>
      <c r="B4618" s="24" t="s">
        <v>184</v>
      </c>
      <c r="C4618" s="21">
        <f t="shared" si="76"/>
        <v>-67.355000000000004</v>
      </c>
      <c r="BU4618" s="106">
        <v>-16.600000000000001</v>
      </c>
      <c r="CL4618" s="69">
        <v>-33.99</v>
      </c>
      <c r="CS4618" s="74">
        <v>-16.765000000000001</v>
      </c>
    </row>
    <row r="4619" spans="1:208" x14ac:dyDescent="0.25">
      <c r="A4619" s="127">
        <v>45549</v>
      </c>
      <c r="B4619" s="24" t="s">
        <v>197</v>
      </c>
      <c r="C4619" s="21">
        <f t="shared" si="76"/>
        <v>-69.13</v>
      </c>
      <c r="CF4619" s="69">
        <v>-16.945</v>
      </c>
      <c r="CL4619" s="69">
        <v>-8.51</v>
      </c>
      <c r="DE4619" s="74">
        <v>-35.795000000000002</v>
      </c>
      <c r="DK4619" s="106">
        <v>-7.88</v>
      </c>
    </row>
    <row r="4620" spans="1:208" x14ac:dyDescent="0.25">
      <c r="A4620" s="127">
        <v>45549</v>
      </c>
      <c r="B4620" s="24" t="s">
        <v>20</v>
      </c>
      <c r="C4620" s="21">
        <f t="shared" si="76"/>
        <v>-16.454999999999998</v>
      </c>
      <c r="BU4620" s="106">
        <v>-16.454999999999998</v>
      </c>
    </row>
    <row r="4621" spans="1:208" x14ac:dyDescent="0.25">
      <c r="A4621" s="127">
        <v>45551</v>
      </c>
      <c r="B4621" s="24" t="s">
        <v>184</v>
      </c>
      <c r="C4621" s="21">
        <f t="shared" si="76"/>
        <v>-133.27000000000001</v>
      </c>
      <c r="BI4621" s="106">
        <v>-32.204999999999998</v>
      </c>
      <c r="DU4621" s="106">
        <v>-34.15</v>
      </c>
      <c r="EA4621" s="74">
        <v>-66.915000000000006</v>
      </c>
    </row>
    <row r="4622" spans="1:208" x14ac:dyDescent="0.25">
      <c r="A4622" s="127">
        <v>45551</v>
      </c>
      <c r="B4622" s="24" t="s">
        <v>133</v>
      </c>
      <c r="C4622" s="21">
        <f t="shared" si="76"/>
        <v>-115.815</v>
      </c>
      <c r="BU4622" s="106">
        <v>-32.604999999999997</v>
      </c>
      <c r="BZ4622" s="69">
        <v>-17.100000000000001</v>
      </c>
      <c r="CG4622" s="106">
        <v>-32.630000000000003</v>
      </c>
      <c r="CS4622" s="74">
        <v>-33.479999999999997</v>
      </c>
    </row>
    <row r="4623" spans="1:208" x14ac:dyDescent="0.25">
      <c r="A4623" s="127">
        <v>45551</v>
      </c>
      <c r="B4623" s="24" t="s">
        <v>184</v>
      </c>
      <c r="C4623" s="21">
        <f t="shared" si="76"/>
        <v>-66.260000000000005</v>
      </c>
      <c r="BU4623" s="106">
        <v>-33.314999999999998</v>
      </c>
      <c r="CS4623" s="74">
        <v>-32.945</v>
      </c>
    </row>
    <row r="4624" spans="1:208" x14ac:dyDescent="0.25">
      <c r="A4624" s="127">
        <v>45551</v>
      </c>
      <c r="B4624" s="24" t="s">
        <v>138</v>
      </c>
      <c r="C4624" s="21">
        <f t="shared" si="76"/>
        <v>-40.71</v>
      </c>
      <c r="AW4624" s="106">
        <v>-8.0749999999999993</v>
      </c>
      <c r="BC4624" s="106">
        <v>-16.155000000000001</v>
      </c>
      <c r="BI4624" s="106">
        <v>-8.0749999999999993</v>
      </c>
      <c r="BN4624" s="69">
        <v>-8.4049999999999994</v>
      </c>
    </row>
    <row r="4625" spans="1:214" x14ac:dyDescent="0.25">
      <c r="A4625" s="127">
        <v>45552</v>
      </c>
      <c r="B4625" s="24" t="s">
        <v>127</v>
      </c>
      <c r="C4625" s="21">
        <f t="shared" si="76"/>
        <v>-16.925000000000001</v>
      </c>
      <c r="BH4625" s="69">
        <v>-8.5</v>
      </c>
      <c r="BN4625" s="69">
        <v>-8.4250000000000007</v>
      </c>
    </row>
    <row r="4626" spans="1:214" x14ac:dyDescent="0.25">
      <c r="A4626" s="127">
        <v>45552</v>
      </c>
      <c r="B4626" s="24" t="s">
        <v>184</v>
      </c>
      <c r="C4626" s="21">
        <f t="shared" si="76"/>
        <v>-159.04499999999999</v>
      </c>
      <c r="AN4626" s="106">
        <v>-16.37</v>
      </c>
      <c r="BI4626" s="106">
        <v>-16.12</v>
      </c>
      <c r="BN4626" s="69">
        <f>-25.175-34.12</f>
        <v>-59.295000000000002</v>
      </c>
      <c r="CL4626" s="69">
        <v>-33.695</v>
      </c>
      <c r="DE4626" s="74">
        <v>-8.5749999999999993</v>
      </c>
      <c r="DU4626" s="106">
        <v>-7.9450000000000003</v>
      </c>
      <c r="EA4626" s="74">
        <v>-8.6050000000000004</v>
      </c>
      <c r="EI4626" s="150">
        <v>-8.44</v>
      </c>
    </row>
    <row r="4627" spans="1:214" x14ac:dyDescent="0.25">
      <c r="A4627" s="127">
        <v>45552</v>
      </c>
      <c r="B4627" s="24" t="s">
        <v>152</v>
      </c>
      <c r="C4627" s="21">
        <f t="shared" si="76"/>
        <v>-23.17</v>
      </c>
      <c r="FS4627" s="106">
        <v>-23.17</v>
      </c>
    </row>
    <row r="4628" spans="1:214" x14ac:dyDescent="0.25">
      <c r="A4628" s="127">
        <v>45552</v>
      </c>
      <c r="B4628" s="24" t="s">
        <v>130</v>
      </c>
      <c r="C4628" s="21">
        <f t="shared" si="76"/>
        <v>-8.5549999999999997</v>
      </c>
      <c r="BZ4628" s="69">
        <v>-8.5549999999999997</v>
      </c>
    </row>
    <row r="4629" spans="1:214" x14ac:dyDescent="0.25">
      <c r="A4629" s="127">
        <v>45552</v>
      </c>
      <c r="B4629" s="24" t="s">
        <v>193</v>
      </c>
      <c r="C4629" s="21">
        <f t="shared" si="76"/>
        <v>-8.32</v>
      </c>
      <c r="Z4629" s="79">
        <v>-2.44</v>
      </c>
      <c r="BI4629" s="106">
        <v>-2.2200000000000002</v>
      </c>
      <c r="BN4629" s="69">
        <v>-3.66</v>
      </c>
    </row>
    <row r="4630" spans="1:214" x14ac:dyDescent="0.25">
      <c r="A4630" s="127">
        <v>45555</v>
      </c>
      <c r="B4630" s="24" t="s">
        <v>138</v>
      </c>
      <c r="C4630" s="21">
        <f t="shared" si="76"/>
        <v>-26.414999999999999</v>
      </c>
      <c r="DT4630" s="69">
        <v>-8.6649999999999991</v>
      </c>
      <c r="EI4630" s="150">
        <v>-17.75</v>
      </c>
    </row>
    <row r="4631" spans="1:214" x14ac:dyDescent="0.25">
      <c r="A4631" s="127">
        <v>45555</v>
      </c>
      <c r="B4631" s="24" t="s">
        <v>20</v>
      </c>
      <c r="C4631" s="21">
        <f t="shared" si="76"/>
        <v>-58.34</v>
      </c>
      <c r="AR4631" s="106">
        <v>-8.375</v>
      </c>
      <c r="AW4631" s="106">
        <v>-8.1050000000000004</v>
      </c>
      <c r="BC4631" s="106">
        <v>-8.01</v>
      </c>
      <c r="BI4631" s="106">
        <v>-8.0649999999999995</v>
      </c>
      <c r="BZ4631" s="69">
        <v>-8.5449999999999999</v>
      </c>
      <c r="CG4631" s="106">
        <v>-8.73</v>
      </c>
      <c r="CL4631" s="69">
        <v>-8.51</v>
      </c>
    </row>
    <row r="4632" spans="1:214" x14ac:dyDescent="0.25">
      <c r="A4632" s="127">
        <v>45555</v>
      </c>
      <c r="B4632" s="24" t="s">
        <v>200</v>
      </c>
      <c r="C4632" s="21">
        <f t="shared" si="76"/>
        <v>-24.28</v>
      </c>
      <c r="BI4632" s="106">
        <v>-16.14</v>
      </c>
      <c r="BU4632" s="106">
        <v>-8.14</v>
      </c>
    </row>
    <row r="4633" spans="1:214" x14ac:dyDescent="0.25">
      <c r="A4633" s="127">
        <v>45555</v>
      </c>
      <c r="B4633" s="24" t="s">
        <v>44</v>
      </c>
      <c r="C4633" s="21">
        <f t="shared" si="76"/>
        <v>-218.77099999999999</v>
      </c>
      <c r="GK4633" s="79">
        <v>-27.061</v>
      </c>
      <c r="GQ4633" s="92">
        <v>-158.065</v>
      </c>
      <c r="HF4633" s="92">
        <v>-33.645000000000003</v>
      </c>
    </row>
    <row r="4634" spans="1:214" x14ac:dyDescent="0.25">
      <c r="A4634" s="127">
        <v>45555</v>
      </c>
      <c r="B4634" s="24" t="s">
        <v>184</v>
      </c>
      <c r="C4634" s="21">
        <f t="shared" si="76"/>
        <v>-117.255</v>
      </c>
      <c r="AW4634" s="106">
        <v>-8.17</v>
      </c>
      <c r="BI4634" s="106">
        <f>-8.055-8.07</f>
        <v>-16.125</v>
      </c>
      <c r="BU4634" s="106">
        <f>-8.14-8.165</f>
        <v>-16.305</v>
      </c>
      <c r="CG4634" s="106">
        <f>-8.775-8.39</f>
        <v>-17.164999999999999</v>
      </c>
      <c r="CL4634" s="69">
        <v>-8.52</v>
      </c>
      <c r="CS4634" s="74">
        <v>-8.36</v>
      </c>
      <c r="CY4634" s="106">
        <v>-8.2949999999999999</v>
      </c>
      <c r="DE4634" s="74">
        <v>-34.314999999999998</v>
      </c>
    </row>
    <row r="4635" spans="1:214" x14ac:dyDescent="0.25">
      <c r="A4635" s="127">
        <v>45555</v>
      </c>
      <c r="B4635" s="24" t="s">
        <v>204</v>
      </c>
      <c r="C4635" s="21">
        <f t="shared" si="76"/>
        <v>-24.204999999999998</v>
      </c>
      <c r="AN4635" s="106">
        <v>-8.1449999999999996</v>
      </c>
      <c r="BC4635" s="106">
        <v>-7.9950000000000001</v>
      </c>
      <c r="BI4635" s="106">
        <v>-8.0649999999999995</v>
      </c>
    </row>
    <row r="4636" spans="1:214" x14ac:dyDescent="0.25">
      <c r="A4636" s="127">
        <v>45555</v>
      </c>
      <c r="B4636" s="24" t="s">
        <v>29</v>
      </c>
      <c r="C4636" s="21">
        <f t="shared" si="76"/>
        <v>-25.66</v>
      </c>
      <c r="BN4636" s="69">
        <v>-8.56</v>
      </c>
      <c r="BU4636" s="106">
        <v>-8.56</v>
      </c>
      <c r="BZ4636" s="69">
        <v>-8.5399999999999991</v>
      </c>
    </row>
    <row r="4637" spans="1:214" x14ac:dyDescent="0.25">
      <c r="A4637" s="127">
        <v>45555</v>
      </c>
      <c r="B4637" s="24" t="s">
        <v>127</v>
      </c>
      <c r="C4637" s="21">
        <f t="shared" si="76"/>
        <v>-2.5099999999999998</v>
      </c>
      <c r="L4637" s="69">
        <v>-2.5099999999999998</v>
      </c>
    </row>
    <row r="4638" spans="1:214" x14ac:dyDescent="0.25">
      <c r="A4638" s="127">
        <v>45558</v>
      </c>
      <c r="B4638" s="24" t="s">
        <v>214</v>
      </c>
      <c r="C4638" s="21">
        <f t="shared" si="76"/>
        <v>-33.314999999999998</v>
      </c>
      <c r="CS4638" s="74">
        <v>-33.314999999999998</v>
      </c>
    </row>
    <row r="4639" spans="1:214" x14ac:dyDescent="0.25">
      <c r="A4639" s="127">
        <v>45559</v>
      </c>
      <c r="B4639" s="24" t="s">
        <v>184</v>
      </c>
      <c r="C4639" s="21">
        <f t="shared" si="76"/>
        <v>-67.325000000000003</v>
      </c>
      <c r="AW4639" s="106">
        <v>-8.18</v>
      </c>
      <c r="BC4639" s="106">
        <v>-8.02</v>
      </c>
      <c r="BI4639" s="106">
        <v>-8.0649999999999995</v>
      </c>
      <c r="BM4639" s="88">
        <v>-8.65</v>
      </c>
      <c r="BU4639" s="106">
        <v>-8.1649999999999991</v>
      </c>
      <c r="BY4639" s="42">
        <v>-8.5299999999999994</v>
      </c>
      <c r="CG4639" s="106">
        <v>-8.7149999999999999</v>
      </c>
      <c r="CK4639" s="42">
        <v>-9</v>
      </c>
    </row>
    <row r="4640" spans="1:214" x14ac:dyDescent="0.25">
      <c r="A4640" s="127">
        <v>45559</v>
      </c>
      <c r="B4640" s="24" t="s">
        <v>79</v>
      </c>
      <c r="C4640" s="21">
        <f t="shared" si="76"/>
        <v>-32.805</v>
      </c>
      <c r="CS4640" s="74">
        <v>-16.29</v>
      </c>
      <c r="CY4640" s="106">
        <v>-16.515000000000001</v>
      </c>
    </row>
    <row r="4641" spans="1:238" x14ac:dyDescent="0.25">
      <c r="A4641" s="127">
        <v>45559</v>
      </c>
      <c r="B4641" s="24" t="s">
        <v>75</v>
      </c>
      <c r="C4641" s="21">
        <f t="shared" si="76"/>
        <v>-25.484999999999999</v>
      </c>
      <c r="AR4641" s="106">
        <v>-8.4250000000000007</v>
      </c>
      <c r="BH4641" s="69">
        <v>-8.51</v>
      </c>
      <c r="BZ4641" s="69">
        <v>-8.5500000000000007</v>
      </c>
    </row>
    <row r="4642" spans="1:238" x14ac:dyDescent="0.25">
      <c r="A4642" s="127">
        <v>45559</v>
      </c>
      <c r="B4642" s="24" t="s">
        <v>200</v>
      </c>
      <c r="C4642" s="21">
        <f t="shared" si="76"/>
        <v>-8.1649999999999991</v>
      </c>
      <c r="AC4642" s="106">
        <v>-8.1649999999999991</v>
      </c>
    </row>
    <row r="4643" spans="1:238" x14ac:dyDescent="0.25">
      <c r="A4643" s="127">
        <v>45559</v>
      </c>
      <c r="B4643" s="24" t="s">
        <v>48</v>
      </c>
      <c r="C4643" s="21">
        <f t="shared" si="76"/>
        <v>174.22</v>
      </c>
      <c r="BM4643" s="88">
        <f>34.1+34.55</f>
        <v>68.650000000000006</v>
      </c>
      <c r="BS4643" s="42">
        <v>35.020000000000003</v>
      </c>
      <c r="BY4643" s="42">
        <v>34.380000000000003</v>
      </c>
      <c r="CK4643" s="42">
        <v>36.17</v>
      </c>
    </row>
    <row r="4644" spans="1:238" x14ac:dyDescent="0.25">
      <c r="A4644" s="127">
        <v>45559</v>
      </c>
      <c r="B4644" s="24" t="s">
        <v>214</v>
      </c>
      <c r="C4644" s="21">
        <f t="shared" si="76"/>
        <v>-34.729999999999997</v>
      </c>
      <c r="BM4644" s="88">
        <v>-17.239999999999998</v>
      </c>
      <c r="BS4644" s="42">
        <v>-17.489999999999998</v>
      </c>
    </row>
    <row r="4645" spans="1:238" x14ac:dyDescent="0.25">
      <c r="A4645" s="127">
        <v>45560</v>
      </c>
      <c r="B4645" s="24" t="s">
        <v>184</v>
      </c>
      <c r="C4645" s="21">
        <f t="shared" si="76"/>
        <v>-33.905000000000001</v>
      </c>
      <c r="Z4645" s="79">
        <v>-33.905000000000001</v>
      </c>
    </row>
    <row r="4646" spans="1:238" x14ac:dyDescent="0.25">
      <c r="A4646" s="127">
        <v>45560</v>
      </c>
      <c r="B4646" s="24" t="s">
        <v>152</v>
      </c>
      <c r="C4646" s="21">
        <f t="shared" si="76"/>
        <v>-43.274999999999999</v>
      </c>
      <c r="L4646" s="69">
        <v>-10.82</v>
      </c>
      <c r="AN4646" s="106">
        <v>-32.454999999999998</v>
      </c>
    </row>
    <row r="4647" spans="1:238" x14ac:dyDescent="0.25">
      <c r="A4647" s="127">
        <v>45560</v>
      </c>
      <c r="B4647" s="24" t="s">
        <v>130</v>
      </c>
      <c r="C4647" s="21">
        <f t="shared" si="76"/>
        <v>-16.614999999999998</v>
      </c>
      <c r="DK4647" s="106">
        <v>-16.614999999999998</v>
      </c>
    </row>
    <row r="4648" spans="1:238" x14ac:dyDescent="0.25">
      <c r="A4648" s="127">
        <v>45560</v>
      </c>
      <c r="B4648" s="24" t="s">
        <v>152</v>
      </c>
      <c r="C4648" s="21">
        <f t="shared" si="76"/>
        <v>14.76</v>
      </c>
      <c r="AN4648" s="106">
        <v>6.85</v>
      </c>
      <c r="ID4648" s="42">
        <v>7.91</v>
      </c>
    </row>
    <row r="4649" spans="1:238" x14ac:dyDescent="0.25">
      <c r="A4649" s="127">
        <v>45561</v>
      </c>
      <c r="B4649" s="24" t="s">
        <v>190</v>
      </c>
      <c r="C4649" s="21">
        <f t="shared" si="76"/>
        <v>-104.58</v>
      </c>
      <c r="BC4649" s="106">
        <v>-7.93</v>
      </c>
      <c r="BI4649" s="106">
        <v>-16.13</v>
      </c>
      <c r="BM4649" s="88">
        <v>-17.03</v>
      </c>
      <c r="BU4649" s="106">
        <v>-16.13</v>
      </c>
      <c r="FS4649" s="106">
        <v>-24.03</v>
      </c>
      <c r="GW4649" s="92">
        <v>-7.14</v>
      </c>
      <c r="HM4649" s="106">
        <v>-7.64</v>
      </c>
      <c r="HS4649" s="38">
        <v>-8.5500000000000007</v>
      </c>
    </row>
    <row r="4650" spans="1:238" x14ac:dyDescent="0.25">
      <c r="A4650" s="127">
        <v>45561</v>
      </c>
      <c r="B4650" s="24" t="s">
        <v>184</v>
      </c>
      <c r="C4650" s="21">
        <f t="shared" si="76"/>
        <v>-16.600000000000001</v>
      </c>
      <c r="AC4650" s="106">
        <v>-8.14</v>
      </c>
      <c r="AR4650" s="106">
        <v>-8.4600000000000009</v>
      </c>
    </row>
    <row r="4651" spans="1:238" x14ac:dyDescent="0.25">
      <c r="A4651" s="127">
        <v>45561</v>
      </c>
      <c r="B4651" s="24" t="s">
        <v>193</v>
      </c>
      <c r="C4651" s="21">
        <f t="shared" si="76"/>
        <v>-25.704999999999998</v>
      </c>
      <c r="BY4651" s="42">
        <v>-8.65</v>
      </c>
      <c r="CG4651" s="106">
        <v>-8.7750000000000004</v>
      </c>
      <c r="CY4651" s="106">
        <v>-8.2799999999999994</v>
      </c>
    </row>
    <row r="4652" spans="1:238" x14ac:dyDescent="0.25">
      <c r="A4652" s="127">
        <v>45561</v>
      </c>
      <c r="B4652" s="24" t="s">
        <v>48</v>
      </c>
      <c r="C4652" s="21">
        <f t="shared" si="76"/>
        <v>-23.844999999999999</v>
      </c>
      <c r="V4652" s="74">
        <v>-23.844999999999999</v>
      </c>
    </row>
    <row r="4653" spans="1:238" x14ac:dyDescent="0.25">
      <c r="A4653" s="127">
        <v>45561</v>
      </c>
      <c r="B4653" s="24" t="s">
        <v>188</v>
      </c>
      <c r="C4653" s="21">
        <f t="shared" si="76"/>
        <v>-7.9850000000000003</v>
      </c>
      <c r="V4653" s="74">
        <v>-7.9850000000000003</v>
      </c>
    </row>
    <row r="4654" spans="1:238" x14ac:dyDescent="0.25">
      <c r="A4654" s="127">
        <v>45561</v>
      </c>
      <c r="B4654" s="24" t="s">
        <v>48</v>
      </c>
      <c r="C4654" s="21">
        <f t="shared" si="76"/>
        <v>152.93</v>
      </c>
      <c r="AA4654" s="42">
        <v>8.24</v>
      </c>
      <c r="DS4654" s="42">
        <v>69.09</v>
      </c>
      <c r="DY4654" s="42">
        <v>75.599999999999994</v>
      </c>
    </row>
    <row r="4655" spans="1:238" x14ac:dyDescent="0.25">
      <c r="A4655" s="127">
        <v>45561</v>
      </c>
      <c r="B4655" s="24" t="s">
        <v>115</v>
      </c>
      <c r="C4655" s="21">
        <f t="shared" si="76"/>
        <v>-23.85</v>
      </c>
      <c r="FW4655" s="150">
        <v>-23.85</v>
      </c>
    </row>
    <row r="4656" spans="1:238" x14ac:dyDescent="0.25">
      <c r="A4656" s="127">
        <v>45562</v>
      </c>
      <c r="B4656" s="24" t="s">
        <v>188</v>
      </c>
      <c r="C4656" s="21">
        <f t="shared" si="76"/>
        <v>-8.24</v>
      </c>
      <c r="AA4656" s="42">
        <v>-8.24</v>
      </c>
    </row>
    <row r="4657" spans="1:233" x14ac:dyDescent="0.25">
      <c r="A4657" s="127">
        <v>45562</v>
      </c>
      <c r="B4657" s="24" t="s">
        <v>197</v>
      </c>
      <c r="C4657" s="21">
        <f t="shared" ref="C4657:C4720" si="77">SUM(D4657:JT4657)</f>
        <v>-136.03</v>
      </c>
      <c r="DS4657" s="42">
        <f>-34.51-25.92</f>
        <v>-60.43</v>
      </c>
      <c r="DY4657" s="42">
        <f>-37.23-38.37</f>
        <v>-75.599999999999994</v>
      </c>
    </row>
    <row r="4658" spans="1:233" x14ac:dyDescent="0.25">
      <c r="A4658" s="127">
        <v>45562</v>
      </c>
      <c r="B4658" s="24" t="s">
        <v>139</v>
      </c>
      <c r="C4658" s="21">
        <f t="shared" si="77"/>
        <v>-34.625</v>
      </c>
      <c r="BY4658" s="42">
        <v>-8.5399999999999991</v>
      </c>
      <c r="CG4658" s="106">
        <v>-8.6850000000000005</v>
      </c>
      <c r="CK4658" s="42">
        <v>-9.07</v>
      </c>
      <c r="CS4658" s="74">
        <v>-8.33</v>
      </c>
    </row>
    <row r="4659" spans="1:233" x14ac:dyDescent="0.25">
      <c r="A4659" s="127">
        <v>45562</v>
      </c>
      <c r="B4659" s="24" t="s">
        <v>39</v>
      </c>
      <c r="C4659" s="21">
        <f t="shared" si="77"/>
        <v>-33.07</v>
      </c>
      <c r="AW4659" s="106">
        <v>-8.08</v>
      </c>
      <c r="BC4659" s="106">
        <v>-7.9749999999999996</v>
      </c>
      <c r="BH4659" s="69">
        <v>-8.5050000000000008</v>
      </c>
      <c r="BM4659" s="88">
        <v>-8.51</v>
      </c>
    </row>
    <row r="4660" spans="1:233" x14ac:dyDescent="0.25">
      <c r="A4660" s="127">
        <v>45562</v>
      </c>
      <c r="B4660" s="24" t="s">
        <v>184</v>
      </c>
      <c r="C4660" s="21">
        <f t="shared" si="77"/>
        <v>-50.924999999999997</v>
      </c>
      <c r="AW4660" s="106">
        <v>-16.38</v>
      </c>
      <c r="BH4660" s="69">
        <v>-17.004999999999999</v>
      </c>
      <c r="BS4660" s="42">
        <v>-17.54</v>
      </c>
    </row>
    <row r="4661" spans="1:233" x14ac:dyDescent="0.25">
      <c r="A4661" s="127">
        <v>45562</v>
      </c>
      <c r="B4661" s="24" t="s">
        <v>64</v>
      </c>
      <c r="C4661" s="21">
        <f t="shared" si="77"/>
        <v>-2.99</v>
      </c>
      <c r="FZ4661" s="115">
        <v>-2.99</v>
      </c>
    </row>
    <row r="4662" spans="1:233" x14ac:dyDescent="0.25">
      <c r="A4662" s="127">
        <v>45562</v>
      </c>
      <c r="B4662" s="24" t="s">
        <v>139</v>
      </c>
      <c r="C4662" s="21">
        <f t="shared" si="77"/>
        <v>-16.945</v>
      </c>
      <c r="BU4662" s="106">
        <v>-8.14</v>
      </c>
      <c r="CG4662" s="106">
        <v>-8.8049999999999997</v>
      </c>
    </row>
    <row r="4663" spans="1:233" x14ac:dyDescent="0.25">
      <c r="A4663" s="127">
        <v>45563</v>
      </c>
      <c r="B4663" s="24" t="s">
        <v>204</v>
      </c>
      <c r="C4663" s="21">
        <f t="shared" si="77"/>
        <v>-25.475000000000001</v>
      </c>
      <c r="BM4663" s="88">
        <v>-8.66</v>
      </c>
      <c r="BU4663" s="106">
        <v>-8.1549999999999994</v>
      </c>
      <c r="BY4663" s="42">
        <v>-8.66</v>
      </c>
    </row>
    <row r="4664" spans="1:233" x14ac:dyDescent="0.25">
      <c r="A4664" s="127">
        <v>45565</v>
      </c>
      <c r="B4664" s="24" t="s">
        <v>64</v>
      </c>
      <c r="C4664" s="21">
        <f t="shared" si="77"/>
        <v>34.119999999999997</v>
      </c>
      <c r="AW4664" s="106">
        <v>34.119999999999997</v>
      </c>
    </row>
    <row r="4665" spans="1:233" x14ac:dyDescent="0.25">
      <c r="A4665" s="127">
        <v>45565</v>
      </c>
      <c r="B4665" s="24" t="s">
        <v>127</v>
      </c>
      <c r="C4665" s="21">
        <f t="shared" si="77"/>
        <v>-8.56</v>
      </c>
      <c r="BM4665" s="88">
        <v>-8.56</v>
      </c>
    </row>
    <row r="4666" spans="1:233" x14ac:dyDescent="0.25">
      <c r="A4666" s="127">
        <v>45566</v>
      </c>
      <c r="B4666" s="24" t="s">
        <v>33</v>
      </c>
      <c r="C4666" s="21">
        <f t="shared" si="77"/>
        <v>-8.06</v>
      </c>
      <c r="AW4666" s="106">
        <v>-8.06</v>
      </c>
    </row>
    <row r="4667" spans="1:233" x14ac:dyDescent="0.25">
      <c r="A4667" s="127">
        <v>45566</v>
      </c>
      <c r="B4667" s="24" t="s">
        <v>20</v>
      </c>
      <c r="C4667" s="21">
        <f t="shared" si="77"/>
        <v>-15.994999999999999</v>
      </c>
      <c r="AX4667" s="121">
        <v>-7.56</v>
      </c>
      <c r="BH4667" s="69">
        <v>-8.4350000000000005</v>
      </c>
    </row>
    <row r="4668" spans="1:233" x14ac:dyDescent="0.25">
      <c r="A4668" s="127">
        <v>45566</v>
      </c>
      <c r="B4668" s="24" t="s">
        <v>75</v>
      </c>
      <c r="C4668" s="21">
        <f t="shared" si="77"/>
        <v>-17.09</v>
      </c>
      <c r="BC4668" s="106">
        <v>-8.08</v>
      </c>
      <c r="CK4668" s="42">
        <v>-9.01</v>
      </c>
    </row>
    <row r="4669" spans="1:233" x14ac:dyDescent="0.25">
      <c r="A4669" s="127">
        <v>45566</v>
      </c>
      <c r="B4669" s="24" t="s">
        <v>50</v>
      </c>
      <c r="C4669" s="21">
        <f t="shared" si="77"/>
        <v>-290.27</v>
      </c>
      <c r="EU4669" s="126">
        <v>-25.61</v>
      </c>
      <c r="FD4669" s="126">
        <v>-37.590000000000003</v>
      </c>
      <c r="HV4669" s="92">
        <v>-99.25</v>
      </c>
      <c r="HY4669" s="38">
        <v>-127.82</v>
      </c>
    </row>
    <row r="4670" spans="1:233" x14ac:dyDescent="0.25">
      <c r="A4670" s="127">
        <v>45567</v>
      </c>
      <c r="B4670" s="24" t="s">
        <v>184</v>
      </c>
      <c r="C4670" s="21">
        <f t="shared" si="77"/>
        <v>-24.305</v>
      </c>
      <c r="AN4670" s="106">
        <v>-8.2050000000000001</v>
      </c>
      <c r="BC4670" s="106">
        <v>-16.100000000000001</v>
      </c>
    </row>
    <row r="4671" spans="1:233" x14ac:dyDescent="0.25">
      <c r="A4671" s="127">
        <v>45567</v>
      </c>
      <c r="B4671" s="24" t="s">
        <v>138</v>
      </c>
      <c r="C4671" s="21">
        <f t="shared" si="77"/>
        <v>-17.05</v>
      </c>
      <c r="V4671" s="74">
        <v>-7.96</v>
      </c>
      <c r="CK4671" s="42">
        <v>-9.09</v>
      </c>
    </row>
    <row r="4672" spans="1:233" x14ac:dyDescent="0.25">
      <c r="A4672" s="127">
        <v>45567</v>
      </c>
      <c r="B4672" s="24" t="s">
        <v>48</v>
      </c>
      <c r="C4672" s="21">
        <f t="shared" si="77"/>
        <v>33.97</v>
      </c>
      <c r="BG4672" s="42">
        <v>33.97</v>
      </c>
    </row>
    <row r="4673" spans="1:199" x14ac:dyDescent="0.25">
      <c r="A4673" s="127">
        <v>45568</v>
      </c>
      <c r="B4673" s="24" t="s">
        <v>79</v>
      </c>
      <c r="C4673" s="21">
        <f t="shared" si="77"/>
        <v>-21.215</v>
      </c>
      <c r="BH4673" s="69">
        <v>-8.48</v>
      </c>
      <c r="BI4673" s="106">
        <v>-7.9349999999999996</v>
      </c>
      <c r="BN4673" s="69">
        <v>-4.8</v>
      </c>
    </row>
    <row r="4674" spans="1:199" x14ac:dyDescent="0.25">
      <c r="A4674" s="127">
        <v>45568</v>
      </c>
      <c r="B4674" s="24" t="s">
        <v>20</v>
      </c>
      <c r="C4674" s="21">
        <f t="shared" si="77"/>
        <v>-8.0950000000000006</v>
      </c>
      <c r="BC4674" s="106">
        <v>-8.0950000000000006</v>
      </c>
    </row>
    <row r="4675" spans="1:199" x14ac:dyDescent="0.25">
      <c r="A4675" s="127">
        <v>45568</v>
      </c>
      <c r="B4675" s="24" t="s">
        <v>152</v>
      </c>
      <c r="C4675" s="21">
        <f t="shared" si="77"/>
        <v>0</v>
      </c>
    </row>
    <row r="4676" spans="1:199" x14ac:dyDescent="0.25">
      <c r="A4676" s="127">
        <v>45569</v>
      </c>
      <c r="B4676" s="24" t="s">
        <v>193</v>
      </c>
      <c r="C4676" s="21">
        <f t="shared" si="77"/>
        <v>-16.09</v>
      </c>
      <c r="CS4676" s="74">
        <v>-8.3149999999999995</v>
      </c>
      <c r="DE4676" s="74">
        <v>-7.7750000000000004</v>
      </c>
    </row>
    <row r="4677" spans="1:199" x14ac:dyDescent="0.25">
      <c r="A4677" s="127">
        <v>45569</v>
      </c>
      <c r="B4677" s="24" t="s">
        <v>44</v>
      </c>
      <c r="C4677" s="21">
        <f t="shared" si="77"/>
        <v>-76.355000000000004</v>
      </c>
      <c r="GQ4677" s="92">
        <f>-33.015-28.835-7.26-7.245</f>
        <v>-76.355000000000004</v>
      </c>
    </row>
    <row r="4678" spans="1:199" x14ac:dyDescent="0.25">
      <c r="A4678" s="127">
        <v>45569</v>
      </c>
      <c r="B4678" s="24" t="s">
        <v>19</v>
      </c>
      <c r="C4678" s="21">
        <f t="shared" si="77"/>
        <v>0</v>
      </c>
    </row>
    <row r="4679" spans="1:199" x14ac:dyDescent="0.25">
      <c r="A4679" s="127">
        <v>45569</v>
      </c>
      <c r="B4679" s="24" t="s">
        <v>214</v>
      </c>
      <c r="C4679" s="21">
        <f t="shared" si="77"/>
        <v>-91.984999999999999</v>
      </c>
      <c r="AN4679" s="106">
        <v>-10.44</v>
      </c>
      <c r="BC4679" s="106">
        <v>-32.365000000000002</v>
      </c>
      <c r="BG4679" s="42">
        <f>-8.79-8.78-8.8</f>
        <v>-26.37</v>
      </c>
      <c r="BI4679" s="106">
        <v>-5.86</v>
      </c>
      <c r="CG4679" s="106">
        <v>-8.7550000000000008</v>
      </c>
      <c r="DE4679" s="74">
        <v>-8.1950000000000003</v>
      </c>
    </row>
    <row r="4680" spans="1:199" x14ac:dyDescent="0.25">
      <c r="A4680" s="127">
        <v>45570</v>
      </c>
      <c r="B4680" s="24" t="s">
        <v>222</v>
      </c>
      <c r="C4680" s="21">
        <f t="shared" si="77"/>
        <v>-17.045000000000002</v>
      </c>
      <c r="AG4680" s="106">
        <v>-8.6150000000000002</v>
      </c>
      <c r="BN4680" s="69">
        <v>-8.43</v>
      </c>
    </row>
    <row r="4681" spans="1:199" x14ac:dyDescent="0.25">
      <c r="A4681" s="127">
        <v>45570</v>
      </c>
      <c r="B4681" s="24" t="s">
        <v>146</v>
      </c>
      <c r="C4681" s="21">
        <f t="shared" si="77"/>
        <v>1212.7149999999999</v>
      </c>
      <c r="AV4681" s="69">
        <v>67.64</v>
      </c>
      <c r="BH4681" s="69">
        <v>201.77500000000001</v>
      </c>
      <c r="BN4681" s="69">
        <v>201.77500000000001</v>
      </c>
      <c r="BT4681" s="69">
        <v>203.31</v>
      </c>
      <c r="BZ4681" s="69">
        <v>200.495</v>
      </c>
      <c r="CF4681" s="69">
        <v>202.67</v>
      </c>
      <c r="CL4681" s="69">
        <v>67.385000000000005</v>
      </c>
      <c r="DT4681" s="69">
        <v>33.65</v>
      </c>
      <c r="EF4681" s="69">
        <v>34.015000000000001</v>
      </c>
    </row>
    <row r="4682" spans="1:199" x14ac:dyDescent="0.25">
      <c r="A4682" s="127">
        <v>45572</v>
      </c>
      <c r="B4682" s="24" t="s">
        <v>48</v>
      </c>
      <c r="C4682" s="21">
        <f t="shared" si="77"/>
        <v>-7.9850000000000003</v>
      </c>
      <c r="V4682" s="74">
        <v>-7.9850000000000003</v>
      </c>
    </row>
    <row r="4683" spans="1:199" x14ac:dyDescent="0.25">
      <c r="A4683" s="127">
        <v>45572</v>
      </c>
      <c r="B4683" s="24" t="s">
        <v>190</v>
      </c>
      <c r="C4683" s="21">
        <f t="shared" si="77"/>
        <v>0</v>
      </c>
    </row>
    <row r="4684" spans="1:199" x14ac:dyDescent="0.25">
      <c r="A4684" s="127">
        <v>45572</v>
      </c>
      <c r="B4684" s="24" t="s">
        <v>184</v>
      </c>
      <c r="C4684" s="21">
        <f t="shared" si="77"/>
        <v>-234.95</v>
      </c>
      <c r="AG4684" s="106">
        <v>-8.6150000000000002</v>
      </c>
      <c r="AN4684" s="106">
        <v>-16.41</v>
      </c>
      <c r="AR4684" s="106">
        <v>-16.925000000000001</v>
      </c>
      <c r="AV4684" s="69">
        <v>-16.914999999999999</v>
      </c>
      <c r="BC4684" s="106">
        <v>-24.33</v>
      </c>
      <c r="BH4684" s="69">
        <v>-33.935000000000002</v>
      </c>
      <c r="BN4684" s="69">
        <f>-33.69-33.61</f>
        <v>-67.3</v>
      </c>
      <c r="BT4684" s="69">
        <v>-16.954999999999998</v>
      </c>
      <c r="BZ4684" s="69">
        <v>-25.135000000000002</v>
      </c>
      <c r="CF4684" s="69">
        <v>-8.43</v>
      </c>
    </row>
    <row r="4685" spans="1:199" x14ac:dyDescent="0.25">
      <c r="A4685" s="127">
        <v>45573</v>
      </c>
      <c r="B4685" s="24" t="s">
        <v>75</v>
      </c>
      <c r="C4685" s="21">
        <f t="shared" si="77"/>
        <v>-50.65</v>
      </c>
      <c r="AR4685" s="106">
        <v>-8.4700000000000006</v>
      </c>
      <c r="AW4685" s="106">
        <v>-8.4600000000000009</v>
      </c>
      <c r="BH4685" s="69">
        <v>-8.4949999999999992</v>
      </c>
      <c r="BN4685" s="69">
        <v>-8.3949999999999996</v>
      </c>
      <c r="BT4685" s="69">
        <v>-8.4849999999999994</v>
      </c>
      <c r="BZ4685" s="69">
        <v>-8.3450000000000006</v>
      </c>
    </row>
    <row r="4686" spans="1:199" x14ac:dyDescent="0.25">
      <c r="A4686" s="127">
        <v>45573</v>
      </c>
      <c r="B4686" s="24" t="s">
        <v>20</v>
      </c>
      <c r="C4686" s="21">
        <f t="shared" si="77"/>
        <v>-30.465</v>
      </c>
      <c r="Z4686" s="79">
        <v>-6</v>
      </c>
      <c r="BN4686" s="69">
        <v>-8.41</v>
      </c>
      <c r="BT4686" s="69">
        <v>-8.4600000000000009</v>
      </c>
      <c r="CS4686" s="74">
        <v>-7.5949999999999998</v>
      </c>
    </row>
    <row r="4687" spans="1:199" x14ac:dyDescent="0.25">
      <c r="A4687" s="127">
        <v>45573</v>
      </c>
      <c r="B4687" s="24" t="s">
        <v>180</v>
      </c>
      <c r="C4687" s="21">
        <f t="shared" si="77"/>
        <v>-94.045000000000002</v>
      </c>
      <c r="GO4687" s="110">
        <v>-94.045000000000002</v>
      </c>
    </row>
    <row r="4688" spans="1:199" x14ac:dyDescent="0.25">
      <c r="A4688" s="127">
        <v>45573</v>
      </c>
      <c r="B4688" s="24" t="s">
        <v>79</v>
      </c>
      <c r="C4688" s="21">
        <f t="shared" si="77"/>
        <v>-16.46</v>
      </c>
      <c r="BN4688" s="69">
        <v>-8.4149999999999991</v>
      </c>
      <c r="CY4688" s="106">
        <v>-8.0449999999999999</v>
      </c>
    </row>
    <row r="4689" spans="1:208" x14ac:dyDescent="0.25">
      <c r="A4689" s="127">
        <v>45573</v>
      </c>
      <c r="B4689" s="24" t="s">
        <v>127</v>
      </c>
      <c r="C4689" s="21">
        <f t="shared" si="77"/>
        <v>-8.4450000000000003</v>
      </c>
      <c r="BN4689" s="69">
        <v>-8.4450000000000003</v>
      </c>
    </row>
    <row r="4690" spans="1:208" x14ac:dyDescent="0.25">
      <c r="A4690" s="127">
        <v>45573</v>
      </c>
      <c r="B4690" s="24" t="s">
        <v>29</v>
      </c>
      <c r="C4690" s="21">
        <f t="shared" si="77"/>
        <v>-33.29</v>
      </c>
      <c r="AN4690" s="106">
        <v>-8.17</v>
      </c>
      <c r="AR4690" s="106">
        <v>-8.3800000000000008</v>
      </c>
      <c r="AW4690" s="106">
        <v>-8.56</v>
      </c>
      <c r="BC4690" s="106">
        <v>-8.18</v>
      </c>
    </row>
    <row r="4691" spans="1:208" x14ac:dyDescent="0.25">
      <c r="A4691" s="127">
        <v>45573</v>
      </c>
      <c r="B4691" s="24" t="s">
        <v>48</v>
      </c>
      <c r="C4691" s="21">
        <f t="shared" si="77"/>
        <v>-67.555000000000007</v>
      </c>
      <c r="CF4691" s="69">
        <f>-33.765-33.79</f>
        <v>-67.555000000000007</v>
      </c>
    </row>
    <row r="4692" spans="1:208" x14ac:dyDescent="0.25">
      <c r="A4692" s="127">
        <v>45574</v>
      </c>
      <c r="B4692" s="24" t="s">
        <v>33</v>
      </c>
      <c r="C4692" s="21">
        <f t="shared" si="77"/>
        <v>-41.82</v>
      </c>
      <c r="BC4692" s="106">
        <v>-8.08</v>
      </c>
      <c r="BH4692" s="69">
        <v>-8.5050000000000008</v>
      </c>
      <c r="BN4692" s="69">
        <v>-8.39</v>
      </c>
      <c r="BT4692" s="69">
        <v>-8.4450000000000003</v>
      </c>
      <c r="BZ4692" s="69">
        <v>-8.4</v>
      </c>
    </row>
    <row r="4693" spans="1:208" x14ac:dyDescent="0.25">
      <c r="A4693" s="127">
        <v>45575</v>
      </c>
      <c r="B4693" s="24" t="s">
        <v>152</v>
      </c>
      <c r="C4693" s="21">
        <f t="shared" si="77"/>
        <v>0</v>
      </c>
    </row>
    <row r="4694" spans="1:208" x14ac:dyDescent="0.25">
      <c r="A4694" s="127">
        <v>45575</v>
      </c>
      <c r="B4694" s="24" t="s">
        <v>184</v>
      </c>
      <c r="C4694" s="21">
        <f t="shared" si="77"/>
        <v>-83.765000000000001</v>
      </c>
      <c r="DE4694" s="74">
        <v>-83.765000000000001</v>
      </c>
    </row>
    <row r="4695" spans="1:208" x14ac:dyDescent="0.25">
      <c r="A4695" s="127">
        <v>45575</v>
      </c>
      <c r="B4695" s="24" t="s">
        <v>192</v>
      </c>
      <c r="C4695" s="21">
        <f t="shared" si="77"/>
        <v>-8.41</v>
      </c>
      <c r="BN4695" s="69">
        <v>-8.41</v>
      </c>
    </row>
    <row r="4696" spans="1:208" x14ac:dyDescent="0.25">
      <c r="A4696" s="127">
        <v>45576</v>
      </c>
      <c r="B4696" s="24" t="s">
        <v>20</v>
      </c>
      <c r="C4696" s="21">
        <f t="shared" si="77"/>
        <v>-29.375</v>
      </c>
      <c r="L4696" s="69">
        <v>-5.39</v>
      </c>
      <c r="BZ4696" s="69">
        <v>-8.3949999999999996</v>
      </c>
      <c r="CL4696" s="69">
        <v>-8.3149999999999995</v>
      </c>
      <c r="GZ4696" s="106">
        <v>-7.2750000000000004</v>
      </c>
    </row>
    <row r="4697" spans="1:208" x14ac:dyDescent="0.25">
      <c r="A4697" s="127">
        <v>45576</v>
      </c>
      <c r="B4697" s="24" t="s">
        <v>138</v>
      </c>
      <c r="C4697" s="21">
        <f t="shared" si="77"/>
        <v>-157.685</v>
      </c>
      <c r="AW4697" s="106">
        <v>-17.100000000000001</v>
      </c>
      <c r="BB4697" s="69">
        <v>-8.51</v>
      </c>
      <c r="BH4697" s="69">
        <v>-8.5</v>
      </c>
      <c r="BN4697" s="69">
        <v>-16.844999999999999</v>
      </c>
      <c r="BT4697" s="69">
        <v>-16.954999999999998</v>
      </c>
      <c r="BZ4697" s="69">
        <v>-16.795000000000002</v>
      </c>
      <c r="CL4697" s="69">
        <v>-25.22</v>
      </c>
      <c r="CS4697" s="74">
        <v>-14.734999999999999</v>
      </c>
      <c r="CY4697" s="106">
        <v>-16.2</v>
      </c>
      <c r="DT4697" s="69">
        <v>-16.824999999999999</v>
      </c>
    </row>
    <row r="4698" spans="1:208" x14ac:dyDescent="0.25">
      <c r="A4698" s="127">
        <v>45576</v>
      </c>
      <c r="B4698" s="24" t="s">
        <v>184</v>
      </c>
      <c r="C4698" s="21">
        <f t="shared" si="77"/>
        <v>-49.45</v>
      </c>
      <c r="DK4698" s="106">
        <v>-49.45</v>
      </c>
    </row>
    <row r="4699" spans="1:208" x14ac:dyDescent="0.25">
      <c r="A4699" s="127">
        <v>45576</v>
      </c>
      <c r="B4699" s="24" t="s">
        <v>188</v>
      </c>
      <c r="C4699" s="21">
        <f t="shared" si="77"/>
        <v>-16.945</v>
      </c>
      <c r="AV4699" s="69">
        <v>-8.4499999999999993</v>
      </c>
      <c r="BH4699" s="69">
        <v>-8.4949999999999992</v>
      </c>
    </row>
    <row r="4700" spans="1:208" x14ac:dyDescent="0.25">
      <c r="A4700" s="127">
        <v>45577</v>
      </c>
      <c r="B4700" s="24" t="s">
        <v>139</v>
      </c>
      <c r="C4700" s="21">
        <f t="shared" si="77"/>
        <v>-50.505000000000003</v>
      </c>
      <c r="BH4700" s="69">
        <v>-8.4350000000000005</v>
      </c>
      <c r="BN4700" s="69">
        <v>-8.4049999999999994</v>
      </c>
      <c r="BZ4700" s="69">
        <v>-8.3949999999999996</v>
      </c>
      <c r="CF4700" s="69">
        <v>-8.4600000000000009</v>
      </c>
      <c r="CL4700" s="69">
        <v>-8.4350000000000005</v>
      </c>
      <c r="CS4700" s="74">
        <v>-8.375</v>
      </c>
    </row>
    <row r="4701" spans="1:208" x14ac:dyDescent="0.25">
      <c r="A4701" s="127">
        <v>45577</v>
      </c>
      <c r="B4701" s="24" t="s">
        <v>113</v>
      </c>
      <c r="C4701" s="21">
        <f t="shared" si="77"/>
        <v>1032.3050000000001</v>
      </c>
      <c r="V4701" s="74">
        <v>80.385000000000005</v>
      </c>
      <c r="Z4701" s="79">
        <v>82.954999999999998</v>
      </c>
      <c r="AC4701" s="106">
        <v>66.41</v>
      </c>
      <c r="AW4701" s="106">
        <v>67.204999999999998</v>
      </c>
      <c r="BC4701" s="106">
        <v>100.44</v>
      </c>
      <c r="BI4701" s="106">
        <v>97.31</v>
      </c>
      <c r="BO4701" s="106">
        <v>103.96</v>
      </c>
      <c r="BU4701" s="106">
        <v>64.86</v>
      </c>
      <c r="CG4701" s="106">
        <v>104.675</v>
      </c>
      <c r="CM4701" s="106">
        <v>128.93</v>
      </c>
      <c r="CS4701" s="74">
        <v>46.564999999999998</v>
      </c>
      <c r="DU4701" s="106">
        <v>88.61</v>
      </c>
    </row>
    <row r="4702" spans="1:208" x14ac:dyDescent="0.25">
      <c r="A4702" s="127">
        <v>45577</v>
      </c>
      <c r="B4702" s="24" t="s">
        <v>214</v>
      </c>
      <c r="C4702" s="21">
        <f t="shared" si="77"/>
        <v>-101.545</v>
      </c>
      <c r="BC4702" s="106">
        <v>-33.534999999999997</v>
      </c>
      <c r="BO4702" s="106">
        <v>-34.505000000000003</v>
      </c>
      <c r="CG4702" s="106">
        <v>-17.32</v>
      </c>
      <c r="CM4702" s="106">
        <v>-16.184999999999999</v>
      </c>
    </row>
    <row r="4703" spans="1:208" x14ac:dyDescent="0.25">
      <c r="A4703" s="127">
        <v>45579</v>
      </c>
      <c r="B4703" s="24" t="s">
        <v>184</v>
      </c>
      <c r="C4703" s="21">
        <f t="shared" si="77"/>
        <v>-58.975000000000001</v>
      </c>
      <c r="AC4703" s="106">
        <v>-8.6150000000000002</v>
      </c>
      <c r="AW4703" s="106">
        <v>-8.3550000000000004</v>
      </c>
      <c r="BC4703" s="106">
        <v>-16.704999999999998</v>
      </c>
      <c r="BU4703" s="106">
        <v>-8.48</v>
      </c>
      <c r="CG4703" s="106">
        <v>-8.7349999999999994</v>
      </c>
      <c r="CM4703" s="106">
        <v>-8.0850000000000009</v>
      </c>
    </row>
    <row r="4704" spans="1:208" x14ac:dyDescent="0.25">
      <c r="A4704" s="127">
        <v>45579</v>
      </c>
      <c r="B4704" s="24" t="s">
        <v>152</v>
      </c>
      <c r="C4704" s="21">
        <f t="shared" si="77"/>
        <v>-193.315</v>
      </c>
      <c r="CS4704" s="74">
        <v>-96.674999999999997</v>
      </c>
      <c r="DP4704" s="74">
        <v>-96.64</v>
      </c>
    </row>
    <row r="4705" spans="1:214" x14ac:dyDescent="0.25">
      <c r="A4705" s="127">
        <v>45579</v>
      </c>
      <c r="B4705" s="24" t="s">
        <v>193</v>
      </c>
      <c r="C4705" s="21">
        <f t="shared" si="77"/>
        <v>-8.56</v>
      </c>
      <c r="AC4705" s="106">
        <v>-8.56</v>
      </c>
    </row>
    <row r="4706" spans="1:214" x14ac:dyDescent="0.25">
      <c r="A4706" s="127">
        <v>45580</v>
      </c>
      <c r="B4706" s="24" t="s">
        <v>188</v>
      </c>
      <c r="C4706" s="21">
        <f t="shared" si="77"/>
        <v>-8.5250000000000004</v>
      </c>
      <c r="BC4706" s="106">
        <v>-8.5250000000000004</v>
      </c>
    </row>
    <row r="4707" spans="1:214" x14ac:dyDescent="0.25">
      <c r="A4707" s="127">
        <v>45580</v>
      </c>
      <c r="B4707" s="24" t="s">
        <v>169</v>
      </c>
      <c r="C4707" s="21">
        <f t="shared" si="77"/>
        <v>-76.454999999999998</v>
      </c>
      <c r="D4707" s="386">
        <v>-16.305</v>
      </c>
      <c r="E4707" s="386">
        <v>-35.115000000000002</v>
      </c>
      <c r="F4707" s="145">
        <v>-25.035</v>
      </c>
    </row>
    <row r="4708" spans="1:214" x14ac:dyDescent="0.25">
      <c r="A4708" s="127">
        <v>45580</v>
      </c>
      <c r="B4708" s="24" t="s">
        <v>138</v>
      </c>
      <c r="C4708" s="21">
        <f t="shared" si="77"/>
        <v>-16.655000000000001</v>
      </c>
      <c r="BC4708" s="106">
        <v>-16.655000000000001</v>
      </c>
    </row>
    <row r="4709" spans="1:214" x14ac:dyDescent="0.25">
      <c r="A4709" s="127">
        <v>45580</v>
      </c>
      <c r="B4709" s="24" t="s">
        <v>25</v>
      </c>
      <c r="C4709" s="21">
        <f t="shared" si="77"/>
        <v>-16.875</v>
      </c>
      <c r="CG4709" s="106">
        <v>-8.7750000000000004</v>
      </c>
      <c r="CM4709" s="106">
        <v>-8.1</v>
      </c>
    </row>
    <row r="4710" spans="1:214" x14ac:dyDescent="0.25">
      <c r="A4710" s="127">
        <v>45580</v>
      </c>
      <c r="B4710" s="23" t="s">
        <v>89</v>
      </c>
      <c r="C4710" s="21">
        <f t="shared" si="77"/>
        <v>-507.44499999999999</v>
      </c>
      <c r="AV4710" s="69">
        <v>-42.06</v>
      </c>
      <c r="AW4710" s="106">
        <v>-59.064999999999998</v>
      </c>
      <c r="BH4710" s="69">
        <v>-101.93</v>
      </c>
      <c r="BN4710" s="69">
        <v>-33.51</v>
      </c>
      <c r="BO4710" s="106">
        <v>-69.454999999999998</v>
      </c>
      <c r="BT4710" s="69">
        <v>-101.67</v>
      </c>
      <c r="BZ4710" s="69">
        <v>-99.754999999999995</v>
      </c>
    </row>
    <row r="4711" spans="1:214" x14ac:dyDescent="0.25">
      <c r="A4711" s="127">
        <v>45580</v>
      </c>
      <c r="B4711" s="24" t="s">
        <v>32</v>
      </c>
      <c r="C4711" s="21">
        <f t="shared" si="77"/>
        <v>25.31</v>
      </c>
      <c r="EI4711" s="150">
        <v>8.2899999999999991</v>
      </c>
      <c r="EM4711" s="150">
        <f>8.51*2</f>
        <v>17.02</v>
      </c>
    </row>
    <row r="4712" spans="1:214" x14ac:dyDescent="0.25">
      <c r="A4712" s="127">
        <v>45580</v>
      </c>
      <c r="B4712" s="24" t="s">
        <v>113</v>
      </c>
      <c r="C4712" s="21">
        <f t="shared" si="77"/>
        <v>116.545</v>
      </c>
      <c r="GQ4712" s="92">
        <v>116.545</v>
      </c>
    </row>
    <row r="4713" spans="1:214" x14ac:dyDescent="0.25">
      <c r="A4713" s="127">
        <v>45581</v>
      </c>
      <c r="B4713" s="24" t="s">
        <v>44</v>
      </c>
      <c r="C4713" s="21">
        <f t="shared" si="77"/>
        <v>-178.23400000000001</v>
      </c>
      <c r="GK4713" s="79">
        <v>-28.009</v>
      </c>
      <c r="GQ4713" s="92">
        <v>-116.545</v>
      </c>
      <c r="HF4713" s="92">
        <v>-33.68</v>
      </c>
    </row>
    <row r="4714" spans="1:214" x14ac:dyDescent="0.25">
      <c r="A4714" s="127">
        <v>45581</v>
      </c>
      <c r="B4714" s="24" t="s">
        <v>48</v>
      </c>
      <c r="C4714" s="21">
        <f t="shared" si="77"/>
        <v>-22.4</v>
      </c>
      <c r="GH4714" s="106">
        <v>-22.4</v>
      </c>
    </row>
    <row r="4715" spans="1:214" x14ac:dyDescent="0.25">
      <c r="A4715" s="127">
        <v>45581</v>
      </c>
      <c r="B4715" s="24" t="s">
        <v>197</v>
      </c>
      <c r="C4715" s="21">
        <f t="shared" si="77"/>
        <v>-74.180000000000007</v>
      </c>
      <c r="BU4715" s="106">
        <v>-24.375</v>
      </c>
      <c r="BZ4715" s="69">
        <v>-16.805</v>
      </c>
      <c r="CF4715" s="69">
        <v>-16.850000000000001</v>
      </c>
      <c r="CM4715" s="106">
        <v>-16.149999999999999</v>
      </c>
    </row>
    <row r="4716" spans="1:214" x14ac:dyDescent="0.25">
      <c r="A4716" s="127">
        <v>45581</v>
      </c>
      <c r="B4716" s="24" t="s">
        <v>193</v>
      </c>
      <c r="C4716" s="21">
        <f t="shared" si="77"/>
        <v>-8.56</v>
      </c>
      <c r="CS4716" s="74">
        <v>-8.56</v>
      </c>
    </row>
    <row r="4717" spans="1:214" x14ac:dyDescent="0.25">
      <c r="A4717" s="127">
        <v>45581</v>
      </c>
      <c r="B4717" s="24" t="s">
        <v>211</v>
      </c>
      <c r="C4717" s="21">
        <f t="shared" si="77"/>
        <v>-66.3</v>
      </c>
      <c r="AC4717" s="106">
        <v>-8.6549999999999994</v>
      </c>
      <c r="BI4717" s="106">
        <f>-8.105-8.105</f>
        <v>-16.21</v>
      </c>
      <c r="BN4717" s="69">
        <f>-8.41-8.41</f>
        <v>-16.82</v>
      </c>
      <c r="BU4717" s="106">
        <f>-8.08-8.125</f>
        <v>-16.204999999999998</v>
      </c>
      <c r="BZ4717" s="69">
        <v>-8.41</v>
      </c>
    </row>
    <row r="4718" spans="1:214" x14ac:dyDescent="0.25">
      <c r="A4718" s="127">
        <v>45581</v>
      </c>
      <c r="B4718" s="24" t="s">
        <v>64</v>
      </c>
      <c r="C4718" s="21">
        <f t="shared" si="77"/>
        <v>34.07</v>
      </c>
      <c r="AW4718" s="106">
        <v>34.07</v>
      </c>
    </row>
    <row r="4719" spans="1:214" x14ac:dyDescent="0.25">
      <c r="A4719" s="127">
        <v>45583</v>
      </c>
      <c r="B4719" s="24" t="s">
        <v>140</v>
      </c>
      <c r="C4719" s="21">
        <f t="shared" si="77"/>
        <v>-48.545000000000002</v>
      </c>
      <c r="D4719" s="386">
        <v>-48.545000000000002</v>
      </c>
    </row>
    <row r="4720" spans="1:214" x14ac:dyDescent="0.25">
      <c r="A4720" s="127">
        <v>45583</v>
      </c>
      <c r="B4720" s="24" t="s">
        <v>20</v>
      </c>
      <c r="C4720" s="21">
        <f t="shared" si="77"/>
        <v>-25.21</v>
      </c>
      <c r="N4720" s="42">
        <v>-8.59</v>
      </c>
      <c r="BI4720" s="106">
        <v>-8.1349999999999998</v>
      </c>
      <c r="BT4720" s="69">
        <v>-8.4849999999999994</v>
      </c>
    </row>
    <row r="4721" spans="1:168" x14ac:dyDescent="0.25">
      <c r="A4721" s="127">
        <v>45583</v>
      </c>
      <c r="B4721" s="24" t="s">
        <v>202</v>
      </c>
      <c r="C4721" s="21">
        <f t="shared" ref="C4721:C4784" si="78">SUM(D4721:JT4721)</f>
        <v>-25.72</v>
      </c>
      <c r="E4721" s="386">
        <v>-25.72</v>
      </c>
    </row>
    <row r="4722" spans="1:168" x14ac:dyDescent="0.25">
      <c r="A4722" s="127">
        <v>45583</v>
      </c>
      <c r="B4722" s="24" t="s">
        <v>162</v>
      </c>
      <c r="C4722" s="21">
        <f t="shared" si="78"/>
        <v>-8.4250000000000007</v>
      </c>
      <c r="BT4722" s="69">
        <v>-8.4250000000000007</v>
      </c>
    </row>
    <row r="4723" spans="1:168" x14ac:dyDescent="0.25">
      <c r="A4723" s="127">
        <v>45583</v>
      </c>
      <c r="B4723" s="24" t="s">
        <v>214</v>
      </c>
      <c r="C4723" s="21">
        <f t="shared" si="78"/>
        <v>-99.49</v>
      </c>
      <c r="BI4723" s="106">
        <v>-32.465000000000003</v>
      </c>
      <c r="BU4723" s="106">
        <v>-32.26</v>
      </c>
      <c r="CG4723" s="106">
        <v>-34.765000000000001</v>
      </c>
    </row>
    <row r="4724" spans="1:168" x14ac:dyDescent="0.25">
      <c r="A4724" s="127">
        <v>45583</v>
      </c>
      <c r="B4724" s="24" t="s">
        <v>152</v>
      </c>
      <c r="C4724" s="21">
        <f t="shared" si="78"/>
        <v>-54.35</v>
      </c>
      <c r="Z4724" s="79">
        <v>-32.25</v>
      </c>
      <c r="FL4724" s="46">
        <v>-22.1</v>
      </c>
    </row>
    <row r="4725" spans="1:168" x14ac:dyDescent="0.25">
      <c r="A4725" s="127">
        <v>45583</v>
      </c>
      <c r="B4725" s="24" t="s">
        <v>48</v>
      </c>
      <c r="C4725" s="21">
        <f t="shared" si="78"/>
        <v>30.54</v>
      </c>
      <c r="N4725" s="42">
        <v>8.59</v>
      </c>
      <c r="FA4725" s="42">
        <v>21.95</v>
      </c>
    </row>
    <row r="4726" spans="1:168" x14ac:dyDescent="0.25">
      <c r="A4726" s="127">
        <v>45587</v>
      </c>
      <c r="B4726" s="24" t="s">
        <v>20</v>
      </c>
      <c r="C4726" s="21">
        <f t="shared" si="78"/>
        <v>-8.375</v>
      </c>
      <c r="CS4726" s="74">
        <v>-8.375</v>
      </c>
    </row>
    <row r="4727" spans="1:168" x14ac:dyDescent="0.25">
      <c r="A4727" s="127">
        <v>45587</v>
      </c>
      <c r="B4727" s="24" t="s">
        <v>138</v>
      </c>
      <c r="C4727" s="21">
        <f t="shared" si="78"/>
        <v>-24.305</v>
      </c>
      <c r="AN4727" s="106">
        <v>-8.0749999999999993</v>
      </c>
      <c r="BI4727" s="106">
        <v>-16.23</v>
      </c>
    </row>
    <row r="4728" spans="1:168" x14ac:dyDescent="0.25">
      <c r="A4728" s="127">
        <v>45587</v>
      </c>
      <c r="B4728" s="24" t="s">
        <v>75</v>
      </c>
      <c r="C4728" s="21">
        <f t="shared" si="78"/>
        <v>-8.4749999999999996</v>
      </c>
      <c r="BT4728" s="69">
        <v>-8.4749999999999996</v>
      </c>
    </row>
    <row r="4729" spans="1:168" x14ac:dyDescent="0.25">
      <c r="A4729" s="127">
        <v>45587</v>
      </c>
      <c r="B4729" s="24" t="s">
        <v>204</v>
      </c>
      <c r="C4729" s="21">
        <f t="shared" si="78"/>
        <v>-8.4749999999999996</v>
      </c>
      <c r="AR4729" s="106">
        <v>-8.4749999999999996</v>
      </c>
    </row>
    <row r="4730" spans="1:168" x14ac:dyDescent="0.25">
      <c r="A4730" s="127">
        <v>45587</v>
      </c>
      <c r="B4730" s="24" t="s">
        <v>79</v>
      </c>
      <c r="C4730" s="21">
        <f t="shared" si="78"/>
        <v>-24.835000000000001</v>
      </c>
      <c r="AW4730" s="106">
        <v>-7.83</v>
      </c>
      <c r="BC4730" s="106">
        <v>-8.5299999999999994</v>
      </c>
      <c r="BT4730" s="69">
        <v>-8.4749999999999996</v>
      </c>
    </row>
    <row r="4731" spans="1:168" x14ac:dyDescent="0.25">
      <c r="A4731" s="127">
        <v>45587</v>
      </c>
      <c r="B4731" s="24" t="s">
        <v>25</v>
      </c>
      <c r="C4731" s="21">
        <f t="shared" si="78"/>
        <v>-49.645000000000003</v>
      </c>
      <c r="DK4731" s="106">
        <v>-49.645000000000003</v>
      </c>
    </row>
    <row r="4732" spans="1:168" x14ac:dyDescent="0.25">
      <c r="A4732" s="127">
        <v>45587</v>
      </c>
      <c r="B4732" s="24" t="s">
        <v>146</v>
      </c>
      <c r="C4732" s="21">
        <f t="shared" si="78"/>
        <v>0</v>
      </c>
    </row>
    <row r="4733" spans="1:168" x14ac:dyDescent="0.25">
      <c r="A4733" s="127">
        <v>45588</v>
      </c>
      <c r="B4733" s="24" t="s">
        <v>152</v>
      </c>
      <c r="C4733" s="21">
        <f t="shared" si="78"/>
        <v>-352.38</v>
      </c>
      <c r="CS4733" s="74">
        <v>-33.265000000000001</v>
      </c>
      <c r="CY4733" s="106">
        <v>-32.454999999999998</v>
      </c>
      <c r="DK4733" s="106">
        <v>-33.19</v>
      </c>
      <c r="DP4733" s="74">
        <v>-63.45</v>
      </c>
      <c r="DU4733" s="106">
        <v>-88.61</v>
      </c>
      <c r="EA4733" s="74">
        <v>-101.41</v>
      </c>
    </row>
    <row r="4734" spans="1:168" x14ac:dyDescent="0.25">
      <c r="A4734" s="127">
        <v>45589</v>
      </c>
      <c r="B4734" s="24" t="s">
        <v>32</v>
      </c>
      <c r="C4734" s="21">
        <f t="shared" si="78"/>
        <v>-0.28499999999999998</v>
      </c>
      <c r="BH4734" s="69">
        <v>-8.5050000000000008</v>
      </c>
      <c r="BN4734" s="69">
        <v>17.065000000000001</v>
      </c>
      <c r="BT4734" s="69">
        <v>16.670000000000002</v>
      </c>
      <c r="BZ4734" s="69">
        <v>8.6</v>
      </c>
      <c r="CG4734" s="106">
        <f>-8.755-8.77</f>
        <v>-17.524999999999999</v>
      </c>
      <c r="CL4734" s="69">
        <v>-8.4749999999999996</v>
      </c>
      <c r="CM4734" s="106">
        <v>-8.1150000000000002</v>
      </c>
    </row>
    <row r="4735" spans="1:168" x14ac:dyDescent="0.25">
      <c r="A4735" s="127">
        <v>45589</v>
      </c>
      <c r="B4735" s="24" t="s">
        <v>171</v>
      </c>
      <c r="C4735" s="21">
        <f t="shared" si="78"/>
        <v>-24.754999999999999</v>
      </c>
      <c r="CY4735" s="106">
        <v>-24.754999999999999</v>
      </c>
    </row>
    <row r="4736" spans="1:168" x14ac:dyDescent="0.25">
      <c r="A4736" s="127">
        <v>45589</v>
      </c>
      <c r="B4736" s="24" t="s">
        <v>203</v>
      </c>
      <c r="C4736" s="21">
        <f t="shared" si="78"/>
        <v>-25.48</v>
      </c>
      <c r="EF4736" s="69">
        <f>-8.53-8.495-8.455</f>
        <v>-25.48</v>
      </c>
    </row>
    <row r="4737" spans="1:237" x14ac:dyDescent="0.25">
      <c r="A4737" s="127">
        <v>45590</v>
      </c>
      <c r="B4737" s="24" t="s">
        <v>138</v>
      </c>
      <c r="C4737" s="21">
        <f t="shared" si="78"/>
        <v>-107.125</v>
      </c>
      <c r="AW4737" s="106">
        <v>-18.34</v>
      </c>
      <c r="BC4737" s="106">
        <v>-16.489999999999998</v>
      </c>
      <c r="BI4737" s="106">
        <v>-16.510000000000002</v>
      </c>
      <c r="BT4737" s="69">
        <v>-16.670000000000002</v>
      </c>
      <c r="CF4737" s="69">
        <v>-8.4649999999999999</v>
      </c>
      <c r="CM4737" s="106">
        <v>-16.114999999999998</v>
      </c>
      <c r="CS4737" s="74">
        <v>-14.535</v>
      </c>
    </row>
    <row r="4738" spans="1:237" x14ac:dyDescent="0.25">
      <c r="A4738" s="127">
        <v>45590</v>
      </c>
      <c r="B4738" s="24" t="s">
        <v>79</v>
      </c>
      <c r="C4738" s="21">
        <f t="shared" si="78"/>
        <v>-8.5399999999999991</v>
      </c>
      <c r="BN4738" s="69">
        <v>-8.5399999999999991</v>
      </c>
    </row>
    <row r="4739" spans="1:237" x14ac:dyDescent="0.25">
      <c r="A4739" s="127">
        <v>45590</v>
      </c>
      <c r="B4739" s="24" t="s">
        <v>20</v>
      </c>
      <c r="C4739" s="21">
        <f t="shared" si="78"/>
        <v>-17.125</v>
      </c>
      <c r="BN4739" s="69">
        <v>-8.5250000000000004</v>
      </c>
      <c r="BZ4739" s="69">
        <v>-8.6</v>
      </c>
    </row>
    <row r="4740" spans="1:237" x14ac:dyDescent="0.25">
      <c r="A4740" s="127">
        <v>45590</v>
      </c>
      <c r="B4740" s="24" t="s">
        <v>204</v>
      </c>
      <c r="C4740" s="21">
        <f t="shared" si="78"/>
        <v>-7.9</v>
      </c>
      <c r="AW4740" s="106">
        <v>-7.9</v>
      </c>
    </row>
    <row r="4741" spans="1:237" x14ac:dyDescent="0.25">
      <c r="A4741" s="127">
        <v>45593</v>
      </c>
      <c r="B4741" s="24" t="s">
        <v>204</v>
      </c>
      <c r="C4741" s="21">
        <f t="shared" si="78"/>
        <v>-16.57</v>
      </c>
      <c r="CL4741" s="69">
        <v>-8.4949999999999992</v>
      </c>
      <c r="CM4741" s="106">
        <v>-8.0749999999999993</v>
      </c>
    </row>
    <row r="4742" spans="1:237" x14ac:dyDescent="0.25">
      <c r="A4742" s="127">
        <v>45593</v>
      </c>
      <c r="B4742" s="24" t="s">
        <v>33</v>
      </c>
      <c r="C4742" s="21">
        <f t="shared" si="78"/>
        <v>-16.914999999999999</v>
      </c>
      <c r="CF4742" s="69">
        <v>-16.914999999999999</v>
      </c>
    </row>
    <row r="4743" spans="1:237" x14ac:dyDescent="0.25">
      <c r="A4743" s="127">
        <v>45593</v>
      </c>
      <c r="B4743" s="24" t="s">
        <v>139</v>
      </c>
      <c r="C4743" s="21">
        <f t="shared" si="78"/>
        <v>-24.565000000000001</v>
      </c>
      <c r="CG4743" s="106">
        <v>-8.7899999999999991</v>
      </c>
      <c r="CM4743" s="106">
        <v>-7.4550000000000001</v>
      </c>
      <c r="CS4743" s="74">
        <v>-8.32</v>
      </c>
    </row>
    <row r="4744" spans="1:237" x14ac:dyDescent="0.25">
      <c r="A4744" s="127">
        <v>45593</v>
      </c>
      <c r="B4744" s="24" t="s">
        <v>50</v>
      </c>
      <c r="C4744" s="21">
        <f t="shared" si="78"/>
        <v>-134.85</v>
      </c>
      <c r="IC4744" s="92">
        <v>-134.85</v>
      </c>
    </row>
    <row r="4745" spans="1:237" x14ac:dyDescent="0.25">
      <c r="A4745" s="127">
        <v>45595</v>
      </c>
      <c r="B4745" s="24" t="s">
        <v>137</v>
      </c>
      <c r="C4745" s="21">
        <f t="shared" si="78"/>
        <v>-16.965</v>
      </c>
      <c r="BH4745" s="69">
        <v>-16.965</v>
      </c>
    </row>
    <row r="4746" spans="1:237" x14ac:dyDescent="0.25">
      <c r="A4746" s="127">
        <v>45596</v>
      </c>
      <c r="B4746" s="24" t="s">
        <v>113</v>
      </c>
      <c r="C4746" s="21">
        <f t="shared" si="78"/>
        <v>1120.2349999999999</v>
      </c>
      <c r="AC4746" s="106">
        <v>102.37</v>
      </c>
      <c r="AG4746" s="106">
        <v>104.355</v>
      </c>
      <c r="AN4746" s="106">
        <v>140.11500000000001</v>
      </c>
      <c r="AW4746" s="106">
        <v>67.400000000000006</v>
      </c>
      <c r="BI4746" s="106">
        <v>209.58</v>
      </c>
      <c r="BO4746" s="106">
        <v>173.06</v>
      </c>
      <c r="CM4746" s="106">
        <v>97.28</v>
      </c>
      <c r="CY4746" s="106">
        <v>64.73</v>
      </c>
      <c r="DP4746" s="74">
        <v>16.62</v>
      </c>
      <c r="GQ4746" s="92">
        <v>144.72499999999999</v>
      </c>
    </row>
    <row r="4747" spans="1:237" x14ac:dyDescent="0.25">
      <c r="A4747" s="127">
        <v>45596</v>
      </c>
      <c r="B4747" s="24" t="s">
        <v>113</v>
      </c>
      <c r="C4747" s="21">
        <f t="shared" si="78"/>
        <v>134.41999999999999</v>
      </c>
      <c r="BC4747" s="106">
        <v>63.44</v>
      </c>
      <c r="CA4747" s="106">
        <v>65.185000000000002</v>
      </c>
      <c r="HM4747" s="106">
        <v>5.7949999999999999</v>
      </c>
    </row>
    <row r="4748" spans="1:237" x14ac:dyDescent="0.25">
      <c r="A4748" s="127">
        <v>45596</v>
      </c>
      <c r="B4748" s="24" t="s">
        <v>68</v>
      </c>
      <c r="C4748" s="21">
        <f t="shared" si="78"/>
        <v>-64.424999999999997</v>
      </c>
      <c r="BC4748" s="106">
        <v>-32.185000000000002</v>
      </c>
      <c r="BI4748" s="106">
        <v>-32.24</v>
      </c>
    </row>
    <row r="4749" spans="1:237" x14ac:dyDescent="0.25">
      <c r="A4749" s="127">
        <v>45596</v>
      </c>
      <c r="B4749" s="24" t="s">
        <v>197</v>
      </c>
      <c r="C4749" s="21">
        <f t="shared" si="78"/>
        <v>-84.614999999999995</v>
      </c>
      <c r="AC4749" s="106">
        <v>-8.57</v>
      </c>
      <c r="AG4749" s="106">
        <v>-8.5850000000000009</v>
      </c>
      <c r="AN4749" s="106">
        <v>-8.7550000000000008</v>
      </c>
      <c r="AR4749" s="106">
        <v>-8.4849999999999994</v>
      </c>
      <c r="AW4749" s="106">
        <v>-8.42</v>
      </c>
      <c r="BC4749" s="106">
        <v>-8.11</v>
      </c>
      <c r="BI4749" s="106">
        <v>-16.38</v>
      </c>
      <c r="BS4749" s="42">
        <v>-17.309999999999999</v>
      </c>
    </row>
    <row r="4750" spans="1:237" x14ac:dyDescent="0.25">
      <c r="A4750" s="127">
        <v>45596</v>
      </c>
      <c r="B4750" s="24" t="s">
        <v>20</v>
      </c>
      <c r="C4750" s="21">
        <f t="shared" si="78"/>
        <v>-58.075000000000003</v>
      </c>
      <c r="AC4750" s="106">
        <v>-8.6649999999999991</v>
      </c>
      <c r="AN4750" s="106">
        <v>-8.77</v>
      </c>
      <c r="AR4750" s="106">
        <v>-8.4450000000000003</v>
      </c>
      <c r="AW4750" s="106">
        <v>-8.4350000000000005</v>
      </c>
      <c r="BC4750" s="106">
        <v>-7.1050000000000004</v>
      </c>
      <c r="BI4750" s="106">
        <v>-8.0150000000000006</v>
      </c>
      <c r="BS4750" s="42">
        <v>-8.64</v>
      </c>
    </row>
    <row r="4751" spans="1:237" x14ac:dyDescent="0.25">
      <c r="A4751" s="127">
        <v>45596</v>
      </c>
      <c r="B4751" s="24" t="s">
        <v>139</v>
      </c>
      <c r="C4751" s="21">
        <f t="shared" si="78"/>
        <v>-16.934999999999999</v>
      </c>
      <c r="BS4751" s="42">
        <v>-8.64</v>
      </c>
      <c r="CA4751" s="106">
        <v>-8.2949999999999999</v>
      </c>
    </row>
    <row r="4752" spans="1:237" x14ac:dyDescent="0.25">
      <c r="A4752" s="127">
        <v>45596</v>
      </c>
      <c r="B4752" s="24" t="s">
        <v>138</v>
      </c>
      <c r="C4752" s="21">
        <f t="shared" si="78"/>
        <v>-32.994999999999997</v>
      </c>
      <c r="BO4752" s="106">
        <v>-17.344999999999999</v>
      </c>
      <c r="CA4752" s="106">
        <v>-15.65</v>
      </c>
    </row>
    <row r="4753" spans="1:199" x14ac:dyDescent="0.25">
      <c r="A4753" s="127">
        <v>45596</v>
      </c>
      <c r="B4753" s="24" t="s">
        <v>29</v>
      </c>
      <c r="C4753" s="21">
        <f t="shared" si="78"/>
        <v>-8.7650000000000006</v>
      </c>
      <c r="CG4753" s="106">
        <v>-8.7650000000000006</v>
      </c>
    </row>
    <row r="4754" spans="1:199" x14ac:dyDescent="0.25">
      <c r="A4754" s="127">
        <v>45596</v>
      </c>
      <c r="B4754" s="24" t="s">
        <v>48</v>
      </c>
      <c r="C4754" s="21">
        <f t="shared" si="78"/>
        <v>-83.305000000000007</v>
      </c>
      <c r="CM4754" s="106">
        <v>-32.33</v>
      </c>
      <c r="DZ4754" s="69">
        <v>-33.905000000000001</v>
      </c>
      <c r="EA4754" s="74">
        <f>-8.61-8.46</f>
        <v>-17.07</v>
      </c>
    </row>
    <row r="4755" spans="1:199" x14ac:dyDescent="0.25">
      <c r="A4755" s="127">
        <v>45596</v>
      </c>
      <c r="B4755" s="24" t="s">
        <v>44</v>
      </c>
      <c r="C4755" s="21">
        <f t="shared" si="78"/>
        <v>-144.72499999999999</v>
      </c>
      <c r="GQ4755" s="92">
        <v>-144.72499999999999</v>
      </c>
    </row>
    <row r="4756" spans="1:199" x14ac:dyDescent="0.25">
      <c r="A4756" s="127">
        <v>45596</v>
      </c>
      <c r="B4756" s="24" t="s">
        <v>115</v>
      </c>
      <c r="C4756" s="21">
        <f t="shared" si="78"/>
        <v>53.85</v>
      </c>
      <c r="E4756" s="386">
        <v>53.85</v>
      </c>
    </row>
    <row r="4757" spans="1:199" x14ac:dyDescent="0.25">
      <c r="A4757" s="127">
        <v>45596</v>
      </c>
      <c r="B4757" s="24" t="s">
        <v>48</v>
      </c>
      <c r="C4757" s="21">
        <f t="shared" si="78"/>
        <v>165.79</v>
      </c>
      <c r="BA4757" s="42">
        <v>96.79</v>
      </c>
      <c r="BS4757" s="42">
        <v>69</v>
      </c>
    </row>
    <row r="4758" spans="1:199" x14ac:dyDescent="0.25">
      <c r="A4758" s="127">
        <v>45596</v>
      </c>
      <c r="B4758" s="24" t="s">
        <v>89</v>
      </c>
      <c r="C4758" s="21">
        <f t="shared" si="78"/>
        <v>-96.79</v>
      </c>
      <c r="BA4758" s="42">
        <v>-96.79</v>
      </c>
    </row>
    <row r="4759" spans="1:199" x14ac:dyDescent="0.25">
      <c r="A4759" s="127">
        <v>45596</v>
      </c>
      <c r="B4759" s="24" t="s">
        <v>214</v>
      </c>
      <c r="C4759" s="21">
        <f t="shared" si="78"/>
        <v>-101.73</v>
      </c>
      <c r="BO4759" s="106">
        <v>-34.634999999999998</v>
      </c>
      <c r="BS4759" s="42">
        <v>-34.409999999999997</v>
      </c>
      <c r="CA4759" s="106">
        <v>-32.685000000000002</v>
      </c>
    </row>
    <row r="4760" spans="1:199" x14ac:dyDescent="0.25">
      <c r="A4760" s="127">
        <v>45596</v>
      </c>
      <c r="B4760" s="24" t="s">
        <v>202</v>
      </c>
      <c r="C4760" s="21">
        <f t="shared" si="78"/>
        <v>-25.704999999999998</v>
      </c>
      <c r="D4760" s="386">
        <v>-8.69</v>
      </c>
      <c r="E4760" s="386">
        <v>-17.015000000000001</v>
      </c>
    </row>
    <row r="4761" spans="1:199" x14ac:dyDescent="0.25">
      <c r="A4761" s="127">
        <v>45596</v>
      </c>
      <c r="B4761" s="24" t="s">
        <v>204</v>
      </c>
      <c r="C4761" s="21">
        <f t="shared" si="78"/>
        <v>-8.5549999999999997</v>
      </c>
      <c r="CA4761" s="106">
        <v>-8.5549999999999997</v>
      </c>
    </row>
    <row r="4762" spans="1:199" x14ac:dyDescent="0.25">
      <c r="A4762" s="127">
        <v>45596</v>
      </c>
      <c r="B4762" s="24" t="s">
        <v>75</v>
      </c>
      <c r="C4762" s="21">
        <f t="shared" si="78"/>
        <v>-50.05</v>
      </c>
      <c r="AN4762" s="106">
        <v>-8.69</v>
      </c>
      <c r="AR4762" s="106">
        <v>-8.4499999999999993</v>
      </c>
      <c r="BC4762" s="106">
        <v>-7.98</v>
      </c>
      <c r="BI4762" s="106">
        <v>-8.09</v>
      </c>
      <c r="BO4762" s="106">
        <v>-8.67</v>
      </c>
      <c r="CM4762" s="106">
        <v>-8.17</v>
      </c>
    </row>
    <row r="4763" spans="1:199" x14ac:dyDescent="0.25">
      <c r="A4763" s="127">
        <v>45596</v>
      </c>
      <c r="B4763" s="24" t="s">
        <v>139</v>
      </c>
      <c r="C4763" s="21">
        <f t="shared" si="78"/>
        <v>-24.57</v>
      </c>
      <c r="V4763" s="74">
        <v>-7.64</v>
      </c>
      <c r="CL4763" s="69">
        <v>-8.52</v>
      </c>
      <c r="CS4763" s="74">
        <v>-8.41</v>
      </c>
    </row>
    <row r="4764" spans="1:199" x14ac:dyDescent="0.25">
      <c r="A4764" s="127">
        <v>45596</v>
      </c>
      <c r="B4764" s="24" t="s">
        <v>184</v>
      </c>
      <c r="C4764" s="21">
        <f t="shared" si="78"/>
        <v>-119.375</v>
      </c>
      <c r="AW4764" s="106">
        <v>-16.850000000000001</v>
      </c>
      <c r="BI4764" s="106">
        <v>-16.114999999999998</v>
      </c>
      <c r="BO4764" s="106">
        <v>-34.555</v>
      </c>
      <c r="CF4764" s="69">
        <v>-16.809999999999999</v>
      </c>
      <c r="CM4764" s="106">
        <v>-16.344999999999999</v>
      </c>
      <c r="DE4764" s="74">
        <v>-18.7</v>
      </c>
    </row>
    <row r="4765" spans="1:199" x14ac:dyDescent="0.25">
      <c r="A4765" s="127">
        <v>45596</v>
      </c>
      <c r="B4765" s="24" t="s">
        <v>184</v>
      </c>
      <c r="C4765" s="21">
        <f t="shared" si="78"/>
        <v>-75.254999999999995</v>
      </c>
      <c r="AR4765" s="106">
        <v>-8.3849999999999998</v>
      </c>
      <c r="BI4765" s="106">
        <v>-8.0549999999999997</v>
      </c>
      <c r="CF4765" s="69">
        <v>-8.4700000000000006</v>
      </c>
      <c r="CL4765" s="69">
        <v>-8.4450000000000003</v>
      </c>
      <c r="CY4765" s="106">
        <v>-8.09</v>
      </c>
      <c r="DE4765" s="74">
        <v>-33.81</v>
      </c>
    </row>
    <row r="4766" spans="1:199" x14ac:dyDescent="0.25">
      <c r="A4766" s="127">
        <v>45596</v>
      </c>
      <c r="B4766" s="24" t="s">
        <v>39</v>
      </c>
      <c r="C4766" s="21">
        <f t="shared" si="78"/>
        <v>-25.218</v>
      </c>
      <c r="AR4766" s="106">
        <v>-8.4079999999999995</v>
      </c>
      <c r="BI4766" s="106">
        <v>-8.14</v>
      </c>
      <c r="BO4766" s="106">
        <v>-8.67</v>
      </c>
    </row>
    <row r="4767" spans="1:199" x14ac:dyDescent="0.25">
      <c r="A4767" s="127">
        <v>45596</v>
      </c>
      <c r="B4767" s="24" t="s">
        <v>200</v>
      </c>
      <c r="C4767" s="21">
        <f t="shared" si="78"/>
        <v>-16.535</v>
      </c>
      <c r="AW4767" s="106">
        <v>-8.4749999999999996</v>
      </c>
      <c r="BC4767" s="106">
        <v>-8.06</v>
      </c>
    </row>
    <row r="4768" spans="1:199" x14ac:dyDescent="0.25">
      <c r="A4768" s="127">
        <v>45596</v>
      </c>
      <c r="B4768" s="24" t="s">
        <v>214</v>
      </c>
      <c r="C4768" s="21">
        <f t="shared" si="78"/>
        <v>-33.67</v>
      </c>
      <c r="AR4768" s="106">
        <v>-8.4049999999999994</v>
      </c>
      <c r="AW4768" s="106">
        <v>-8.36</v>
      </c>
      <c r="CF4768" s="69">
        <v>-16.905000000000001</v>
      </c>
    </row>
    <row r="4769" spans="1:238" x14ac:dyDescent="0.25">
      <c r="A4769" s="127">
        <v>45598</v>
      </c>
      <c r="B4769" s="24" t="s">
        <v>203</v>
      </c>
      <c r="C4769" s="21">
        <f t="shared" si="78"/>
        <v>-14.73</v>
      </c>
      <c r="Z4769" s="79">
        <v>-8.4600000000000009</v>
      </c>
      <c r="CS4769" s="74">
        <v>-6.27</v>
      </c>
    </row>
    <row r="4770" spans="1:238" x14ac:dyDescent="0.25">
      <c r="A4770" s="127">
        <v>45598</v>
      </c>
      <c r="B4770" s="24" t="s">
        <v>171</v>
      </c>
      <c r="C4770" s="21">
        <f t="shared" si="78"/>
        <v>-33.49</v>
      </c>
      <c r="AW4770" s="106">
        <v>-8.4550000000000001</v>
      </c>
      <c r="BI4770" s="106">
        <v>-8.02</v>
      </c>
      <c r="BO4770" s="106">
        <v>-8.5649999999999995</v>
      </c>
      <c r="CF4770" s="69">
        <v>-8.4499999999999993</v>
      </c>
    </row>
    <row r="4771" spans="1:238" x14ac:dyDescent="0.25">
      <c r="A4771" s="127">
        <v>45601</v>
      </c>
      <c r="B4771" s="24" t="s">
        <v>212</v>
      </c>
      <c r="C4771" s="21">
        <f t="shared" si="78"/>
        <v>-51.28</v>
      </c>
      <c r="AG4771" s="106">
        <v>-8.57</v>
      </c>
      <c r="AN4771" s="106">
        <v>-8.7550000000000008</v>
      </c>
      <c r="AR4771" s="106">
        <v>-8.42</v>
      </c>
      <c r="AW4771" s="106">
        <v>-8.4049999999999994</v>
      </c>
      <c r="BO4771" s="106">
        <v>-8.68</v>
      </c>
      <c r="CF4771" s="69">
        <v>-8.4499999999999993</v>
      </c>
    </row>
    <row r="4772" spans="1:238" x14ac:dyDescent="0.25">
      <c r="A4772" s="127">
        <v>45600</v>
      </c>
      <c r="B4772" s="24" t="s">
        <v>140</v>
      </c>
      <c r="C4772" s="21">
        <f t="shared" si="78"/>
        <v>22.96</v>
      </c>
      <c r="D4772" s="386">
        <v>22.96</v>
      </c>
    </row>
    <row r="4773" spans="1:238" x14ac:dyDescent="0.25">
      <c r="A4773" s="127">
        <v>45600</v>
      </c>
      <c r="B4773" s="24" t="s">
        <v>64</v>
      </c>
      <c r="C4773" s="21">
        <f t="shared" si="78"/>
        <v>60.32</v>
      </c>
      <c r="AW4773" s="106">
        <v>60.32</v>
      </c>
    </row>
    <row r="4774" spans="1:238" x14ac:dyDescent="0.25">
      <c r="A4774" s="127">
        <v>45600</v>
      </c>
      <c r="B4774" s="24" t="s">
        <v>188</v>
      </c>
      <c r="C4774" s="21">
        <f t="shared" si="78"/>
        <v>-25.824999999999999</v>
      </c>
      <c r="AN4774" s="106">
        <v>-8.7650000000000006</v>
      </c>
      <c r="BO4774" s="106">
        <v>-8.68</v>
      </c>
      <c r="DE4774" s="74">
        <v>-8.3800000000000008</v>
      </c>
    </row>
    <row r="4775" spans="1:238" x14ac:dyDescent="0.25">
      <c r="A4775" s="127">
        <v>45601</v>
      </c>
      <c r="B4775" s="24" t="s">
        <v>180</v>
      </c>
      <c r="C4775" s="21">
        <f t="shared" si="78"/>
        <v>-102.3</v>
      </c>
      <c r="GO4775" s="110">
        <v>-102.3</v>
      </c>
    </row>
    <row r="4776" spans="1:238" x14ac:dyDescent="0.25">
      <c r="A4776" s="127">
        <v>45601</v>
      </c>
      <c r="B4776" s="24" t="s">
        <v>79</v>
      </c>
      <c r="C4776" s="21">
        <f t="shared" si="78"/>
        <v>-19.695</v>
      </c>
      <c r="AN4776" s="106">
        <v>-8.7650000000000006</v>
      </c>
      <c r="AR4776" s="106">
        <v>-8.41</v>
      </c>
      <c r="FA4776" s="42">
        <v>-2.52</v>
      </c>
    </row>
    <row r="4777" spans="1:238" x14ac:dyDescent="0.25">
      <c r="A4777" s="127">
        <v>45601</v>
      </c>
      <c r="B4777" s="24" t="s">
        <v>33</v>
      </c>
      <c r="C4777" s="21">
        <f t="shared" si="78"/>
        <v>-8.1050000000000004</v>
      </c>
      <c r="BI4777" s="106">
        <v>-8.1050000000000004</v>
      </c>
    </row>
    <row r="4778" spans="1:238" x14ac:dyDescent="0.25">
      <c r="A4778" s="127">
        <v>45601</v>
      </c>
      <c r="B4778" s="24" t="s">
        <v>29</v>
      </c>
      <c r="C4778" s="21">
        <f t="shared" si="78"/>
        <v>-8.6449999999999996</v>
      </c>
      <c r="BO4778" s="106">
        <v>-8.6449999999999996</v>
      </c>
    </row>
    <row r="4779" spans="1:238" x14ac:dyDescent="0.25">
      <c r="A4779" s="127">
        <v>45601</v>
      </c>
      <c r="B4779" s="24" t="s">
        <v>171</v>
      </c>
      <c r="C4779" s="21">
        <f t="shared" si="78"/>
        <v>-24.245000000000001</v>
      </c>
      <c r="CM4779" s="106">
        <v>-24.245000000000001</v>
      </c>
    </row>
    <row r="4780" spans="1:238" x14ac:dyDescent="0.25">
      <c r="A4780" s="127">
        <v>45602</v>
      </c>
      <c r="B4780" s="24" t="s">
        <v>146</v>
      </c>
      <c r="C4780" s="21">
        <f t="shared" si="78"/>
        <v>0</v>
      </c>
    </row>
    <row r="4781" spans="1:238" x14ac:dyDescent="0.25">
      <c r="A4781" s="127">
        <v>45602</v>
      </c>
      <c r="B4781" s="24" t="s">
        <v>113</v>
      </c>
      <c r="C4781" s="21">
        <f t="shared" si="78"/>
        <v>1114.01</v>
      </c>
      <c r="AW4781" s="106">
        <v>95.484999999999999</v>
      </c>
      <c r="BC4781" s="106">
        <v>96.504999999999995</v>
      </c>
      <c r="BI4781" s="106">
        <v>92.334999999999994</v>
      </c>
      <c r="BO4781" s="106">
        <v>91.814999999999998</v>
      </c>
      <c r="BU4781" s="106">
        <f>76.67+73.33</f>
        <v>150</v>
      </c>
      <c r="CA4781" s="106">
        <v>100.7</v>
      </c>
      <c r="CG4781" s="106">
        <v>96.364999999999995</v>
      </c>
      <c r="CM4781" s="106">
        <v>98.51</v>
      </c>
      <c r="CS4781" s="74">
        <v>99.944999999999993</v>
      </c>
      <c r="DP4781" s="74">
        <v>97.144999999999996</v>
      </c>
      <c r="DU4781" s="106">
        <v>95.204999999999998</v>
      </c>
    </row>
    <row r="4782" spans="1:238" x14ac:dyDescent="0.25">
      <c r="A4782" s="127">
        <v>45602</v>
      </c>
      <c r="B4782" s="24" t="s">
        <v>44</v>
      </c>
      <c r="C4782" s="21">
        <f t="shared" si="78"/>
        <v>-117.75</v>
      </c>
      <c r="BO4782" s="106">
        <v>-34.615000000000002</v>
      </c>
      <c r="GW4782" s="92">
        <v>-7.1749999999999998</v>
      </c>
      <c r="GZ4782" s="106">
        <v>-50.76</v>
      </c>
      <c r="HP4782" s="92">
        <v>-8.5</v>
      </c>
      <c r="HW4782" s="42">
        <v>-8.7899999999999991</v>
      </c>
      <c r="ID4782" s="42">
        <v>-7.91</v>
      </c>
    </row>
    <row r="4783" spans="1:238" x14ac:dyDescent="0.25">
      <c r="A4783" s="127">
        <v>45602</v>
      </c>
      <c r="B4783" s="24" t="s">
        <v>193</v>
      </c>
      <c r="C4783" s="21">
        <f t="shared" si="78"/>
        <v>-24.664999999999999</v>
      </c>
      <c r="CM4783" s="106">
        <v>-8.1950000000000003</v>
      </c>
      <c r="CS4783" s="74">
        <v>-8.3949999999999996</v>
      </c>
      <c r="CY4783" s="106">
        <v>-8.0749999999999993</v>
      </c>
    </row>
    <row r="4784" spans="1:238" x14ac:dyDescent="0.25">
      <c r="A4784" s="127">
        <v>45602</v>
      </c>
      <c r="B4784" s="24" t="s">
        <v>184</v>
      </c>
      <c r="C4784" s="21">
        <f t="shared" si="78"/>
        <v>-78.58</v>
      </c>
      <c r="AW4784" s="106">
        <v>-6.66</v>
      </c>
      <c r="BC4784" s="106">
        <v>-8.1750000000000007</v>
      </c>
      <c r="BI4784" s="106">
        <v>-14.625</v>
      </c>
      <c r="BO4784" s="106">
        <v>-24.53</v>
      </c>
      <c r="BU4784" s="106">
        <v>-16.234999999999999</v>
      </c>
      <c r="CA4784" s="106">
        <v>-8.3550000000000004</v>
      </c>
    </row>
    <row r="4785" spans="1:221" x14ac:dyDescent="0.25">
      <c r="A4785" s="127">
        <v>45602</v>
      </c>
      <c r="B4785" s="24" t="s">
        <v>48</v>
      </c>
      <c r="C4785" s="21">
        <f t="shared" ref="C4785:C4848" si="79">SUM(D4785:JT4785)</f>
        <v>170.67</v>
      </c>
      <c r="CW4785" s="42">
        <f>32+33.26</f>
        <v>65.260000000000005</v>
      </c>
      <c r="DS4785" s="42">
        <v>105.41</v>
      </c>
    </row>
    <row r="4786" spans="1:221" x14ac:dyDescent="0.25">
      <c r="A4786" s="127">
        <v>45603</v>
      </c>
      <c r="B4786" s="24" t="s">
        <v>184</v>
      </c>
      <c r="C4786" s="21">
        <f t="shared" si="79"/>
        <v>-817.41499999999996</v>
      </c>
      <c r="BC4786" s="106">
        <v>-64.73</v>
      </c>
      <c r="BI4786" s="106">
        <v>-64.545000000000002</v>
      </c>
      <c r="BO4786" s="106">
        <v>-59.12</v>
      </c>
      <c r="BU4786" s="106">
        <v>-66.63</v>
      </c>
      <c r="CA4786" s="106">
        <v>-67.045000000000002</v>
      </c>
      <c r="CW4786" s="42">
        <f>-32-33.26</f>
        <v>-65.260000000000005</v>
      </c>
      <c r="CY4786" s="106">
        <v>-32.4</v>
      </c>
      <c r="DE4786" s="74">
        <v>-33.805</v>
      </c>
      <c r="DK4786" s="106">
        <v>-33.1</v>
      </c>
      <c r="DP4786" s="74">
        <v>-96.415000000000006</v>
      </c>
      <c r="DS4786" s="42">
        <v>-105.41</v>
      </c>
      <c r="DU4786" s="106">
        <v>-95.204999999999998</v>
      </c>
      <c r="EA4786" s="74">
        <v>-16.925000000000001</v>
      </c>
      <c r="EF4786" s="69">
        <v>-8.5350000000000001</v>
      </c>
      <c r="EI4786" s="150">
        <v>-8.2899999999999991</v>
      </c>
    </row>
    <row r="4787" spans="1:221" x14ac:dyDescent="0.25">
      <c r="A4787" s="127">
        <v>45603</v>
      </c>
      <c r="B4787" s="24" t="s">
        <v>115</v>
      </c>
      <c r="C4787" s="21">
        <f t="shared" si="79"/>
        <v>-6.9</v>
      </c>
      <c r="D4787" s="386">
        <v>-6.9</v>
      </c>
    </row>
    <row r="4788" spans="1:221" x14ac:dyDescent="0.25">
      <c r="A4788" s="127">
        <v>45604</v>
      </c>
      <c r="B4788" s="24" t="s">
        <v>174</v>
      </c>
      <c r="C4788" s="21">
        <f t="shared" si="79"/>
        <v>-16.899999999999999</v>
      </c>
      <c r="CS4788" s="74">
        <v>-16.899999999999999</v>
      </c>
    </row>
    <row r="4789" spans="1:221" x14ac:dyDescent="0.25">
      <c r="A4789" s="127">
        <v>45604</v>
      </c>
      <c r="B4789" s="24" t="s">
        <v>75</v>
      </c>
      <c r="C4789" s="21">
        <f t="shared" si="79"/>
        <v>-16.545000000000002</v>
      </c>
      <c r="BU4789" s="106">
        <v>-8.16</v>
      </c>
      <c r="CA4789" s="106">
        <v>-8.3849999999999998</v>
      </c>
    </row>
    <row r="4790" spans="1:221" x14ac:dyDescent="0.25">
      <c r="A4790" s="127">
        <v>45604</v>
      </c>
      <c r="B4790" s="24" t="s">
        <v>139</v>
      </c>
      <c r="C4790" s="21">
        <f t="shared" si="79"/>
        <v>-16.88</v>
      </c>
      <c r="CG4790" s="106">
        <v>-8.4499999999999993</v>
      </c>
      <c r="CS4790" s="74">
        <v>-8.43</v>
      </c>
    </row>
    <row r="4791" spans="1:221" x14ac:dyDescent="0.25">
      <c r="A4791" s="127">
        <v>45604</v>
      </c>
      <c r="B4791" s="24" t="s">
        <v>127</v>
      </c>
      <c r="C4791" s="21">
        <f t="shared" si="79"/>
        <v>-22.88</v>
      </c>
      <c r="AX4791" s="121">
        <v>-7.89</v>
      </c>
      <c r="BC4791" s="106">
        <v>-7.39</v>
      </c>
      <c r="BG4791" s="42">
        <v>-7.6</v>
      </c>
    </row>
    <row r="4792" spans="1:221" x14ac:dyDescent="0.25">
      <c r="A4792" s="127">
        <v>45604</v>
      </c>
      <c r="B4792" s="24" t="s">
        <v>140</v>
      </c>
      <c r="C4792" s="21">
        <f t="shared" si="79"/>
        <v>-42.575000000000003</v>
      </c>
      <c r="D4792" s="386">
        <v>-33.97</v>
      </c>
      <c r="E4792" s="386">
        <v>-8.6050000000000004</v>
      </c>
    </row>
    <row r="4793" spans="1:221" x14ac:dyDescent="0.25">
      <c r="A4793" s="127">
        <v>45604</v>
      </c>
      <c r="B4793" s="24" t="s">
        <v>115</v>
      </c>
      <c r="C4793" s="21">
        <f t="shared" si="79"/>
        <v>40.869999999999997</v>
      </c>
      <c r="D4793" s="386">
        <v>40.869999999999997</v>
      </c>
    </row>
    <row r="4794" spans="1:221" x14ac:dyDescent="0.25">
      <c r="A4794" s="127">
        <v>45604</v>
      </c>
      <c r="B4794" s="24" t="s">
        <v>204</v>
      </c>
      <c r="C4794" s="21">
        <f t="shared" si="79"/>
        <v>-16.3</v>
      </c>
      <c r="BO4794" s="106">
        <v>-8.1649999999999991</v>
      </c>
      <c r="BU4794" s="106">
        <v>-8.1349999999999998</v>
      </c>
    </row>
    <row r="4795" spans="1:221" x14ac:dyDescent="0.25">
      <c r="A4795" s="127">
        <v>45604</v>
      </c>
      <c r="B4795" s="24" t="s">
        <v>212</v>
      </c>
      <c r="C4795" s="21">
        <f t="shared" si="79"/>
        <v>-16.785</v>
      </c>
      <c r="BC4795" s="106">
        <v>-8.25</v>
      </c>
      <c r="CA4795" s="106">
        <v>-8.5350000000000001</v>
      </c>
    </row>
    <row r="4796" spans="1:221" x14ac:dyDescent="0.25">
      <c r="A4796" s="127">
        <v>45605</v>
      </c>
      <c r="B4796" s="24" t="s">
        <v>197</v>
      </c>
      <c r="C4796" s="21">
        <f t="shared" si="79"/>
        <v>-51.2</v>
      </c>
      <c r="DE4796" s="74">
        <v>-17.940000000000001</v>
      </c>
      <c r="DK4796" s="106">
        <v>-16.68</v>
      </c>
      <c r="DP4796" s="74">
        <v>-16.579999999999998</v>
      </c>
    </row>
    <row r="4797" spans="1:221" x14ac:dyDescent="0.25">
      <c r="A4797" s="127">
        <v>45605</v>
      </c>
      <c r="B4797" s="24" t="s">
        <v>204</v>
      </c>
      <c r="C4797" s="21">
        <f t="shared" si="79"/>
        <v>-8.6</v>
      </c>
      <c r="AC4797" s="106">
        <v>-8.6</v>
      </c>
    </row>
    <row r="4798" spans="1:221" x14ac:dyDescent="0.25">
      <c r="A4798" s="127">
        <v>45607</v>
      </c>
      <c r="B4798" s="24" t="s">
        <v>48</v>
      </c>
      <c r="C4798" s="21">
        <f t="shared" si="79"/>
        <v>-49.02</v>
      </c>
      <c r="CM4798" s="106">
        <v>-49.02</v>
      </c>
    </row>
    <row r="4799" spans="1:221" x14ac:dyDescent="0.25">
      <c r="A4799" s="127">
        <v>45607</v>
      </c>
      <c r="B4799" s="24" t="s">
        <v>82</v>
      </c>
      <c r="C4799" s="21">
        <f t="shared" si="79"/>
        <v>-79.28</v>
      </c>
      <c r="HH4799" s="106">
        <v>-51.725000000000001</v>
      </c>
      <c r="HM4799" s="106">
        <v>-27.555</v>
      </c>
    </row>
    <row r="4800" spans="1:221" x14ac:dyDescent="0.25">
      <c r="A4800" s="127">
        <v>45608</v>
      </c>
      <c r="B4800" s="24" t="s">
        <v>31</v>
      </c>
      <c r="C4800" s="21">
        <f t="shared" si="79"/>
        <v>-65.45</v>
      </c>
      <c r="GZ4800" s="106">
        <v>-56.134999999999998</v>
      </c>
      <c r="HD4800" s="92">
        <v>-9.3149999999999995</v>
      </c>
    </row>
    <row r="4801" spans="1:241" x14ac:dyDescent="0.25">
      <c r="A4801" s="127">
        <v>45608</v>
      </c>
      <c r="B4801" s="24" t="s">
        <v>138</v>
      </c>
      <c r="C4801" s="21">
        <f t="shared" si="79"/>
        <v>-34.380000000000003</v>
      </c>
      <c r="DC4801" s="42">
        <v>-34.380000000000003</v>
      </c>
    </row>
    <row r="4802" spans="1:241" x14ac:dyDescent="0.25">
      <c r="A4802" s="127">
        <v>45608</v>
      </c>
      <c r="B4802" s="24" t="s">
        <v>48</v>
      </c>
      <c r="C4802" s="21">
        <f t="shared" si="79"/>
        <v>-48.8</v>
      </c>
      <c r="AR4802" s="106">
        <v>-66.295000000000002</v>
      </c>
      <c r="CS4802" s="74">
        <v>-16.885000000000002</v>
      </c>
      <c r="DC4802" s="42">
        <v>34.380000000000003</v>
      </c>
    </row>
    <row r="4803" spans="1:241" x14ac:dyDescent="0.25">
      <c r="A4803" s="127">
        <v>45608</v>
      </c>
      <c r="B4803" s="24" t="s">
        <v>20</v>
      </c>
      <c r="C4803" s="21">
        <f t="shared" si="79"/>
        <v>-32.395000000000003</v>
      </c>
      <c r="AW4803" s="106">
        <v>-7.86</v>
      </c>
      <c r="BI4803" s="106">
        <v>-8.0350000000000001</v>
      </c>
      <c r="CG4803" s="106">
        <v>-8.39</v>
      </c>
      <c r="CM4803" s="106">
        <v>-8.11</v>
      </c>
    </row>
    <row r="4804" spans="1:241" x14ac:dyDescent="0.25">
      <c r="A4804" s="127">
        <v>45608</v>
      </c>
      <c r="B4804" s="24" t="s">
        <v>39</v>
      </c>
      <c r="C4804" s="21">
        <f t="shared" si="79"/>
        <v>-16.75</v>
      </c>
      <c r="BU4804" s="106">
        <v>-8.3699999999999992</v>
      </c>
      <c r="CA4804" s="106">
        <v>-8.3800000000000008</v>
      </c>
    </row>
    <row r="4805" spans="1:241" x14ac:dyDescent="0.25">
      <c r="A4805" s="127">
        <v>45609</v>
      </c>
      <c r="B4805" s="24" t="s">
        <v>184</v>
      </c>
      <c r="C4805" s="21">
        <f t="shared" si="79"/>
        <v>-99.454999999999998</v>
      </c>
      <c r="AG4805" s="106">
        <v>-8.61</v>
      </c>
      <c r="AN4805" s="106">
        <v>-8.76</v>
      </c>
      <c r="AR4805" s="106">
        <v>-8.4849999999999994</v>
      </c>
      <c r="AW4805" s="106">
        <v>-8.0500000000000007</v>
      </c>
      <c r="BU4805" s="106">
        <v>-26.16</v>
      </c>
      <c r="CG4805" s="106">
        <v>-31.155000000000001</v>
      </c>
      <c r="CM4805" s="106">
        <v>-8.2349999999999994</v>
      </c>
    </row>
    <row r="4806" spans="1:241" x14ac:dyDescent="0.25">
      <c r="A4806" s="127">
        <v>45609</v>
      </c>
      <c r="B4806" s="24" t="s">
        <v>12</v>
      </c>
      <c r="C4806" s="21">
        <f t="shared" si="79"/>
        <v>0</v>
      </c>
    </row>
    <row r="4807" spans="1:241" x14ac:dyDescent="0.25">
      <c r="A4807" s="127">
        <v>45609</v>
      </c>
      <c r="B4807" s="24" t="s">
        <v>212</v>
      </c>
      <c r="C4807" s="21">
        <f t="shared" si="79"/>
        <v>-8.07</v>
      </c>
      <c r="BU4807" s="106">
        <v>-8.07</v>
      </c>
    </row>
    <row r="4808" spans="1:241" x14ac:dyDescent="0.25">
      <c r="A4808" s="127">
        <v>45610</v>
      </c>
      <c r="B4808" s="24" t="s">
        <v>17</v>
      </c>
      <c r="C4808" s="21">
        <f t="shared" si="79"/>
        <v>-16.215</v>
      </c>
      <c r="AW4808" s="106">
        <v>-16.215</v>
      </c>
    </row>
    <row r="4809" spans="1:241" x14ac:dyDescent="0.25">
      <c r="A4809" s="127">
        <v>45610</v>
      </c>
      <c r="B4809" s="24" t="s">
        <v>20</v>
      </c>
      <c r="C4809" s="21">
        <f t="shared" si="79"/>
        <v>-4.07</v>
      </c>
      <c r="BO4809" s="106">
        <v>4.3849999999999998</v>
      </c>
      <c r="CS4809" s="74">
        <v>-8.4550000000000001</v>
      </c>
    </row>
    <row r="4810" spans="1:241" x14ac:dyDescent="0.25">
      <c r="A4810" s="127">
        <v>45610</v>
      </c>
      <c r="B4810" s="186" t="s">
        <v>138</v>
      </c>
      <c r="C4810" s="21">
        <f t="shared" si="79"/>
        <v>8.6950000000000003</v>
      </c>
      <c r="BO4810" s="106">
        <v>8.6950000000000003</v>
      </c>
    </row>
    <row r="4811" spans="1:241" x14ac:dyDescent="0.25">
      <c r="A4811" s="127">
        <v>45611</v>
      </c>
      <c r="B4811" s="24" t="s">
        <v>138</v>
      </c>
      <c r="C4811" s="21">
        <f t="shared" si="79"/>
        <v>-8.0500000000000007</v>
      </c>
      <c r="BI4811" s="106">
        <v>-8.0500000000000007</v>
      </c>
    </row>
    <row r="4812" spans="1:241" x14ac:dyDescent="0.25">
      <c r="A4812" s="127">
        <v>45612</v>
      </c>
      <c r="B4812" s="24" t="s">
        <v>113</v>
      </c>
      <c r="C4812" s="21">
        <f t="shared" si="79"/>
        <v>1042.7950000000001</v>
      </c>
      <c r="GQ4812" s="92">
        <v>202.55</v>
      </c>
      <c r="GZ4812" s="106">
        <v>200.09</v>
      </c>
      <c r="HH4812" s="106">
        <v>230.98500000000001</v>
      </c>
      <c r="HM4812" s="106">
        <v>204.495</v>
      </c>
      <c r="HR4812" s="92">
        <v>204.67500000000001</v>
      </c>
    </row>
    <row r="4813" spans="1:241" x14ac:dyDescent="0.25">
      <c r="A4813" s="127">
        <v>45614</v>
      </c>
      <c r="B4813" s="24" t="s">
        <v>31</v>
      </c>
      <c r="C4813" s="21">
        <f t="shared" si="79"/>
        <v>-119.71</v>
      </c>
      <c r="GZ4813" s="106">
        <v>-40.549999999999997</v>
      </c>
      <c r="IG4813" s="38">
        <v>-79.16</v>
      </c>
    </row>
    <row r="4814" spans="1:241" x14ac:dyDescent="0.25">
      <c r="A4814" s="127">
        <v>45614</v>
      </c>
      <c r="B4814" s="24" t="s">
        <v>82</v>
      </c>
      <c r="C4814" s="21">
        <f t="shared" si="79"/>
        <v>-83.215000000000003</v>
      </c>
      <c r="HM4814" s="106">
        <v>-32.145000000000003</v>
      </c>
      <c r="HR4814" s="92">
        <v>-51.07</v>
      </c>
    </row>
    <row r="4815" spans="1:241" x14ac:dyDescent="0.25">
      <c r="A4815" s="127">
        <v>45614</v>
      </c>
      <c r="B4815" s="24" t="s">
        <v>48</v>
      </c>
      <c r="C4815" s="21">
        <f t="shared" si="79"/>
        <v>-40.54</v>
      </c>
      <c r="CM4815" s="106">
        <f>-8.145-8.06-8.05</f>
        <v>-24.254999999999999</v>
      </c>
      <c r="CS4815" s="74">
        <f>-8.13-8.155</f>
        <v>-16.285</v>
      </c>
    </row>
    <row r="4816" spans="1:241" x14ac:dyDescent="0.25">
      <c r="A4816" s="127">
        <v>45614</v>
      </c>
      <c r="B4816" s="24" t="s">
        <v>39</v>
      </c>
      <c r="C4816" s="21">
        <f t="shared" si="79"/>
        <v>-33.064999999999998</v>
      </c>
      <c r="CG4816" s="106">
        <f>-8.335-8.21</f>
        <v>-16.545000000000002</v>
      </c>
      <c r="CM4816" s="106">
        <f>-8.36-8.16</f>
        <v>-16.52</v>
      </c>
    </row>
    <row r="4817" spans="1:214" x14ac:dyDescent="0.25">
      <c r="A4817" s="127">
        <v>45614</v>
      </c>
      <c r="B4817" s="24" t="s">
        <v>184</v>
      </c>
      <c r="C4817" s="21">
        <f t="shared" si="79"/>
        <v>-38.545000000000002</v>
      </c>
      <c r="BI4817" s="106">
        <v>-15.82</v>
      </c>
      <c r="CG4817" s="106">
        <v>-14.57</v>
      </c>
      <c r="CS4817" s="74">
        <v>-8.1549999999999994</v>
      </c>
    </row>
    <row r="4818" spans="1:214" x14ac:dyDescent="0.25">
      <c r="A4818" s="127">
        <v>45615</v>
      </c>
      <c r="B4818" s="24" t="s">
        <v>213</v>
      </c>
      <c r="C4818" s="21">
        <f t="shared" si="79"/>
        <v>-28.614999999999998</v>
      </c>
      <c r="L4818" s="69">
        <v>-6.97</v>
      </c>
      <c r="AG4818" s="106">
        <v>-8.57</v>
      </c>
      <c r="BO4818" s="106">
        <v>-13.074999999999999</v>
      </c>
    </row>
    <row r="4819" spans="1:214" x14ac:dyDescent="0.25">
      <c r="A4819" s="127">
        <v>45615</v>
      </c>
      <c r="B4819" s="24" t="s">
        <v>29</v>
      </c>
      <c r="C4819" s="21">
        <f t="shared" si="79"/>
        <v>-8.3800000000000008</v>
      </c>
      <c r="CS4819" s="74">
        <v>-8.3800000000000008</v>
      </c>
    </row>
    <row r="4820" spans="1:214" x14ac:dyDescent="0.25">
      <c r="A4820" s="127">
        <v>45615</v>
      </c>
      <c r="B4820" s="24" t="s">
        <v>33</v>
      </c>
      <c r="C4820" s="21">
        <f t="shared" si="79"/>
        <v>-8.49</v>
      </c>
      <c r="AR4820" s="106">
        <v>-8.49</v>
      </c>
    </row>
    <row r="4821" spans="1:214" x14ac:dyDescent="0.25">
      <c r="A4821" s="127">
        <v>45615</v>
      </c>
      <c r="B4821" s="24" t="s">
        <v>20</v>
      </c>
      <c r="C4821" s="21">
        <f t="shared" si="79"/>
        <v>-57.134999999999998</v>
      </c>
      <c r="Z4821" s="79">
        <v>-8.4649999999999999</v>
      </c>
      <c r="BC4821" s="106">
        <v>-8.0549999999999997</v>
      </c>
      <c r="BI4821" s="106">
        <v>-7.835</v>
      </c>
      <c r="BU4821" s="106">
        <v>-8.15</v>
      </c>
      <c r="CG4821" s="106">
        <v>-8.3800000000000008</v>
      </c>
      <c r="CM4821" s="106">
        <v>-8.19</v>
      </c>
      <c r="CS4821" s="74">
        <v>-8.06</v>
      </c>
    </row>
    <row r="4822" spans="1:214" x14ac:dyDescent="0.25">
      <c r="A4822" s="127">
        <v>45615</v>
      </c>
      <c r="B4822" s="24" t="s">
        <v>203</v>
      </c>
      <c r="C4822" s="21">
        <f t="shared" si="79"/>
        <v>66.14</v>
      </c>
      <c r="DA4822" s="126">
        <v>9.23</v>
      </c>
      <c r="DM4822" s="46">
        <v>7.4</v>
      </c>
      <c r="EC4822" s="126">
        <v>8.24</v>
      </c>
      <c r="EM4822" s="150">
        <f>8.45+8.39</f>
        <v>16.84</v>
      </c>
      <c r="EQ4822" s="46">
        <f>8.24+8.25</f>
        <v>16.489999999999998</v>
      </c>
      <c r="EU4822" s="126">
        <v>7.94</v>
      </c>
    </row>
    <row r="4823" spans="1:214" x14ac:dyDescent="0.25">
      <c r="A4823" s="127">
        <v>45616</v>
      </c>
      <c r="B4823" s="24" t="s">
        <v>169</v>
      </c>
      <c r="C4823" s="21">
        <f t="shared" si="79"/>
        <v>-62.89</v>
      </c>
      <c r="E4823" s="386">
        <v>-28.23</v>
      </c>
      <c r="F4823" s="145">
        <v>-34.659999999999997</v>
      </c>
    </row>
    <row r="4824" spans="1:214" x14ac:dyDescent="0.25">
      <c r="A4824" s="127">
        <v>45616</v>
      </c>
      <c r="B4824" s="24" t="s">
        <v>33</v>
      </c>
      <c r="C4824" s="21">
        <f t="shared" si="79"/>
        <v>-12.78</v>
      </c>
      <c r="V4824" s="74">
        <v>-4.03</v>
      </c>
      <c r="AN4824" s="106">
        <v>-8.75</v>
      </c>
    </row>
    <row r="4825" spans="1:214" x14ac:dyDescent="0.25">
      <c r="A4825" s="127">
        <v>45616</v>
      </c>
      <c r="B4825" s="24" t="s">
        <v>180</v>
      </c>
      <c r="C4825" s="21">
        <f t="shared" si="79"/>
        <v>-48.79</v>
      </c>
      <c r="GO4825" s="110">
        <v>-48.79</v>
      </c>
    </row>
    <row r="4826" spans="1:214" x14ac:dyDescent="0.25">
      <c r="A4826" s="127">
        <v>45617</v>
      </c>
      <c r="B4826" s="24" t="s">
        <v>44</v>
      </c>
      <c r="C4826" s="21">
        <f t="shared" si="79"/>
        <v>-203.833</v>
      </c>
      <c r="GK4826" s="79">
        <v>-25.463000000000001</v>
      </c>
      <c r="GQ4826" s="92">
        <v>-144.69999999999999</v>
      </c>
      <c r="HF4826" s="92">
        <v>-33.67</v>
      </c>
    </row>
    <row r="4827" spans="1:214" x14ac:dyDescent="0.25">
      <c r="A4827" s="127">
        <v>45617</v>
      </c>
      <c r="B4827" s="24" t="s">
        <v>193</v>
      </c>
      <c r="C4827" s="21">
        <f t="shared" si="79"/>
        <v>-24.574999999999999</v>
      </c>
      <c r="V4827" s="74">
        <v>-3.89</v>
      </c>
      <c r="Z4827" s="79">
        <v>-3.7</v>
      </c>
      <c r="CG4827" s="106">
        <v>-8.875</v>
      </c>
      <c r="DG4827" s="126">
        <v>-8.11</v>
      </c>
    </row>
    <row r="4828" spans="1:214" x14ac:dyDescent="0.25">
      <c r="A4828" s="127">
        <v>45617</v>
      </c>
      <c r="B4828" s="24" t="s">
        <v>215</v>
      </c>
      <c r="C4828" s="21">
        <f t="shared" si="79"/>
        <v>157.77000000000001</v>
      </c>
      <c r="L4828" s="69" t="s">
        <v>216</v>
      </c>
      <c r="S4828" s="74">
        <v>157.77000000000001</v>
      </c>
    </row>
    <row r="4829" spans="1:214" x14ac:dyDescent="0.25">
      <c r="A4829" s="127">
        <v>45618</v>
      </c>
      <c r="B4829" s="24" t="s">
        <v>113</v>
      </c>
      <c r="C4829" s="21">
        <f t="shared" si="79"/>
        <v>995.68</v>
      </c>
      <c r="AR4829" s="106">
        <v>98.144999999999996</v>
      </c>
      <c r="AW4829" s="106">
        <v>97.435000000000002</v>
      </c>
      <c r="BC4829" s="106">
        <v>65.155000000000001</v>
      </c>
      <c r="BI4829" s="106">
        <v>94.204999999999998</v>
      </c>
      <c r="BO4829" s="106">
        <v>64.61</v>
      </c>
      <c r="CG4829" s="106">
        <v>98.734999999999999</v>
      </c>
      <c r="CM4829" s="106">
        <v>97.92</v>
      </c>
      <c r="CS4829" s="74">
        <v>65.944999999999993</v>
      </c>
      <c r="CY4829" s="106">
        <v>102.685</v>
      </c>
      <c r="DE4829" s="74">
        <v>99.36</v>
      </c>
      <c r="DK4829" s="106">
        <v>111.485</v>
      </c>
    </row>
    <row r="4830" spans="1:214" x14ac:dyDescent="0.25">
      <c r="A4830" s="127">
        <v>45618</v>
      </c>
      <c r="B4830" s="24" t="s">
        <v>113</v>
      </c>
      <c r="C4830" s="21">
        <f t="shared" si="79"/>
        <v>909.44500000000005</v>
      </c>
      <c r="P4830" s="106">
        <v>33.784999999999997</v>
      </c>
      <c r="AW4830" s="106">
        <v>32.51</v>
      </c>
      <c r="BC4830" s="106">
        <v>92.555000000000007</v>
      </c>
      <c r="BO4830" s="106">
        <v>127.05</v>
      </c>
      <c r="BU4830" s="106">
        <v>130.41999999999999</v>
      </c>
      <c r="CA4830" s="106">
        <v>102.645</v>
      </c>
      <c r="CS4830" s="74">
        <v>100.495</v>
      </c>
      <c r="DU4830" s="106">
        <v>95.805000000000007</v>
      </c>
      <c r="EA4830" s="74">
        <v>99.174999999999997</v>
      </c>
      <c r="EG4830" s="74">
        <v>95.004999999999995</v>
      </c>
    </row>
    <row r="4831" spans="1:214" x14ac:dyDescent="0.25">
      <c r="A4831" s="127">
        <v>45618</v>
      </c>
      <c r="B4831" s="24" t="s">
        <v>113</v>
      </c>
      <c r="C4831" s="21">
        <f t="shared" si="79"/>
        <v>112</v>
      </c>
      <c r="EG4831" s="74">
        <v>112</v>
      </c>
    </row>
    <row r="4832" spans="1:214" x14ac:dyDescent="0.25">
      <c r="A4832" s="127">
        <v>45618</v>
      </c>
      <c r="B4832" s="24" t="s">
        <v>68</v>
      </c>
      <c r="C4832" s="21">
        <f t="shared" si="79"/>
        <v>-32.805</v>
      </c>
      <c r="BO4832" s="106">
        <v>-32.805</v>
      </c>
    </row>
    <row r="4833" spans="1:137" x14ac:dyDescent="0.25">
      <c r="A4833" s="127">
        <v>45618</v>
      </c>
      <c r="B4833" s="24" t="s">
        <v>193</v>
      </c>
      <c r="C4833" s="21">
        <f t="shared" si="79"/>
        <v>-16.734999999999999</v>
      </c>
      <c r="BU4833" s="106">
        <v>-8.1050000000000004</v>
      </c>
      <c r="CA4833" s="106">
        <v>-8.6300000000000008</v>
      </c>
    </row>
    <row r="4834" spans="1:137" x14ac:dyDescent="0.25">
      <c r="A4834" s="127">
        <v>45618</v>
      </c>
      <c r="B4834" s="24" t="s">
        <v>184</v>
      </c>
      <c r="C4834" s="21">
        <f t="shared" si="79"/>
        <v>-79.180000000000007</v>
      </c>
      <c r="BC4834" s="106">
        <v>-15.42</v>
      </c>
      <c r="BI4834" s="106">
        <v>-15.715</v>
      </c>
      <c r="BO4834" s="106">
        <v>-23.54</v>
      </c>
      <c r="CG4834" s="106">
        <v>-16.21</v>
      </c>
      <c r="CS4834" s="74">
        <v>-8.2949999999999999</v>
      </c>
    </row>
    <row r="4835" spans="1:137" x14ac:dyDescent="0.25">
      <c r="A4835" s="127">
        <v>45618</v>
      </c>
      <c r="B4835" s="24" t="s">
        <v>33</v>
      </c>
      <c r="C4835" s="21">
        <f t="shared" si="79"/>
        <v>-24.38</v>
      </c>
      <c r="BC4835" s="106">
        <v>-8.09</v>
      </c>
      <c r="BO4835" s="106">
        <v>-8.1050000000000004</v>
      </c>
      <c r="BU4835" s="106">
        <v>-8.1850000000000005</v>
      </c>
    </row>
    <row r="4836" spans="1:137" x14ac:dyDescent="0.25">
      <c r="A4836" s="127">
        <v>45618</v>
      </c>
      <c r="B4836" s="24" t="s">
        <v>184</v>
      </c>
      <c r="C4836" s="21">
        <f t="shared" si="79"/>
        <v>-80.025000000000006</v>
      </c>
      <c r="EG4836" s="74">
        <v>-80.025000000000006</v>
      </c>
    </row>
    <row r="4837" spans="1:137" x14ac:dyDescent="0.25">
      <c r="A4837" s="127">
        <v>45618</v>
      </c>
      <c r="B4837" s="24" t="s">
        <v>184</v>
      </c>
      <c r="C4837" s="21">
        <f t="shared" si="79"/>
        <v>-550.38</v>
      </c>
      <c r="AN4837" s="106">
        <v>-17.504999999999999</v>
      </c>
      <c r="AR4837" s="106">
        <v>-16.754999999999999</v>
      </c>
      <c r="AW4837" s="106">
        <v>-32.520000000000003</v>
      </c>
      <c r="BC4837" s="106">
        <v>-63.75</v>
      </c>
      <c r="BI4837" s="106">
        <v>-31.37</v>
      </c>
      <c r="BO4837" s="106">
        <v>-32.06</v>
      </c>
      <c r="BU4837" s="106">
        <v>-32.344999999999999</v>
      </c>
      <c r="CA4837" s="106">
        <v>-34.21</v>
      </c>
      <c r="CM4837" s="106">
        <v>-32.384999999999998</v>
      </c>
      <c r="DK4837" s="106">
        <v>-33.119999999999997</v>
      </c>
      <c r="DP4837" s="74">
        <v>-32.534999999999997</v>
      </c>
      <c r="DU4837" s="106">
        <v>-63.805</v>
      </c>
      <c r="EA4837" s="74">
        <v>-33.015000000000001</v>
      </c>
      <c r="EG4837" s="74">
        <v>-95.004999999999995</v>
      </c>
    </row>
    <row r="4838" spans="1:137" x14ac:dyDescent="0.25">
      <c r="A4838" s="127">
        <v>45618</v>
      </c>
      <c r="B4838" s="24" t="s">
        <v>17</v>
      </c>
      <c r="C4838" s="21">
        <f t="shared" si="79"/>
        <v>-65.614999999999995</v>
      </c>
      <c r="AW4838" s="106">
        <v>-8.11</v>
      </c>
      <c r="BC4838" s="106">
        <v>-8.09</v>
      </c>
      <c r="BI4838" s="106">
        <v>-7.55</v>
      </c>
      <c r="BO4838" s="106">
        <v>-8.1850000000000005</v>
      </c>
      <c r="BU4838" s="106">
        <v>-16.805</v>
      </c>
      <c r="CA4838" s="106">
        <v>-8.5299999999999994</v>
      </c>
      <c r="CG4838" s="106">
        <v>-8.3450000000000006</v>
      </c>
    </row>
    <row r="4839" spans="1:137" x14ac:dyDescent="0.25">
      <c r="A4839" s="127">
        <v>45618</v>
      </c>
      <c r="B4839" s="24" t="s">
        <v>213</v>
      </c>
      <c r="C4839" s="21">
        <f t="shared" si="79"/>
        <v>-193.565</v>
      </c>
      <c r="AR4839" s="106">
        <v>-16.239999999999998</v>
      </c>
      <c r="BC4839" s="106">
        <v>-16.260000000000002</v>
      </c>
      <c r="BI4839" s="106">
        <v>-31.4</v>
      </c>
      <c r="BO4839" s="106">
        <v>-29.87</v>
      </c>
      <c r="BU4839" s="106">
        <v>-32.479999999999997</v>
      </c>
      <c r="CA4839" s="106">
        <v>-34.195</v>
      </c>
      <c r="CG4839" s="106">
        <v>-16.734999999999999</v>
      </c>
      <c r="CM4839" s="106">
        <v>-16.385000000000002</v>
      </c>
    </row>
    <row r="4840" spans="1:137" x14ac:dyDescent="0.25">
      <c r="A4840" s="127">
        <v>45618</v>
      </c>
      <c r="B4840" s="24" t="s">
        <v>203</v>
      </c>
      <c r="C4840" s="21">
        <f t="shared" si="79"/>
        <v>-112.19</v>
      </c>
      <c r="AN4840" s="106">
        <v>-25.715</v>
      </c>
      <c r="AR4840" s="106">
        <v>-24.31</v>
      </c>
      <c r="AW4840" s="106">
        <v>-16.215</v>
      </c>
      <c r="BC4840" s="106">
        <v>-13.975</v>
      </c>
      <c r="EG4840" s="74">
        <v>-31.975000000000001</v>
      </c>
    </row>
    <row r="4841" spans="1:137" x14ac:dyDescent="0.25">
      <c r="A4841" s="127">
        <v>45619</v>
      </c>
      <c r="B4841" s="24" t="s">
        <v>139</v>
      </c>
      <c r="C4841" s="21">
        <f t="shared" si="79"/>
        <v>-24.92</v>
      </c>
      <c r="P4841" s="106">
        <v>-8.35</v>
      </c>
      <c r="Z4841" s="79">
        <v>-8.48</v>
      </c>
      <c r="CG4841" s="106">
        <v>-8.09</v>
      </c>
    </row>
    <row r="4842" spans="1:137" x14ac:dyDescent="0.25">
      <c r="A4842" s="127">
        <v>45619</v>
      </c>
      <c r="B4842" s="24" t="s">
        <v>20</v>
      </c>
      <c r="C4842" s="21">
        <f t="shared" si="79"/>
        <v>-17.425000000000001</v>
      </c>
      <c r="BO4842" s="106">
        <v>-8.8699999999999992</v>
      </c>
      <c r="CA4842" s="106">
        <v>-8.5549999999999997</v>
      </c>
    </row>
    <row r="4843" spans="1:137" x14ac:dyDescent="0.25">
      <c r="A4843" s="127">
        <v>45619</v>
      </c>
      <c r="B4843" s="24" t="s">
        <v>213</v>
      </c>
      <c r="C4843" s="21">
        <f t="shared" si="79"/>
        <v>-16.16</v>
      </c>
      <c r="BO4843" s="106">
        <v>-8.01</v>
      </c>
      <c r="BU4843" s="106">
        <v>-8.15</v>
      </c>
    </row>
    <row r="4844" spans="1:137" x14ac:dyDescent="0.25">
      <c r="A4844" s="127">
        <v>45619</v>
      </c>
      <c r="B4844" s="24" t="s">
        <v>212</v>
      </c>
      <c r="C4844" s="21">
        <f t="shared" si="79"/>
        <v>-89.31</v>
      </c>
      <c r="AW4844" s="106">
        <v>-7.92</v>
      </c>
      <c r="BC4844" s="106">
        <v>-7.8449999999999998</v>
      </c>
      <c r="BO4844" s="106">
        <v>-8.1449999999999996</v>
      </c>
      <c r="BU4844" s="106">
        <v>-24.35</v>
      </c>
      <c r="CA4844" s="106">
        <v>-8.5250000000000004</v>
      </c>
      <c r="CG4844" s="106">
        <v>-7.9</v>
      </c>
      <c r="CM4844" s="106">
        <v>-16.32</v>
      </c>
      <c r="CS4844" s="74">
        <v>-8.3049999999999997</v>
      </c>
    </row>
    <row r="4845" spans="1:137" x14ac:dyDescent="0.25">
      <c r="A4845" s="127">
        <v>45619</v>
      </c>
      <c r="B4845" s="24" t="s">
        <v>203</v>
      </c>
      <c r="C4845" s="21">
        <f t="shared" si="79"/>
        <v>-8.5350000000000001</v>
      </c>
      <c r="P4845" s="106">
        <v>-8.5350000000000001</v>
      </c>
    </row>
    <row r="4846" spans="1:137" x14ac:dyDescent="0.25">
      <c r="A4846" s="127">
        <v>45621</v>
      </c>
      <c r="B4846" s="24" t="s">
        <v>184</v>
      </c>
      <c r="C4846" s="21">
        <f t="shared" si="79"/>
        <v>-16.14</v>
      </c>
      <c r="AN4846" s="106">
        <v>-8.0649999999999995</v>
      </c>
      <c r="BI4846" s="106">
        <v>-8.0749999999999993</v>
      </c>
    </row>
    <row r="4847" spans="1:137" x14ac:dyDescent="0.25">
      <c r="A4847" s="127">
        <v>45621</v>
      </c>
      <c r="B4847" s="24" t="s">
        <v>83</v>
      </c>
      <c r="C4847" s="21">
        <f t="shared" si="79"/>
        <v>-1.35</v>
      </c>
      <c r="P4847" s="106">
        <v>-1.35</v>
      </c>
    </row>
    <row r="4848" spans="1:137" x14ac:dyDescent="0.25">
      <c r="A4848" s="127">
        <v>45622</v>
      </c>
      <c r="B4848" s="24" t="s">
        <v>138</v>
      </c>
      <c r="C4848" s="21">
        <f t="shared" si="79"/>
        <v>-15.404999999999999</v>
      </c>
      <c r="BO4848" s="106">
        <f>-7.94-7.465</f>
        <v>-15.404999999999999</v>
      </c>
    </row>
    <row r="4849" spans="1:221" x14ac:dyDescent="0.25">
      <c r="A4849" s="127">
        <v>45622</v>
      </c>
      <c r="B4849" s="24" t="s">
        <v>197</v>
      </c>
      <c r="C4849" s="21">
        <f t="shared" ref="C4849:C4912" si="80">SUM(D4849:JT4849)</f>
        <v>-41.5</v>
      </c>
      <c r="AW4849" s="106">
        <v>-8.0749999999999993</v>
      </c>
      <c r="BC4849" s="106">
        <v>-8.0649999999999995</v>
      </c>
      <c r="BO4849" s="106">
        <v>-8.5500000000000007</v>
      </c>
      <c r="CG4849" s="106">
        <v>-16.809999999999999</v>
      </c>
    </row>
    <row r="4850" spans="1:221" x14ac:dyDescent="0.25">
      <c r="A4850" s="127">
        <v>45624</v>
      </c>
      <c r="B4850" s="24" t="s">
        <v>50</v>
      </c>
      <c r="C4850" s="21">
        <f t="shared" si="80"/>
        <v>-126.35</v>
      </c>
      <c r="DY4850" s="42">
        <v>-8.16</v>
      </c>
      <c r="EC4850" s="126">
        <f>-8.24-10.15</f>
        <v>-18.39</v>
      </c>
      <c r="EM4850" s="150">
        <v>-17.190000000000001</v>
      </c>
      <c r="EU4850" s="126">
        <v>-7.94</v>
      </c>
      <c r="HD4850" s="92">
        <v>-74.67</v>
      </c>
    </row>
    <row r="4851" spans="1:221" x14ac:dyDescent="0.25">
      <c r="A4851" s="127">
        <v>45624</v>
      </c>
      <c r="B4851" s="24" t="s">
        <v>113</v>
      </c>
      <c r="C4851" s="21">
        <f t="shared" si="80"/>
        <v>941.67499999999995</v>
      </c>
      <c r="BC4851" s="106">
        <v>221.4</v>
      </c>
      <c r="BI4851" s="106">
        <v>113.325</v>
      </c>
      <c r="BO4851" s="106">
        <v>135.19999999999999</v>
      </c>
      <c r="BU4851" s="106">
        <v>130.99</v>
      </c>
      <c r="CA4851" s="106">
        <v>68.010000000000005</v>
      </c>
      <c r="CM4851" s="106">
        <v>99.32</v>
      </c>
      <c r="CY4851" s="106">
        <v>67.605000000000004</v>
      </c>
      <c r="DU4851" s="106">
        <v>105.825</v>
      </c>
    </row>
    <row r="4852" spans="1:221" x14ac:dyDescent="0.25">
      <c r="A4852" s="127">
        <v>45624</v>
      </c>
      <c r="B4852" s="24" t="s">
        <v>152</v>
      </c>
      <c r="C4852" s="21">
        <f t="shared" si="80"/>
        <v>-688.35</v>
      </c>
      <c r="BI4852" s="106">
        <v>-32.454999999999998</v>
      </c>
      <c r="BO4852" s="106">
        <v>-33.82</v>
      </c>
      <c r="CM4852" s="106">
        <v>-33.869999999999997</v>
      </c>
      <c r="CS4852" s="74">
        <v>-33.765000000000001</v>
      </c>
      <c r="CY4852" s="106">
        <v>-68.34</v>
      </c>
      <c r="DE4852" s="74">
        <v>-67.02</v>
      </c>
      <c r="DK4852" s="106">
        <v>-96.58</v>
      </c>
      <c r="DP4852" s="74">
        <v>-65.155000000000001</v>
      </c>
      <c r="DU4852" s="106">
        <v>-101.98</v>
      </c>
      <c r="EA4852" s="74">
        <v>-66.16</v>
      </c>
      <c r="EM4852" s="150">
        <v>-25.41</v>
      </c>
      <c r="HM4852" s="106">
        <v>-63.795000000000002</v>
      </c>
    </row>
    <row r="4853" spans="1:221" x14ac:dyDescent="0.25">
      <c r="A4853" s="127">
        <v>45625</v>
      </c>
      <c r="B4853" s="24" t="s">
        <v>184</v>
      </c>
      <c r="C4853" s="21">
        <f t="shared" si="80"/>
        <v>-293.92</v>
      </c>
      <c r="AW4853" s="106">
        <v>-48.73</v>
      </c>
      <c r="BC4853" s="106">
        <v>-48.03</v>
      </c>
      <c r="BI4853" s="106">
        <v>-48.594999999999999</v>
      </c>
      <c r="BO4853" s="106">
        <v>-50.73</v>
      </c>
      <c r="BU4853" s="106">
        <v>-49.155000000000001</v>
      </c>
      <c r="CM4853" s="106">
        <v>-48.68</v>
      </c>
    </row>
    <row r="4854" spans="1:221" x14ac:dyDescent="0.25">
      <c r="A4854" s="127">
        <v>45625</v>
      </c>
      <c r="B4854" s="24" t="s">
        <v>20</v>
      </c>
      <c r="C4854" s="21">
        <f t="shared" si="80"/>
        <v>-16.61</v>
      </c>
      <c r="AG4854" s="106">
        <v>-8.5399999999999991</v>
      </c>
      <c r="AW4854" s="106">
        <v>-8.07</v>
      </c>
    </row>
    <row r="4855" spans="1:221" x14ac:dyDescent="0.25">
      <c r="A4855" s="127">
        <v>45625</v>
      </c>
      <c r="B4855" s="24" t="s">
        <v>138</v>
      </c>
      <c r="C4855" s="21">
        <f t="shared" si="80"/>
        <v>-57.34</v>
      </c>
      <c r="BO4855" s="106">
        <v>-25</v>
      </c>
      <c r="DE4855" s="74">
        <v>-32.340000000000003</v>
      </c>
    </row>
    <row r="4856" spans="1:221" x14ac:dyDescent="0.25">
      <c r="A4856" s="127">
        <v>45625</v>
      </c>
      <c r="B4856" s="24" t="s">
        <v>197</v>
      </c>
      <c r="C4856" s="21">
        <f t="shared" si="80"/>
        <v>-33.42</v>
      </c>
      <c r="BU4856" s="106">
        <v>-16.405000000000001</v>
      </c>
      <c r="CA4856" s="106">
        <v>-17.015000000000001</v>
      </c>
    </row>
    <row r="4857" spans="1:221" x14ac:dyDescent="0.25">
      <c r="A4857" s="127">
        <v>45625</v>
      </c>
      <c r="B4857" s="24" t="s">
        <v>192</v>
      </c>
      <c r="C4857" s="21">
        <f t="shared" si="80"/>
        <v>-8.375</v>
      </c>
      <c r="Z4857" s="79">
        <v>-8.375</v>
      </c>
    </row>
    <row r="4858" spans="1:221" x14ac:dyDescent="0.25">
      <c r="A4858" s="127">
        <v>45625</v>
      </c>
      <c r="B4858" s="24" t="s">
        <v>184</v>
      </c>
      <c r="C4858" s="21">
        <f t="shared" si="80"/>
        <v>-45.95</v>
      </c>
      <c r="Z4858" s="79">
        <v>-4.79</v>
      </c>
      <c r="BC4858" s="106">
        <v>-16.135000000000002</v>
      </c>
      <c r="BI4858" s="106">
        <v>-8.0749999999999993</v>
      </c>
      <c r="CA4858" s="106">
        <v>-16.95</v>
      </c>
    </row>
    <row r="4859" spans="1:221" x14ac:dyDescent="0.25">
      <c r="A4859" s="127">
        <v>45625</v>
      </c>
      <c r="B4859" s="24" t="s">
        <v>184</v>
      </c>
      <c r="C4859" s="21">
        <f t="shared" si="80"/>
        <v>-17.055</v>
      </c>
      <c r="CA4859" s="106">
        <v>-17.055</v>
      </c>
    </row>
    <row r="4860" spans="1:221" x14ac:dyDescent="0.25">
      <c r="A4860" s="127">
        <v>45625</v>
      </c>
      <c r="B4860" s="24" t="s">
        <v>213</v>
      </c>
      <c r="C4860" s="21">
        <f t="shared" si="80"/>
        <v>-131.44499999999999</v>
      </c>
      <c r="AN4860" s="106">
        <v>-8.1199999999999992</v>
      </c>
      <c r="AR4860" s="106">
        <v>-8.48</v>
      </c>
      <c r="BC4860" s="106">
        <f>-8.085-7.885</f>
        <v>-15.97</v>
      </c>
      <c r="BI4860" s="106">
        <v>-32.405000000000001</v>
      </c>
      <c r="BO4860" s="106">
        <v>-33.765000000000001</v>
      </c>
      <c r="BU4860" s="106">
        <v>-32.704999999999998</v>
      </c>
    </row>
    <row r="4861" spans="1:221" x14ac:dyDescent="0.25">
      <c r="A4861" s="127">
        <v>45626</v>
      </c>
      <c r="B4861" s="24" t="s">
        <v>197</v>
      </c>
      <c r="C4861" s="21">
        <f t="shared" si="80"/>
        <v>-92.754999999999995</v>
      </c>
      <c r="DP4861" s="74">
        <v>-56.91</v>
      </c>
      <c r="DU4861" s="106">
        <v>-35.844999999999999</v>
      </c>
    </row>
    <row r="4862" spans="1:221" x14ac:dyDescent="0.25">
      <c r="A4862" s="127">
        <v>45626</v>
      </c>
      <c r="B4862" s="24" t="s">
        <v>139</v>
      </c>
      <c r="C4862" s="21">
        <f t="shared" si="80"/>
        <v>-8.35</v>
      </c>
      <c r="CG4862" s="106">
        <v>-8.35</v>
      </c>
    </row>
    <row r="4863" spans="1:221" x14ac:dyDescent="0.25">
      <c r="A4863" s="127">
        <v>45626</v>
      </c>
      <c r="B4863" s="24" t="s">
        <v>127</v>
      </c>
      <c r="C4863" s="21">
        <f t="shared" si="80"/>
        <v>-7.8849999999999998</v>
      </c>
      <c r="BI4863" s="106">
        <v>-7.8849999999999998</v>
      </c>
    </row>
    <row r="4864" spans="1:221" x14ac:dyDescent="0.25">
      <c r="A4864" s="127">
        <v>45626</v>
      </c>
      <c r="B4864" s="24" t="s">
        <v>171</v>
      </c>
      <c r="C4864" s="21">
        <f t="shared" si="80"/>
        <v>-42.47</v>
      </c>
      <c r="FZ4864" s="115">
        <v>-42.47</v>
      </c>
    </row>
    <row r="4865" spans="1:235" x14ac:dyDescent="0.25">
      <c r="A4865" s="127">
        <v>45628</v>
      </c>
      <c r="B4865" s="24" t="s">
        <v>192</v>
      </c>
      <c r="C4865" s="21">
        <f t="shared" si="80"/>
        <v>-16.745000000000001</v>
      </c>
      <c r="CA4865" s="106">
        <v>-8.49</v>
      </c>
      <c r="CM4865" s="106">
        <v>-8.2550000000000008</v>
      </c>
    </row>
    <row r="4866" spans="1:235" x14ac:dyDescent="0.25">
      <c r="A4866" s="127">
        <v>45629</v>
      </c>
      <c r="B4866" s="24" t="s">
        <v>138</v>
      </c>
      <c r="C4866" s="21">
        <f t="shared" si="80"/>
        <v>-8.0950000000000006</v>
      </c>
      <c r="AR4866" s="106">
        <v>-8.0950000000000006</v>
      </c>
    </row>
    <row r="4867" spans="1:235" x14ac:dyDescent="0.25">
      <c r="A4867" s="127">
        <v>45629</v>
      </c>
      <c r="B4867" s="24" t="s">
        <v>48</v>
      </c>
      <c r="C4867" s="21">
        <f t="shared" si="80"/>
        <v>-149.04</v>
      </c>
      <c r="BC4867" s="106">
        <v>-64.564999999999998</v>
      </c>
      <c r="CS4867" s="74">
        <v>-33.770000000000003</v>
      </c>
      <c r="CY4867" s="106">
        <v>-50.704999999999998</v>
      </c>
    </row>
    <row r="4868" spans="1:235" x14ac:dyDescent="0.25">
      <c r="A4868" s="127">
        <v>45629</v>
      </c>
      <c r="B4868" s="24" t="s">
        <v>75</v>
      </c>
      <c r="C4868" s="21">
        <f t="shared" si="80"/>
        <v>-8.0500000000000007</v>
      </c>
      <c r="BI4868" s="106">
        <v>-8.0500000000000007</v>
      </c>
    </row>
    <row r="4869" spans="1:235" x14ac:dyDescent="0.25">
      <c r="A4869" s="127">
        <v>45629</v>
      </c>
      <c r="B4869" s="24" t="s">
        <v>139</v>
      </c>
      <c r="C4869" s="21">
        <f t="shared" si="80"/>
        <v>-8.5</v>
      </c>
      <c r="CA4869" s="106">
        <v>-8.5</v>
      </c>
    </row>
    <row r="4870" spans="1:235" x14ac:dyDescent="0.25">
      <c r="A4870" s="127">
        <v>45629</v>
      </c>
      <c r="B4870" s="24" t="s">
        <v>20</v>
      </c>
      <c r="C4870" s="21">
        <f t="shared" si="80"/>
        <v>-16.309999999999999</v>
      </c>
      <c r="BC4870" s="106">
        <v>-8.1549999999999994</v>
      </c>
      <c r="BI4870" s="106">
        <v>-8.1549999999999994</v>
      </c>
    </row>
    <row r="4871" spans="1:235" x14ac:dyDescent="0.25">
      <c r="A4871" s="127">
        <v>45629</v>
      </c>
      <c r="B4871" s="24" t="s">
        <v>12</v>
      </c>
      <c r="C4871" s="21">
        <f t="shared" si="80"/>
        <v>-33.344999999999999</v>
      </c>
      <c r="AR4871" s="106">
        <f>-8.485-8.09</f>
        <v>-16.574999999999999</v>
      </c>
      <c r="CM4871" s="106">
        <f>-8.45-8.32</f>
        <v>-16.77</v>
      </c>
    </row>
    <row r="4872" spans="1:235" x14ac:dyDescent="0.25">
      <c r="A4872" s="127">
        <v>45629</v>
      </c>
      <c r="B4872" s="24" t="s">
        <v>64</v>
      </c>
      <c r="C4872" s="21">
        <f t="shared" si="80"/>
        <v>-170.06</v>
      </c>
      <c r="L4872" s="69">
        <v>-197.48</v>
      </c>
      <c r="M4872" s="92">
        <v>27.42</v>
      </c>
    </row>
    <row r="4873" spans="1:235" x14ac:dyDescent="0.25">
      <c r="A4873" s="127">
        <v>45630</v>
      </c>
      <c r="B4873" s="24" t="s">
        <v>50</v>
      </c>
      <c r="C4873" s="21">
        <f t="shared" si="80"/>
        <v>-133.47</v>
      </c>
      <c r="GZ4873" s="106">
        <v>-133.47</v>
      </c>
    </row>
    <row r="4874" spans="1:235" x14ac:dyDescent="0.25">
      <c r="A4874" s="127">
        <v>45630</v>
      </c>
      <c r="B4874" s="24" t="s">
        <v>204</v>
      </c>
      <c r="C4874" s="21">
        <f t="shared" si="80"/>
        <v>-8.1999999999999993</v>
      </c>
      <c r="CM4874" s="106">
        <v>-8.1999999999999993</v>
      </c>
    </row>
    <row r="4875" spans="1:235" x14ac:dyDescent="0.25">
      <c r="A4875" s="127">
        <v>45630</v>
      </c>
      <c r="B4875" s="24" t="s">
        <v>64</v>
      </c>
      <c r="C4875" s="21">
        <f t="shared" si="80"/>
        <v>166.5</v>
      </c>
      <c r="IA4875" s="79">
        <v>166.5</v>
      </c>
    </row>
    <row r="4876" spans="1:235" x14ac:dyDescent="0.25">
      <c r="A4876" s="127">
        <v>45631</v>
      </c>
      <c r="B4876" s="24" t="s">
        <v>171</v>
      </c>
      <c r="C4876" s="21">
        <f t="shared" si="80"/>
        <v>-16.329999999999998</v>
      </c>
      <c r="CM4876" s="106">
        <f>-8.155-8.175</f>
        <v>-16.329999999999998</v>
      </c>
    </row>
    <row r="4877" spans="1:235" x14ac:dyDescent="0.25">
      <c r="A4877" s="127">
        <v>45632</v>
      </c>
      <c r="B4877" s="24" t="s">
        <v>79</v>
      </c>
      <c r="C4877" s="21">
        <f t="shared" si="80"/>
        <v>-7.835</v>
      </c>
      <c r="BI4877" s="106">
        <v>-7.835</v>
      </c>
    </row>
    <row r="4878" spans="1:235" x14ac:dyDescent="0.25">
      <c r="A4878" s="127">
        <v>45632</v>
      </c>
      <c r="B4878" s="24" t="s">
        <v>33</v>
      </c>
      <c r="C4878" s="21">
        <f t="shared" si="80"/>
        <v>-8.1649999999999991</v>
      </c>
      <c r="BU4878" s="106">
        <v>-8.1649999999999991</v>
      </c>
    </row>
    <row r="4879" spans="1:235" x14ac:dyDescent="0.25">
      <c r="A4879" s="127">
        <v>45632</v>
      </c>
      <c r="B4879" s="24" t="s">
        <v>115</v>
      </c>
      <c r="C4879" s="21">
        <f t="shared" si="80"/>
        <v>106.41500000000001</v>
      </c>
      <c r="D4879" s="386">
        <v>32.954999999999998</v>
      </c>
      <c r="E4879" s="386">
        <v>73.459999999999994</v>
      </c>
    </row>
    <row r="4880" spans="1:235" x14ac:dyDescent="0.25">
      <c r="A4880" s="127">
        <v>45633</v>
      </c>
      <c r="B4880" s="24" t="s">
        <v>213</v>
      </c>
      <c r="C4880" s="21">
        <f t="shared" si="80"/>
        <v>-33.97</v>
      </c>
      <c r="CM4880" s="106">
        <v>-8.1999999999999993</v>
      </c>
      <c r="CY4880" s="106">
        <v>-25.77</v>
      </c>
    </row>
    <row r="4881" spans="1:256" x14ac:dyDescent="0.25">
      <c r="A4881" s="127">
        <v>45633</v>
      </c>
      <c r="B4881" s="24" t="s">
        <v>188</v>
      </c>
      <c r="C4881" s="21">
        <f t="shared" si="80"/>
        <v>-24.08</v>
      </c>
      <c r="AW4881" s="106">
        <v>-7.82</v>
      </c>
      <c r="BI4881" s="106">
        <v>-8.0950000000000006</v>
      </c>
      <c r="BU4881" s="106">
        <v>-8.1649999999999991</v>
      </c>
    </row>
    <row r="4882" spans="1:256" x14ac:dyDescent="0.25">
      <c r="A4882" s="127">
        <v>45635</v>
      </c>
      <c r="B4882" s="24" t="s">
        <v>171</v>
      </c>
      <c r="C4882" s="21">
        <f t="shared" si="80"/>
        <v>-16.295000000000002</v>
      </c>
      <c r="CG4882" s="106">
        <v>-8.1300000000000008</v>
      </c>
      <c r="CM4882" s="106">
        <v>-8.1649999999999991</v>
      </c>
    </row>
    <row r="4883" spans="1:256" x14ac:dyDescent="0.25">
      <c r="A4883" s="127">
        <v>45635</v>
      </c>
      <c r="B4883" s="24" t="s">
        <v>202</v>
      </c>
      <c r="C4883" s="21">
        <f t="shared" si="80"/>
        <v>-36.82</v>
      </c>
      <c r="E4883" s="386">
        <v>-36.82</v>
      </c>
    </row>
    <row r="4884" spans="1:256" x14ac:dyDescent="0.25">
      <c r="A4884" s="127">
        <v>45635</v>
      </c>
      <c r="B4884" s="24" t="s">
        <v>169</v>
      </c>
      <c r="C4884" s="21">
        <f t="shared" si="80"/>
        <v>-36.64</v>
      </c>
      <c r="E4884" s="386">
        <v>-36.64</v>
      </c>
    </row>
    <row r="4885" spans="1:256" x14ac:dyDescent="0.25">
      <c r="A4885" s="127">
        <v>45636</v>
      </c>
      <c r="B4885" s="24" t="s">
        <v>20</v>
      </c>
      <c r="C4885" s="21">
        <f t="shared" si="80"/>
        <v>-16.07</v>
      </c>
      <c r="V4885" s="74">
        <v>-8.01</v>
      </c>
      <c r="CY4885" s="106">
        <v>-8.06</v>
      </c>
    </row>
    <row r="4886" spans="1:256" x14ac:dyDescent="0.25">
      <c r="A4886" s="127">
        <v>45636</v>
      </c>
      <c r="B4886" s="24" t="s">
        <v>212</v>
      </c>
      <c r="C4886" s="21">
        <f t="shared" si="80"/>
        <v>-9.35</v>
      </c>
      <c r="P4886" s="106">
        <v>-9.35</v>
      </c>
    </row>
    <row r="4887" spans="1:256" x14ac:dyDescent="0.25">
      <c r="A4887" s="127">
        <v>45636</v>
      </c>
      <c r="B4887" s="24" t="s">
        <v>134</v>
      </c>
      <c r="C4887" s="21">
        <f t="shared" si="80"/>
        <v>-40.729999999999997</v>
      </c>
      <c r="D4887" s="386">
        <v>-24.14</v>
      </c>
      <c r="F4887" s="145">
        <v>-16.59</v>
      </c>
    </row>
    <row r="4888" spans="1:256" x14ac:dyDescent="0.25">
      <c r="A4888" s="127">
        <v>45636</v>
      </c>
      <c r="B4888" s="24" t="s">
        <v>113</v>
      </c>
      <c r="C4888" s="21">
        <f t="shared" si="80"/>
        <v>518.68499999999995</v>
      </c>
      <c r="BC4888" s="106">
        <v>30.905000000000001</v>
      </c>
      <c r="BO4888" s="106">
        <v>34.83</v>
      </c>
      <c r="BU4888" s="106">
        <v>128.44999999999999</v>
      </c>
      <c r="CA4888" s="106">
        <v>129.6</v>
      </c>
      <c r="CG4888" s="106">
        <v>66.290000000000006</v>
      </c>
      <c r="EA4888" s="74">
        <v>128.61000000000001</v>
      </c>
    </row>
    <row r="4889" spans="1:256" x14ac:dyDescent="0.25">
      <c r="A4889" s="127">
        <v>45636</v>
      </c>
      <c r="B4889" s="24" t="s">
        <v>113</v>
      </c>
      <c r="C4889" s="21">
        <f t="shared" si="80"/>
        <v>1147.0450000000001</v>
      </c>
      <c r="V4889" s="74">
        <v>29.704999999999998</v>
      </c>
      <c r="Z4889" s="79">
        <v>33.119999999999997</v>
      </c>
      <c r="AC4889" s="106">
        <v>34.42</v>
      </c>
      <c r="AG4889" s="106">
        <v>33.695</v>
      </c>
      <c r="AN4889" s="106">
        <v>34.034999999999997</v>
      </c>
      <c r="AW4889" s="106">
        <v>97.28</v>
      </c>
      <c r="BI4889" s="106">
        <v>94.2</v>
      </c>
      <c r="BO4889" s="106">
        <v>97.55</v>
      </c>
      <c r="CG4889" s="106">
        <v>61.524999999999999</v>
      </c>
      <c r="CM4889" s="106">
        <v>97.504999999999995</v>
      </c>
      <c r="CS4889" s="74">
        <v>83.65</v>
      </c>
      <c r="CY4889" s="106">
        <v>64.394999999999996</v>
      </c>
      <c r="DE4889" s="74">
        <v>97.1</v>
      </c>
      <c r="DK4889" s="106">
        <v>66.56</v>
      </c>
      <c r="DP4889" s="74">
        <v>65.105000000000004</v>
      </c>
      <c r="DU4889" s="106">
        <v>125.33499999999999</v>
      </c>
      <c r="EG4889" s="74">
        <v>31.864999999999998</v>
      </c>
    </row>
    <row r="4890" spans="1:256" x14ac:dyDescent="0.25">
      <c r="A4890" s="127">
        <v>45636</v>
      </c>
      <c r="B4890" s="24" t="s">
        <v>152</v>
      </c>
      <c r="C4890" s="21">
        <f t="shared" si="80"/>
        <v>-961.91</v>
      </c>
      <c r="BC4890" s="106">
        <v>-63.164999999999999</v>
      </c>
      <c r="BI4890" s="106">
        <v>-62.865000000000002</v>
      </c>
      <c r="BO4890" s="106">
        <v>-99.88</v>
      </c>
      <c r="BU4890" s="106">
        <v>-95.39</v>
      </c>
      <c r="CA4890" s="106">
        <v>-95.224999999999994</v>
      </c>
      <c r="CG4890" s="106">
        <v>-127.815</v>
      </c>
      <c r="CM4890" s="106">
        <v>-33.005000000000003</v>
      </c>
      <c r="CY4890" s="106">
        <v>-32.450000000000003</v>
      </c>
      <c r="DE4890" s="74">
        <v>-64.290000000000006</v>
      </c>
      <c r="DP4890" s="74">
        <v>-96.99</v>
      </c>
      <c r="DU4890" s="106">
        <v>-62.225000000000001</v>
      </c>
      <c r="EA4890" s="74">
        <v>-128.61000000000001</v>
      </c>
    </row>
    <row r="4891" spans="1:256" x14ac:dyDescent="0.25">
      <c r="A4891" s="127">
        <v>45636</v>
      </c>
      <c r="B4891" s="24" t="s">
        <v>79</v>
      </c>
      <c r="C4891" s="21">
        <f t="shared" si="80"/>
        <v>-16.215</v>
      </c>
      <c r="BO4891" s="106">
        <f>-8.1-8.115</f>
        <v>-16.215</v>
      </c>
    </row>
    <row r="4892" spans="1:256" x14ac:dyDescent="0.25">
      <c r="A4892" s="127">
        <v>45637</v>
      </c>
      <c r="B4892" s="24" t="s">
        <v>213</v>
      </c>
      <c r="C4892" s="21">
        <f t="shared" si="80"/>
        <v>-67.275000000000006</v>
      </c>
      <c r="BC4892" s="106">
        <v>-8.11</v>
      </c>
      <c r="BO4892" s="106">
        <v>-8.16</v>
      </c>
      <c r="CA4892" s="106">
        <v>-34.375</v>
      </c>
      <c r="CF4892" s="69">
        <v>-8.4649999999999999</v>
      </c>
      <c r="CG4892" s="106">
        <v>-8.1649999999999991</v>
      </c>
    </row>
    <row r="4893" spans="1:256" x14ac:dyDescent="0.25">
      <c r="A4893" s="127">
        <v>45637</v>
      </c>
      <c r="B4893" s="24" t="s">
        <v>115</v>
      </c>
      <c r="C4893" s="21">
        <f t="shared" si="80"/>
        <v>73.435000000000002</v>
      </c>
      <c r="E4893" s="386">
        <v>73.435000000000002</v>
      </c>
    </row>
    <row r="4894" spans="1:256" x14ac:dyDescent="0.25">
      <c r="A4894" s="127">
        <v>45637</v>
      </c>
      <c r="B4894" s="24" t="s">
        <v>48</v>
      </c>
      <c r="C4894" s="21">
        <f t="shared" si="80"/>
        <v>-43.575000000000003</v>
      </c>
      <c r="FG4894" s="74">
        <v>-43.575000000000003</v>
      </c>
    </row>
    <row r="4895" spans="1:256" s="176" customFormat="1" x14ac:dyDescent="0.25">
      <c r="A4895" s="173">
        <v>45638</v>
      </c>
      <c r="B4895" s="174" t="s">
        <v>99</v>
      </c>
      <c r="C4895" s="175">
        <f t="shared" si="80"/>
        <v>-70.254999999999995</v>
      </c>
      <c r="D4895" s="386" t="s">
        <v>216</v>
      </c>
      <c r="E4895" s="386" t="s">
        <v>216</v>
      </c>
      <c r="F4895" s="145"/>
      <c r="H4895" s="176" t="s">
        <v>216</v>
      </c>
      <c r="I4895" s="176">
        <v>-11.58</v>
      </c>
      <c r="J4895" s="176" t="s">
        <v>216</v>
      </c>
      <c r="K4895" s="178"/>
      <c r="L4895" s="179"/>
      <c r="M4895" s="358" t="s">
        <v>216</v>
      </c>
      <c r="N4895" s="178"/>
      <c r="O4895" s="375"/>
      <c r="P4895" s="179">
        <v>9.3149999999999995</v>
      </c>
      <c r="Q4895" s="179"/>
      <c r="R4895" s="177"/>
      <c r="S4895" s="179">
        <v>-13.67</v>
      </c>
      <c r="T4895" s="178"/>
      <c r="U4895" s="179"/>
      <c r="V4895" s="74">
        <v>-15.935</v>
      </c>
      <c r="W4895" s="179"/>
      <c r="X4895" s="178"/>
      <c r="Y4895" s="179"/>
      <c r="Z4895" s="79">
        <v>-8.5350000000000001</v>
      </c>
      <c r="AA4895" s="178"/>
      <c r="AB4895" s="179"/>
      <c r="AC4895" s="106">
        <v>-17.23</v>
      </c>
      <c r="AD4895" s="177"/>
      <c r="AE4895" s="178"/>
      <c r="AF4895" s="179"/>
      <c r="AG4895" s="292">
        <v>8.5399999999999991</v>
      </c>
      <c r="AH4895" s="179"/>
      <c r="AI4895" s="179"/>
      <c r="AJ4895" s="179"/>
      <c r="AL4895" s="178"/>
      <c r="AM4895" s="69"/>
      <c r="AN4895" s="106">
        <v>3.46</v>
      </c>
      <c r="AO4895" s="358"/>
      <c r="AP4895" s="178"/>
      <c r="AQ4895" s="69"/>
      <c r="AR4895" s="106">
        <v>-0.61499999999999999</v>
      </c>
      <c r="AS4895" s="179"/>
      <c r="AT4895" s="177"/>
      <c r="AU4895" s="178"/>
      <c r="AV4895" s="179"/>
      <c r="AW4895" s="106">
        <v>-8.06</v>
      </c>
      <c r="AX4895" s="179"/>
      <c r="AY4895" s="292"/>
      <c r="AZ4895" s="182"/>
      <c r="BA4895" s="178"/>
      <c r="BB4895" s="69"/>
      <c r="BC4895" s="106" t="s">
        <v>216</v>
      </c>
      <c r="BD4895" s="179"/>
      <c r="BE4895" s="179"/>
      <c r="BF4895" s="182"/>
      <c r="BG4895" s="178"/>
      <c r="BH4895" s="69"/>
      <c r="BI4895" s="106" t="s">
        <v>216</v>
      </c>
      <c r="BJ4895" s="179"/>
      <c r="BK4895" s="179"/>
      <c r="BL4895" s="182"/>
      <c r="BM4895" s="178"/>
      <c r="BN4895" s="69"/>
      <c r="BO4895" s="106" t="s">
        <v>216</v>
      </c>
      <c r="BP4895" s="179"/>
      <c r="BQ4895" s="179"/>
      <c r="BR4895" s="182"/>
      <c r="BS4895" s="178"/>
      <c r="BT4895" s="69"/>
      <c r="BU4895" s="106" t="s">
        <v>216</v>
      </c>
      <c r="BV4895" s="179"/>
      <c r="BW4895" s="179"/>
      <c r="BX4895" s="182"/>
      <c r="BY4895" s="178"/>
      <c r="BZ4895" s="179"/>
      <c r="CA4895" s="106"/>
      <c r="CB4895" s="179"/>
      <c r="CC4895" s="179"/>
      <c r="CD4895" s="182"/>
      <c r="CE4895" s="178"/>
      <c r="CF4895" s="69" t="s">
        <v>216</v>
      </c>
      <c r="CG4895" s="106"/>
      <c r="CH4895" s="179"/>
      <c r="CI4895" s="179"/>
      <c r="CJ4895" s="182"/>
      <c r="CK4895" s="178"/>
      <c r="CL4895" s="179"/>
      <c r="CM4895" s="106" t="s">
        <v>216</v>
      </c>
      <c r="CN4895" s="179"/>
      <c r="CO4895" s="179"/>
      <c r="CP4895" s="182"/>
      <c r="CQ4895" s="178"/>
      <c r="CR4895" s="69"/>
      <c r="CS4895" s="74">
        <v>8.4</v>
      </c>
      <c r="CT4895" s="179"/>
      <c r="CU4895" s="292"/>
      <c r="CV4895" s="177"/>
      <c r="CW4895" s="178"/>
      <c r="CX4895" s="179"/>
      <c r="CY4895" s="106" t="s">
        <v>216</v>
      </c>
      <c r="CZ4895" s="179"/>
      <c r="DA4895" s="179" t="s">
        <v>216</v>
      </c>
      <c r="DB4895" s="177"/>
      <c r="DC4895" s="178"/>
      <c r="DD4895" s="179"/>
      <c r="DE4895" s="74" t="s">
        <v>216</v>
      </c>
      <c r="DF4895" s="179"/>
      <c r="DG4895" s="292"/>
      <c r="DH4895" s="177"/>
      <c r="DI4895" s="178"/>
      <c r="DJ4895" s="179"/>
      <c r="DK4895" s="106">
        <v>-6.875</v>
      </c>
      <c r="DL4895" s="179"/>
      <c r="DM4895" s="358" t="s">
        <v>216</v>
      </c>
      <c r="DN4895" s="178"/>
      <c r="DO4895" s="375"/>
      <c r="DP4895" s="74" t="s">
        <v>216</v>
      </c>
      <c r="DQ4895" s="179"/>
      <c r="DR4895" s="177" t="s">
        <v>216</v>
      </c>
      <c r="DS4895" s="178">
        <v>-8.66</v>
      </c>
      <c r="DT4895" s="179" t="s">
        <v>216</v>
      </c>
      <c r="DU4895" s="106">
        <v>-7.97</v>
      </c>
      <c r="DV4895" s="179"/>
      <c r="DW4895" s="126"/>
      <c r="DX4895" s="177"/>
      <c r="DY4895" s="178"/>
      <c r="DZ4895" s="179"/>
      <c r="EA4895" s="74">
        <v>3.2</v>
      </c>
      <c r="EB4895" s="179"/>
      <c r="EC4895" s="126"/>
      <c r="ED4895" s="177"/>
      <c r="EE4895" s="178"/>
      <c r="EF4895" s="179"/>
      <c r="EG4895" s="179" t="s">
        <v>216</v>
      </c>
      <c r="EH4895" s="179"/>
      <c r="EI4895" s="177"/>
      <c r="EJ4895" s="178"/>
      <c r="EK4895" s="179"/>
      <c r="EL4895" s="179"/>
      <c r="EM4895" s="177"/>
      <c r="EN4895" s="355" t="s">
        <v>216</v>
      </c>
      <c r="EO4895" s="292"/>
      <c r="EP4895" s="179" t="s">
        <v>216</v>
      </c>
      <c r="EQ4895" s="46" t="s">
        <v>216</v>
      </c>
      <c r="ER4895" s="178"/>
      <c r="ES4895" s="179"/>
      <c r="ET4895" s="179"/>
      <c r="EU4895" s="292"/>
      <c r="EV4895" s="176" t="s">
        <v>216</v>
      </c>
      <c r="EW4895" s="178"/>
      <c r="EX4895" s="178" t="s">
        <v>216</v>
      </c>
      <c r="EY4895" s="178"/>
      <c r="EZ4895" s="177"/>
      <c r="FA4895" s="355" t="s">
        <v>216</v>
      </c>
      <c r="FB4895" s="179"/>
      <c r="FC4895" s="179"/>
      <c r="FD4895" s="292"/>
      <c r="FF4895" s="178"/>
      <c r="FG4895" s="179" t="s">
        <v>216</v>
      </c>
      <c r="FH4895" s="358" t="s">
        <v>216</v>
      </c>
      <c r="FI4895" s="178"/>
      <c r="FJ4895" s="179"/>
      <c r="FK4895" s="179"/>
      <c r="FL4895" s="177"/>
      <c r="FM4895" s="178"/>
      <c r="FN4895" s="177"/>
      <c r="FO4895" s="357"/>
      <c r="FQ4895" s="178"/>
      <c r="FR4895" s="179"/>
      <c r="FS4895" s="179">
        <v>21.06</v>
      </c>
      <c r="FT4895" s="177"/>
      <c r="FU4895" s="178"/>
      <c r="FV4895" s="179"/>
      <c r="FW4895" s="177"/>
      <c r="FX4895" s="178" t="s">
        <v>216</v>
      </c>
      <c r="FY4895" s="179"/>
      <c r="FZ4895" s="177" t="s">
        <v>216</v>
      </c>
      <c r="GA4895" s="178"/>
      <c r="GB4895" s="179"/>
      <c r="GC4895" s="179"/>
      <c r="GD4895" s="177"/>
      <c r="GE4895" s="178"/>
      <c r="GF4895" s="177" t="s">
        <v>216</v>
      </c>
      <c r="GH4895" s="179" t="s">
        <v>216</v>
      </c>
      <c r="GI4895" s="355"/>
      <c r="GJ4895" s="205"/>
      <c r="GK4895" s="79"/>
      <c r="GL4895" s="178"/>
      <c r="GM4895" s="177"/>
      <c r="GO4895" s="357"/>
      <c r="GP4895" s="178"/>
      <c r="GQ4895" s="92" t="s">
        <v>216</v>
      </c>
      <c r="GT4895" s="176" t="s">
        <v>216</v>
      </c>
      <c r="GV4895" s="178"/>
      <c r="GW4895" s="177" t="s">
        <v>216</v>
      </c>
      <c r="GX4895" s="179"/>
      <c r="GY4895" s="178"/>
      <c r="GZ4895" s="292">
        <v>-20.239999999999998</v>
      </c>
      <c r="HA4895" s="177"/>
      <c r="HB4895" s="179"/>
      <c r="HC4895" s="178"/>
      <c r="HD4895" s="177">
        <v>-9.35</v>
      </c>
      <c r="HE4895" s="178"/>
      <c r="HF4895" s="358" t="s">
        <v>216</v>
      </c>
      <c r="HG4895" s="178"/>
      <c r="HH4895" s="179" t="s">
        <v>216</v>
      </c>
      <c r="HI4895" s="177"/>
      <c r="HJ4895" s="177" t="s">
        <v>216</v>
      </c>
      <c r="HL4895" s="178"/>
      <c r="HM4895" s="179" t="s">
        <v>216</v>
      </c>
      <c r="HN4895" s="177"/>
      <c r="HO4895" s="178"/>
      <c r="HP4895" s="358" t="s">
        <v>216</v>
      </c>
      <c r="HQ4895" s="178"/>
      <c r="HR4895" s="358" t="s">
        <v>216</v>
      </c>
      <c r="HS4895" s="176" t="s">
        <v>216</v>
      </c>
      <c r="HT4895" s="176" t="s">
        <v>216</v>
      </c>
      <c r="HU4895" s="178"/>
      <c r="HV4895" s="358">
        <v>3.95</v>
      </c>
      <c r="HW4895" s="178" t="s">
        <v>216</v>
      </c>
      <c r="HX4895" s="177"/>
      <c r="HY4895" s="176" t="s">
        <v>216</v>
      </c>
      <c r="HZ4895" s="178"/>
      <c r="IA4895" s="177" t="s">
        <v>216</v>
      </c>
      <c r="IB4895" s="178"/>
      <c r="IC4895" s="177" t="s">
        <v>216</v>
      </c>
      <c r="ID4895" s="178"/>
      <c r="IE4895" s="177"/>
      <c r="IG4895" s="176">
        <v>-0.06</v>
      </c>
      <c r="IH4895" s="178">
        <v>0.6</v>
      </c>
      <c r="II4895" s="178"/>
      <c r="IJ4895" s="291"/>
      <c r="IM4895" s="357"/>
      <c r="IN4895" s="355"/>
      <c r="IO4895" s="177"/>
      <c r="IV4895" s="357"/>
    </row>
    <row r="4896" spans="1:256" x14ac:dyDescent="0.25">
      <c r="A4896" s="127">
        <v>45638</v>
      </c>
      <c r="B4896" s="24" t="s">
        <v>58</v>
      </c>
      <c r="C4896" s="21">
        <f t="shared" si="80"/>
        <v>0</v>
      </c>
    </row>
    <row r="4897" spans="1:233" x14ac:dyDescent="0.25">
      <c r="A4897" s="127">
        <v>45638</v>
      </c>
      <c r="B4897" s="24" t="s">
        <v>184</v>
      </c>
      <c r="C4897" s="21">
        <f t="shared" si="80"/>
        <v>-44.405000000000001</v>
      </c>
      <c r="P4897" s="106">
        <v>-3.02</v>
      </c>
      <c r="V4897" s="74">
        <v>-3.12</v>
      </c>
      <c r="Z4897" s="79">
        <v>-3.1</v>
      </c>
      <c r="AR4897" s="106">
        <v>-3.3</v>
      </c>
      <c r="EG4897" s="74">
        <v>-31.864999999999998</v>
      </c>
    </row>
    <row r="4898" spans="1:233" x14ac:dyDescent="0.25">
      <c r="A4898" s="127">
        <v>45638</v>
      </c>
      <c r="B4898" s="24" t="s">
        <v>44</v>
      </c>
      <c r="C4898" s="21">
        <f t="shared" si="80"/>
        <v>-57.85</v>
      </c>
      <c r="GQ4898" s="92">
        <v>-57.85</v>
      </c>
    </row>
    <row r="4899" spans="1:233" x14ac:dyDescent="0.25">
      <c r="A4899" s="127">
        <v>45638</v>
      </c>
      <c r="B4899" s="24" t="s">
        <v>48</v>
      </c>
      <c r="C4899" s="21">
        <f t="shared" si="80"/>
        <v>-24.62</v>
      </c>
      <c r="BU4899" s="106">
        <v>-16.54</v>
      </c>
      <c r="DE4899" s="74">
        <v>-8.08</v>
      </c>
    </row>
    <row r="4900" spans="1:233" x14ac:dyDescent="0.25">
      <c r="A4900" s="127">
        <v>45638</v>
      </c>
      <c r="B4900" s="24" t="s">
        <v>134</v>
      </c>
      <c r="C4900" s="21">
        <f t="shared" si="80"/>
        <v>-55.104999999999997</v>
      </c>
      <c r="E4900" s="386">
        <v>-55.104999999999997</v>
      </c>
    </row>
    <row r="4901" spans="1:233" x14ac:dyDescent="0.25">
      <c r="A4901" s="127">
        <v>45639</v>
      </c>
      <c r="B4901" s="24" t="s">
        <v>127</v>
      </c>
      <c r="C4901" s="21">
        <f t="shared" si="80"/>
        <v>-15.97</v>
      </c>
      <c r="BI4901" s="106">
        <v>-7.8449999999999998</v>
      </c>
      <c r="BO4901" s="106">
        <v>-8.125</v>
      </c>
    </row>
    <row r="4902" spans="1:233" x14ac:dyDescent="0.25">
      <c r="A4902" s="127">
        <v>45642</v>
      </c>
      <c r="B4902" s="24" t="s">
        <v>115</v>
      </c>
      <c r="C4902" s="21">
        <f t="shared" si="80"/>
        <v>102.83</v>
      </c>
      <c r="BR4902" s="182">
        <v>33.945</v>
      </c>
      <c r="BX4902" s="182">
        <v>33.33</v>
      </c>
      <c r="CD4902" s="182">
        <v>35.555</v>
      </c>
    </row>
    <row r="4903" spans="1:233" x14ac:dyDescent="0.25">
      <c r="A4903" s="127">
        <v>45643</v>
      </c>
      <c r="B4903" s="24" t="s">
        <v>184</v>
      </c>
      <c r="C4903" s="21">
        <f t="shared" si="80"/>
        <v>-205.05</v>
      </c>
      <c r="V4903" s="74">
        <v>-7.42</v>
      </c>
      <c r="Z4903" s="79">
        <v>-8.57</v>
      </c>
      <c r="BC4903" s="106">
        <v>-14.4</v>
      </c>
      <c r="BI4903" s="106">
        <v>-29.87</v>
      </c>
      <c r="BR4903" s="182">
        <v>-16.98</v>
      </c>
      <c r="BX4903" s="182">
        <v>-16.66</v>
      </c>
      <c r="CD4903" s="182">
        <v>-17.87</v>
      </c>
      <c r="CM4903" s="106">
        <v>-31.68</v>
      </c>
      <c r="CS4903" s="74">
        <v>-37.74</v>
      </c>
      <c r="CY4903" s="106">
        <v>-23.86</v>
      </c>
    </row>
    <row r="4904" spans="1:233" x14ac:dyDescent="0.25">
      <c r="A4904" s="127">
        <v>45643</v>
      </c>
      <c r="B4904" s="24" t="s">
        <v>192</v>
      </c>
      <c r="C4904" s="21">
        <f t="shared" si="80"/>
        <v>-8.7550000000000008</v>
      </c>
      <c r="CD4904" s="182">
        <v>-8.7550000000000008</v>
      </c>
    </row>
    <row r="4905" spans="1:233" x14ac:dyDescent="0.25">
      <c r="A4905" s="127">
        <v>45643</v>
      </c>
      <c r="B4905" s="24" t="s">
        <v>20</v>
      </c>
      <c r="C4905" s="21">
        <f t="shared" si="80"/>
        <v>-25.164999999999999</v>
      </c>
      <c r="BR4905" s="182">
        <v>-8.49</v>
      </c>
      <c r="BU4905" s="106">
        <v>-8.23</v>
      </c>
      <c r="CF4905" s="69">
        <v>-8.4450000000000003</v>
      </c>
    </row>
    <row r="4906" spans="1:233" x14ac:dyDescent="0.25">
      <c r="A4906" s="127">
        <v>45643</v>
      </c>
      <c r="B4906" s="24" t="s">
        <v>33</v>
      </c>
      <c r="C4906" s="21">
        <f t="shared" si="80"/>
        <v>-8.93</v>
      </c>
      <c r="CD4906" s="182">
        <v>-8.93</v>
      </c>
    </row>
    <row r="4907" spans="1:233" x14ac:dyDescent="0.25">
      <c r="A4907" s="127">
        <v>45643</v>
      </c>
      <c r="B4907" s="24" t="s">
        <v>50</v>
      </c>
      <c r="C4907" s="21">
        <f t="shared" si="80"/>
        <v>-94.44</v>
      </c>
      <c r="HY4907" s="38">
        <v>-94.44</v>
      </c>
    </row>
    <row r="4908" spans="1:233" x14ac:dyDescent="0.25">
      <c r="A4908" s="127">
        <v>45643</v>
      </c>
      <c r="B4908" s="24" t="s">
        <v>39</v>
      </c>
      <c r="C4908" s="21">
        <f t="shared" si="80"/>
        <v>-49.25</v>
      </c>
      <c r="AG4908" s="106">
        <v>-8.4350000000000005</v>
      </c>
      <c r="AR4908" s="106">
        <v>-8.0850000000000009</v>
      </c>
      <c r="BI4908" s="106">
        <v>-7.8250000000000002</v>
      </c>
      <c r="BR4908" s="182">
        <v>-8.4749999999999996</v>
      </c>
      <c r="CM4908" s="106">
        <v>-16.43</v>
      </c>
    </row>
    <row r="4909" spans="1:233" x14ac:dyDescent="0.25">
      <c r="A4909" s="127">
        <v>45643</v>
      </c>
      <c r="B4909" s="24" t="s">
        <v>152</v>
      </c>
      <c r="C4909" s="21">
        <f t="shared" si="80"/>
        <v>-63.11</v>
      </c>
      <c r="DU4909" s="106">
        <v>-63.11</v>
      </c>
    </row>
    <row r="4910" spans="1:233" x14ac:dyDescent="0.25">
      <c r="A4910" s="127">
        <v>45643</v>
      </c>
      <c r="B4910" s="24" t="s">
        <v>152</v>
      </c>
      <c r="C4910" s="21">
        <f t="shared" si="80"/>
        <v>-198.77</v>
      </c>
      <c r="EA4910" s="74">
        <v>-198.77</v>
      </c>
    </row>
    <row r="4911" spans="1:233" x14ac:dyDescent="0.25">
      <c r="A4911" s="127">
        <v>45643</v>
      </c>
      <c r="B4911" s="24" t="s">
        <v>180</v>
      </c>
      <c r="C4911" s="21">
        <f t="shared" si="80"/>
        <v>-71.935000000000002</v>
      </c>
      <c r="GO4911" s="110">
        <v>-71.935000000000002</v>
      </c>
    </row>
    <row r="4912" spans="1:233" x14ac:dyDescent="0.25">
      <c r="A4912" s="127">
        <v>45644</v>
      </c>
      <c r="B4912" s="24" t="s">
        <v>113</v>
      </c>
      <c r="C4912" s="21">
        <f t="shared" si="80"/>
        <v>435.245</v>
      </c>
      <c r="BO4912" s="106">
        <v>31.35</v>
      </c>
      <c r="CA4912" s="106">
        <v>66</v>
      </c>
      <c r="CG4912" s="106">
        <v>67.19</v>
      </c>
      <c r="EA4912" s="74">
        <v>198.77</v>
      </c>
      <c r="GO4912" s="110">
        <v>71.935000000000002</v>
      </c>
    </row>
    <row r="4913" spans="1:214" x14ac:dyDescent="0.25">
      <c r="A4913" s="127">
        <v>45644</v>
      </c>
      <c r="B4913" s="24" t="s">
        <v>113</v>
      </c>
      <c r="C4913" s="21">
        <f t="shared" ref="C4913:C4976" si="81">SUM(D4913:JT4913)</f>
        <v>233.23500000000001</v>
      </c>
      <c r="GQ4913" s="92">
        <v>233.23500000000001</v>
      </c>
    </row>
    <row r="4914" spans="1:214" x14ac:dyDescent="0.25">
      <c r="A4914" s="127">
        <v>45644</v>
      </c>
      <c r="B4914" s="24" t="s">
        <v>20</v>
      </c>
      <c r="C4914" s="21">
        <f t="shared" si="81"/>
        <v>-16.559999999999999</v>
      </c>
      <c r="CA4914" s="106">
        <v>-8.33</v>
      </c>
      <c r="CS4914" s="74">
        <v>-8.23</v>
      </c>
    </row>
    <row r="4915" spans="1:214" x14ac:dyDescent="0.25">
      <c r="A4915" s="127">
        <v>45645</v>
      </c>
      <c r="B4915" s="24" t="s">
        <v>184</v>
      </c>
      <c r="C4915" s="21">
        <f t="shared" si="81"/>
        <v>-78.545000000000002</v>
      </c>
      <c r="AN4915" s="106">
        <v>-8.1199999999999992</v>
      </c>
      <c r="AR4915" s="106">
        <v>-8.4499999999999993</v>
      </c>
      <c r="AW4915" s="106">
        <v>-7.94</v>
      </c>
      <c r="BC4915" s="106">
        <v>-5.8</v>
      </c>
      <c r="BI4915" s="106">
        <v>-7.83</v>
      </c>
      <c r="BO4915" s="106">
        <v>-7.14</v>
      </c>
      <c r="BU4915" s="106">
        <v>-8.26</v>
      </c>
      <c r="CA4915" s="106">
        <v>-8.32</v>
      </c>
      <c r="CG4915" s="106">
        <v>-8.42</v>
      </c>
      <c r="CS4915" s="74">
        <v>-8.2650000000000006</v>
      </c>
    </row>
    <row r="4916" spans="1:214" x14ac:dyDescent="0.25">
      <c r="A4916" s="127">
        <v>45645</v>
      </c>
      <c r="B4916" s="24" t="s">
        <v>138</v>
      </c>
      <c r="C4916" s="21">
        <f t="shared" si="81"/>
        <v>-131.26499999999999</v>
      </c>
      <c r="BC4916" s="106">
        <v>-24.19</v>
      </c>
      <c r="BI4916" s="106">
        <v>-15.94</v>
      </c>
      <c r="BO4916" s="106">
        <v>-15.965</v>
      </c>
      <c r="BX4916" s="182">
        <v>-16.670000000000002</v>
      </c>
      <c r="CA4916" s="106">
        <v>-17.27</v>
      </c>
      <c r="CG4916" s="106">
        <v>-8.4049999999999994</v>
      </c>
      <c r="CM4916" s="106">
        <v>-16.5</v>
      </c>
      <c r="CS4916" s="74">
        <v>-8.24</v>
      </c>
      <c r="CY4916" s="106">
        <v>-8.0850000000000009</v>
      </c>
    </row>
    <row r="4917" spans="1:214" x14ac:dyDescent="0.25">
      <c r="A4917" s="127">
        <v>45645</v>
      </c>
      <c r="B4917" s="24" t="s">
        <v>139</v>
      </c>
      <c r="C4917" s="21">
        <f t="shared" si="81"/>
        <v>-83.965000000000003</v>
      </c>
      <c r="AC4917" s="106">
        <v>-8.6</v>
      </c>
      <c r="BU4917" s="106">
        <v>-16.425000000000001</v>
      </c>
      <c r="CA4917" s="106">
        <v>-17.175000000000001</v>
      </c>
      <c r="CG4917" s="106">
        <v>-16.704999999999998</v>
      </c>
      <c r="CS4917" s="74">
        <v>-16.484999999999999</v>
      </c>
      <c r="CY4917" s="106">
        <v>-8.5749999999999993</v>
      </c>
    </row>
    <row r="4918" spans="1:214" x14ac:dyDescent="0.25">
      <c r="A4918" s="127">
        <v>45645</v>
      </c>
      <c r="B4918" s="24" t="s">
        <v>193</v>
      </c>
      <c r="C4918" s="21">
        <f t="shared" si="81"/>
        <v>-18.295000000000002</v>
      </c>
      <c r="CG4918" s="106">
        <v>-8.4250000000000007</v>
      </c>
      <c r="CM4918" s="106">
        <v>-9.8699999999999992</v>
      </c>
    </row>
    <row r="4919" spans="1:214" x14ac:dyDescent="0.25">
      <c r="A4919" s="127">
        <v>45645</v>
      </c>
      <c r="B4919" s="24" t="s">
        <v>44</v>
      </c>
      <c r="C4919" s="21">
        <f t="shared" si="81"/>
        <v>-208.61500000000001</v>
      </c>
      <c r="GQ4919" s="92">
        <v>-174.91</v>
      </c>
      <c r="HF4919" s="92">
        <v>-33.704999999999998</v>
      </c>
    </row>
    <row r="4920" spans="1:214" x14ac:dyDescent="0.25">
      <c r="A4920" s="127">
        <v>45645</v>
      </c>
      <c r="B4920" s="29" t="s">
        <v>48</v>
      </c>
      <c r="C4920" s="21">
        <f t="shared" si="81"/>
        <v>206.21</v>
      </c>
      <c r="DN4920" s="42">
        <f>32.88+32.74</f>
        <v>65.62</v>
      </c>
      <c r="DS4920" s="42">
        <f>36.06+35.36+33.81</f>
        <v>105.23</v>
      </c>
      <c r="DY4920" s="42">
        <v>35.36</v>
      </c>
    </row>
    <row r="4921" spans="1:214" x14ac:dyDescent="0.25">
      <c r="A4921" s="127">
        <v>45646</v>
      </c>
      <c r="B4921" s="24" t="s">
        <v>113</v>
      </c>
      <c r="C4921" s="21">
        <f t="shared" si="81"/>
        <v>631.94399999999996</v>
      </c>
      <c r="BC4921" s="106">
        <v>100.005</v>
      </c>
      <c r="BO4921" s="106">
        <v>94.86</v>
      </c>
      <c r="BU4921" s="106">
        <v>158.59</v>
      </c>
      <c r="CA4921" s="106">
        <v>117.97499999999999</v>
      </c>
      <c r="CG4921" s="106">
        <v>66.680000000000007</v>
      </c>
      <c r="CM4921" s="106">
        <v>66.61</v>
      </c>
      <c r="GK4921" s="79">
        <v>27.224</v>
      </c>
    </row>
    <row r="4922" spans="1:214" x14ac:dyDescent="0.25">
      <c r="A4922" s="127">
        <v>45646</v>
      </c>
      <c r="B4922" s="24" t="s">
        <v>83</v>
      </c>
      <c r="C4922" s="21">
        <f t="shared" si="81"/>
        <v>-1.59</v>
      </c>
      <c r="V4922" s="74">
        <v>-1.59</v>
      </c>
    </row>
    <row r="4923" spans="1:214" x14ac:dyDescent="0.25">
      <c r="A4923" s="127">
        <v>45646</v>
      </c>
      <c r="B4923" s="24" t="s">
        <v>184</v>
      </c>
      <c r="C4923" s="21">
        <f t="shared" si="81"/>
        <v>-713.35500000000002</v>
      </c>
      <c r="AC4923" s="106">
        <v>-17.23</v>
      </c>
      <c r="AR4923" s="106">
        <v>-33.854999999999997</v>
      </c>
      <c r="AW4923" s="106">
        <v>-32.435000000000002</v>
      </c>
      <c r="BC4923" s="106">
        <v>-66.17</v>
      </c>
      <c r="BO4923" s="106">
        <v>-63.62</v>
      </c>
      <c r="BU4923" s="106">
        <v>-94.13</v>
      </c>
      <c r="CA4923" s="106">
        <v>-101.825</v>
      </c>
      <c r="CG4923" s="106">
        <v>-66.680000000000007</v>
      </c>
      <c r="DK4923" s="106">
        <v>-66.56</v>
      </c>
      <c r="DN4923" s="42">
        <v>-65.62</v>
      </c>
      <c r="DS4923" s="42">
        <v>-105.23</v>
      </c>
    </row>
    <row r="4924" spans="1:214" x14ac:dyDescent="0.25">
      <c r="A4924" s="127">
        <v>45646</v>
      </c>
      <c r="B4924" s="24" t="s">
        <v>213</v>
      </c>
      <c r="C4924" s="21">
        <f t="shared" si="81"/>
        <v>-65.185000000000002</v>
      </c>
      <c r="BU4924" s="106">
        <v>-31.454999999999998</v>
      </c>
      <c r="CG4924" s="106">
        <f>-8.435-8.395</f>
        <v>-16.829999999999998</v>
      </c>
      <c r="CY4924" s="106">
        <f>-8.425-8.475</f>
        <v>-16.899999999999999</v>
      </c>
    </row>
    <row r="4925" spans="1:214" x14ac:dyDescent="0.25">
      <c r="A4925" s="127">
        <v>45646</v>
      </c>
      <c r="B4925" s="29" t="s">
        <v>139</v>
      </c>
      <c r="C4925" s="21">
        <f t="shared" si="81"/>
        <v>-17.004999999999999</v>
      </c>
      <c r="CM4925" s="106">
        <v>-17.004999999999999</v>
      </c>
    </row>
    <row r="4926" spans="1:214" x14ac:dyDescent="0.25">
      <c r="A4926" s="127">
        <v>45646</v>
      </c>
      <c r="B4926" s="24" t="s">
        <v>192</v>
      </c>
      <c r="C4926" s="21">
        <f t="shared" si="81"/>
        <v>-16.149999999999999</v>
      </c>
      <c r="CA4926" s="106">
        <v>-16.149999999999999</v>
      </c>
    </row>
    <row r="4927" spans="1:214" x14ac:dyDescent="0.25">
      <c r="A4927" s="127">
        <v>45650</v>
      </c>
      <c r="B4927" s="24" t="s">
        <v>188</v>
      </c>
      <c r="C4927" s="21">
        <f t="shared" si="81"/>
        <v>-24.184999999999999</v>
      </c>
      <c r="AW4927" s="106">
        <v>-8.1850000000000005</v>
      </c>
      <c r="CA4927" s="106">
        <v>-7.585</v>
      </c>
      <c r="CG4927" s="106">
        <v>-8.4149999999999991</v>
      </c>
    </row>
    <row r="4928" spans="1:214" x14ac:dyDescent="0.25">
      <c r="A4928" s="127">
        <v>45650</v>
      </c>
      <c r="B4928" s="24" t="s">
        <v>197</v>
      </c>
      <c r="C4928" s="21">
        <f t="shared" si="81"/>
        <v>-59.344999999999999</v>
      </c>
      <c r="DP4928" s="74">
        <v>-16.045000000000002</v>
      </c>
      <c r="DT4928" s="69">
        <v>-16.77</v>
      </c>
      <c r="DY4928" s="42">
        <v>-26.53</v>
      </c>
    </row>
    <row r="4929" spans="1:241" x14ac:dyDescent="0.25">
      <c r="A4929" s="127">
        <v>45650</v>
      </c>
      <c r="B4929" s="24" t="s">
        <v>44</v>
      </c>
      <c r="C4929" s="21">
        <f t="shared" si="81"/>
        <v>-27.224</v>
      </c>
      <c r="GK4929" s="79">
        <v>-27.224</v>
      </c>
    </row>
    <row r="4930" spans="1:241" x14ac:dyDescent="0.25">
      <c r="A4930" s="127">
        <v>45650</v>
      </c>
      <c r="B4930" s="24" t="s">
        <v>31</v>
      </c>
      <c r="C4930" s="21">
        <f t="shared" si="81"/>
        <v>-16.3</v>
      </c>
      <c r="GW4930" s="92">
        <v>-8.33</v>
      </c>
      <c r="IG4930" s="38">
        <v>-7.97</v>
      </c>
    </row>
    <row r="4931" spans="1:241" x14ac:dyDescent="0.25">
      <c r="A4931" s="127">
        <v>45650</v>
      </c>
      <c r="B4931" s="24" t="s">
        <v>75</v>
      </c>
      <c r="C4931" s="21">
        <f t="shared" si="81"/>
        <v>-25.094999999999999</v>
      </c>
      <c r="AR4931" s="106">
        <v>-8.4250000000000007</v>
      </c>
      <c r="BC4931" s="106">
        <v>-8.52</v>
      </c>
      <c r="BU4931" s="106">
        <v>-8.15</v>
      </c>
    </row>
    <row r="4932" spans="1:241" x14ac:dyDescent="0.25">
      <c r="A4932" s="127">
        <v>45651</v>
      </c>
      <c r="B4932" s="24" t="s">
        <v>58</v>
      </c>
      <c r="C4932" s="21">
        <f t="shared" si="81"/>
        <v>-65.84</v>
      </c>
      <c r="FS4932" s="106">
        <v>-65.84</v>
      </c>
    </row>
    <row r="4933" spans="1:241" x14ac:dyDescent="0.25">
      <c r="A4933" s="127">
        <v>45651</v>
      </c>
      <c r="B4933" s="24" t="s">
        <v>212</v>
      </c>
      <c r="C4933" s="21">
        <f t="shared" si="81"/>
        <v>-24.32</v>
      </c>
      <c r="CS4933" s="74">
        <v>-8.1300000000000008</v>
      </c>
      <c r="CY4933" s="106">
        <v>-8.1050000000000004</v>
      </c>
      <c r="DE4933" s="74">
        <v>-8.0850000000000009</v>
      </c>
    </row>
    <row r="4934" spans="1:241" x14ac:dyDescent="0.25">
      <c r="A4934" s="127">
        <v>45651</v>
      </c>
      <c r="B4934" s="24" t="s">
        <v>113</v>
      </c>
      <c r="C4934" s="21">
        <f t="shared" si="81"/>
        <v>131.94</v>
      </c>
      <c r="BI4934" s="106">
        <v>32.78</v>
      </c>
      <c r="BU4934" s="106">
        <v>32.854999999999997</v>
      </c>
      <c r="CG4934" s="106">
        <v>33.67</v>
      </c>
      <c r="EA4934" s="74">
        <v>32.634999999999998</v>
      </c>
    </row>
    <row r="4935" spans="1:241" x14ac:dyDescent="0.25">
      <c r="A4935" s="127">
        <v>45651</v>
      </c>
      <c r="B4935" s="24" t="s">
        <v>213</v>
      </c>
      <c r="C4935" s="21">
        <f t="shared" si="81"/>
        <v>-172.32</v>
      </c>
      <c r="Z4935" s="79">
        <v>-8.4</v>
      </c>
      <c r="AC4935" s="106">
        <v>-8.6199999999999992</v>
      </c>
      <c r="AG4935" s="106">
        <v>-8.4</v>
      </c>
      <c r="BC4935" s="106">
        <v>-8.41</v>
      </c>
      <c r="BI4935" s="106">
        <v>-32.78</v>
      </c>
      <c r="BO4935" s="106">
        <v>-31.864999999999998</v>
      </c>
      <c r="BU4935" s="106">
        <v>-32.854999999999997</v>
      </c>
      <c r="CA4935" s="106">
        <v>-7.32</v>
      </c>
      <c r="CG4935" s="106">
        <v>-33.67</v>
      </c>
    </row>
    <row r="4936" spans="1:241" x14ac:dyDescent="0.25">
      <c r="A4936" s="127">
        <v>45652</v>
      </c>
      <c r="B4936" s="24" t="s">
        <v>184</v>
      </c>
      <c r="C4936" s="21">
        <f t="shared" si="81"/>
        <v>-3</v>
      </c>
      <c r="P4936" s="106">
        <v>-3</v>
      </c>
    </row>
    <row r="4937" spans="1:241" x14ac:dyDescent="0.25">
      <c r="A4937" s="127">
        <v>45653</v>
      </c>
      <c r="B4937" s="24" t="s">
        <v>50</v>
      </c>
      <c r="C4937" s="21">
        <f t="shared" si="81"/>
        <v>-130.19</v>
      </c>
      <c r="HY4937" s="38">
        <v>-63.79</v>
      </c>
      <c r="IC4937" s="92">
        <v>-66.400000000000006</v>
      </c>
    </row>
    <row r="4938" spans="1:241" x14ac:dyDescent="0.25">
      <c r="A4938" s="127">
        <v>45653</v>
      </c>
      <c r="B4938" s="24" t="s">
        <v>130</v>
      </c>
      <c r="C4938" s="21">
        <f t="shared" si="81"/>
        <v>-3.3</v>
      </c>
      <c r="V4938" s="74">
        <v>-3.3</v>
      </c>
    </row>
    <row r="4939" spans="1:241" x14ac:dyDescent="0.25">
      <c r="A4939" s="127">
        <v>45653</v>
      </c>
      <c r="B4939" s="24" t="s">
        <v>190</v>
      </c>
      <c r="C4939" s="21">
        <f t="shared" si="81"/>
        <v>-57.38</v>
      </c>
      <c r="AW4939" s="106">
        <v>-15.68</v>
      </c>
      <c r="BO4939" s="106">
        <v>-7.62</v>
      </c>
      <c r="CM4939" s="106">
        <v>-17.03</v>
      </c>
      <c r="HR4939" s="92">
        <v>-17.05</v>
      </c>
    </row>
    <row r="4940" spans="1:241" x14ac:dyDescent="0.25">
      <c r="A4940" s="127">
        <v>45654</v>
      </c>
      <c r="B4940" s="24" t="s">
        <v>184</v>
      </c>
      <c r="C4940" s="21">
        <f t="shared" si="81"/>
        <v>-100.705</v>
      </c>
      <c r="P4940" s="106">
        <v>-1.02</v>
      </c>
      <c r="V4940" s="74">
        <v>-7.415</v>
      </c>
      <c r="AC4940" s="106">
        <v>-8.6150000000000002</v>
      </c>
      <c r="AG4940" s="106">
        <v>-8.4350000000000005</v>
      </c>
      <c r="AN4940" s="106">
        <v>-8.5150000000000006</v>
      </c>
      <c r="AR4940" s="106">
        <v>-8.3800000000000008</v>
      </c>
      <c r="AW4940" s="106">
        <v>-16.215</v>
      </c>
      <c r="BC4940" s="106">
        <v>-8.41</v>
      </c>
      <c r="BU4940" s="106">
        <v>-8.1999999999999993</v>
      </c>
      <c r="CM4940" s="106">
        <v>-17.09</v>
      </c>
      <c r="CS4940" s="74">
        <v>-8.41</v>
      </c>
    </row>
    <row r="4941" spans="1:241" x14ac:dyDescent="0.25">
      <c r="A4941" s="127">
        <v>45656</v>
      </c>
      <c r="B4941" s="24" t="s">
        <v>48</v>
      </c>
      <c r="C4941" s="21">
        <f t="shared" si="81"/>
        <v>158.93</v>
      </c>
      <c r="BA4941" s="42">
        <v>17.420000000000002</v>
      </c>
      <c r="BM4941" s="88">
        <v>36.479999999999997</v>
      </c>
      <c r="BY4941" s="42">
        <v>33.15</v>
      </c>
      <c r="CE4941" s="42">
        <v>35.57</v>
      </c>
      <c r="CK4941" s="42">
        <v>36.31</v>
      </c>
    </row>
    <row r="4942" spans="1:241" x14ac:dyDescent="0.25">
      <c r="A4942" s="127">
        <v>45656</v>
      </c>
      <c r="B4942" s="24" t="s">
        <v>14</v>
      </c>
      <c r="C4942" s="21">
        <f t="shared" si="81"/>
        <v>182.06</v>
      </c>
      <c r="O4942" s="375">
        <v>0.8</v>
      </c>
      <c r="R4942" s="115">
        <v>0.75</v>
      </c>
      <c r="S4942" s="74">
        <v>0.6</v>
      </c>
      <c r="U4942" s="69">
        <v>1.3</v>
      </c>
      <c r="Y4942" s="69">
        <v>4.8499999999999996</v>
      </c>
      <c r="AB4942" s="69">
        <v>2.4</v>
      </c>
      <c r="AJ4942" s="163">
        <v>3</v>
      </c>
      <c r="AM4942" s="69">
        <v>7</v>
      </c>
      <c r="AR4942" s="106">
        <v>4.5</v>
      </c>
      <c r="AV4942" s="69">
        <v>21.195</v>
      </c>
      <c r="AZ4942" s="182">
        <v>6.39</v>
      </c>
      <c r="BB4942" s="69">
        <v>1.65</v>
      </c>
      <c r="BH4942" s="69">
        <v>7</v>
      </c>
      <c r="BN4942" s="69">
        <v>13.9</v>
      </c>
      <c r="BT4942" s="69">
        <v>6.45</v>
      </c>
      <c r="BZ4942" s="69">
        <v>10.5</v>
      </c>
      <c r="CF4942" s="69">
        <v>5.85</v>
      </c>
      <c r="CL4942" s="69">
        <v>8.5500000000000007</v>
      </c>
      <c r="CR4942" s="69">
        <v>2.9</v>
      </c>
      <c r="CZ4942" s="121">
        <v>1</v>
      </c>
      <c r="DD4942" s="69">
        <v>16.975000000000001</v>
      </c>
      <c r="DL4942" s="121">
        <v>13.85</v>
      </c>
      <c r="DO4942" s="375">
        <v>10.95</v>
      </c>
      <c r="DZ4942" s="69">
        <v>8.9</v>
      </c>
      <c r="EG4942" s="74">
        <v>11</v>
      </c>
      <c r="EH4942" s="194">
        <v>1.75</v>
      </c>
      <c r="EK4942" s="69">
        <v>4</v>
      </c>
      <c r="EO4942" s="69">
        <v>1.25</v>
      </c>
      <c r="EU4942" s="126">
        <v>2.8</v>
      </c>
    </row>
    <row r="4943" spans="1:241" x14ac:dyDescent="0.25">
      <c r="A4943" s="127">
        <v>45657</v>
      </c>
      <c r="B4943" s="24" t="s">
        <v>184</v>
      </c>
      <c r="C4943" s="21">
        <f t="shared" si="81"/>
        <v>-33.729999999999997</v>
      </c>
      <c r="DK4943" s="106">
        <v>-8.81</v>
      </c>
      <c r="DP4943" s="74">
        <v>-8.0950000000000006</v>
      </c>
      <c r="DT4943" s="69">
        <v>-16.824999999999999</v>
      </c>
    </row>
    <row r="4944" spans="1:241" x14ac:dyDescent="0.25">
      <c r="A4944" s="127">
        <v>45657</v>
      </c>
      <c r="B4944" s="24" t="s">
        <v>20</v>
      </c>
      <c r="C4944" s="21">
        <f t="shared" si="81"/>
        <v>-34.270000000000003</v>
      </c>
      <c r="AR4944" s="106">
        <v>-8.44</v>
      </c>
      <c r="BA4944" s="42">
        <v>-8.7200000000000006</v>
      </c>
      <c r="BY4944" s="42">
        <v>-8.1300000000000008</v>
      </c>
      <c r="CE4944" s="42">
        <v>-8.98</v>
      </c>
    </row>
    <row r="4945" spans="1:199" x14ac:dyDescent="0.25">
      <c r="A4945" s="127">
        <v>45657</v>
      </c>
      <c r="B4945" s="24" t="s">
        <v>113</v>
      </c>
      <c r="C4945" s="21">
        <f t="shared" si="81"/>
        <v>1059.9849999999999</v>
      </c>
      <c r="P4945" s="106">
        <v>68.004999999999995</v>
      </c>
      <c r="V4945" s="74">
        <v>73.305000000000007</v>
      </c>
      <c r="Z4945" s="79">
        <v>66.02</v>
      </c>
      <c r="AC4945" s="106">
        <v>68.849999999999994</v>
      </c>
      <c r="AG4945" s="106">
        <v>66.989999999999995</v>
      </c>
      <c r="AN4945" s="106">
        <v>68.010000000000005</v>
      </c>
      <c r="BC4945" s="106">
        <v>32.225000000000001</v>
      </c>
      <c r="BI4945" s="106">
        <v>63.43</v>
      </c>
      <c r="CG4945" s="106">
        <v>34.085000000000001</v>
      </c>
      <c r="CM4945" s="106">
        <v>48.594999999999999</v>
      </c>
      <c r="CY4945" s="106">
        <v>176.23500000000001</v>
      </c>
      <c r="DE4945" s="74">
        <v>148.44999999999999</v>
      </c>
      <c r="DK4945" s="106">
        <v>33.395000000000003</v>
      </c>
      <c r="DP4945" s="74">
        <v>32.085000000000001</v>
      </c>
      <c r="EG4945" s="74">
        <v>80.305000000000007</v>
      </c>
    </row>
    <row r="4946" spans="1:199" x14ac:dyDescent="0.25">
      <c r="A4946" s="127">
        <v>45657</v>
      </c>
      <c r="B4946" s="24" t="s">
        <v>113</v>
      </c>
      <c r="C4946" s="21">
        <f t="shared" si="81"/>
        <v>2067.5810000000001</v>
      </c>
      <c r="AW4946" s="106">
        <v>311.95</v>
      </c>
      <c r="BC4946" s="106">
        <v>179.41</v>
      </c>
      <c r="BI4946" s="106">
        <v>277.52999999999997</v>
      </c>
      <c r="BO4946" s="106">
        <v>128.64500000000001</v>
      </c>
      <c r="CG4946" s="106">
        <v>65.484999999999999</v>
      </c>
      <c r="CM4946" s="106">
        <v>235.785</v>
      </c>
      <c r="CS4946" s="74">
        <v>301.86500000000001</v>
      </c>
      <c r="EA4946" s="74">
        <v>65.775000000000006</v>
      </c>
      <c r="GK4946" s="79">
        <v>75.221000000000004</v>
      </c>
      <c r="GO4946" s="110">
        <v>86.35</v>
      </c>
      <c r="GQ4946" s="92">
        <v>339.565</v>
      </c>
    </row>
    <row r="4947" spans="1:199" x14ac:dyDescent="0.25">
      <c r="A4947" s="127">
        <v>45657</v>
      </c>
      <c r="B4947" s="24" t="s">
        <v>213</v>
      </c>
      <c r="C4947" s="21">
        <f t="shared" si="81"/>
        <v>-67.260000000000005</v>
      </c>
      <c r="BI4947" s="106">
        <v>-32.93</v>
      </c>
      <c r="BM4947" s="88">
        <v>-17.760000000000002</v>
      </c>
      <c r="BY4947" s="42">
        <v>-16.57</v>
      </c>
    </row>
    <row r="4948" spans="1:199" x14ac:dyDescent="0.25">
      <c r="A4948" s="127">
        <v>45657</v>
      </c>
      <c r="B4948" s="24" t="s">
        <v>184</v>
      </c>
      <c r="C4948" s="21">
        <f t="shared" si="81"/>
        <v>-163.93</v>
      </c>
      <c r="BI4948" s="106">
        <v>-65.864999999999995</v>
      </c>
      <c r="CG4948" s="106">
        <v>-34.085000000000001</v>
      </c>
      <c r="EG4948" s="74">
        <v>-63.98</v>
      </c>
    </row>
    <row r="4949" spans="1:199" x14ac:dyDescent="0.25">
      <c r="A4949" s="127">
        <v>45659</v>
      </c>
      <c r="B4949" s="24" t="s">
        <v>127</v>
      </c>
      <c r="C4949" s="21">
        <f t="shared" si="81"/>
        <v>-16.914999999999999</v>
      </c>
      <c r="BA4949" s="42">
        <v>-8.6999999999999993</v>
      </c>
      <c r="BI4949" s="106">
        <v>-8.2149999999999999</v>
      </c>
    </row>
    <row r="4950" spans="1:199" x14ac:dyDescent="0.25">
      <c r="A4950" s="127">
        <v>45659</v>
      </c>
      <c r="B4950" s="24" t="s">
        <v>212</v>
      </c>
      <c r="C4950" s="21">
        <f t="shared" si="81"/>
        <v>-62.354999999999997</v>
      </c>
      <c r="BC4950" s="106">
        <v>-7.38</v>
      </c>
      <c r="BI4950" s="106">
        <v>-16.484999999999999</v>
      </c>
      <c r="BO4950" s="106">
        <v>-17.329999999999998</v>
      </c>
      <c r="BZ4950" s="69">
        <v>-5.15</v>
      </c>
      <c r="CG4950" s="106">
        <v>-8.43</v>
      </c>
      <c r="CM4950" s="106">
        <v>-7.58</v>
      </c>
    </row>
    <row r="4951" spans="1:199" x14ac:dyDescent="0.25">
      <c r="A4951" s="127">
        <v>45659</v>
      </c>
      <c r="B4951" s="24" t="s">
        <v>53</v>
      </c>
      <c r="C4951" s="21">
        <f t="shared" si="81"/>
        <v>-845.43</v>
      </c>
      <c r="M4951" s="92">
        <v>-18.079999999999998</v>
      </c>
      <c r="Z4951" s="79">
        <v>-32.975000000000001</v>
      </c>
      <c r="AG4951" s="106">
        <v>-67.534999999999997</v>
      </c>
      <c r="AN4951" s="106">
        <v>-33.984999999999999</v>
      </c>
      <c r="AR4951" s="106">
        <v>-33.39</v>
      </c>
      <c r="AW4951" s="106">
        <v>-98.614999999999995</v>
      </c>
      <c r="BC4951" s="106">
        <v>-32.03</v>
      </c>
      <c r="BI4951" s="106">
        <v>-64.27</v>
      </c>
      <c r="BO4951" s="106">
        <v>-65.09</v>
      </c>
      <c r="BY4951" s="42">
        <v>-32.81</v>
      </c>
      <c r="CE4951" s="42">
        <v>-8.98</v>
      </c>
      <c r="CG4951" s="106">
        <f>-32.82-8.005-8.005-8.165</f>
        <v>-56.994999999999997</v>
      </c>
      <c r="CM4951" s="106">
        <v>-33.994999999999997</v>
      </c>
      <c r="CS4951" s="74">
        <v>-66.204999999999998</v>
      </c>
      <c r="CY4951" s="106">
        <v>-32.164999999999999</v>
      </c>
      <c r="DE4951" s="74">
        <v>-33.33</v>
      </c>
      <c r="DK4951" s="106">
        <v>-33.395000000000003</v>
      </c>
      <c r="DP4951" s="74">
        <v>-32.085000000000001</v>
      </c>
      <c r="DT4951" s="69">
        <v>-69.5</v>
      </c>
    </row>
    <row r="4952" spans="1:199" x14ac:dyDescent="0.25">
      <c r="A4952" s="127">
        <v>45660</v>
      </c>
      <c r="B4952" s="24" t="s">
        <v>48</v>
      </c>
      <c r="C4952" s="21">
        <f t="shared" si="81"/>
        <v>0.19</v>
      </c>
      <c r="BT4952" s="69">
        <v>-6.45</v>
      </c>
      <c r="BY4952" s="42">
        <v>66.959999999999994</v>
      </c>
      <c r="CS4952" s="74">
        <v>-67.344999999999999</v>
      </c>
      <c r="CY4952" s="106">
        <v>-62.475000000000001</v>
      </c>
      <c r="DT4952" s="69">
        <v>69.5</v>
      </c>
    </row>
    <row r="4953" spans="1:199" x14ac:dyDescent="0.25">
      <c r="A4953" s="127">
        <v>45660</v>
      </c>
      <c r="B4953" s="24" t="s">
        <v>184</v>
      </c>
      <c r="C4953" s="21">
        <f t="shared" si="81"/>
        <v>-80.03</v>
      </c>
      <c r="BC4953" s="106">
        <v>-24.364999999999998</v>
      </c>
      <c r="BI4953" s="106">
        <v>-30.795000000000002</v>
      </c>
      <c r="BN4953" s="69">
        <v>-7.55</v>
      </c>
      <c r="BO4953" s="106">
        <f>-5.595-7.975</f>
        <v>-13.57</v>
      </c>
      <c r="CF4953" s="69">
        <v>-3.75</v>
      </c>
    </row>
    <row r="4954" spans="1:199" x14ac:dyDescent="0.25">
      <c r="A4954" s="127">
        <v>45660</v>
      </c>
      <c r="B4954" s="24" t="s">
        <v>20</v>
      </c>
      <c r="C4954" s="21">
        <f t="shared" si="81"/>
        <v>-33.51</v>
      </c>
      <c r="BI4954" s="106">
        <v>-8.2100000000000009</v>
      </c>
      <c r="BO4954" s="106">
        <v>-8.68</v>
      </c>
      <c r="BU4954" s="106">
        <v>-8.4</v>
      </c>
      <c r="CM4954" s="106">
        <v>-8.2200000000000006</v>
      </c>
    </row>
    <row r="4955" spans="1:199" x14ac:dyDescent="0.25">
      <c r="A4955" s="127">
        <v>45660</v>
      </c>
      <c r="B4955" s="24" t="s">
        <v>39</v>
      </c>
      <c r="C4955" s="21">
        <f t="shared" si="81"/>
        <v>-48.545000000000002</v>
      </c>
      <c r="AC4955" s="106">
        <v>-8.625</v>
      </c>
      <c r="AN4955" s="106">
        <v>-8.5050000000000008</v>
      </c>
      <c r="BI4955" s="106">
        <v>-8.23</v>
      </c>
      <c r="BO4955" s="106">
        <v>-6.48</v>
      </c>
      <c r="BU4955" s="106">
        <v>-8.2550000000000008</v>
      </c>
      <c r="BY4955" s="42">
        <v>-8.4499999999999993</v>
      </c>
    </row>
    <row r="4956" spans="1:199" x14ac:dyDescent="0.25">
      <c r="A4956" s="127">
        <v>45660</v>
      </c>
      <c r="B4956" s="24" t="s">
        <v>139</v>
      </c>
      <c r="C4956" s="21">
        <f t="shared" si="81"/>
        <v>-8.66</v>
      </c>
      <c r="BU4956" s="106">
        <v>8.26</v>
      </c>
      <c r="CE4956" s="42">
        <v>-8.7200000000000006</v>
      </c>
      <c r="CM4956" s="106">
        <v>-8.1999999999999993</v>
      </c>
    </row>
    <row r="4957" spans="1:199" x14ac:dyDescent="0.25">
      <c r="A4957" s="127">
        <v>45660</v>
      </c>
      <c r="B4957" s="24" t="s">
        <v>192</v>
      </c>
      <c r="C4957" s="21">
        <f t="shared" si="81"/>
        <v>-16.655000000000001</v>
      </c>
      <c r="BY4957" s="42">
        <v>-8.1300000000000008</v>
      </c>
      <c r="CM4957" s="106">
        <v>-8.5250000000000004</v>
      </c>
    </row>
    <row r="4958" spans="1:199" x14ac:dyDescent="0.25">
      <c r="A4958" s="127">
        <v>45660</v>
      </c>
      <c r="B4958" s="24" t="s">
        <v>192</v>
      </c>
      <c r="C4958" s="21">
        <f t="shared" si="81"/>
        <v>-1.55</v>
      </c>
      <c r="BZ4958" s="69">
        <v>-1.55</v>
      </c>
    </row>
    <row r="4959" spans="1:199" x14ac:dyDescent="0.25">
      <c r="A4959" s="127">
        <v>45661</v>
      </c>
      <c r="B4959" s="24" t="s">
        <v>184</v>
      </c>
      <c r="C4959" s="21">
        <f t="shared" si="81"/>
        <v>-41.22</v>
      </c>
      <c r="DE4959" s="74">
        <v>-41.22</v>
      </c>
    </row>
    <row r="4960" spans="1:199" x14ac:dyDescent="0.25">
      <c r="A4960" s="127">
        <v>45663</v>
      </c>
      <c r="B4960" s="24" t="s">
        <v>83</v>
      </c>
      <c r="C4960" s="21">
        <f t="shared" si="81"/>
        <v>-1.3</v>
      </c>
      <c r="U4960" s="69">
        <v>-1.3</v>
      </c>
    </row>
    <row r="4961" spans="1:221" x14ac:dyDescent="0.25">
      <c r="A4961" s="127">
        <v>45663</v>
      </c>
      <c r="B4961" s="24" t="s">
        <v>197</v>
      </c>
      <c r="C4961" s="21">
        <f t="shared" si="81"/>
        <v>-102.92</v>
      </c>
      <c r="AN4961" s="106">
        <v>-8.5</v>
      </c>
      <c r="AR4961" s="106">
        <v>-8.3949999999999996</v>
      </c>
      <c r="AW4961" s="106">
        <v>-8.2550000000000008</v>
      </c>
      <c r="BC4961" s="106">
        <v>-8</v>
      </c>
      <c r="BI4961" s="106">
        <v>-8.19</v>
      </c>
      <c r="BO4961" s="106">
        <v>-16.495000000000001</v>
      </c>
      <c r="BU4961" s="106">
        <v>-8.26</v>
      </c>
      <c r="BY4961" s="42">
        <v>-17.579999999999998</v>
      </c>
      <c r="CE4961" s="42">
        <v>-8.99</v>
      </c>
      <c r="CF4961" s="69">
        <v>-2.1</v>
      </c>
      <c r="CM4961" s="106">
        <v>-8.1549999999999994</v>
      </c>
    </row>
    <row r="4962" spans="1:221" x14ac:dyDescent="0.25">
      <c r="A4962" s="127">
        <v>45664</v>
      </c>
      <c r="B4962" s="24" t="s">
        <v>162</v>
      </c>
      <c r="C4962" s="21">
        <f t="shared" si="81"/>
        <v>-94.93</v>
      </c>
      <c r="BC4962" s="106">
        <v>-8.58</v>
      </c>
      <c r="GO4962" s="110">
        <v>-86.35</v>
      </c>
    </row>
    <row r="4963" spans="1:221" x14ac:dyDescent="0.25">
      <c r="A4963" s="127">
        <v>45664</v>
      </c>
      <c r="B4963" s="24" t="s">
        <v>20</v>
      </c>
      <c r="C4963" s="21">
        <f t="shared" si="81"/>
        <v>-8.3000000000000007</v>
      </c>
      <c r="AV4963" s="69">
        <v>-8.3000000000000007</v>
      </c>
    </row>
    <row r="4964" spans="1:221" x14ac:dyDescent="0.25">
      <c r="A4964" s="127">
        <v>45664</v>
      </c>
      <c r="B4964" s="24" t="s">
        <v>25</v>
      </c>
      <c r="C4964" s="21">
        <f t="shared" si="81"/>
        <v>-12.24</v>
      </c>
      <c r="BY4964" s="42">
        <v>-8.44</v>
      </c>
      <c r="BZ4964" s="69">
        <v>-3.8</v>
      </c>
    </row>
    <row r="4965" spans="1:221" x14ac:dyDescent="0.25">
      <c r="A4965" s="127">
        <v>45664</v>
      </c>
      <c r="B4965" s="24" t="s">
        <v>202</v>
      </c>
      <c r="C4965" s="21">
        <f t="shared" si="81"/>
        <v>-26.71</v>
      </c>
      <c r="D4965" s="386">
        <v>-8.3800000000000008</v>
      </c>
      <c r="E4965" s="386">
        <v>-18.329999999999998</v>
      </c>
    </row>
    <row r="4966" spans="1:221" x14ac:dyDescent="0.25">
      <c r="A4966" s="127">
        <v>45665</v>
      </c>
      <c r="B4966" s="24" t="s">
        <v>137</v>
      </c>
      <c r="C4966" s="21">
        <f t="shared" si="81"/>
        <v>-33.64</v>
      </c>
      <c r="AW4966" s="106">
        <v>-8.0649999999999995</v>
      </c>
      <c r="BC4966" s="106">
        <v>-8.44</v>
      </c>
      <c r="BI4966" s="106">
        <v>-8.2449999999999992</v>
      </c>
      <c r="BM4966" s="88">
        <v>-8.89</v>
      </c>
    </row>
    <row r="4967" spans="1:221" x14ac:dyDescent="0.25">
      <c r="A4967" s="127">
        <v>45665</v>
      </c>
      <c r="B4967" s="24" t="s">
        <v>44</v>
      </c>
      <c r="C4967" s="21">
        <f t="shared" si="81"/>
        <v>-148.35499999999999</v>
      </c>
      <c r="BM4967" s="88">
        <v>-8.83</v>
      </c>
      <c r="BN4967" s="69">
        <v>-1.5</v>
      </c>
      <c r="GQ4967" s="92">
        <v>-138.02500000000001</v>
      </c>
    </row>
    <row r="4968" spans="1:221" x14ac:dyDescent="0.25">
      <c r="A4968" s="127">
        <v>45667</v>
      </c>
      <c r="B4968" s="24" t="s">
        <v>31</v>
      </c>
      <c r="C4968" s="21">
        <f t="shared" si="81"/>
        <v>-7.9550000000000001</v>
      </c>
      <c r="HM4968" s="106">
        <v>-7.9550000000000001</v>
      </c>
    </row>
    <row r="4969" spans="1:221" x14ac:dyDescent="0.25">
      <c r="A4969" s="127">
        <v>45667</v>
      </c>
      <c r="B4969" s="24" t="s">
        <v>20</v>
      </c>
      <c r="C4969" s="21">
        <f t="shared" si="81"/>
        <v>-7</v>
      </c>
      <c r="AM4969" s="69">
        <v>-7</v>
      </c>
    </row>
    <row r="4970" spans="1:221" x14ac:dyDescent="0.25">
      <c r="A4970" s="127">
        <v>45668</v>
      </c>
      <c r="B4970" s="24" t="s">
        <v>113</v>
      </c>
      <c r="C4970" s="21">
        <f t="shared" si="81"/>
        <v>781.78499999999997</v>
      </c>
      <c r="BI4970" s="106">
        <v>31.65</v>
      </c>
      <c r="BO4970" s="106">
        <v>97.2</v>
      </c>
      <c r="BU4970" s="106">
        <v>136.56</v>
      </c>
      <c r="CA4970" s="106">
        <v>102.565</v>
      </c>
      <c r="CG4970" s="106">
        <v>66.355000000000004</v>
      </c>
      <c r="DP4970" s="74">
        <v>103.91</v>
      </c>
      <c r="DU4970" s="106">
        <v>66.33</v>
      </c>
      <c r="EA4970" s="74">
        <v>80.405000000000001</v>
      </c>
      <c r="EG4970" s="74">
        <v>96.81</v>
      </c>
    </row>
    <row r="4971" spans="1:221" x14ac:dyDescent="0.25">
      <c r="A4971" s="127">
        <v>45671</v>
      </c>
      <c r="B4971" s="24" t="s">
        <v>75</v>
      </c>
      <c r="C4971" s="21">
        <f t="shared" si="81"/>
        <v>-141.02000000000001</v>
      </c>
      <c r="AC4971" s="106">
        <v>-8.5749999999999993</v>
      </c>
      <c r="AG4971" s="106">
        <v>-8.5749999999999993</v>
      </c>
      <c r="AN4971" s="106">
        <v>-8.5150000000000006</v>
      </c>
      <c r="AR4971" s="106">
        <v>-8.4849999999999994</v>
      </c>
      <c r="AW4971" s="106">
        <v>-8.17</v>
      </c>
      <c r="BC4971" s="106">
        <v>-15.89</v>
      </c>
      <c r="BI4971" s="106">
        <v>-16.27</v>
      </c>
      <c r="BO4971" s="106">
        <v>-16.035</v>
      </c>
      <c r="BU4971" s="106">
        <v>-8.64</v>
      </c>
      <c r="CA4971" s="106">
        <v>-17.100000000000001</v>
      </c>
      <c r="CG4971" s="106">
        <v>-16.524999999999999</v>
      </c>
      <c r="CM4971" s="106">
        <v>-8.24</v>
      </c>
    </row>
    <row r="4972" spans="1:221" x14ac:dyDescent="0.25">
      <c r="A4972" s="127">
        <v>45671</v>
      </c>
      <c r="B4972" s="24" t="s">
        <v>20</v>
      </c>
      <c r="C4972" s="21">
        <f t="shared" si="81"/>
        <v>-25.13</v>
      </c>
      <c r="BC4972" s="106">
        <v>-8.08</v>
      </c>
      <c r="BU4972" s="106">
        <v>-8.6950000000000003</v>
      </c>
      <c r="CG4972" s="106">
        <v>-8.3550000000000004</v>
      </c>
    </row>
    <row r="4973" spans="1:221" x14ac:dyDescent="0.25">
      <c r="A4973" s="127">
        <v>45671</v>
      </c>
      <c r="B4973" s="24" t="s">
        <v>68</v>
      </c>
      <c r="C4973" s="21">
        <f t="shared" si="81"/>
        <v>-34.155000000000001</v>
      </c>
      <c r="BU4973" s="106">
        <v>-34.155000000000001</v>
      </c>
    </row>
    <row r="4974" spans="1:221" x14ac:dyDescent="0.25">
      <c r="A4974" s="127">
        <v>45671</v>
      </c>
      <c r="B4974" s="24" t="s">
        <v>25</v>
      </c>
      <c r="C4974" s="21">
        <f t="shared" si="81"/>
        <v>-16.68</v>
      </c>
      <c r="CG4974" s="106">
        <v>-16.68</v>
      </c>
    </row>
    <row r="4975" spans="1:221" x14ac:dyDescent="0.25">
      <c r="A4975" s="127">
        <v>45672</v>
      </c>
      <c r="B4975" s="24" t="s">
        <v>133</v>
      </c>
      <c r="C4975" s="21">
        <f t="shared" si="81"/>
        <v>-167.1</v>
      </c>
      <c r="AR4975" s="106">
        <v>-33.555</v>
      </c>
      <c r="BI4975" s="106">
        <v>-32.854999999999997</v>
      </c>
      <c r="BU4975" s="106">
        <v>-17.3</v>
      </c>
      <c r="CA4975" s="106">
        <v>-17.13</v>
      </c>
      <c r="CS4975" s="74">
        <v>-33.630000000000003</v>
      </c>
      <c r="DE4975" s="74">
        <v>-32.630000000000003</v>
      </c>
    </row>
    <row r="4976" spans="1:221" x14ac:dyDescent="0.25">
      <c r="A4976" s="127">
        <v>45672</v>
      </c>
      <c r="B4976" s="24" t="s">
        <v>184</v>
      </c>
      <c r="C4976" s="21">
        <f t="shared" si="81"/>
        <v>-82.915000000000006</v>
      </c>
      <c r="AN4976" s="106">
        <v>-7.9550000000000001</v>
      </c>
      <c r="AR4976" s="106">
        <v>-8.4649999999999999</v>
      </c>
      <c r="BI4976" s="106">
        <v>-15.565</v>
      </c>
      <c r="BU4976" s="106">
        <v>-16.79</v>
      </c>
      <c r="CA4976" s="106">
        <v>-17.09</v>
      </c>
      <c r="CM4976" s="106">
        <v>-17.05</v>
      </c>
    </row>
    <row r="4977" spans="1:199" x14ac:dyDescent="0.25">
      <c r="A4977" s="127">
        <v>45672</v>
      </c>
      <c r="B4977" s="24" t="s">
        <v>184</v>
      </c>
      <c r="C4977" s="21">
        <f t="shared" ref="C4977:C5040" si="82">SUM(D4977:JT4977)</f>
        <v>-32.880000000000003</v>
      </c>
      <c r="DE4977" s="74">
        <v>-32.880000000000003</v>
      </c>
    </row>
    <row r="4978" spans="1:199" x14ac:dyDescent="0.25">
      <c r="A4978" s="127">
        <v>45672</v>
      </c>
      <c r="B4978" s="24" t="s">
        <v>193</v>
      </c>
      <c r="C4978" s="21">
        <f t="shared" si="82"/>
        <v>-8.5299999999999994</v>
      </c>
      <c r="CA4978" s="106">
        <v>-8.5299999999999994</v>
      </c>
    </row>
    <row r="4979" spans="1:199" x14ac:dyDescent="0.25">
      <c r="A4979" s="127">
        <v>45673</v>
      </c>
      <c r="B4979" s="24" t="s">
        <v>139</v>
      </c>
      <c r="C4979" s="21">
        <f t="shared" si="82"/>
        <v>-43.034999999999997</v>
      </c>
      <c r="CY4979" s="106">
        <v>-8.4649999999999999</v>
      </c>
      <c r="DE4979" s="74">
        <v>-8.39</v>
      </c>
      <c r="DK4979" s="106">
        <v>-26.18</v>
      </c>
    </row>
    <row r="4980" spans="1:199" x14ac:dyDescent="0.25">
      <c r="A4980" s="127">
        <v>45673</v>
      </c>
      <c r="B4980" s="24" t="s">
        <v>184</v>
      </c>
      <c r="C4980" s="21">
        <f t="shared" si="82"/>
        <v>-14.87</v>
      </c>
      <c r="V4980" s="74">
        <f>-7.43-7.44</f>
        <v>-14.87</v>
      </c>
    </row>
    <row r="4981" spans="1:199" x14ac:dyDescent="0.25">
      <c r="A4981" s="127">
        <v>45674</v>
      </c>
      <c r="B4981" s="24" t="s">
        <v>33</v>
      </c>
      <c r="C4981" s="21">
        <f t="shared" si="82"/>
        <v>-32.244999999999997</v>
      </c>
      <c r="AC4981" s="106">
        <v>-8.6050000000000004</v>
      </c>
      <c r="BC4981" s="106">
        <v>-7.7</v>
      </c>
      <c r="BI4981" s="106">
        <v>-8.0399999999999991</v>
      </c>
      <c r="BO4981" s="106">
        <v>-7.9</v>
      </c>
    </row>
    <row r="4982" spans="1:199" x14ac:dyDescent="0.25">
      <c r="A4982" s="127">
        <v>45674</v>
      </c>
      <c r="B4982" s="24" t="s">
        <v>20</v>
      </c>
      <c r="C4982" s="21">
        <f t="shared" si="82"/>
        <v>-8.5549999999999997</v>
      </c>
      <c r="CA4982" s="106">
        <v>-8.5549999999999997</v>
      </c>
    </row>
    <row r="4983" spans="1:199" x14ac:dyDescent="0.25">
      <c r="A4983" s="127">
        <v>45674</v>
      </c>
      <c r="B4983" s="24" t="s">
        <v>75</v>
      </c>
      <c r="C4983" s="21">
        <f t="shared" si="82"/>
        <v>-139.33500000000001</v>
      </c>
      <c r="V4983" s="74">
        <v>-6.86</v>
      </c>
      <c r="Z4983" s="79">
        <v>-8.23</v>
      </c>
      <c r="AN4983" s="106">
        <v>-8.14</v>
      </c>
      <c r="AR4983" s="106">
        <v>-8.4250000000000007</v>
      </c>
      <c r="AW4983" s="106">
        <v>-8.08</v>
      </c>
      <c r="BC4983" s="106">
        <v>-16.899999999999999</v>
      </c>
      <c r="BI4983" s="106">
        <v>-8.0449999999999999</v>
      </c>
      <c r="BO4983" s="106">
        <v>-16.059999999999999</v>
      </c>
      <c r="BU4983" s="106">
        <v>-8.15</v>
      </c>
      <c r="CA4983" s="106">
        <v>-17.12</v>
      </c>
      <c r="CG4983" s="106">
        <v>-8.33</v>
      </c>
      <c r="CM4983" s="106">
        <v>-16.96</v>
      </c>
      <c r="CY4983" s="106">
        <v>-8.0350000000000001</v>
      </c>
    </row>
    <row r="4984" spans="1:199" x14ac:dyDescent="0.25">
      <c r="A4984" s="127">
        <v>45674</v>
      </c>
      <c r="B4984" s="24" t="s">
        <v>197</v>
      </c>
      <c r="C4984" s="21">
        <f t="shared" si="82"/>
        <v>-91.295000000000002</v>
      </c>
      <c r="BI4984" s="106">
        <v>-16.405000000000001</v>
      </c>
      <c r="CA4984" s="106">
        <v>-8.5549999999999997</v>
      </c>
      <c r="CG4984" s="106">
        <v>-16.465</v>
      </c>
      <c r="CM4984" s="106">
        <v>-17.03</v>
      </c>
      <c r="CY4984" s="106">
        <v>-16.195</v>
      </c>
      <c r="DE4984" s="74">
        <v>-16.645</v>
      </c>
    </row>
    <row r="4985" spans="1:199" x14ac:dyDescent="0.25">
      <c r="A4985" s="127">
        <v>45674</v>
      </c>
      <c r="B4985" s="24" t="s">
        <v>213</v>
      </c>
      <c r="C4985" s="21">
        <f t="shared" si="82"/>
        <v>-26.43</v>
      </c>
      <c r="M4985" s="92">
        <v>-9.34</v>
      </c>
      <c r="P4985" s="106">
        <v>-8.4749999999999996</v>
      </c>
      <c r="AC4985" s="106">
        <v>-8.6150000000000002</v>
      </c>
    </row>
    <row r="4986" spans="1:199" x14ac:dyDescent="0.25">
      <c r="A4986" s="127">
        <v>45674</v>
      </c>
      <c r="B4986" s="24" t="s">
        <v>213</v>
      </c>
      <c r="C4986" s="21">
        <f t="shared" si="82"/>
        <v>-141.08000000000001</v>
      </c>
      <c r="BI4986" s="106">
        <v>-24.344999999999999</v>
      </c>
      <c r="BO4986" s="106">
        <v>-57.204999999999998</v>
      </c>
      <c r="BU4986" s="106">
        <v>-34.045000000000002</v>
      </c>
      <c r="CM4986" s="106">
        <v>-25.484999999999999</v>
      </c>
    </row>
    <row r="4987" spans="1:199" x14ac:dyDescent="0.25">
      <c r="A4987" s="127">
        <v>45677</v>
      </c>
      <c r="B4987" s="24" t="s">
        <v>127</v>
      </c>
      <c r="C4987" s="21">
        <f t="shared" si="82"/>
        <v>-11.85</v>
      </c>
      <c r="BH4987" s="69">
        <v>-7</v>
      </c>
      <c r="BN4987" s="69">
        <v>-4.8499999999999996</v>
      </c>
    </row>
    <row r="4988" spans="1:199" x14ac:dyDescent="0.25">
      <c r="A4988" s="127">
        <v>45678</v>
      </c>
      <c r="B4988" s="24" t="s">
        <v>75</v>
      </c>
      <c r="C4988" s="21">
        <f t="shared" si="82"/>
        <v>-1.1100000000000001</v>
      </c>
      <c r="V4988" s="74">
        <v>-1.1100000000000001</v>
      </c>
    </row>
    <row r="4989" spans="1:199" x14ac:dyDescent="0.25">
      <c r="A4989" s="127">
        <v>45678</v>
      </c>
      <c r="B4989" s="24" t="s">
        <v>203</v>
      </c>
      <c r="C4989" s="21">
        <f t="shared" si="82"/>
        <v>140.03</v>
      </c>
      <c r="DA4989" s="126">
        <v>16.920000000000002</v>
      </c>
      <c r="DG4989" s="126">
        <v>7.67</v>
      </c>
      <c r="EC4989" s="126">
        <v>8.83</v>
      </c>
      <c r="EM4989" s="150">
        <v>25.78</v>
      </c>
      <c r="EQ4989" s="46">
        <v>40.409999999999997</v>
      </c>
      <c r="EU4989" s="126">
        <v>40.42</v>
      </c>
    </row>
    <row r="4990" spans="1:199" x14ac:dyDescent="0.25">
      <c r="A4990" s="127">
        <v>45678</v>
      </c>
      <c r="B4990" s="24" t="s">
        <v>152</v>
      </c>
      <c r="C4990" s="21">
        <f t="shared" si="82"/>
        <v>-68.540000000000006</v>
      </c>
      <c r="EN4990" s="42">
        <v>-35.130000000000003</v>
      </c>
      <c r="EU4990" s="126">
        <v>-33.409999999999997</v>
      </c>
    </row>
    <row r="4991" spans="1:199" x14ac:dyDescent="0.25">
      <c r="A4991" s="127">
        <v>45678</v>
      </c>
      <c r="B4991" s="24" t="s">
        <v>213</v>
      </c>
      <c r="C4991" s="21">
        <f t="shared" si="82"/>
        <v>-6.16</v>
      </c>
      <c r="I4991" s="84">
        <v>-6.16</v>
      </c>
    </row>
    <row r="4992" spans="1:199" x14ac:dyDescent="0.25">
      <c r="A4992" s="127">
        <v>45679</v>
      </c>
      <c r="B4992" s="24" t="s">
        <v>44</v>
      </c>
      <c r="C4992" s="21">
        <f t="shared" si="82"/>
        <v>-172.97499999999999</v>
      </c>
      <c r="GQ4992" s="92">
        <v>-172.97499999999999</v>
      </c>
    </row>
    <row r="4993" spans="1:216" x14ac:dyDescent="0.25">
      <c r="A4993" s="127">
        <v>45679</v>
      </c>
      <c r="B4993" s="24" t="s">
        <v>193</v>
      </c>
      <c r="C4993" s="21">
        <f t="shared" si="82"/>
        <v>-12.85</v>
      </c>
      <c r="O4993" s="375">
        <v>-0.8</v>
      </c>
      <c r="CS4993" s="74">
        <v>-8.15</v>
      </c>
      <c r="CZ4993" s="121">
        <v>-1</v>
      </c>
      <c r="DD4993" s="69">
        <v>-2.9</v>
      </c>
    </row>
    <row r="4994" spans="1:216" x14ac:dyDescent="0.25">
      <c r="A4994" s="127">
        <v>45679</v>
      </c>
      <c r="B4994" s="24" t="s">
        <v>213</v>
      </c>
      <c r="C4994" s="21">
        <f t="shared" si="82"/>
        <v>-65.834999999999994</v>
      </c>
      <c r="AW4994" s="106">
        <v>-16.43</v>
      </c>
      <c r="CS4994" s="74">
        <v>-25.184999999999999</v>
      </c>
      <c r="CY4994" s="106">
        <v>-24.22</v>
      </c>
    </row>
    <row r="4995" spans="1:216" x14ac:dyDescent="0.25">
      <c r="A4995" s="127">
        <v>45680</v>
      </c>
      <c r="B4995" s="24" t="s">
        <v>152</v>
      </c>
      <c r="C4995" s="21">
        <f t="shared" si="82"/>
        <v>-361.09500000000003</v>
      </c>
      <c r="BC4995" s="106">
        <v>-66.150000000000006</v>
      </c>
      <c r="CS4995" s="74">
        <v>-66.765000000000001</v>
      </c>
      <c r="CY4995" s="106">
        <v>-24.68</v>
      </c>
      <c r="DA4995" s="126">
        <v>-8.69</v>
      </c>
      <c r="DD4995" s="69">
        <v>-8.2750000000000004</v>
      </c>
      <c r="DG4995" s="126">
        <v>-7.67</v>
      </c>
      <c r="EA4995" s="74">
        <v>-162.5</v>
      </c>
      <c r="HD4995" s="92">
        <v>-8.02</v>
      </c>
      <c r="HH4995" s="106">
        <v>-8.3450000000000006</v>
      </c>
    </row>
    <row r="4996" spans="1:216" x14ac:dyDescent="0.25">
      <c r="A4996" s="127">
        <v>45681</v>
      </c>
      <c r="B4996" s="24" t="s">
        <v>212</v>
      </c>
      <c r="C4996" s="21">
        <f t="shared" si="82"/>
        <v>-25.414999999999999</v>
      </c>
      <c r="CM4996" s="106">
        <v>-8.5500000000000007</v>
      </c>
      <c r="CS4996" s="74">
        <v>-16.864999999999998</v>
      </c>
    </row>
    <row r="4997" spans="1:216" x14ac:dyDescent="0.25">
      <c r="A4997" s="127">
        <v>45681</v>
      </c>
      <c r="B4997" s="24" t="s">
        <v>113</v>
      </c>
      <c r="C4997" s="21">
        <f t="shared" si="82"/>
        <v>658.04499999999996</v>
      </c>
      <c r="BI4997" s="106">
        <v>28.18</v>
      </c>
      <c r="BO4997" s="106">
        <v>65.795000000000002</v>
      </c>
      <c r="BU4997" s="106">
        <v>137.99</v>
      </c>
      <c r="CA4997" s="106">
        <v>146.23500000000001</v>
      </c>
      <c r="CG4997" s="106">
        <v>33.869999999999997</v>
      </c>
      <c r="EA4997" s="74">
        <v>178.86500000000001</v>
      </c>
      <c r="EL4997" s="106">
        <v>67.11</v>
      </c>
    </row>
    <row r="4998" spans="1:216" x14ac:dyDescent="0.25">
      <c r="A4998" s="127">
        <v>45681</v>
      </c>
      <c r="B4998" s="24" t="s">
        <v>113</v>
      </c>
      <c r="C4998" s="21">
        <f t="shared" si="82"/>
        <v>199.38499999999999</v>
      </c>
      <c r="BI4998" s="106">
        <v>62.204999999999998</v>
      </c>
      <c r="EL4998" s="106">
        <v>33.950000000000003</v>
      </c>
      <c r="GO4998" s="110">
        <v>103.23</v>
      </c>
    </row>
    <row r="4999" spans="1:216" x14ac:dyDescent="0.25">
      <c r="A4999" s="127">
        <v>45681</v>
      </c>
      <c r="B4999" s="24" t="s">
        <v>17</v>
      </c>
      <c r="C4999" s="21">
        <f t="shared" si="82"/>
        <v>-16.045000000000002</v>
      </c>
      <c r="BI4999" s="106">
        <v>-8.0649999999999995</v>
      </c>
      <c r="BO4999" s="106">
        <v>-7.98</v>
      </c>
    </row>
    <row r="5000" spans="1:216" x14ac:dyDescent="0.25">
      <c r="A5000" s="127">
        <v>45684</v>
      </c>
      <c r="B5000" s="24" t="s">
        <v>217</v>
      </c>
      <c r="C5000" s="21">
        <f t="shared" si="82"/>
        <v>-3.7</v>
      </c>
      <c r="P5000" s="106">
        <v>-1.3</v>
      </c>
      <c r="AB5000" s="69">
        <v>-2.4</v>
      </c>
    </row>
    <row r="5001" spans="1:216" x14ac:dyDescent="0.25">
      <c r="A5001" s="127">
        <v>45684</v>
      </c>
      <c r="B5001" s="24" t="s">
        <v>24</v>
      </c>
      <c r="C5001" s="21">
        <f t="shared" si="82"/>
        <v>-7.42</v>
      </c>
      <c r="V5001" s="74">
        <v>-7.42</v>
      </c>
    </row>
    <row r="5002" spans="1:216" x14ac:dyDescent="0.25">
      <c r="A5002" s="127">
        <v>45685</v>
      </c>
      <c r="B5002" s="24" t="s">
        <v>127</v>
      </c>
      <c r="C5002" s="21">
        <f t="shared" si="82"/>
        <v>-7.41</v>
      </c>
      <c r="BI5002" s="106">
        <v>-7.41</v>
      </c>
    </row>
    <row r="5003" spans="1:216" x14ac:dyDescent="0.25">
      <c r="A5003" s="127">
        <v>45685</v>
      </c>
      <c r="B5003" s="24" t="s">
        <v>79</v>
      </c>
      <c r="C5003" s="21">
        <f t="shared" si="82"/>
        <v>-7.97</v>
      </c>
      <c r="BO5003" s="106">
        <v>-7.97</v>
      </c>
    </row>
    <row r="5004" spans="1:216" x14ac:dyDescent="0.25">
      <c r="A5004" s="127">
        <v>45685</v>
      </c>
      <c r="B5004" s="24" t="s">
        <v>188</v>
      </c>
      <c r="C5004" s="21">
        <f t="shared" si="82"/>
        <v>-7.8449999999999998</v>
      </c>
      <c r="BI5004" s="106">
        <v>-7.8449999999999998</v>
      </c>
    </row>
    <row r="5005" spans="1:216" x14ac:dyDescent="0.25">
      <c r="A5005" s="127">
        <v>45685</v>
      </c>
      <c r="B5005" s="24" t="s">
        <v>138</v>
      </c>
      <c r="C5005" s="21">
        <f t="shared" si="82"/>
        <v>-41.34</v>
      </c>
      <c r="AC5005" s="106">
        <v>-8.61</v>
      </c>
      <c r="AG5005" s="106">
        <v>-8.57</v>
      </c>
      <c r="AN5005" s="106">
        <v>-8.1349999999999998</v>
      </c>
      <c r="AW5005" s="106">
        <v>-8.19</v>
      </c>
      <c r="BI5005" s="106">
        <v>-7.835</v>
      </c>
    </row>
    <row r="5006" spans="1:216" x14ac:dyDescent="0.25">
      <c r="A5006" s="127">
        <v>45685</v>
      </c>
      <c r="B5006" s="24" t="s">
        <v>180</v>
      </c>
      <c r="C5006" s="21">
        <f t="shared" si="82"/>
        <v>-103.23</v>
      </c>
      <c r="GO5006" s="110">
        <v>-103.23</v>
      </c>
    </row>
    <row r="5007" spans="1:216" x14ac:dyDescent="0.25">
      <c r="A5007" s="127">
        <v>45685</v>
      </c>
      <c r="B5007" s="24" t="s">
        <v>20</v>
      </c>
      <c r="C5007" s="21">
        <f t="shared" si="82"/>
        <v>-8.1199999999999992</v>
      </c>
      <c r="BI5007" s="106">
        <v>-8.1199999999999992</v>
      </c>
    </row>
    <row r="5008" spans="1:216" x14ac:dyDescent="0.25">
      <c r="A5008" s="127">
        <v>45685</v>
      </c>
      <c r="B5008" s="24" t="s">
        <v>197</v>
      </c>
      <c r="C5008" s="21">
        <f t="shared" si="82"/>
        <v>-162.41499999999999</v>
      </c>
      <c r="DK5008" s="106">
        <v>-8.6449999999999996</v>
      </c>
      <c r="DP5008" s="74">
        <v>-86.58</v>
      </c>
      <c r="DU5008" s="106">
        <v>-33.28</v>
      </c>
      <c r="EA5008" s="74">
        <v>-33.909999999999997</v>
      </c>
    </row>
    <row r="5009" spans="1:230" x14ac:dyDescent="0.25">
      <c r="A5009" s="127">
        <v>45686</v>
      </c>
      <c r="B5009" s="24" t="s">
        <v>50</v>
      </c>
      <c r="C5009" s="21">
        <f t="shared" si="82"/>
        <v>-119.13500000000001</v>
      </c>
      <c r="EL5009" s="106">
        <v>-67.665000000000006</v>
      </c>
      <c r="HV5009" s="92">
        <v>-51.47</v>
      </c>
    </row>
    <row r="5010" spans="1:230" x14ac:dyDescent="0.25">
      <c r="A5010" s="127">
        <v>45686</v>
      </c>
      <c r="B5010" s="24" t="s">
        <v>184</v>
      </c>
      <c r="C5010" s="21">
        <f t="shared" si="82"/>
        <v>-164.095</v>
      </c>
      <c r="AW5010" s="106">
        <v>-8.3550000000000004</v>
      </c>
      <c r="BI5010" s="106">
        <v>-31.074999999999999</v>
      </c>
      <c r="BO5010" s="106">
        <v>-25.315000000000001</v>
      </c>
      <c r="BU5010" s="106">
        <v>-33.07</v>
      </c>
      <c r="CA5010" s="106">
        <v>-32.405000000000001</v>
      </c>
      <c r="CM5010" s="106">
        <v>-25.504999999999999</v>
      </c>
      <c r="CS5010" s="74">
        <v>-8.3699999999999992</v>
      </c>
    </row>
    <row r="5011" spans="1:230" x14ac:dyDescent="0.25">
      <c r="A5011" s="127">
        <v>45686</v>
      </c>
      <c r="B5011" s="24" t="s">
        <v>133</v>
      </c>
      <c r="C5011" s="21">
        <f t="shared" si="82"/>
        <v>-86.39</v>
      </c>
      <c r="AN5011" s="106">
        <v>-34.024999999999999</v>
      </c>
      <c r="BU5011" s="106">
        <v>-52.365000000000002</v>
      </c>
    </row>
    <row r="5012" spans="1:230" x14ac:dyDescent="0.25">
      <c r="A5012" s="127">
        <v>45686</v>
      </c>
      <c r="B5012" s="24" t="s">
        <v>213</v>
      </c>
      <c r="C5012" s="21">
        <f t="shared" si="82"/>
        <v>-31.855</v>
      </c>
      <c r="CA5012" s="106">
        <v>-31.855</v>
      </c>
    </row>
    <row r="5013" spans="1:230" x14ac:dyDescent="0.25">
      <c r="A5013" s="127">
        <v>45686</v>
      </c>
      <c r="B5013" s="24" t="s">
        <v>213</v>
      </c>
      <c r="C5013" s="21">
        <f t="shared" si="82"/>
        <v>-99.224999999999994</v>
      </c>
      <c r="BC5013" s="106">
        <v>-16.614999999999998</v>
      </c>
      <c r="BU5013" s="106">
        <v>-17.324999999999999</v>
      </c>
      <c r="CG5013" s="106">
        <v>-25.355</v>
      </c>
      <c r="DA5013" s="126">
        <v>-9.23</v>
      </c>
      <c r="DD5013" s="69">
        <v>-5.8</v>
      </c>
      <c r="DK5013" s="106">
        <v>-24.9</v>
      </c>
    </row>
    <row r="5014" spans="1:230" x14ac:dyDescent="0.25">
      <c r="A5014" s="127">
        <v>45686</v>
      </c>
      <c r="B5014" s="24" t="s">
        <v>115</v>
      </c>
      <c r="C5014" s="21">
        <f t="shared" si="82"/>
        <v>106.82</v>
      </c>
      <c r="E5014" s="386">
        <v>74.594999999999999</v>
      </c>
      <c r="F5014" s="145">
        <v>32.225000000000001</v>
      </c>
    </row>
    <row r="5015" spans="1:230" x14ac:dyDescent="0.25">
      <c r="A5015" s="127">
        <v>45686</v>
      </c>
      <c r="B5015" s="24" t="s">
        <v>48</v>
      </c>
      <c r="C5015" s="21">
        <f t="shared" si="82"/>
        <v>-64.12</v>
      </c>
      <c r="CA5015" s="106">
        <v>-31.66</v>
      </c>
      <c r="CM5015" s="106">
        <v>-32.46</v>
      </c>
    </row>
    <row r="5016" spans="1:230" x14ac:dyDescent="0.25">
      <c r="A5016" s="127">
        <v>45687</v>
      </c>
      <c r="B5016" s="24" t="s">
        <v>31</v>
      </c>
      <c r="C5016" s="21">
        <f t="shared" si="82"/>
        <v>-15.555</v>
      </c>
      <c r="V5016" s="74">
        <v>-6.9249999999999998</v>
      </c>
      <c r="Z5016" s="79">
        <v>-8.6300000000000008</v>
      </c>
    </row>
    <row r="5017" spans="1:230" x14ac:dyDescent="0.25">
      <c r="A5017" s="127">
        <v>45687</v>
      </c>
      <c r="B5017" s="24" t="s">
        <v>169</v>
      </c>
      <c r="C5017" s="21">
        <f t="shared" si="82"/>
        <v>-69.545000000000002</v>
      </c>
      <c r="E5017" s="386">
        <v>-37.32</v>
      </c>
      <c r="F5017" s="145">
        <v>-32.225000000000001</v>
      </c>
    </row>
    <row r="5018" spans="1:230" x14ac:dyDescent="0.25">
      <c r="A5018" s="127">
        <v>45687</v>
      </c>
      <c r="B5018" s="24" t="s">
        <v>202</v>
      </c>
      <c r="C5018" s="21">
        <f t="shared" si="82"/>
        <v>-36.42</v>
      </c>
      <c r="D5018" s="386">
        <v>-8.35</v>
      </c>
      <c r="E5018" s="386">
        <v>-28.07</v>
      </c>
    </row>
    <row r="5019" spans="1:230" x14ac:dyDescent="0.25">
      <c r="A5019" s="127">
        <v>45687</v>
      </c>
      <c r="B5019" s="24" t="s">
        <v>20</v>
      </c>
      <c r="C5019" s="21">
        <f t="shared" si="82"/>
        <v>-16.145</v>
      </c>
      <c r="AW5019" s="106">
        <v>-8.1999999999999993</v>
      </c>
      <c r="BI5019" s="106">
        <v>-7.9450000000000003</v>
      </c>
    </row>
    <row r="5020" spans="1:230" x14ac:dyDescent="0.25">
      <c r="A5020" s="127">
        <v>45688</v>
      </c>
      <c r="B5020" s="24" t="s">
        <v>138</v>
      </c>
      <c r="C5020" s="21">
        <f t="shared" si="82"/>
        <v>-7</v>
      </c>
      <c r="BI5020" s="106">
        <v>-7</v>
      </c>
    </row>
    <row r="5021" spans="1:230" x14ac:dyDescent="0.25">
      <c r="A5021" s="127">
        <v>45688</v>
      </c>
      <c r="B5021" s="24" t="s">
        <v>192</v>
      </c>
      <c r="C5021" s="21">
        <f t="shared" si="82"/>
        <v>-8.1549999999999994</v>
      </c>
      <c r="CA5021" s="106">
        <v>-8.1549999999999994</v>
      </c>
    </row>
    <row r="5022" spans="1:230" x14ac:dyDescent="0.25">
      <c r="A5022" s="127">
        <v>45688</v>
      </c>
      <c r="B5022" s="24" t="s">
        <v>25</v>
      </c>
      <c r="C5022" s="21">
        <f t="shared" si="82"/>
        <v>-129.66499999999999</v>
      </c>
      <c r="BI5022" s="106">
        <v>-21.85</v>
      </c>
      <c r="BO5022" s="106">
        <v>-25.97</v>
      </c>
      <c r="BU5022" s="106">
        <v>-24.954999999999998</v>
      </c>
      <c r="CA5022" s="106">
        <v>-14.89</v>
      </c>
      <c r="CG5022" s="106">
        <v>-24.92</v>
      </c>
      <c r="CM5022" s="106">
        <v>-17.079999999999998</v>
      </c>
    </row>
    <row r="5023" spans="1:230" x14ac:dyDescent="0.25">
      <c r="A5023" s="127">
        <v>45688</v>
      </c>
      <c r="B5023" s="24" t="s">
        <v>127</v>
      </c>
      <c r="C5023" s="21">
        <f t="shared" si="82"/>
        <v>-5.28</v>
      </c>
      <c r="V5023" s="74">
        <v>-5.28</v>
      </c>
    </row>
    <row r="5024" spans="1:230" x14ac:dyDescent="0.25">
      <c r="A5024" s="127">
        <v>45688</v>
      </c>
      <c r="B5024" s="24" t="s">
        <v>184</v>
      </c>
      <c r="C5024" s="21">
        <f t="shared" si="82"/>
        <v>-47.87</v>
      </c>
      <c r="AC5024" s="106">
        <v>-17.215</v>
      </c>
      <c r="CA5024" s="106">
        <v>-30.655000000000001</v>
      </c>
    </row>
    <row r="5025" spans="1:231" x14ac:dyDescent="0.25">
      <c r="A5025" s="127">
        <v>45688</v>
      </c>
      <c r="B5025" s="24" t="s">
        <v>213</v>
      </c>
      <c r="C5025" s="21">
        <f t="shared" si="82"/>
        <v>-7.7450000000000001</v>
      </c>
      <c r="AC5025" s="106">
        <v>-7.7450000000000001</v>
      </c>
    </row>
    <row r="5026" spans="1:231" x14ac:dyDescent="0.25">
      <c r="A5026" s="127">
        <v>45688</v>
      </c>
      <c r="B5026" s="24" t="s">
        <v>213</v>
      </c>
      <c r="C5026" s="21">
        <f t="shared" si="82"/>
        <v>-23.805</v>
      </c>
      <c r="AC5026" s="106">
        <v>-8.58</v>
      </c>
      <c r="AN5026" s="106">
        <v>-8.1750000000000007</v>
      </c>
      <c r="AR5026" s="106">
        <v>-7.05</v>
      </c>
    </row>
    <row r="5027" spans="1:231" x14ac:dyDescent="0.25">
      <c r="A5027" s="127">
        <v>45688</v>
      </c>
      <c r="B5027" s="24" t="s">
        <v>113</v>
      </c>
      <c r="C5027" s="21">
        <f t="shared" si="82"/>
        <v>902.55499999999995</v>
      </c>
      <c r="BI5027" s="106">
        <v>149.55000000000001</v>
      </c>
      <c r="BO5027" s="106">
        <v>103.4</v>
      </c>
      <c r="BU5027" s="106">
        <v>101.13500000000001</v>
      </c>
      <c r="CA5027" s="106">
        <v>107.67</v>
      </c>
      <c r="CG5027" s="106">
        <f>143.535+92.88</f>
        <v>236.41499999999999</v>
      </c>
      <c r="DU5027" s="106">
        <v>101.93</v>
      </c>
      <c r="EG5027" s="74">
        <v>102.455</v>
      </c>
    </row>
    <row r="5028" spans="1:231" x14ac:dyDescent="0.25">
      <c r="A5028" s="127">
        <v>45691</v>
      </c>
      <c r="B5028" s="24" t="s">
        <v>188</v>
      </c>
      <c r="C5028" s="21">
        <f t="shared" si="82"/>
        <v>-15.455</v>
      </c>
      <c r="BO5028" s="106">
        <v>-8.4450000000000003</v>
      </c>
      <c r="BU5028" s="106">
        <v>-7.01</v>
      </c>
    </row>
    <row r="5029" spans="1:231" x14ac:dyDescent="0.25">
      <c r="A5029" s="127">
        <v>45691</v>
      </c>
      <c r="B5029" s="24" t="s">
        <v>212</v>
      </c>
      <c r="C5029" s="21">
        <f t="shared" si="82"/>
        <v>-8.5749999999999993</v>
      </c>
      <c r="CA5029" s="106">
        <v>-8.5749999999999993</v>
      </c>
    </row>
    <row r="5030" spans="1:231" x14ac:dyDescent="0.25">
      <c r="A5030" s="127">
        <v>45692</v>
      </c>
      <c r="B5030" s="24" t="s">
        <v>162</v>
      </c>
      <c r="C5030" s="21">
        <f t="shared" si="82"/>
        <v>-176.52500000000001</v>
      </c>
      <c r="V5030" s="74">
        <v>-7.4349999999999996</v>
      </c>
      <c r="AC5030" s="106">
        <v>-17.145</v>
      </c>
      <c r="AG5030" s="106">
        <v>-16.975000000000001</v>
      </c>
      <c r="AW5030" s="106">
        <v>-32.770000000000003</v>
      </c>
      <c r="BI5030" s="106">
        <v>-32.42</v>
      </c>
      <c r="BO5030" s="106">
        <v>-34.94</v>
      </c>
      <c r="CG5030" s="106">
        <v>-34.840000000000003</v>
      </c>
    </row>
    <row r="5031" spans="1:231" x14ac:dyDescent="0.25">
      <c r="A5031" s="127">
        <v>45692</v>
      </c>
      <c r="B5031" s="24" t="s">
        <v>115</v>
      </c>
      <c r="C5031" s="21">
        <f t="shared" si="82"/>
        <v>43.84</v>
      </c>
      <c r="G5031" s="145">
        <v>43.84</v>
      </c>
    </row>
    <row r="5032" spans="1:231" x14ac:dyDescent="0.25">
      <c r="A5032" s="127">
        <v>45692</v>
      </c>
      <c r="B5032" s="24" t="s">
        <v>20</v>
      </c>
      <c r="C5032" s="21">
        <f t="shared" si="82"/>
        <v>-8.84</v>
      </c>
      <c r="P5032" s="106">
        <v>-7.19</v>
      </c>
      <c r="BB5032" s="69">
        <v>-1.65</v>
      </c>
    </row>
    <row r="5033" spans="1:231" x14ac:dyDescent="0.25">
      <c r="A5033" s="127">
        <v>45692</v>
      </c>
      <c r="B5033" s="24" t="s">
        <v>192</v>
      </c>
      <c r="C5033" s="21">
        <f t="shared" si="82"/>
        <v>-40.03</v>
      </c>
      <c r="CA5033" s="106">
        <v>-31.03</v>
      </c>
      <c r="CG5033" s="106">
        <v>-9</v>
      </c>
    </row>
    <row r="5034" spans="1:231" x14ac:dyDescent="0.25">
      <c r="A5034" s="127">
        <v>45693</v>
      </c>
      <c r="B5034" s="24" t="s">
        <v>20</v>
      </c>
      <c r="C5034" s="21">
        <f t="shared" si="82"/>
        <v>0</v>
      </c>
    </row>
    <row r="5035" spans="1:231" x14ac:dyDescent="0.25">
      <c r="A5035" s="127">
        <v>45693</v>
      </c>
      <c r="B5035" s="24" t="s">
        <v>212</v>
      </c>
      <c r="C5035" s="21">
        <f t="shared" si="82"/>
        <v>-225.61500000000001</v>
      </c>
      <c r="AN5035" s="106">
        <v>-8.7550000000000008</v>
      </c>
      <c r="AW5035" s="106">
        <v>-15.975</v>
      </c>
      <c r="BI5035" s="106">
        <v>-35.869999999999997</v>
      </c>
      <c r="BO5035" s="106">
        <v>-34.045000000000002</v>
      </c>
      <c r="BU5035" s="106">
        <v>-28.91</v>
      </c>
      <c r="CA5035" s="106">
        <v>-34.055</v>
      </c>
      <c r="CG5035" s="106">
        <v>-33.119999999999997</v>
      </c>
      <c r="CM5035" s="106">
        <v>-34.884999999999998</v>
      </c>
    </row>
    <row r="5036" spans="1:231" x14ac:dyDescent="0.25">
      <c r="A5036" s="127">
        <v>45693</v>
      </c>
      <c r="B5036" s="24" t="s">
        <v>33</v>
      </c>
      <c r="C5036" s="21">
        <f t="shared" si="82"/>
        <v>-15.285</v>
      </c>
      <c r="AJ5036" s="163">
        <v>-3</v>
      </c>
      <c r="BI5036" s="106">
        <v>-12.285</v>
      </c>
    </row>
    <row r="5037" spans="1:231" x14ac:dyDescent="0.25">
      <c r="A5037" s="127">
        <v>45694</v>
      </c>
      <c r="B5037" s="24" t="s">
        <v>169</v>
      </c>
      <c r="C5037" s="21">
        <f t="shared" si="82"/>
        <v>-43.84</v>
      </c>
      <c r="G5037" s="145">
        <v>-43.84</v>
      </c>
    </row>
    <row r="5038" spans="1:231" x14ac:dyDescent="0.25">
      <c r="A5038" s="127">
        <v>45694</v>
      </c>
      <c r="B5038" s="24" t="s">
        <v>213</v>
      </c>
      <c r="C5038" s="21">
        <f t="shared" si="82"/>
        <v>-46.704999999999998</v>
      </c>
      <c r="BI5038" s="106">
        <f>-8.13-7.225-7.095</f>
        <v>-22.45</v>
      </c>
      <c r="CG5038" s="106">
        <f>-7.045-8.805-8.405</f>
        <v>-24.254999999999999</v>
      </c>
    </row>
    <row r="5039" spans="1:231" x14ac:dyDescent="0.25">
      <c r="A5039" s="127">
        <v>45694</v>
      </c>
      <c r="B5039" s="24" t="s">
        <v>44</v>
      </c>
      <c r="C5039" s="21">
        <f t="shared" si="82"/>
        <v>-147.86500000000001</v>
      </c>
      <c r="GQ5039" s="92">
        <v>-86.89</v>
      </c>
      <c r="GW5039" s="92">
        <v>-8.3699999999999992</v>
      </c>
      <c r="GZ5039" s="106">
        <v>-27.05</v>
      </c>
      <c r="HR5039" s="92">
        <v>-17.045000000000002</v>
      </c>
      <c r="HW5039" s="42">
        <v>-8.51</v>
      </c>
    </row>
    <row r="5040" spans="1:231" x14ac:dyDescent="0.25">
      <c r="A5040" s="127">
        <v>45694</v>
      </c>
      <c r="B5040" s="24" t="s">
        <v>184</v>
      </c>
      <c r="C5040" s="21">
        <f t="shared" si="82"/>
        <v>-110.315</v>
      </c>
      <c r="P5040" s="106">
        <v>-8.4649999999999999</v>
      </c>
      <c r="AC5040" s="106">
        <v>-8.6050000000000004</v>
      </c>
      <c r="AW5040" s="106">
        <v>-8.1150000000000002</v>
      </c>
      <c r="BI5040" s="106">
        <v>-14.935</v>
      </c>
      <c r="BU5040" s="106">
        <v>-14.73</v>
      </c>
      <c r="CA5040" s="106">
        <v>-14.93</v>
      </c>
      <c r="CG5040" s="106">
        <v>-8.7100000000000009</v>
      </c>
      <c r="CM5040" s="106">
        <v>-14.984999999999999</v>
      </c>
      <c r="CS5040" s="74">
        <v>-16.84</v>
      </c>
    </row>
    <row r="5041" spans="1:216" x14ac:dyDescent="0.25">
      <c r="A5041" s="127">
        <v>45695</v>
      </c>
      <c r="B5041" s="24" t="s">
        <v>213</v>
      </c>
      <c r="C5041" s="21">
        <f t="shared" ref="C5041:C5104" si="83">SUM(D5041:JT5041)</f>
        <v>-16.600000000000001</v>
      </c>
      <c r="BO5041" s="106">
        <v>-16.600000000000001</v>
      </c>
    </row>
    <row r="5042" spans="1:216" x14ac:dyDescent="0.25">
      <c r="A5042" s="127">
        <v>45695</v>
      </c>
      <c r="B5042" s="24" t="s">
        <v>139</v>
      </c>
      <c r="C5042" s="21">
        <f t="shared" si="83"/>
        <v>-9.27</v>
      </c>
      <c r="BU5042" s="106">
        <v>-9.27</v>
      </c>
    </row>
    <row r="5043" spans="1:216" x14ac:dyDescent="0.25">
      <c r="A5043" s="127">
        <v>45695</v>
      </c>
      <c r="B5043" s="24" t="s">
        <v>127</v>
      </c>
      <c r="C5043" s="21">
        <f t="shared" si="83"/>
        <v>-15.494999999999999</v>
      </c>
      <c r="BI5043" s="106">
        <v>-7.5650000000000004</v>
      </c>
      <c r="BO5043" s="106">
        <v>-7.93</v>
      </c>
    </row>
    <row r="5044" spans="1:216" x14ac:dyDescent="0.25">
      <c r="A5044" s="127">
        <v>45695</v>
      </c>
      <c r="B5044" s="24" t="s">
        <v>20</v>
      </c>
      <c r="C5044" s="21">
        <f t="shared" si="83"/>
        <v>-31.08</v>
      </c>
      <c r="AC5044" s="106">
        <v>-8.5649999999999995</v>
      </c>
      <c r="BI5044" s="106">
        <v>-7.2350000000000003</v>
      </c>
      <c r="BU5044" s="106">
        <v>-7.0549999999999997</v>
      </c>
      <c r="CA5044" s="106">
        <v>-8.2249999999999996</v>
      </c>
    </row>
    <row r="5045" spans="1:216" x14ac:dyDescent="0.25">
      <c r="A5045" s="127">
        <v>45695</v>
      </c>
      <c r="B5045" s="24" t="s">
        <v>138</v>
      </c>
      <c r="C5045" s="21">
        <f t="shared" si="83"/>
        <v>-16.785</v>
      </c>
      <c r="AR5045" s="106">
        <v>-16.785</v>
      </c>
    </row>
    <row r="5046" spans="1:216" x14ac:dyDescent="0.25">
      <c r="A5046" s="127">
        <v>45696</v>
      </c>
      <c r="B5046" s="24" t="s">
        <v>113</v>
      </c>
      <c r="C5046" s="21">
        <f t="shared" si="83"/>
        <v>758.6</v>
      </c>
      <c r="BC5046" s="106">
        <v>67.95</v>
      </c>
      <c r="BI5046" s="106">
        <v>62.805</v>
      </c>
      <c r="BO5046" s="106">
        <v>97.49</v>
      </c>
      <c r="BU5046" s="106">
        <v>120.605</v>
      </c>
      <c r="CY5046" s="106">
        <v>64.28</v>
      </c>
      <c r="DE5046" s="74">
        <v>100.785</v>
      </c>
      <c r="DP5046" s="74">
        <v>69.31</v>
      </c>
      <c r="GQ5046" s="92">
        <v>175.375</v>
      </c>
    </row>
    <row r="5047" spans="1:216" x14ac:dyDescent="0.25">
      <c r="A5047" s="127">
        <v>45699</v>
      </c>
      <c r="B5047" s="24" t="s">
        <v>82</v>
      </c>
      <c r="C5047" s="21">
        <f t="shared" si="83"/>
        <v>-98.584999999999994</v>
      </c>
      <c r="HH5047" s="106">
        <v>-98.584999999999994</v>
      </c>
    </row>
    <row r="5048" spans="1:216" x14ac:dyDescent="0.25">
      <c r="A5048" s="127">
        <v>45699</v>
      </c>
      <c r="B5048" s="24" t="s">
        <v>184</v>
      </c>
      <c r="C5048" s="21">
        <f t="shared" si="83"/>
        <v>-555.28499999999997</v>
      </c>
      <c r="P5048" s="106">
        <v>-17.03</v>
      </c>
      <c r="V5048" s="74">
        <v>-7.4249999999999998</v>
      </c>
      <c r="Z5048" s="79">
        <v>-8.26</v>
      </c>
      <c r="AR5048" s="106">
        <v>-33.68</v>
      </c>
      <c r="AW5048" s="106">
        <v>-65.25</v>
      </c>
      <c r="BI5048" s="106">
        <v>-31.055</v>
      </c>
      <c r="BU5048" s="106">
        <v>-59.784999999999997</v>
      </c>
      <c r="CG5048" s="106">
        <v>-68.055000000000007</v>
      </c>
      <c r="CY5048" s="106">
        <v>-32.015000000000001</v>
      </c>
      <c r="DE5048" s="74">
        <v>-32.659999999999997</v>
      </c>
      <c r="DK5048" s="106">
        <v>-97.525000000000006</v>
      </c>
      <c r="DP5048" s="74">
        <v>-33.994999999999997</v>
      </c>
      <c r="DU5048" s="106">
        <v>-33.520000000000003</v>
      </c>
      <c r="EG5048" s="74">
        <v>-35.03</v>
      </c>
    </row>
    <row r="5049" spans="1:216" x14ac:dyDescent="0.25">
      <c r="A5049" s="127">
        <v>45699</v>
      </c>
      <c r="B5049" s="24" t="s">
        <v>152</v>
      </c>
      <c r="C5049" s="21">
        <f t="shared" si="83"/>
        <v>-161.27000000000001</v>
      </c>
      <c r="EA5049" s="74">
        <v>-161.27000000000001</v>
      </c>
    </row>
    <row r="5050" spans="1:216" x14ac:dyDescent="0.25">
      <c r="A5050" s="127">
        <v>45699</v>
      </c>
      <c r="B5050" s="24" t="s">
        <v>188</v>
      </c>
      <c r="C5050" s="21">
        <f t="shared" si="83"/>
        <v>-16.504999999999999</v>
      </c>
      <c r="BC5050" s="106">
        <v>-8.3699999999999992</v>
      </c>
      <c r="BO5050" s="106">
        <v>-8.1349999999999998</v>
      </c>
    </row>
    <row r="5051" spans="1:216" x14ac:dyDescent="0.25">
      <c r="A5051" s="127">
        <v>45699</v>
      </c>
      <c r="B5051" s="24" t="s">
        <v>33</v>
      </c>
      <c r="C5051" s="21">
        <f t="shared" si="83"/>
        <v>-15.865</v>
      </c>
      <c r="AW5051" s="106">
        <v>-8.16</v>
      </c>
      <c r="BU5051" s="106">
        <v>-7.7050000000000001</v>
      </c>
    </row>
    <row r="5052" spans="1:216" x14ac:dyDescent="0.25">
      <c r="A5052" s="127">
        <v>45699</v>
      </c>
      <c r="B5052" s="24" t="s">
        <v>192</v>
      </c>
      <c r="C5052" s="21">
        <f t="shared" si="83"/>
        <v>-24.84</v>
      </c>
      <c r="BC5052" s="106">
        <v>-8.7200000000000006</v>
      </c>
      <c r="BU5052" s="106">
        <v>-8.0150000000000006</v>
      </c>
      <c r="CA5052" s="106">
        <v>-8.1050000000000004</v>
      </c>
    </row>
    <row r="5053" spans="1:216" x14ac:dyDescent="0.25">
      <c r="A5053" s="127">
        <v>45699</v>
      </c>
      <c r="B5053" s="24" t="s">
        <v>20</v>
      </c>
      <c r="C5053" s="21">
        <f t="shared" si="83"/>
        <v>-37.43</v>
      </c>
      <c r="Y5053" s="69">
        <v>-4.8499999999999996</v>
      </c>
      <c r="AG5053" s="106">
        <v>-8.4350000000000005</v>
      </c>
      <c r="BC5053" s="106">
        <v>-8.3949999999999996</v>
      </c>
      <c r="BO5053" s="106">
        <v>-8.2100000000000009</v>
      </c>
      <c r="BU5053" s="106">
        <v>-7.54</v>
      </c>
    </row>
    <row r="5054" spans="1:216" x14ac:dyDescent="0.25">
      <c r="A5054" s="127">
        <v>45699</v>
      </c>
      <c r="B5054" s="24" t="s">
        <v>17</v>
      </c>
      <c r="C5054" s="21">
        <f t="shared" si="83"/>
        <v>-32.024999999999999</v>
      </c>
      <c r="BC5054" s="106">
        <v>-9.0150000000000006</v>
      </c>
      <c r="BI5054" s="106">
        <v>-7.85</v>
      </c>
      <c r="BO5054" s="106">
        <v>-7.98</v>
      </c>
      <c r="BU5054" s="106">
        <v>-7.18</v>
      </c>
    </row>
    <row r="5055" spans="1:216" x14ac:dyDescent="0.25">
      <c r="A5055" s="127">
        <v>45699</v>
      </c>
      <c r="B5055" s="24" t="s">
        <v>48</v>
      </c>
      <c r="C5055" s="21">
        <f t="shared" si="83"/>
        <v>139.91999999999999</v>
      </c>
      <c r="BH5055" s="69">
        <v>8.4649999999999999</v>
      </c>
      <c r="BZ5055" s="69">
        <v>42.27</v>
      </c>
      <c r="DY5055" s="42">
        <v>35.06</v>
      </c>
      <c r="ER5055" s="42">
        <v>71.02</v>
      </c>
      <c r="HH5055" s="106">
        <v>-16.895</v>
      </c>
    </row>
    <row r="5056" spans="1:216" x14ac:dyDescent="0.25">
      <c r="A5056" s="127">
        <v>45700</v>
      </c>
      <c r="B5056" s="24" t="s">
        <v>137</v>
      </c>
      <c r="C5056" s="21">
        <f t="shared" si="83"/>
        <v>-16.805</v>
      </c>
      <c r="BO5056" s="106">
        <v>-8.23</v>
      </c>
      <c r="BU5056" s="106">
        <v>-8.5749999999999993</v>
      </c>
    </row>
    <row r="5057" spans="1:233" x14ac:dyDescent="0.25">
      <c r="A5057" s="127">
        <v>45700</v>
      </c>
      <c r="B5057" s="24" t="s">
        <v>218</v>
      </c>
      <c r="C5057" s="21">
        <f t="shared" si="83"/>
        <v>-74.52</v>
      </c>
      <c r="AN5057" s="106">
        <v>-8.7799999999999994</v>
      </c>
      <c r="AR5057" s="106">
        <v>-8.44</v>
      </c>
      <c r="AW5057" s="106">
        <v>-8.1549999999999994</v>
      </c>
      <c r="BC5057" s="106">
        <v>-25.074999999999999</v>
      </c>
      <c r="CG5057" s="106">
        <v>-8.67</v>
      </c>
      <c r="CM5057" s="106">
        <v>-6.96</v>
      </c>
      <c r="CS5057" s="74">
        <v>-8.44</v>
      </c>
    </row>
    <row r="5058" spans="1:233" x14ac:dyDescent="0.25">
      <c r="A5058" s="127">
        <v>45701</v>
      </c>
      <c r="B5058" s="24" t="s">
        <v>202</v>
      </c>
      <c r="C5058" s="21">
        <f t="shared" si="83"/>
        <v>-9.2050000000000001</v>
      </c>
      <c r="E5058" s="386">
        <v>-9.2050000000000001</v>
      </c>
    </row>
    <row r="5059" spans="1:233" x14ac:dyDescent="0.25">
      <c r="A5059" s="127">
        <v>45701</v>
      </c>
      <c r="B5059" s="24" t="s">
        <v>48</v>
      </c>
      <c r="C5059" s="21">
        <f t="shared" si="83"/>
        <v>-82.805000000000007</v>
      </c>
      <c r="BO5059" s="106">
        <v>-16.41</v>
      </c>
      <c r="EG5059" s="74">
        <v>-66.394999999999996</v>
      </c>
    </row>
    <row r="5060" spans="1:233" x14ac:dyDescent="0.25">
      <c r="A5060" s="127">
        <v>45701</v>
      </c>
      <c r="B5060" s="24" t="s">
        <v>218</v>
      </c>
      <c r="C5060" s="21">
        <f t="shared" si="83"/>
        <v>-23.42</v>
      </c>
      <c r="AN5060" s="106">
        <v>-8.7650000000000006</v>
      </c>
      <c r="BU5060" s="106">
        <v>-14.945</v>
      </c>
      <c r="CA5060" s="106">
        <v>-7.94</v>
      </c>
      <c r="CS5060" s="74">
        <v>-16.809999999999999</v>
      </c>
      <c r="DA5060" s="126">
        <v>8.0500000000000007</v>
      </c>
      <c r="DG5060" s="126">
        <v>16.989999999999998</v>
      </c>
    </row>
    <row r="5061" spans="1:233" x14ac:dyDescent="0.25">
      <c r="A5061" s="127">
        <v>45702</v>
      </c>
      <c r="B5061" s="24" t="s">
        <v>139</v>
      </c>
      <c r="C5061" s="21">
        <f t="shared" si="83"/>
        <v>-16.135000000000002</v>
      </c>
      <c r="CY5061" s="106">
        <v>-16.135000000000002</v>
      </c>
    </row>
    <row r="5062" spans="1:233" x14ac:dyDescent="0.25">
      <c r="A5062" s="127">
        <v>45702</v>
      </c>
      <c r="B5062" s="24" t="s">
        <v>212</v>
      </c>
      <c r="C5062" s="21">
        <f t="shared" si="83"/>
        <v>-16.13</v>
      </c>
      <c r="CY5062" s="106">
        <v>-16.13</v>
      </c>
    </row>
    <row r="5063" spans="1:233" x14ac:dyDescent="0.25">
      <c r="A5063" s="127">
        <v>45702</v>
      </c>
      <c r="B5063" s="24" t="s">
        <v>25</v>
      </c>
      <c r="C5063" s="21">
        <f t="shared" si="83"/>
        <v>-8.375</v>
      </c>
      <c r="BC5063" s="106">
        <v>-8.375</v>
      </c>
    </row>
    <row r="5064" spans="1:233" x14ac:dyDescent="0.25">
      <c r="A5064" s="127">
        <v>45702</v>
      </c>
      <c r="B5064" s="24" t="s">
        <v>50</v>
      </c>
      <c r="C5064" s="21">
        <f t="shared" si="83"/>
        <v>-94.555000000000007</v>
      </c>
      <c r="CS5064" s="74">
        <v>-33.520000000000003</v>
      </c>
      <c r="HM5064" s="106">
        <v>-61.034999999999997</v>
      </c>
    </row>
    <row r="5065" spans="1:233" x14ac:dyDescent="0.25">
      <c r="A5065" s="127">
        <v>45703</v>
      </c>
      <c r="B5065" s="24" t="s">
        <v>213</v>
      </c>
      <c r="C5065" s="21">
        <f t="shared" si="83"/>
        <v>-8.5950000000000006</v>
      </c>
      <c r="DP5065" s="74">
        <v>-8.5950000000000006</v>
      </c>
    </row>
    <row r="5066" spans="1:233" x14ac:dyDescent="0.25">
      <c r="A5066" s="127">
        <v>45703</v>
      </c>
      <c r="B5066" s="24" t="s">
        <v>213</v>
      </c>
      <c r="C5066" s="21">
        <f t="shared" si="83"/>
        <v>-55.295000000000002</v>
      </c>
      <c r="BI5066" s="106">
        <v>-15.88</v>
      </c>
      <c r="BO5066" s="106">
        <v>-15.51</v>
      </c>
      <c r="BU5066" s="106">
        <v>-14.835000000000001</v>
      </c>
      <c r="CK5066" s="42">
        <v>-9.07</v>
      </c>
    </row>
    <row r="5067" spans="1:233" x14ac:dyDescent="0.25">
      <c r="A5067" s="127">
        <v>45706</v>
      </c>
      <c r="B5067" s="24" t="s">
        <v>31</v>
      </c>
      <c r="C5067" s="21">
        <f t="shared" si="83"/>
        <v>-16.239999999999998</v>
      </c>
      <c r="HY5067" s="38">
        <v>-16.239999999999998</v>
      </c>
    </row>
    <row r="5068" spans="1:233" x14ac:dyDescent="0.25">
      <c r="A5068" s="127">
        <v>45706</v>
      </c>
      <c r="B5068" s="24" t="s">
        <v>50</v>
      </c>
      <c r="C5068" s="21">
        <f t="shared" si="83"/>
        <v>-31.715</v>
      </c>
      <c r="HM5068" s="106">
        <v>-31.715</v>
      </c>
    </row>
    <row r="5069" spans="1:233" x14ac:dyDescent="0.25">
      <c r="A5069" s="127">
        <v>45706</v>
      </c>
      <c r="B5069" s="24" t="s">
        <v>197</v>
      </c>
      <c r="C5069" s="21">
        <f t="shared" si="83"/>
        <v>-79.569999999999993</v>
      </c>
      <c r="BU5069" s="106">
        <v>-15.455</v>
      </c>
      <c r="BZ5069" s="69">
        <v>-16.934999999999999</v>
      </c>
      <c r="CG5069" s="106">
        <v>-16.364999999999998</v>
      </c>
      <c r="CK5069" s="42">
        <v>-18.22</v>
      </c>
      <c r="CS5069" s="74">
        <v>-12.595000000000001</v>
      </c>
    </row>
    <row r="5070" spans="1:233" x14ac:dyDescent="0.25">
      <c r="A5070" s="127">
        <v>45706</v>
      </c>
      <c r="B5070" s="24" t="s">
        <v>33</v>
      </c>
      <c r="C5070" s="21">
        <f t="shared" si="83"/>
        <v>-16.87</v>
      </c>
      <c r="BZ5070" s="69">
        <v>-16.87</v>
      </c>
    </row>
    <row r="5071" spans="1:233" x14ac:dyDescent="0.25">
      <c r="A5071" s="127">
        <v>45706</v>
      </c>
      <c r="B5071" s="24" t="s">
        <v>152</v>
      </c>
      <c r="C5071" s="21">
        <f t="shared" si="83"/>
        <v>-197.875</v>
      </c>
      <c r="V5071" s="74">
        <v>-29.83</v>
      </c>
      <c r="AC5071" s="106">
        <v>-31.94</v>
      </c>
      <c r="AN5071" s="106">
        <v>-32.615000000000002</v>
      </c>
      <c r="DU5071" s="106">
        <v>-68.14</v>
      </c>
      <c r="ER5071" s="42">
        <v>-35.35</v>
      </c>
    </row>
    <row r="5072" spans="1:233" x14ac:dyDescent="0.25">
      <c r="A5072" s="127">
        <v>45706</v>
      </c>
      <c r="B5072" s="24" t="s">
        <v>20</v>
      </c>
      <c r="C5072" s="21">
        <f t="shared" si="83"/>
        <v>-17.04</v>
      </c>
      <c r="BI5072" s="106">
        <v>-8.02</v>
      </c>
      <c r="CK5072" s="42">
        <v>-9.02</v>
      </c>
    </row>
    <row r="5073" spans="1:242" x14ac:dyDescent="0.25">
      <c r="A5073" s="127">
        <v>45706</v>
      </c>
      <c r="B5073" s="24" t="s">
        <v>219</v>
      </c>
      <c r="C5073" s="21">
        <f t="shared" si="83"/>
        <v>-8.6050000000000004</v>
      </c>
      <c r="AC5073" s="106">
        <v>-8.6050000000000004</v>
      </c>
    </row>
    <row r="5074" spans="1:242" x14ac:dyDescent="0.25">
      <c r="A5074" s="127">
        <v>45706</v>
      </c>
      <c r="B5074" s="24" t="s">
        <v>75</v>
      </c>
      <c r="C5074" s="21">
        <f t="shared" si="83"/>
        <v>-17.149999999999999</v>
      </c>
      <c r="BU5074" s="106">
        <v>-8.6850000000000005</v>
      </c>
      <c r="BZ5074" s="69">
        <v>-8.4649999999999999</v>
      </c>
    </row>
    <row r="5075" spans="1:242" x14ac:dyDescent="0.25">
      <c r="A5075" s="127">
        <v>45706</v>
      </c>
      <c r="B5075" s="24" t="s">
        <v>218</v>
      </c>
      <c r="C5075" s="21">
        <f t="shared" si="83"/>
        <v>-42.1</v>
      </c>
      <c r="DU5075" s="106">
        <v>-33.049999999999997</v>
      </c>
      <c r="IH5075" s="34">
        <v>-9.0500000000000007</v>
      </c>
    </row>
    <row r="5076" spans="1:242" x14ac:dyDescent="0.25">
      <c r="A5076" s="127">
        <v>45707</v>
      </c>
      <c r="B5076" s="24" t="s">
        <v>113</v>
      </c>
      <c r="C5076" s="21">
        <f t="shared" si="83"/>
        <v>744.62</v>
      </c>
      <c r="BC5076" s="106">
        <v>33.534999999999997</v>
      </c>
      <c r="CA5076" s="106">
        <v>73.075000000000003</v>
      </c>
      <c r="CG5076" s="106">
        <v>102.965</v>
      </c>
      <c r="CM5076" s="106">
        <v>34.594999999999999</v>
      </c>
      <c r="CS5076" s="74">
        <v>47.994999999999997</v>
      </c>
      <c r="DK5076" s="106">
        <v>67.165000000000006</v>
      </c>
      <c r="DP5076" s="74">
        <v>82.33</v>
      </c>
      <c r="DU5076" s="106">
        <v>103.255</v>
      </c>
      <c r="EA5076" s="74">
        <v>97.575000000000003</v>
      </c>
      <c r="GO5076" s="110">
        <v>102.13</v>
      </c>
    </row>
    <row r="5077" spans="1:242" x14ac:dyDescent="0.25">
      <c r="A5077" s="127">
        <v>45707</v>
      </c>
      <c r="B5077" s="24" t="s">
        <v>113</v>
      </c>
      <c r="C5077" s="21">
        <f t="shared" si="83"/>
        <v>162.80000000000001</v>
      </c>
      <c r="BC5077" s="106">
        <v>32</v>
      </c>
      <c r="BI5077" s="106">
        <v>33.49</v>
      </c>
      <c r="BO5077" s="106">
        <v>49.07</v>
      </c>
      <c r="BU5077" s="106">
        <v>48.24</v>
      </c>
    </row>
    <row r="5078" spans="1:242" x14ac:dyDescent="0.25">
      <c r="A5078" s="127">
        <v>45707</v>
      </c>
      <c r="B5078" s="24" t="s">
        <v>213</v>
      </c>
      <c r="C5078" s="21">
        <f t="shared" si="83"/>
        <v>-70.37</v>
      </c>
      <c r="DU5078" s="106">
        <f>-8.91-8.555-9.23-8.545</f>
        <v>-35.24</v>
      </c>
      <c r="DY5078" s="42">
        <v>-26.83</v>
      </c>
      <c r="EA5078" s="74">
        <v>-8.3000000000000007</v>
      </c>
    </row>
    <row r="5079" spans="1:242" x14ac:dyDescent="0.25">
      <c r="A5079" s="127">
        <v>45707</v>
      </c>
      <c r="B5079" s="24" t="s">
        <v>133</v>
      </c>
      <c r="C5079" s="21">
        <f t="shared" si="83"/>
        <v>-78.644999999999996</v>
      </c>
      <c r="BC5079" s="106">
        <v>-15.99</v>
      </c>
      <c r="BO5079" s="106">
        <v>-16.29</v>
      </c>
      <c r="BU5079" s="106">
        <v>-13.785</v>
      </c>
      <c r="CA5079" s="106">
        <v>-15.395</v>
      </c>
      <c r="CG5079" s="106">
        <v>-17.184999999999999</v>
      </c>
    </row>
    <row r="5080" spans="1:242" x14ac:dyDescent="0.25">
      <c r="A5080" s="127">
        <v>45707</v>
      </c>
      <c r="B5080" s="24" t="s">
        <v>31</v>
      </c>
      <c r="C5080" s="21">
        <f t="shared" si="83"/>
        <v>-5.0000000000000001E-3</v>
      </c>
      <c r="AW5080" s="106">
        <v>-16.245000000000001</v>
      </c>
      <c r="HY5080" s="38">
        <v>16.239999999999998</v>
      </c>
    </row>
    <row r="5081" spans="1:242" x14ac:dyDescent="0.25">
      <c r="A5081" s="127">
        <v>45707</v>
      </c>
      <c r="B5081" s="24" t="s">
        <v>193</v>
      </c>
      <c r="C5081" s="21">
        <f t="shared" si="83"/>
        <v>-32.68</v>
      </c>
      <c r="CA5081" s="106">
        <v>-5.2549999999999999</v>
      </c>
      <c r="CG5081" s="106">
        <v>-7.4</v>
      </c>
      <c r="CL5081" s="69">
        <v>-4.8</v>
      </c>
      <c r="CS5081" s="74">
        <v>-8.2650000000000006</v>
      </c>
      <c r="DE5081" s="74">
        <v>-6.96</v>
      </c>
    </row>
    <row r="5082" spans="1:242" x14ac:dyDescent="0.25">
      <c r="A5082" s="127">
        <v>45707</v>
      </c>
      <c r="B5082" s="24" t="s">
        <v>162</v>
      </c>
      <c r="C5082" s="21">
        <f t="shared" si="83"/>
        <v>-33.534999999999997</v>
      </c>
      <c r="BC5082" s="106">
        <v>-33.534999999999997</v>
      </c>
    </row>
    <row r="5083" spans="1:242" x14ac:dyDescent="0.25">
      <c r="A5083" s="127">
        <v>45708</v>
      </c>
      <c r="B5083" s="24" t="s">
        <v>44</v>
      </c>
      <c r="C5083" s="21">
        <f t="shared" si="83"/>
        <v>-225.46</v>
      </c>
      <c r="GK5083" s="79">
        <v>-29.375</v>
      </c>
      <c r="GQ5083" s="92">
        <v>-146.13499999999999</v>
      </c>
      <c r="HH5083" s="106">
        <v>-33.39</v>
      </c>
      <c r="HY5083" s="38">
        <f>-8.35-8.21</f>
        <v>-16.559999999999999</v>
      </c>
    </row>
    <row r="5084" spans="1:242" x14ac:dyDescent="0.25">
      <c r="A5084" s="127">
        <v>45708</v>
      </c>
      <c r="B5084" s="24" t="s">
        <v>192</v>
      </c>
      <c r="C5084" s="21">
        <f t="shared" si="83"/>
        <v>-8.5250000000000004</v>
      </c>
      <c r="DU5084" s="106">
        <v>-8.5250000000000004</v>
      </c>
    </row>
    <row r="5085" spans="1:242" x14ac:dyDescent="0.25">
      <c r="A5085" s="127">
        <v>45709</v>
      </c>
      <c r="B5085" s="24" t="s">
        <v>212</v>
      </c>
      <c r="C5085" s="21">
        <f t="shared" si="83"/>
        <v>-16.010000000000002</v>
      </c>
      <c r="BC5085" s="106">
        <v>-16.010000000000002</v>
      </c>
    </row>
    <row r="5086" spans="1:242" x14ac:dyDescent="0.25">
      <c r="A5086" s="127">
        <v>45709</v>
      </c>
      <c r="B5086" s="24" t="s">
        <v>20</v>
      </c>
      <c r="C5086" s="21">
        <f t="shared" si="83"/>
        <v>-16.405000000000001</v>
      </c>
      <c r="AW5086" s="106">
        <v>-8.2149999999999999</v>
      </c>
      <c r="BO5086" s="106">
        <v>-8.19</v>
      </c>
    </row>
    <row r="5087" spans="1:242" x14ac:dyDescent="0.25">
      <c r="A5087" s="127">
        <v>45709</v>
      </c>
      <c r="B5087" s="24" t="s">
        <v>137</v>
      </c>
      <c r="C5087" s="21">
        <f t="shared" si="83"/>
        <v>-24.125</v>
      </c>
      <c r="AW5087" s="106">
        <v>-8.16</v>
      </c>
      <c r="BO5087" s="106">
        <v>-8.2349999999999994</v>
      </c>
      <c r="CA5087" s="106">
        <v>-7.73</v>
      </c>
    </row>
    <row r="5088" spans="1:242" x14ac:dyDescent="0.25">
      <c r="A5088" s="127">
        <v>45709</v>
      </c>
      <c r="B5088" s="24" t="s">
        <v>146</v>
      </c>
      <c r="C5088" s="21">
        <f t="shared" si="83"/>
        <v>-24.855</v>
      </c>
      <c r="Z5088" s="79">
        <v>-24.855</v>
      </c>
    </row>
    <row r="5089" spans="1:131" x14ac:dyDescent="0.25">
      <c r="A5089" s="127">
        <v>45709</v>
      </c>
      <c r="B5089" s="24" t="s">
        <v>31</v>
      </c>
      <c r="C5089" s="21">
        <f t="shared" si="83"/>
        <v>-16.07</v>
      </c>
      <c r="AV5089" s="69">
        <v>-4.5</v>
      </c>
      <c r="AW5089" s="106">
        <f>-2.58-2.6</f>
        <v>-5.18</v>
      </c>
      <c r="AZ5089" s="182">
        <v>-6.39</v>
      </c>
    </row>
    <row r="5090" spans="1:131" x14ac:dyDescent="0.25">
      <c r="A5090" s="127">
        <v>45709</v>
      </c>
      <c r="B5090" s="24" t="s">
        <v>218</v>
      </c>
      <c r="C5090" s="21">
        <f t="shared" si="83"/>
        <v>-32.465000000000003</v>
      </c>
      <c r="AR5090" s="106">
        <v>-8.3699999999999992</v>
      </c>
      <c r="AW5090" s="106">
        <f>-8.22-8.195</f>
        <v>-16.414999999999999</v>
      </c>
      <c r="CA5090" s="106">
        <v>-7.68</v>
      </c>
    </row>
    <row r="5091" spans="1:131" x14ac:dyDescent="0.25">
      <c r="A5091" s="127">
        <v>45712</v>
      </c>
      <c r="B5091" s="24" t="s">
        <v>115</v>
      </c>
      <c r="C5091" s="21">
        <f t="shared" si="83"/>
        <v>64.81</v>
      </c>
      <c r="E5091" s="386">
        <v>64.81</v>
      </c>
    </row>
    <row r="5092" spans="1:131" x14ac:dyDescent="0.25">
      <c r="A5092" s="127">
        <v>45713</v>
      </c>
      <c r="B5092" s="24" t="s">
        <v>79</v>
      </c>
      <c r="C5092" s="21">
        <f t="shared" si="83"/>
        <v>-17.079999999999998</v>
      </c>
      <c r="BO5092" s="106">
        <v>-17.079999999999998</v>
      </c>
    </row>
    <row r="5093" spans="1:131" x14ac:dyDescent="0.25">
      <c r="A5093" s="127">
        <v>45713</v>
      </c>
      <c r="B5093" s="24" t="s">
        <v>75</v>
      </c>
      <c r="C5093" s="21">
        <f t="shared" si="83"/>
        <v>-8.08</v>
      </c>
      <c r="BO5093" s="106">
        <v>-8.08</v>
      </c>
    </row>
    <row r="5094" spans="1:131" x14ac:dyDescent="0.25">
      <c r="A5094" s="127">
        <v>45713</v>
      </c>
      <c r="B5094" s="24" t="s">
        <v>139</v>
      </c>
      <c r="C5094" s="21">
        <f t="shared" si="83"/>
        <v>-50.354999999999997</v>
      </c>
      <c r="AN5094" s="106">
        <v>-8.7750000000000004</v>
      </c>
      <c r="BU5094" s="106">
        <v>-8.4049999999999994</v>
      </c>
      <c r="CA5094" s="106">
        <v>-7.8</v>
      </c>
      <c r="CG5094" s="106">
        <v>-8.77</v>
      </c>
      <c r="CM5094" s="106">
        <v>-8.6</v>
      </c>
      <c r="CS5094" s="74">
        <v>-8.0050000000000008</v>
      </c>
    </row>
    <row r="5095" spans="1:131" x14ac:dyDescent="0.25">
      <c r="A5095" s="127">
        <v>45713</v>
      </c>
      <c r="B5095" s="24" t="s">
        <v>202</v>
      </c>
      <c r="C5095" s="21">
        <f t="shared" si="83"/>
        <v>-31.24</v>
      </c>
      <c r="E5095" s="386">
        <v>-31.24</v>
      </c>
    </row>
    <row r="5096" spans="1:131" x14ac:dyDescent="0.25">
      <c r="A5096" s="127">
        <v>45714</v>
      </c>
      <c r="B5096" s="24" t="s">
        <v>33</v>
      </c>
      <c r="C5096" s="21">
        <f t="shared" si="83"/>
        <v>-7.62</v>
      </c>
      <c r="BO5096" s="106">
        <v>-7.62</v>
      </c>
    </row>
    <row r="5097" spans="1:131" x14ac:dyDescent="0.25">
      <c r="A5097" s="127">
        <v>45714</v>
      </c>
      <c r="B5097" s="24" t="s">
        <v>213</v>
      </c>
      <c r="C5097" s="21">
        <f t="shared" si="83"/>
        <v>-8.3849999999999998</v>
      </c>
      <c r="BI5097" s="106">
        <v>-8.3849999999999998</v>
      </c>
    </row>
    <row r="5098" spans="1:131" x14ac:dyDescent="0.25">
      <c r="A5098" s="127">
        <v>45714</v>
      </c>
      <c r="B5098" s="24" t="s">
        <v>213</v>
      </c>
      <c r="C5098" s="21">
        <f t="shared" si="83"/>
        <v>-23.184999999999999</v>
      </c>
      <c r="CA5098" s="106">
        <f>-8.045-7.8-7.34</f>
        <v>-23.184999999999999</v>
      </c>
    </row>
    <row r="5099" spans="1:131" x14ac:dyDescent="0.25">
      <c r="A5099" s="127">
        <v>45714</v>
      </c>
      <c r="B5099" s="24" t="s">
        <v>64</v>
      </c>
      <c r="C5099" s="21">
        <f t="shared" si="83"/>
        <v>68.400000000000006</v>
      </c>
      <c r="AN5099" s="106">
        <v>68.400000000000006</v>
      </c>
    </row>
    <row r="5100" spans="1:131" x14ac:dyDescent="0.25">
      <c r="A5100" s="127">
        <v>45715</v>
      </c>
      <c r="B5100" s="24" t="s">
        <v>146</v>
      </c>
      <c r="C5100" s="21">
        <f t="shared" si="83"/>
        <v>610.21500000000003</v>
      </c>
      <c r="AB5100" s="69">
        <v>34.405000000000001</v>
      </c>
      <c r="BB5100" s="69">
        <v>136.28</v>
      </c>
      <c r="BH5100" s="69">
        <v>101.315</v>
      </c>
      <c r="BT5100" s="69">
        <v>100.30500000000001</v>
      </c>
      <c r="BZ5100" s="69">
        <v>170.6</v>
      </c>
      <c r="CF5100" s="69">
        <v>67.31</v>
      </c>
    </row>
    <row r="5101" spans="1:131" x14ac:dyDescent="0.25">
      <c r="A5101" s="127">
        <v>45715</v>
      </c>
      <c r="B5101" s="24" t="s">
        <v>184</v>
      </c>
      <c r="C5101" s="21">
        <f t="shared" si="83"/>
        <v>-133.82</v>
      </c>
      <c r="AN5101" s="106">
        <v>-8.42</v>
      </c>
      <c r="AR5101" s="106">
        <v>-8.4149999999999991</v>
      </c>
      <c r="AW5101" s="106">
        <v>-16.45</v>
      </c>
      <c r="BB5101" s="69">
        <v>-17.010000000000002</v>
      </c>
      <c r="BH5101" s="69">
        <v>-25.295000000000002</v>
      </c>
      <c r="BT5101" s="69">
        <v>-25.094999999999999</v>
      </c>
      <c r="BZ5101" s="69">
        <v>-16.079999999999998</v>
      </c>
      <c r="CM5101" s="106">
        <v>-8.69</v>
      </c>
      <c r="CS5101" s="74">
        <v>-8.3650000000000002</v>
      </c>
    </row>
    <row r="5102" spans="1:131" x14ac:dyDescent="0.25">
      <c r="A5102" s="127">
        <v>45715</v>
      </c>
      <c r="B5102" s="24" t="s">
        <v>127</v>
      </c>
      <c r="C5102" s="21">
        <f t="shared" si="83"/>
        <v>-16.940000000000001</v>
      </c>
      <c r="BH5102" s="69">
        <v>-16.940000000000001</v>
      </c>
    </row>
    <row r="5103" spans="1:131" x14ac:dyDescent="0.25">
      <c r="A5103" s="127">
        <v>45715</v>
      </c>
      <c r="B5103" s="24" t="s">
        <v>48</v>
      </c>
      <c r="C5103" s="21">
        <f t="shared" si="83"/>
        <v>-17.920000000000002</v>
      </c>
      <c r="DE5103" s="74">
        <v>-17.920000000000002</v>
      </c>
    </row>
    <row r="5104" spans="1:131" x14ac:dyDescent="0.25">
      <c r="A5104" s="127">
        <v>45715</v>
      </c>
      <c r="B5104" s="24" t="s">
        <v>20</v>
      </c>
      <c r="C5104" s="21">
        <f t="shared" si="83"/>
        <v>-126.16</v>
      </c>
      <c r="BB5104" s="69">
        <v>-8.5250000000000004</v>
      </c>
      <c r="BZ5104" s="69">
        <v>-8.0399999999999991</v>
      </c>
      <c r="CG5104" s="106">
        <v>-9.0150000000000006</v>
      </c>
      <c r="DP5104" s="74">
        <v>-33.340000000000003</v>
      </c>
      <c r="DU5104" s="106">
        <v>-34.090000000000003</v>
      </c>
      <c r="EA5104" s="74">
        <v>-33.15</v>
      </c>
    </row>
    <row r="5105" spans="1:237" x14ac:dyDescent="0.25">
      <c r="A5105" s="127">
        <v>45715</v>
      </c>
      <c r="B5105" s="24" t="s">
        <v>192</v>
      </c>
      <c r="C5105" s="21">
        <f t="shared" ref="C5105:C5168" si="84">SUM(D5105:JT5105)</f>
        <v>-67.165000000000006</v>
      </c>
      <c r="DK5105" s="106">
        <v>-67.165000000000006</v>
      </c>
    </row>
    <row r="5106" spans="1:237" x14ac:dyDescent="0.25">
      <c r="A5106" s="127">
        <v>45715</v>
      </c>
      <c r="B5106" s="24" t="s">
        <v>169</v>
      </c>
      <c r="C5106" s="21">
        <f t="shared" si="84"/>
        <v>-16.725000000000001</v>
      </c>
      <c r="D5106" s="386">
        <v>-16.725000000000001</v>
      </c>
    </row>
    <row r="5107" spans="1:237" x14ac:dyDescent="0.25">
      <c r="A5107" s="127">
        <v>45716</v>
      </c>
      <c r="B5107" s="24" t="s">
        <v>33</v>
      </c>
      <c r="C5107" s="21">
        <f t="shared" si="84"/>
        <v>-8.5399999999999991</v>
      </c>
      <c r="BB5107" s="69">
        <v>-8.5399999999999991</v>
      </c>
    </row>
    <row r="5108" spans="1:237" x14ac:dyDescent="0.25">
      <c r="A5108" s="127">
        <v>45716</v>
      </c>
      <c r="B5108" s="24" t="s">
        <v>39</v>
      </c>
      <c r="C5108" s="21">
        <f t="shared" si="84"/>
        <v>-49.74</v>
      </c>
      <c r="AW5108" s="106">
        <v>-8.16</v>
      </c>
      <c r="BI5108" s="106">
        <v>-8.36</v>
      </c>
      <c r="BO5108" s="106">
        <v>-8.1850000000000005</v>
      </c>
      <c r="CG5108" s="106">
        <v>-7.73</v>
      </c>
      <c r="CM5108" s="106">
        <f>-8.595-8.71</f>
        <v>-17.305</v>
      </c>
    </row>
    <row r="5109" spans="1:237" x14ac:dyDescent="0.25">
      <c r="A5109" s="127">
        <v>45717</v>
      </c>
      <c r="B5109" s="24" t="s">
        <v>146</v>
      </c>
      <c r="C5109" s="21">
        <f t="shared" si="84"/>
        <v>-42.534999999999997</v>
      </c>
      <c r="FG5109" s="74">
        <v>-42.534999999999997</v>
      </c>
    </row>
    <row r="5110" spans="1:237" x14ac:dyDescent="0.25">
      <c r="A5110" s="127">
        <v>45719</v>
      </c>
      <c r="B5110" s="24" t="s">
        <v>50</v>
      </c>
      <c r="C5110" s="21">
        <f t="shared" si="84"/>
        <v>-240.95</v>
      </c>
      <c r="GZ5110" s="106">
        <v>-91.54</v>
      </c>
      <c r="HY5110" s="38">
        <v>-81.459999999999994</v>
      </c>
      <c r="IC5110" s="92">
        <v>-67.95</v>
      </c>
    </row>
    <row r="5111" spans="1:237" x14ac:dyDescent="0.25">
      <c r="A5111" s="127">
        <v>45719</v>
      </c>
      <c r="B5111" s="24" t="s">
        <v>29</v>
      </c>
      <c r="C5111" s="21">
        <f t="shared" si="84"/>
        <v>-16.260000000000002</v>
      </c>
      <c r="BZ5111" s="69">
        <v>-7.78</v>
      </c>
      <c r="CG5111" s="106">
        <v>-8.48</v>
      </c>
    </row>
    <row r="5112" spans="1:237" x14ac:dyDescent="0.25">
      <c r="A5112" s="127">
        <v>45721</v>
      </c>
      <c r="B5112" s="24" t="s">
        <v>146</v>
      </c>
      <c r="C5112" s="21">
        <f t="shared" si="84"/>
        <v>404.91</v>
      </c>
      <c r="BM5112" s="88">
        <v>100.43</v>
      </c>
      <c r="CR5112" s="69">
        <v>103.86499999999999</v>
      </c>
      <c r="CX5112" s="69">
        <v>67.935000000000002</v>
      </c>
      <c r="DJ5112" s="69">
        <v>66.12</v>
      </c>
      <c r="DT5112" s="69">
        <v>66.56</v>
      </c>
    </row>
    <row r="5113" spans="1:237" x14ac:dyDescent="0.25">
      <c r="A5113" s="127">
        <v>45721</v>
      </c>
      <c r="B5113" s="24" t="s">
        <v>218</v>
      </c>
      <c r="C5113" s="21">
        <f t="shared" si="84"/>
        <v>-41.994999999999997</v>
      </c>
      <c r="Z5113" s="79">
        <v>-8.2949999999999999</v>
      </c>
      <c r="AN5113" s="106">
        <v>-8.4600000000000009</v>
      </c>
      <c r="BB5113" s="69">
        <v>-8.4849999999999994</v>
      </c>
      <c r="BM5113" s="88">
        <v>-8.36</v>
      </c>
      <c r="BT5113" s="69">
        <v>-8.3949999999999996</v>
      </c>
    </row>
    <row r="5114" spans="1:237" x14ac:dyDescent="0.25">
      <c r="A5114" s="127">
        <v>45721</v>
      </c>
      <c r="B5114" s="24" t="s">
        <v>17</v>
      </c>
      <c r="C5114" s="21">
        <f t="shared" si="84"/>
        <v>-16.77</v>
      </c>
      <c r="AN5114" s="106">
        <v>-8.52</v>
      </c>
      <c r="AR5114" s="106">
        <v>-8.25</v>
      </c>
    </row>
    <row r="5115" spans="1:237" x14ac:dyDescent="0.25">
      <c r="A5115" s="127">
        <v>45721</v>
      </c>
      <c r="B5115" s="24" t="s">
        <v>48</v>
      </c>
      <c r="C5115" s="21">
        <f t="shared" si="84"/>
        <v>-33.884999999999998</v>
      </c>
      <c r="AB5115" s="69">
        <v>-8.59</v>
      </c>
      <c r="AG5115" s="106">
        <v>-8.42</v>
      </c>
      <c r="BH5115" s="69">
        <v>-8.4550000000000001</v>
      </c>
      <c r="CF5115" s="69">
        <v>-8.42</v>
      </c>
    </row>
    <row r="5116" spans="1:237" x14ac:dyDescent="0.25">
      <c r="A5116" s="127">
        <v>45721</v>
      </c>
      <c r="B5116" s="24" t="s">
        <v>184</v>
      </c>
      <c r="C5116" s="21">
        <f t="shared" si="84"/>
        <v>-33.35</v>
      </c>
      <c r="BM5116" s="88">
        <v>-33.35</v>
      </c>
    </row>
    <row r="5117" spans="1:237" x14ac:dyDescent="0.25">
      <c r="A5117" s="127">
        <v>45721</v>
      </c>
      <c r="B5117" s="24" t="s">
        <v>197</v>
      </c>
      <c r="C5117" s="21">
        <f t="shared" si="84"/>
        <v>-115.485</v>
      </c>
      <c r="BB5117" s="69">
        <v>-8.5350000000000001</v>
      </c>
      <c r="BO5117" s="106">
        <v>-8.4049999999999994</v>
      </c>
      <c r="BU5117" s="106">
        <v>-17.175000000000001</v>
      </c>
      <c r="CS5117" s="74">
        <v>-15.43</v>
      </c>
      <c r="CX5117" s="69">
        <v>-16.97</v>
      </c>
      <c r="DP5117" s="74">
        <v>-23.57</v>
      </c>
      <c r="DU5117" s="106">
        <v>-25.4</v>
      </c>
    </row>
    <row r="5118" spans="1:237" x14ac:dyDescent="0.25">
      <c r="A5118" s="127">
        <v>45721</v>
      </c>
      <c r="B5118" s="24" t="s">
        <v>192</v>
      </c>
      <c r="C5118" s="21">
        <f t="shared" si="84"/>
        <v>-8.3249999999999993</v>
      </c>
      <c r="BM5118" s="88">
        <v>-8.3249999999999993</v>
      </c>
    </row>
    <row r="5119" spans="1:237" x14ac:dyDescent="0.25">
      <c r="A5119" s="127">
        <v>45722</v>
      </c>
      <c r="B5119" s="24" t="s">
        <v>218</v>
      </c>
      <c r="C5119" s="21">
        <f t="shared" si="84"/>
        <v>-8.59</v>
      </c>
      <c r="BU5119" s="106">
        <v>-8.59</v>
      </c>
    </row>
    <row r="5120" spans="1:237" x14ac:dyDescent="0.25">
      <c r="A5120" s="127">
        <v>45722</v>
      </c>
      <c r="B5120" s="24" t="s">
        <v>188</v>
      </c>
      <c r="C5120" s="21">
        <f t="shared" si="84"/>
        <v>-17.170000000000002</v>
      </c>
      <c r="CR5120" s="69">
        <v>-8.6449999999999996</v>
      </c>
      <c r="CX5120" s="69">
        <v>-8.5250000000000004</v>
      </c>
    </row>
    <row r="5121" spans="1:199" x14ac:dyDescent="0.25">
      <c r="A5121" s="127">
        <v>45723</v>
      </c>
      <c r="B5121" s="24" t="s">
        <v>20</v>
      </c>
      <c r="C5121" s="21">
        <f t="shared" si="84"/>
        <v>-25.385000000000002</v>
      </c>
      <c r="BH5121" s="69">
        <v>-8.4450000000000003</v>
      </c>
      <c r="BM5121" s="88">
        <v>-8.56</v>
      </c>
      <c r="BT5121" s="69">
        <v>-8.3800000000000008</v>
      </c>
    </row>
    <row r="5122" spans="1:199" x14ac:dyDescent="0.25">
      <c r="A5122" s="127">
        <v>45723</v>
      </c>
      <c r="B5122" s="24" t="s">
        <v>171</v>
      </c>
      <c r="C5122" s="21">
        <f t="shared" si="84"/>
        <v>-77.17</v>
      </c>
      <c r="DJ5122" s="69">
        <v>-16.835000000000001</v>
      </c>
      <c r="DP5122" s="74">
        <v>-60.335000000000001</v>
      </c>
    </row>
    <row r="5123" spans="1:199" x14ac:dyDescent="0.25">
      <c r="A5123" s="127">
        <v>45724</v>
      </c>
      <c r="B5123" s="24" t="s">
        <v>33</v>
      </c>
      <c r="C5123" s="21">
        <f t="shared" si="84"/>
        <v>-10.38</v>
      </c>
      <c r="BZ5123" s="69">
        <v>-10.38</v>
      </c>
    </row>
    <row r="5124" spans="1:199" x14ac:dyDescent="0.25">
      <c r="A5124" s="127">
        <v>45724</v>
      </c>
      <c r="B5124" s="24" t="s">
        <v>113</v>
      </c>
      <c r="C5124" s="21">
        <f t="shared" si="84"/>
        <v>693.26499999999999</v>
      </c>
      <c r="CA5124" s="106">
        <v>117.285</v>
      </c>
      <c r="CM5124" s="106">
        <v>94.68</v>
      </c>
      <c r="DE5124" s="74">
        <v>107.88500000000001</v>
      </c>
      <c r="EA5124" s="74">
        <f>72.65+124.59</f>
        <v>197.24</v>
      </c>
      <c r="GQ5124" s="92">
        <v>176.17500000000001</v>
      </c>
    </row>
    <row r="5125" spans="1:199" x14ac:dyDescent="0.25">
      <c r="A5125" s="127">
        <v>45726</v>
      </c>
      <c r="B5125" s="24" t="s">
        <v>29</v>
      </c>
      <c r="C5125" s="21">
        <f t="shared" si="84"/>
        <v>-16.86</v>
      </c>
      <c r="BB5125" s="69">
        <v>-8.48</v>
      </c>
      <c r="BI5125" s="106">
        <v>-8.3800000000000008</v>
      </c>
    </row>
    <row r="5126" spans="1:199" x14ac:dyDescent="0.25">
      <c r="A5126" s="127">
        <v>45726</v>
      </c>
      <c r="B5126" s="24" t="s">
        <v>103</v>
      </c>
      <c r="C5126" s="21">
        <f t="shared" si="84"/>
        <v>-67.284999999999997</v>
      </c>
      <c r="BH5126" s="69">
        <v>-16.940000000000001</v>
      </c>
      <c r="BM5126" s="88">
        <v>-16.88</v>
      </c>
      <c r="BT5126" s="69">
        <v>-16.704999999999998</v>
      </c>
      <c r="BZ5126" s="69">
        <v>-16.760000000000002</v>
      </c>
    </row>
    <row r="5127" spans="1:199" x14ac:dyDescent="0.25">
      <c r="A5127" s="127">
        <v>45726</v>
      </c>
      <c r="B5127" s="24" t="s">
        <v>133</v>
      </c>
      <c r="C5127" s="21">
        <f t="shared" si="84"/>
        <v>-196.89500000000001</v>
      </c>
      <c r="AN5127" s="106">
        <v>-17.22</v>
      </c>
      <c r="BB5127" s="69">
        <v>-34.14</v>
      </c>
      <c r="CA5127" s="106">
        <v>-29.055</v>
      </c>
      <c r="CF5127" s="69">
        <v>-33.64</v>
      </c>
      <c r="CM5127" s="106">
        <v>-31.024999999999999</v>
      </c>
      <c r="CR5127" s="69">
        <v>-34.799999999999997</v>
      </c>
      <c r="CX5127" s="69">
        <v>-17.015000000000001</v>
      </c>
    </row>
    <row r="5128" spans="1:199" x14ac:dyDescent="0.25">
      <c r="A5128" s="127">
        <v>45726</v>
      </c>
      <c r="B5128" s="24" t="s">
        <v>184</v>
      </c>
      <c r="C5128" s="21">
        <f t="shared" si="84"/>
        <v>-89.314999999999998</v>
      </c>
      <c r="AR5128" s="106">
        <v>-8.3450000000000006</v>
      </c>
      <c r="AW5128" s="106">
        <v>-8.0950000000000006</v>
      </c>
      <c r="BU5128" s="106">
        <v>-15.795</v>
      </c>
      <c r="CA5128" s="106">
        <v>-7.54</v>
      </c>
      <c r="CG5128" s="106">
        <v>-18.585000000000001</v>
      </c>
      <c r="CM5128" s="106">
        <v>-14.43</v>
      </c>
      <c r="CR5128" s="69">
        <v>-8.5950000000000006</v>
      </c>
      <c r="CS5128" s="74">
        <v>-7.93</v>
      </c>
    </row>
    <row r="5129" spans="1:199" x14ac:dyDescent="0.25">
      <c r="A5129" s="127">
        <v>45726</v>
      </c>
      <c r="B5129" s="24" t="s">
        <v>48</v>
      </c>
      <c r="C5129" s="21">
        <f t="shared" si="84"/>
        <v>-8.93</v>
      </c>
      <c r="ER5129" s="42">
        <v>-8.93</v>
      </c>
    </row>
    <row r="5130" spans="1:199" x14ac:dyDescent="0.25">
      <c r="A5130" s="127">
        <v>45727</v>
      </c>
      <c r="B5130" s="24" t="s">
        <v>75</v>
      </c>
      <c r="C5130" s="21">
        <f t="shared" si="84"/>
        <v>-16.585000000000001</v>
      </c>
      <c r="BM5130" s="88">
        <v>-8.3049999999999997</v>
      </c>
      <c r="BT5130" s="69">
        <v>-8.2799999999999994</v>
      </c>
    </row>
    <row r="5131" spans="1:199" x14ac:dyDescent="0.25">
      <c r="A5131" s="127">
        <v>45727</v>
      </c>
      <c r="B5131" s="24" t="s">
        <v>138</v>
      </c>
      <c r="C5131" s="21">
        <f t="shared" si="84"/>
        <v>-16.125</v>
      </c>
      <c r="CG5131" s="106">
        <v>-8.2349999999999994</v>
      </c>
      <c r="CM5131" s="106">
        <v>-7.89</v>
      </c>
    </row>
    <row r="5132" spans="1:199" x14ac:dyDescent="0.25">
      <c r="A5132" s="127">
        <v>45727</v>
      </c>
      <c r="B5132" s="24" t="s">
        <v>24</v>
      </c>
      <c r="C5132" s="21">
        <f t="shared" si="84"/>
        <v>-16.785</v>
      </c>
      <c r="BH5132" s="69">
        <v>-8.42</v>
      </c>
      <c r="BI5132" s="106">
        <v>-8.3650000000000002</v>
      </c>
    </row>
    <row r="5133" spans="1:199" x14ac:dyDescent="0.25">
      <c r="A5133" s="127">
        <v>45728</v>
      </c>
      <c r="B5133" s="24" t="s">
        <v>44</v>
      </c>
      <c r="C5133" s="21">
        <f t="shared" si="84"/>
        <v>-147.63999999999999</v>
      </c>
      <c r="GQ5133" s="92">
        <v>-147.63999999999999</v>
      </c>
    </row>
    <row r="5134" spans="1:199" x14ac:dyDescent="0.25">
      <c r="A5134" s="127">
        <v>45729</v>
      </c>
      <c r="B5134" s="24" t="s">
        <v>213</v>
      </c>
      <c r="C5134" s="21">
        <f t="shared" si="84"/>
        <v>-82.37</v>
      </c>
      <c r="BB5134" s="69">
        <v>-17.074999999999999</v>
      </c>
      <c r="BM5134" s="88">
        <v>-16.649999999999999</v>
      </c>
      <c r="BT5134" s="69">
        <v>-16.73</v>
      </c>
      <c r="CA5134" s="106">
        <v>-14.715</v>
      </c>
      <c r="CR5134" s="69">
        <v>-17.2</v>
      </c>
    </row>
    <row r="5135" spans="1:199" x14ac:dyDescent="0.25">
      <c r="A5135" s="127">
        <v>45729</v>
      </c>
      <c r="B5135" s="24" t="s">
        <v>213</v>
      </c>
      <c r="C5135" s="21">
        <f t="shared" si="84"/>
        <v>-16.574999999999999</v>
      </c>
      <c r="AN5135" s="106">
        <v>-8.5</v>
      </c>
      <c r="AW5135" s="106">
        <v>-8.0749999999999993</v>
      </c>
    </row>
    <row r="5136" spans="1:199" x14ac:dyDescent="0.25">
      <c r="A5136" s="127">
        <v>45730</v>
      </c>
      <c r="B5136" s="24" t="s">
        <v>193</v>
      </c>
      <c r="C5136" s="21">
        <f t="shared" si="84"/>
        <v>-2.8</v>
      </c>
      <c r="AN5136" s="106">
        <v>-1.1000000000000001</v>
      </c>
      <c r="AR5136" s="106">
        <v>-1.7</v>
      </c>
    </row>
    <row r="5137" spans="1:242" x14ac:dyDescent="0.25">
      <c r="A5137" s="127">
        <v>45730</v>
      </c>
      <c r="B5137" s="24" t="s">
        <v>64</v>
      </c>
      <c r="C5137" s="21">
        <f t="shared" si="84"/>
        <v>180.23</v>
      </c>
      <c r="AN5137" s="106">
        <v>180.23</v>
      </c>
    </row>
    <row r="5138" spans="1:242" x14ac:dyDescent="0.25">
      <c r="A5138" s="127">
        <v>45731</v>
      </c>
      <c r="B5138" s="24" t="s">
        <v>20</v>
      </c>
      <c r="C5138" s="21">
        <f t="shared" si="84"/>
        <v>-14.565</v>
      </c>
      <c r="GZ5138" s="106">
        <v>-14.565</v>
      </c>
    </row>
    <row r="5139" spans="1:242" x14ac:dyDescent="0.25">
      <c r="A5139" s="127">
        <v>45733</v>
      </c>
      <c r="B5139" s="24" t="s">
        <v>222</v>
      </c>
      <c r="C5139" s="21">
        <f t="shared" si="84"/>
        <v>-16.754999999999999</v>
      </c>
      <c r="CG5139" s="106">
        <v>-8.5150000000000006</v>
      </c>
      <c r="CM5139" s="106">
        <v>-8.24</v>
      </c>
    </row>
    <row r="5140" spans="1:242" x14ac:dyDescent="0.25">
      <c r="A5140" s="127">
        <v>45733</v>
      </c>
      <c r="B5140" s="24" t="s">
        <v>122</v>
      </c>
      <c r="C5140" s="21">
        <f t="shared" si="84"/>
        <v>-267.64999999999998</v>
      </c>
      <c r="IH5140" s="34">
        <v>-267.64999999999998</v>
      </c>
    </row>
    <row r="5141" spans="1:242" x14ac:dyDescent="0.25">
      <c r="A5141" s="127">
        <v>45734</v>
      </c>
      <c r="B5141" s="24" t="s">
        <v>184</v>
      </c>
      <c r="C5141" s="21">
        <f t="shared" si="84"/>
        <v>-132.52000000000001</v>
      </c>
      <c r="P5141" s="106">
        <v>-8.4649999999999999</v>
      </c>
      <c r="AB5141" s="69">
        <v>-8.61</v>
      </c>
      <c r="AN5141" s="106">
        <v>-6.88</v>
      </c>
      <c r="AW5141" s="106">
        <v>-8.0500000000000007</v>
      </c>
      <c r="BB5141" s="69">
        <v>-8.4749999999999996</v>
      </c>
      <c r="BH5141" s="69">
        <v>-25.285</v>
      </c>
      <c r="CA5141" s="106">
        <v>-14.805</v>
      </c>
      <c r="CG5141" s="106">
        <v>-9.2149999999999999</v>
      </c>
      <c r="CM5141" s="106">
        <v>-8.3049999999999997</v>
      </c>
      <c r="CR5141" s="69">
        <v>-8.7050000000000001</v>
      </c>
      <c r="CX5141" s="69">
        <v>-8.43</v>
      </c>
      <c r="DE5141" s="74">
        <v>-17.295000000000002</v>
      </c>
    </row>
    <row r="5142" spans="1:242" x14ac:dyDescent="0.25">
      <c r="A5142" s="127">
        <v>45734</v>
      </c>
      <c r="B5142" s="24" t="s">
        <v>17</v>
      </c>
      <c r="C5142" s="21">
        <f t="shared" si="84"/>
        <v>-48.185000000000002</v>
      </c>
      <c r="AN5142" s="106">
        <v>-7.16</v>
      </c>
      <c r="AW5142" s="106">
        <v>-16.32</v>
      </c>
      <c r="BB5142" s="69">
        <v>-17.015000000000001</v>
      </c>
      <c r="CM5142" s="106">
        <v>-7.69</v>
      </c>
    </row>
    <row r="5143" spans="1:242" x14ac:dyDescent="0.25">
      <c r="A5143" s="127">
        <v>45734</v>
      </c>
      <c r="B5143" s="24" t="s">
        <v>20</v>
      </c>
      <c r="C5143" s="21">
        <f t="shared" si="84"/>
        <v>-26.42</v>
      </c>
      <c r="BT5143" s="69">
        <v>-8.34</v>
      </c>
      <c r="BZ5143" s="69">
        <v>-8.9600000000000009</v>
      </c>
      <c r="CM5143" s="106">
        <v>-9.1199999999999992</v>
      </c>
    </row>
    <row r="5144" spans="1:242" x14ac:dyDescent="0.25">
      <c r="A5144" s="127">
        <v>45734</v>
      </c>
      <c r="B5144" s="24" t="s">
        <v>193</v>
      </c>
      <c r="C5144" s="21">
        <f t="shared" si="84"/>
        <v>-32.67</v>
      </c>
      <c r="CA5144" s="106">
        <v>-7.48</v>
      </c>
      <c r="CM5144" s="106">
        <v>-7.98</v>
      </c>
      <c r="CR5144" s="69">
        <v>-8.6750000000000007</v>
      </c>
      <c r="CX5144" s="69">
        <v>-8.5350000000000001</v>
      </c>
    </row>
    <row r="5145" spans="1:242" x14ac:dyDescent="0.25">
      <c r="A5145" s="127">
        <v>45734</v>
      </c>
      <c r="B5145" s="24" t="s">
        <v>53</v>
      </c>
      <c r="C5145" s="21">
        <f t="shared" si="84"/>
        <v>-33.75</v>
      </c>
      <c r="ER5145" s="42">
        <f>-8.94-8.91-8.89</f>
        <v>-26.74</v>
      </c>
      <c r="EU5145" s="126">
        <v>-7.01</v>
      </c>
    </row>
    <row r="5146" spans="1:242" x14ac:dyDescent="0.25">
      <c r="A5146" s="127">
        <v>45734</v>
      </c>
      <c r="B5146" s="24" t="s">
        <v>75</v>
      </c>
      <c r="C5146" s="21">
        <f t="shared" si="84"/>
        <v>-12.715</v>
      </c>
      <c r="BU5146" s="106">
        <v>-5.4850000000000003</v>
      </c>
      <c r="CA5146" s="106">
        <v>-7.23</v>
      </c>
    </row>
    <row r="5147" spans="1:242" x14ac:dyDescent="0.25">
      <c r="A5147" s="127">
        <v>45734</v>
      </c>
      <c r="B5147" s="24" t="s">
        <v>138</v>
      </c>
      <c r="C5147" s="21">
        <f t="shared" si="84"/>
        <v>-23.734999999999999</v>
      </c>
      <c r="Z5147" s="79">
        <v>-7.26</v>
      </c>
      <c r="BT5147" s="69">
        <v>-8.3800000000000008</v>
      </c>
      <c r="CG5147" s="106">
        <v>-8.0950000000000006</v>
      </c>
    </row>
    <row r="5148" spans="1:242" x14ac:dyDescent="0.25">
      <c r="A5148" s="127">
        <v>45734</v>
      </c>
      <c r="B5148" s="24" t="s">
        <v>122</v>
      </c>
      <c r="C5148" s="21">
        <f t="shared" si="84"/>
        <v>-192.27</v>
      </c>
      <c r="IH5148" s="34">
        <v>-192.27</v>
      </c>
    </row>
    <row r="5149" spans="1:242" x14ac:dyDescent="0.25">
      <c r="A5149" s="127">
        <v>45735</v>
      </c>
      <c r="B5149" s="24" t="s">
        <v>222</v>
      </c>
      <c r="C5149" s="21">
        <f t="shared" si="84"/>
        <v>-6.37</v>
      </c>
      <c r="AN5149" s="106">
        <v>-6.37</v>
      </c>
    </row>
    <row r="5150" spans="1:242" x14ac:dyDescent="0.25">
      <c r="A5150" s="127">
        <v>45735</v>
      </c>
      <c r="B5150" s="24" t="s">
        <v>115</v>
      </c>
      <c r="C5150" s="21">
        <f t="shared" si="84"/>
        <v>103.75</v>
      </c>
      <c r="D5150" s="386">
        <v>67.180000000000007</v>
      </c>
      <c r="E5150" s="386">
        <v>36.57</v>
      </c>
    </row>
    <row r="5151" spans="1:242" x14ac:dyDescent="0.25">
      <c r="A5151" s="127">
        <v>45736</v>
      </c>
      <c r="B5151" s="24" t="s">
        <v>140</v>
      </c>
      <c r="C5151" s="21">
        <f t="shared" si="84"/>
        <v>-67.650000000000006</v>
      </c>
      <c r="D5151" s="386">
        <f>-16.23-33.15</f>
        <v>-49.38</v>
      </c>
      <c r="E5151" s="386">
        <v>-18.27</v>
      </c>
    </row>
    <row r="5152" spans="1:242" x14ac:dyDescent="0.25">
      <c r="A5152" s="127">
        <v>45736</v>
      </c>
      <c r="B5152" s="24" t="s">
        <v>202</v>
      </c>
      <c r="C5152" s="21">
        <f t="shared" si="84"/>
        <v>-33.57</v>
      </c>
      <c r="E5152" s="386">
        <v>-33.57</v>
      </c>
    </row>
    <row r="5153" spans="1:137" x14ac:dyDescent="0.25">
      <c r="A5153" s="127">
        <v>45736</v>
      </c>
      <c r="B5153" s="24" t="s">
        <v>115</v>
      </c>
      <c r="C5153" s="21">
        <f t="shared" si="84"/>
        <v>70.034999999999997</v>
      </c>
      <c r="E5153" s="386">
        <v>37.880000000000003</v>
      </c>
      <c r="F5153" s="145">
        <v>32.155000000000001</v>
      </c>
    </row>
    <row r="5154" spans="1:137" x14ac:dyDescent="0.25">
      <c r="A5154" s="127">
        <v>45737</v>
      </c>
      <c r="B5154" s="24" t="s">
        <v>169</v>
      </c>
      <c r="C5154" s="21">
        <f t="shared" si="84"/>
        <v>-71.91</v>
      </c>
      <c r="D5154" s="386">
        <v>-34.03</v>
      </c>
      <c r="E5154" s="386">
        <v>-37.880000000000003</v>
      </c>
    </row>
    <row r="5155" spans="1:137" x14ac:dyDescent="0.25">
      <c r="A5155" s="127">
        <v>45737</v>
      </c>
      <c r="B5155" s="24" t="s">
        <v>20</v>
      </c>
      <c r="C5155" s="21">
        <f t="shared" si="84"/>
        <v>-8.5549999999999997</v>
      </c>
      <c r="CG5155" s="106">
        <v>-8.5549999999999997</v>
      </c>
    </row>
    <row r="5156" spans="1:137" x14ac:dyDescent="0.25">
      <c r="A5156" s="127">
        <v>45737</v>
      </c>
      <c r="B5156" s="24" t="s">
        <v>138</v>
      </c>
      <c r="C5156" s="21">
        <f t="shared" si="84"/>
        <v>-32.905000000000001</v>
      </c>
      <c r="DT5156" s="69">
        <v>-32.905000000000001</v>
      </c>
    </row>
    <row r="5157" spans="1:137" x14ac:dyDescent="0.25">
      <c r="A5157" s="127">
        <v>45740</v>
      </c>
      <c r="B5157" s="24" t="s">
        <v>146</v>
      </c>
      <c r="C5157" s="21">
        <f t="shared" si="84"/>
        <v>610.99</v>
      </c>
      <c r="AV5157" s="69">
        <v>68.44</v>
      </c>
      <c r="BB5157" s="69">
        <v>101.325</v>
      </c>
      <c r="BH5157" s="69">
        <v>101.83499999999999</v>
      </c>
      <c r="BN5157" s="69">
        <v>101.795</v>
      </c>
      <c r="BT5157" s="69">
        <v>66.655000000000001</v>
      </c>
      <c r="CF5157" s="69">
        <v>33.950000000000003</v>
      </c>
      <c r="CL5157" s="69">
        <v>68.59</v>
      </c>
      <c r="CR5157" s="69">
        <v>34.380000000000003</v>
      </c>
      <c r="CX5157" s="69">
        <v>34.020000000000003</v>
      </c>
    </row>
    <row r="5158" spans="1:137" x14ac:dyDescent="0.25">
      <c r="A5158" s="127">
        <v>45740</v>
      </c>
      <c r="B5158" s="24" t="s">
        <v>218</v>
      </c>
      <c r="C5158" s="21">
        <f t="shared" si="84"/>
        <v>-74.364999999999995</v>
      </c>
      <c r="AV5158" s="69">
        <v>-25.69</v>
      </c>
      <c r="BB5158" s="69">
        <v>-8.4550000000000001</v>
      </c>
      <c r="BN5158" s="69">
        <v>-8.5050000000000008</v>
      </c>
      <c r="CA5158" s="106">
        <v>-14.695</v>
      </c>
      <c r="CF5158" s="69">
        <v>-8.41</v>
      </c>
      <c r="CL5158" s="69">
        <v>-8.61</v>
      </c>
    </row>
    <row r="5159" spans="1:137" x14ac:dyDescent="0.25">
      <c r="A5159" s="127">
        <v>45740</v>
      </c>
      <c r="B5159" s="24" t="s">
        <v>39</v>
      </c>
      <c r="C5159" s="21">
        <f t="shared" si="84"/>
        <v>-34.14</v>
      </c>
      <c r="AN5159" s="106">
        <v>-8.74</v>
      </c>
      <c r="AV5159" s="69">
        <v>-8.5500000000000007</v>
      </c>
      <c r="BH5159" s="69">
        <v>-8.48</v>
      </c>
      <c r="BT5159" s="69">
        <v>-8.3699999999999992</v>
      </c>
    </row>
    <row r="5160" spans="1:137" x14ac:dyDescent="0.25">
      <c r="A5160" s="127">
        <v>45740</v>
      </c>
      <c r="B5160" s="24" t="s">
        <v>213</v>
      </c>
      <c r="C5160" s="21">
        <f t="shared" si="84"/>
        <v>-27.795000000000002</v>
      </c>
      <c r="CA5160" s="106">
        <v>-27.795000000000002</v>
      </c>
    </row>
    <row r="5161" spans="1:137" x14ac:dyDescent="0.25">
      <c r="A5161" s="127">
        <v>45741</v>
      </c>
      <c r="B5161" s="24" t="s">
        <v>138</v>
      </c>
      <c r="C5161" s="21">
        <f t="shared" si="84"/>
        <v>-16.98</v>
      </c>
      <c r="BH5161" s="69">
        <v>-16.98</v>
      </c>
    </row>
    <row r="5162" spans="1:137" x14ac:dyDescent="0.25">
      <c r="A5162" s="127">
        <v>45741</v>
      </c>
      <c r="B5162" s="24" t="s">
        <v>20</v>
      </c>
      <c r="C5162" s="21">
        <f t="shared" si="84"/>
        <v>-42.27</v>
      </c>
      <c r="AN5162" s="106">
        <v>-7.08</v>
      </c>
      <c r="AV5162" s="69">
        <v>-8.5749999999999993</v>
      </c>
      <c r="BB5162" s="69">
        <v>-8.4649999999999999</v>
      </c>
      <c r="BN5162" s="69">
        <v>-8.49</v>
      </c>
      <c r="BZ5162" s="69">
        <v>-9.66</v>
      </c>
    </row>
    <row r="5163" spans="1:137" x14ac:dyDescent="0.25">
      <c r="A5163" s="127">
        <v>45742</v>
      </c>
      <c r="B5163" s="24" t="s">
        <v>137</v>
      </c>
      <c r="C5163" s="21">
        <f t="shared" si="84"/>
        <v>-42.314999999999998</v>
      </c>
      <c r="AV5163" s="69">
        <v>-8.57</v>
      </c>
      <c r="BB5163" s="69">
        <v>-8.4550000000000001</v>
      </c>
      <c r="BH5163" s="69">
        <v>-8.5299999999999994</v>
      </c>
      <c r="BN5163" s="69">
        <v>-8.4949999999999992</v>
      </c>
      <c r="BT5163" s="69">
        <v>-8.2650000000000006</v>
      </c>
    </row>
    <row r="5164" spans="1:137" x14ac:dyDescent="0.25">
      <c r="A5164" s="127">
        <v>45742</v>
      </c>
      <c r="B5164" s="24" t="s">
        <v>193</v>
      </c>
      <c r="C5164" s="21">
        <f t="shared" si="84"/>
        <v>-11.35</v>
      </c>
      <c r="CF5164" s="69">
        <v>-8.4499999999999993</v>
      </c>
      <c r="CR5164" s="69">
        <v>-2.9</v>
      </c>
    </row>
    <row r="5165" spans="1:137" x14ac:dyDescent="0.25">
      <c r="A5165" s="127">
        <v>45742</v>
      </c>
      <c r="B5165" s="24" t="s">
        <v>184</v>
      </c>
      <c r="C5165" s="21">
        <f t="shared" si="84"/>
        <v>-49.405000000000001</v>
      </c>
      <c r="AN5165" s="106">
        <v>-7.12</v>
      </c>
      <c r="AR5165" s="106">
        <v>-8.39</v>
      </c>
      <c r="AV5165" s="69">
        <v>-8.49</v>
      </c>
      <c r="BB5165" s="69">
        <v>-8.4149999999999991</v>
      </c>
      <c r="BH5165" s="69">
        <v>-16.989999999999998</v>
      </c>
    </row>
    <row r="5166" spans="1:137" x14ac:dyDescent="0.25">
      <c r="A5166" s="127">
        <v>45743</v>
      </c>
      <c r="B5166" s="24" t="s">
        <v>75</v>
      </c>
      <c r="C5166" s="21">
        <f t="shared" si="84"/>
        <v>-42.62</v>
      </c>
      <c r="BH5166" s="69">
        <v>-8.48</v>
      </c>
      <c r="BN5166" s="69">
        <v>-8.5</v>
      </c>
      <c r="BT5166" s="69">
        <v>-8.3699999999999992</v>
      </c>
      <c r="DE5166" s="74">
        <v>-9.08</v>
      </c>
      <c r="EG5166" s="74">
        <v>-8.19</v>
      </c>
    </row>
    <row r="5167" spans="1:137" x14ac:dyDescent="0.25">
      <c r="A5167" s="127">
        <v>45743</v>
      </c>
      <c r="B5167" s="24" t="s">
        <v>174</v>
      </c>
      <c r="C5167" s="21">
        <f t="shared" si="84"/>
        <v>-17.09</v>
      </c>
      <c r="CF5167" s="69">
        <v>-8.49</v>
      </c>
      <c r="CL5167" s="69">
        <v>-8.6</v>
      </c>
    </row>
    <row r="5168" spans="1:137" x14ac:dyDescent="0.25">
      <c r="A5168" s="127">
        <v>45743</v>
      </c>
      <c r="B5168" s="24" t="s">
        <v>24</v>
      </c>
      <c r="C5168" s="21">
        <f t="shared" si="84"/>
        <v>-50.77</v>
      </c>
      <c r="BB5168" s="69">
        <v>-8.41</v>
      </c>
      <c r="BH5168" s="69">
        <v>-8.4700000000000006</v>
      </c>
      <c r="BN5168" s="69">
        <v>-8.5050000000000008</v>
      </c>
      <c r="BT5168" s="69">
        <v>-8.2249999999999996</v>
      </c>
      <c r="CF5168" s="69">
        <v>-8.4949999999999992</v>
      </c>
      <c r="CL5168" s="69">
        <v>-8.6649999999999991</v>
      </c>
    </row>
    <row r="5169" spans="1:226" x14ac:dyDescent="0.25">
      <c r="A5169" s="127">
        <v>45743</v>
      </c>
      <c r="B5169" s="24" t="s">
        <v>213</v>
      </c>
      <c r="C5169" s="21">
        <f t="shared" ref="C5169:C5232" si="85">SUM(D5169:JT5169)</f>
        <v>-67.760000000000005</v>
      </c>
      <c r="BH5169" s="69">
        <v>-33.905000000000001</v>
      </c>
      <c r="BN5169" s="69">
        <v>-8.5</v>
      </c>
      <c r="CF5169" s="69">
        <v>-25.355</v>
      </c>
    </row>
    <row r="5170" spans="1:226" x14ac:dyDescent="0.25">
      <c r="A5170" s="127">
        <v>45744</v>
      </c>
      <c r="B5170" s="24" t="s">
        <v>197</v>
      </c>
      <c r="C5170" s="21">
        <f t="shared" si="85"/>
        <v>-84.355000000000004</v>
      </c>
      <c r="AV5170" s="69">
        <v>-8.5649999999999995</v>
      </c>
      <c r="BB5170" s="69">
        <v>-8.4600000000000009</v>
      </c>
      <c r="BN5170" s="69">
        <v>-8.4499999999999993</v>
      </c>
      <c r="BT5170" s="69">
        <v>-16.725000000000001</v>
      </c>
      <c r="BZ5170" s="69">
        <v>-7.82</v>
      </c>
      <c r="CL5170" s="69">
        <v>-17.11</v>
      </c>
      <c r="CR5170" s="69">
        <v>-17.225000000000001</v>
      </c>
    </row>
    <row r="5171" spans="1:226" x14ac:dyDescent="0.25">
      <c r="A5171" s="127">
        <v>45751</v>
      </c>
      <c r="B5171" s="24" t="s">
        <v>33</v>
      </c>
      <c r="C5171" s="21">
        <f t="shared" si="85"/>
        <v>-9.58</v>
      </c>
      <c r="DZ5171" s="69">
        <v>-1.3</v>
      </c>
      <c r="EA5171" s="74">
        <v>-8.2799999999999994</v>
      </c>
    </row>
    <row r="5172" spans="1:226" x14ac:dyDescent="0.25">
      <c r="A5172" s="127">
        <v>45751</v>
      </c>
      <c r="B5172" s="24" t="s">
        <v>25</v>
      </c>
      <c r="C5172" s="21">
        <f t="shared" si="85"/>
        <v>-65.98</v>
      </c>
      <c r="DJ5172" s="69">
        <v>-50.284999999999997</v>
      </c>
      <c r="DK5172" s="106">
        <v>-8.2949999999999999</v>
      </c>
      <c r="DM5172" s="46">
        <v>-7.4</v>
      </c>
    </row>
    <row r="5173" spans="1:226" x14ac:dyDescent="0.25">
      <c r="A5173" s="127">
        <v>45751</v>
      </c>
      <c r="B5173" s="24" t="s">
        <v>31</v>
      </c>
      <c r="C5173" s="21">
        <f t="shared" si="85"/>
        <v>-15.154999999999999</v>
      </c>
      <c r="HH5173" s="106">
        <v>-15.154999999999999</v>
      </c>
    </row>
    <row r="5174" spans="1:226" x14ac:dyDescent="0.25">
      <c r="A5174" s="127">
        <v>45751</v>
      </c>
      <c r="B5174" s="24" t="s">
        <v>20</v>
      </c>
      <c r="C5174" s="21">
        <f t="shared" si="85"/>
        <v>-32.715000000000003</v>
      </c>
      <c r="BT5174" s="69">
        <v>-8.3350000000000009</v>
      </c>
      <c r="CR5174" s="69">
        <v>-8.6</v>
      </c>
      <c r="CX5174" s="69">
        <v>-8.4849999999999994</v>
      </c>
      <c r="GZ5174" s="106">
        <v>-7.2949999999999999</v>
      </c>
    </row>
    <row r="5175" spans="1:226" x14ac:dyDescent="0.25">
      <c r="A5175" s="127">
        <v>45752</v>
      </c>
      <c r="B5175" s="24" t="s">
        <v>48</v>
      </c>
      <c r="C5175" s="21">
        <f t="shared" si="85"/>
        <v>-16.445</v>
      </c>
      <c r="S5175" s="74">
        <v>-8.5</v>
      </c>
      <c r="V5175" s="74">
        <v>-7.9450000000000003</v>
      </c>
    </row>
    <row r="5176" spans="1:226" x14ac:dyDescent="0.25">
      <c r="A5176" s="127">
        <v>45754</v>
      </c>
      <c r="B5176" s="24" t="s">
        <v>221</v>
      </c>
      <c r="C5176" s="21">
        <f t="shared" si="85"/>
        <v>-5.3849999999999998</v>
      </c>
      <c r="DP5176" s="74">
        <v>-5.3849999999999998</v>
      </c>
    </row>
    <row r="5177" spans="1:226" x14ac:dyDescent="0.25">
      <c r="A5177" s="127">
        <v>45754</v>
      </c>
      <c r="B5177" s="24" t="s">
        <v>169</v>
      </c>
      <c r="C5177" s="21">
        <f t="shared" si="85"/>
        <v>-32.155000000000001</v>
      </c>
      <c r="F5177" s="145">
        <v>-32.155000000000001</v>
      </c>
    </row>
    <row r="5178" spans="1:226" x14ac:dyDescent="0.25">
      <c r="A5178" s="127">
        <v>45751</v>
      </c>
      <c r="B5178" s="24" t="s">
        <v>213</v>
      </c>
      <c r="C5178" s="21">
        <f t="shared" si="85"/>
        <v>-16.925000000000001</v>
      </c>
      <c r="BN5178" s="69">
        <v>-16.925000000000001</v>
      </c>
    </row>
    <row r="5179" spans="1:226" x14ac:dyDescent="0.25">
      <c r="A5179" s="127">
        <v>45754</v>
      </c>
      <c r="B5179" s="29" t="s">
        <v>44</v>
      </c>
      <c r="C5179" s="21">
        <f t="shared" si="85"/>
        <v>-88.364999999999995</v>
      </c>
      <c r="GK5179" s="79">
        <v>-30.59</v>
      </c>
      <c r="GQ5179" s="92">
        <v>-57.774999999999999</v>
      </c>
    </row>
    <row r="5180" spans="1:226" x14ac:dyDescent="0.25">
      <c r="A5180" s="127">
        <v>45754</v>
      </c>
      <c r="B5180" s="29" t="s">
        <v>193</v>
      </c>
      <c r="C5180" s="21">
        <f t="shared" si="85"/>
        <v>-34.31</v>
      </c>
      <c r="CL5180" s="69">
        <v>-8.4700000000000006</v>
      </c>
      <c r="CR5180" s="69">
        <v>-8.5549999999999997</v>
      </c>
      <c r="CX5180" s="69">
        <v>-8.4600000000000009</v>
      </c>
      <c r="DE5180" s="74">
        <v>-8.8249999999999993</v>
      </c>
    </row>
    <row r="5181" spans="1:226" x14ac:dyDescent="0.25">
      <c r="A5181" s="127">
        <v>45754</v>
      </c>
      <c r="B5181" s="24" t="s">
        <v>196</v>
      </c>
      <c r="C5181" s="21">
        <f t="shared" si="85"/>
        <v>31.43</v>
      </c>
      <c r="HD5181" s="92">
        <v>6.61</v>
      </c>
      <c r="HM5181" s="106">
        <f>3.87+6.465+7.245+7.24</f>
        <v>24.82</v>
      </c>
    </row>
    <row r="5182" spans="1:226" x14ac:dyDescent="0.25">
      <c r="A5182" s="127">
        <v>45754</v>
      </c>
      <c r="B5182" s="24" t="s">
        <v>33</v>
      </c>
      <c r="C5182" s="21">
        <f t="shared" si="85"/>
        <v>-25.125</v>
      </c>
      <c r="Z5182" s="79">
        <v>-8.2650000000000006</v>
      </c>
      <c r="BN5182" s="69">
        <v>-8.4949999999999992</v>
      </c>
      <c r="BT5182" s="69">
        <v>-8.3650000000000002</v>
      </c>
    </row>
    <row r="5183" spans="1:226" x14ac:dyDescent="0.25">
      <c r="A5183" s="127">
        <v>45755</v>
      </c>
      <c r="B5183" s="24" t="s">
        <v>188</v>
      </c>
      <c r="C5183" s="21">
        <f t="shared" si="85"/>
        <v>-8.56</v>
      </c>
      <c r="BZ5183" s="69">
        <v>-8.56</v>
      </c>
    </row>
    <row r="5184" spans="1:226" x14ac:dyDescent="0.25">
      <c r="A5184" s="127">
        <v>45755</v>
      </c>
      <c r="B5184" s="24" t="s">
        <v>82</v>
      </c>
      <c r="C5184" s="21">
        <f t="shared" si="85"/>
        <v>-101.5</v>
      </c>
      <c r="HH5184" s="106">
        <v>-50.305</v>
      </c>
      <c r="HR5184" s="92">
        <v>-51.195</v>
      </c>
    </row>
    <row r="5185" spans="1:199" x14ac:dyDescent="0.25">
      <c r="A5185" s="127">
        <v>45755</v>
      </c>
      <c r="B5185" s="24" t="s">
        <v>138</v>
      </c>
      <c r="C5185" s="21">
        <f t="shared" si="85"/>
        <v>-64.754999999999995</v>
      </c>
      <c r="AV5185" s="69">
        <v>-8.3949999999999996</v>
      </c>
      <c r="BB5185" s="69">
        <v>-25.35</v>
      </c>
      <c r="BN5185" s="69">
        <v>-8.5</v>
      </c>
      <c r="BZ5185" s="69">
        <v>-8.56</v>
      </c>
      <c r="DL5185" s="121">
        <v>-13.95</v>
      </c>
    </row>
    <row r="5186" spans="1:199" x14ac:dyDescent="0.25">
      <c r="A5186" s="127">
        <v>45755</v>
      </c>
      <c r="B5186" s="24" t="s">
        <v>20</v>
      </c>
      <c r="C5186" s="21">
        <f t="shared" si="85"/>
        <v>-17.010000000000002</v>
      </c>
      <c r="BN5186" s="69">
        <v>-8.43</v>
      </c>
      <c r="BZ5186" s="69">
        <v>-8.58</v>
      </c>
    </row>
    <row r="5187" spans="1:199" x14ac:dyDescent="0.25">
      <c r="A5187" s="127">
        <v>45755</v>
      </c>
      <c r="B5187" s="24" t="s">
        <v>83</v>
      </c>
      <c r="C5187" s="21">
        <f t="shared" si="85"/>
        <v>1.4550000000000001</v>
      </c>
      <c r="V5187" s="74">
        <v>-32.585000000000001</v>
      </c>
      <c r="AW5187" s="106">
        <v>34.04</v>
      </c>
    </row>
    <row r="5188" spans="1:199" x14ac:dyDescent="0.25">
      <c r="A5188" s="127">
        <v>45755</v>
      </c>
      <c r="B5188" s="24" t="s">
        <v>221</v>
      </c>
      <c r="C5188" s="21">
        <f t="shared" si="85"/>
        <v>5.3849999999999998</v>
      </c>
      <c r="DP5188" s="74">
        <v>5.3849999999999998</v>
      </c>
    </row>
    <row r="5189" spans="1:199" x14ac:dyDescent="0.25">
      <c r="A5189" s="127">
        <v>45757</v>
      </c>
      <c r="B5189" s="24" t="s">
        <v>197</v>
      </c>
      <c r="C5189" s="21">
        <f t="shared" si="85"/>
        <v>-78.135000000000005</v>
      </c>
      <c r="DE5189" s="74">
        <v>-27.25</v>
      </c>
      <c r="DO5189" s="375">
        <v>-7.5</v>
      </c>
      <c r="DP5189" s="74">
        <f>-9.085-5.385-4.52</f>
        <v>-18.989999999999998</v>
      </c>
      <c r="DT5189" s="69">
        <v>-24.395</v>
      </c>
    </row>
    <row r="5190" spans="1:199" x14ac:dyDescent="0.25">
      <c r="A5190" s="127">
        <v>45758</v>
      </c>
      <c r="B5190" s="24" t="s">
        <v>113</v>
      </c>
      <c r="C5190" s="21">
        <f t="shared" si="85"/>
        <v>177.215</v>
      </c>
      <c r="GQ5190" s="92">
        <v>177.215</v>
      </c>
    </row>
    <row r="5191" spans="1:199" x14ac:dyDescent="0.25">
      <c r="A5191" s="127">
        <v>45758</v>
      </c>
      <c r="B5191" s="24" t="s">
        <v>113</v>
      </c>
      <c r="C5191" s="21">
        <f t="shared" si="85"/>
        <v>177.465</v>
      </c>
      <c r="GO5191" s="110">
        <v>177.465</v>
      </c>
    </row>
    <row r="5192" spans="1:199" x14ac:dyDescent="0.25">
      <c r="A5192" s="127">
        <v>45758</v>
      </c>
      <c r="B5192" s="24" t="s">
        <v>113</v>
      </c>
      <c r="C5192" s="21">
        <f t="shared" si="85"/>
        <v>195.44499999999999</v>
      </c>
      <c r="BC5192" s="106">
        <v>64.025000000000006</v>
      </c>
      <c r="CA5192" s="106">
        <v>67.89</v>
      </c>
      <c r="CG5192" s="106">
        <v>63.53</v>
      </c>
    </row>
    <row r="5193" spans="1:199" x14ac:dyDescent="0.25">
      <c r="A5193" s="127">
        <v>45758</v>
      </c>
      <c r="B5193" s="24" t="s">
        <v>113</v>
      </c>
      <c r="C5193" s="21">
        <f t="shared" si="85"/>
        <v>988.98</v>
      </c>
      <c r="Z5193" s="79">
        <v>110.14</v>
      </c>
      <c r="AR5193" s="106">
        <v>101.41500000000001</v>
      </c>
      <c r="AW5193" s="106">
        <v>99.504999999999995</v>
      </c>
      <c r="BI5193" s="106">
        <v>64.635000000000005</v>
      </c>
      <c r="BO5193" s="106">
        <v>96.974999999999994</v>
      </c>
      <c r="BU5193" s="106">
        <v>66.655000000000001</v>
      </c>
      <c r="CM5193" s="106">
        <v>101.15</v>
      </c>
      <c r="CS5193" s="74">
        <v>32.119999999999997</v>
      </c>
      <c r="CY5193" s="106">
        <v>59.93</v>
      </c>
      <c r="DU5193" s="106">
        <v>34.270000000000003</v>
      </c>
      <c r="EA5193" s="74">
        <v>33.700000000000003</v>
      </c>
      <c r="GQ5193" s="92">
        <v>188.48500000000001</v>
      </c>
    </row>
    <row r="5194" spans="1:199" x14ac:dyDescent="0.25">
      <c r="A5194" s="127">
        <v>45758</v>
      </c>
      <c r="B5194" s="24" t="s">
        <v>20</v>
      </c>
      <c r="C5194" s="21">
        <f t="shared" si="85"/>
        <v>-41.23</v>
      </c>
      <c r="AN5194" s="106">
        <v>-8.5399999999999991</v>
      </c>
      <c r="AR5194" s="106">
        <v>-8.5399999999999991</v>
      </c>
      <c r="BC5194" s="106">
        <v>-8.0150000000000006</v>
      </c>
      <c r="BI5194" s="106">
        <v>-8.0500000000000007</v>
      </c>
      <c r="BO5194" s="106">
        <v>-8.0850000000000009</v>
      </c>
    </row>
    <row r="5195" spans="1:199" x14ac:dyDescent="0.25">
      <c r="A5195" s="127">
        <v>45758</v>
      </c>
      <c r="B5195" s="24" t="s">
        <v>25</v>
      </c>
      <c r="C5195" s="21">
        <f t="shared" si="85"/>
        <v>-7.8250000000000002</v>
      </c>
      <c r="Z5195" s="79">
        <v>-7.8250000000000002</v>
      </c>
    </row>
    <row r="5196" spans="1:199" x14ac:dyDescent="0.25">
      <c r="A5196" s="127">
        <v>45758</v>
      </c>
      <c r="B5196" s="24" t="s">
        <v>188</v>
      </c>
      <c r="C5196" s="21">
        <f t="shared" si="85"/>
        <v>-23.96</v>
      </c>
      <c r="BI5196" s="106">
        <v>-8.14</v>
      </c>
      <c r="BO5196" s="106">
        <v>-8.08</v>
      </c>
      <c r="CG5196" s="106">
        <v>-7.74</v>
      </c>
    </row>
    <row r="5197" spans="1:199" x14ac:dyDescent="0.25">
      <c r="A5197" s="127">
        <v>45758</v>
      </c>
      <c r="B5197" s="24" t="s">
        <v>79</v>
      </c>
      <c r="C5197" s="21">
        <f t="shared" si="85"/>
        <v>-16.420000000000002</v>
      </c>
      <c r="AW5197" s="106">
        <v>-8.25</v>
      </c>
      <c r="BI5197" s="106">
        <v>-8.17</v>
      </c>
    </row>
    <row r="5198" spans="1:199" x14ac:dyDescent="0.25">
      <c r="A5198" s="127">
        <v>45758</v>
      </c>
      <c r="B5198" s="24" t="s">
        <v>75</v>
      </c>
      <c r="C5198" s="21">
        <f t="shared" si="85"/>
        <v>-40.99</v>
      </c>
      <c r="BI5198" s="106">
        <v>-8.0749999999999993</v>
      </c>
      <c r="BO5198" s="106">
        <v>-16.13</v>
      </c>
      <c r="BU5198" s="106">
        <v>-8.3249999999999993</v>
      </c>
      <c r="BZ5198" s="69">
        <v>-8.4600000000000009</v>
      </c>
    </row>
    <row r="5199" spans="1:199" x14ac:dyDescent="0.25">
      <c r="A5199" s="127">
        <v>45758</v>
      </c>
      <c r="B5199" s="24" t="s">
        <v>138</v>
      </c>
      <c r="C5199" s="21">
        <f t="shared" si="85"/>
        <v>-97.1</v>
      </c>
      <c r="AW5199" s="106">
        <v>-8.2200000000000006</v>
      </c>
      <c r="BI5199" s="106">
        <v>-24.135000000000002</v>
      </c>
      <c r="BO5199" s="106">
        <v>-32.325000000000003</v>
      </c>
      <c r="BU5199" s="106">
        <v>-16.66</v>
      </c>
      <c r="CY5199" s="106">
        <v>-7.2450000000000001</v>
      </c>
      <c r="DU5199" s="106">
        <v>-8.5150000000000006</v>
      </c>
    </row>
    <row r="5200" spans="1:199" x14ac:dyDescent="0.25">
      <c r="A5200" s="127">
        <v>45758</v>
      </c>
      <c r="B5200" s="24" t="s">
        <v>127</v>
      </c>
      <c r="C5200" s="21">
        <f t="shared" si="85"/>
        <v>-8.15</v>
      </c>
      <c r="AW5200" s="106">
        <v>-8.15</v>
      </c>
    </row>
    <row r="5201" spans="1:216" x14ac:dyDescent="0.25">
      <c r="A5201" s="127">
        <v>45758</v>
      </c>
      <c r="B5201" s="24" t="s">
        <v>44</v>
      </c>
      <c r="C5201" s="21">
        <f t="shared" si="85"/>
        <v>-212.63</v>
      </c>
      <c r="GQ5201" s="92">
        <v>-204.32</v>
      </c>
      <c r="HH5201" s="106">
        <v>-8.31</v>
      </c>
    </row>
    <row r="5202" spans="1:216" x14ac:dyDescent="0.25">
      <c r="A5202" s="127">
        <v>45758</v>
      </c>
      <c r="B5202" s="24" t="s">
        <v>213</v>
      </c>
      <c r="C5202" s="21">
        <f t="shared" si="85"/>
        <v>-8.34</v>
      </c>
      <c r="AW5202" s="106">
        <v>-8.34</v>
      </c>
    </row>
    <row r="5203" spans="1:216" x14ac:dyDescent="0.25">
      <c r="A5203" s="127">
        <v>45758</v>
      </c>
      <c r="B5203" s="24" t="s">
        <v>213</v>
      </c>
      <c r="C5203" s="21">
        <f t="shared" si="85"/>
        <v>-81.38</v>
      </c>
      <c r="BC5203" s="106">
        <v>-32.020000000000003</v>
      </c>
      <c r="BI5203" s="106">
        <v>-8.0649999999999995</v>
      </c>
      <c r="BO5203" s="106">
        <v>-16.175000000000001</v>
      </c>
      <c r="BU5203" s="106">
        <v>-16.645</v>
      </c>
      <c r="CG5203" s="106">
        <v>-8.4749999999999996</v>
      </c>
    </row>
    <row r="5204" spans="1:216" x14ac:dyDescent="0.25">
      <c r="A5204" s="127">
        <v>45759</v>
      </c>
      <c r="B5204" s="24" t="s">
        <v>193</v>
      </c>
      <c r="C5204" s="21">
        <f t="shared" si="85"/>
        <v>-8.3650000000000002</v>
      </c>
      <c r="BU5204" s="106">
        <v>-8.3650000000000002</v>
      </c>
    </row>
    <row r="5205" spans="1:216" x14ac:dyDescent="0.25">
      <c r="A5205" s="127">
        <v>45761</v>
      </c>
      <c r="B5205" s="24" t="s">
        <v>25</v>
      </c>
      <c r="C5205" s="21">
        <f t="shared" si="85"/>
        <v>-53.78</v>
      </c>
      <c r="DY5205" s="42">
        <v>-8.83</v>
      </c>
      <c r="EA5205" s="74">
        <v>-10.404999999999999</v>
      </c>
      <c r="EC5205" s="126">
        <v>-8.83</v>
      </c>
      <c r="EL5205" s="106">
        <v>-8.2349999999999994</v>
      </c>
      <c r="EM5205" s="150">
        <v>-17.48</v>
      </c>
    </row>
    <row r="5206" spans="1:216" x14ac:dyDescent="0.25">
      <c r="A5206" s="127">
        <v>45761</v>
      </c>
      <c r="B5206" s="24" t="s">
        <v>112</v>
      </c>
      <c r="C5206" s="21">
        <f t="shared" si="85"/>
        <v>-33.89</v>
      </c>
      <c r="DU5206" s="106">
        <v>-25.754999999999999</v>
      </c>
      <c r="EG5206" s="74">
        <v>-8.1349999999999998</v>
      </c>
    </row>
    <row r="5207" spans="1:216" x14ac:dyDescent="0.25">
      <c r="A5207" s="127">
        <v>45763</v>
      </c>
      <c r="B5207" s="24" t="s">
        <v>113</v>
      </c>
      <c r="C5207" s="21">
        <f t="shared" si="85"/>
        <v>877.52499999999998</v>
      </c>
      <c r="AW5207" s="106">
        <v>32.284999999999997</v>
      </c>
      <c r="BC5207" s="106">
        <v>32.04</v>
      </c>
      <c r="BI5207" s="106">
        <v>129.47</v>
      </c>
      <c r="BO5207" s="106">
        <f>147.375+14.9</f>
        <v>162.27500000000001</v>
      </c>
      <c r="BU5207" s="106">
        <v>142.965</v>
      </c>
      <c r="CA5207" s="106">
        <v>61.454999999999998</v>
      </c>
      <c r="CG5207" s="106">
        <v>82.834999999999994</v>
      </c>
      <c r="CS5207" s="74">
        <v>31.114999999999998</v>
      </c>
      <c r="DP5207" s="74">
        <v>96.37</v>
      </c>
      <c r="DU5207" s="106">
        <v>106.715</v>
      </c>
    </row>
    <row r="5208" spans="1:216" x14ac:dyDescent="0.25">
      <c r="A5208" s="127">
        <v>45763</v>
      </c>
      <c r="B5208" s="24" t="s">
        <v>192</v>
      </c>
      <c r="C5208" s="21">
        <f t="shared" si="85"/>
        <v>-51.884999999999998</v>
      </c>
      <c r="BO5208" s="106">
        <v>-8.48</v>
      </c>
      <c r="DE5208" s="74">
        <v>-43.405000000000001</v>
      </c>
    </row>
    <row r="5209" spans="1:216" x14ac:dyDescent="0.25">
      <c r="A5209" s="127">
        <v>45764</v>
      </c>
      <c r="B5209" s="24" t="s">
        <v>213</v>
      </c>
      <c r="C5209" s="21">
        <f t="shared" si="85"/>
        <v>-64.09</v>
      </c>
      <c r="BI5209" s="106">
        <v>-16.055</v>
      </c>
      <c r="BO5209" s="106">
        <v>-32.024999999999999</v>
      </c>
      <c r="BU5209" s="106">
        <v>-16.010000000000002</v>
      </c>
    </row>
    <row r="5210" spans="1:216" x14ac:dyDescent="0.25">
      <c r="A5210" s="127">
        <v>45764</v>
      </c>
      <c r="B5210" s="24" t="s">
        <v>171</v>
      </c>
      <c r="C5210" s="21">
        <f t="shared" si="85"/>
        <v>-16.739999999999998</v>
      </c>
      <c r="BU5210" s="106">
        <v>-8.31</v>
      </c>
      <c r="CA5210" s="106">
        <v>-8.43</v>
      </c>
    </row>
    <row r="5211" spans="1:216" x14ac:dyDescent="0.25">
      <c r="A5211" s="127">
        <v>45764</v>
      </c>
      <c r="B5211" s="24" t="s">
        <v>112</v>
      </c>
      <c r="C5211" s="21">
        <f t="shared" si="85"/>
        <v>-2.2999999999999998</v>
      </c>
      <c r="EG5211" s="74">
        <v>-2.2999999999999998</v>
      </c>
    </row>
    <row r="5212" spans="1:216" x14ac:dyDescent="0.25">
      <c r="A5212" s="127">
        <v>45764</v>
      </c>
      <c r="B5212" s="24" t="s">
        <v>218</v>
      </c>
      <c r="C5212" s="21">
        <f t="shared" si="85"/>
        <v>-41.064999999999998</v>
      </c>
      <c r="AG5212" s="106">
        <v>-8.43</v>
      </c>
      <c r="AR5212" s="106">
        <v>-8.5299999999999994</v>
      </c>
      <c r="BC5212" s="106">
        <v>-16.010000000000002</v>
      </c>
      <c r="BI5212" s="106">
        <v>-8.0950000000000006</v>
      </c>
    </row>
    <row r="5213" spans="1:216" x14ac:dyDescent="0.25">
      <c r="A5213" s="127">
        <v>45764</v>
      </c>
      <c r="B5213" s="24" t="s">
        <v>184</v>
      </c>
      <c r="C5213" s="21">
        <f t="shared" si="85"/>
        <v>-775.12</v>
      </c>
      <c r="V5213" s="74">
        <v>-8.0850000000000009</v>
      </c>
      <c r="AN5213" s="106">
        <v>-25.13</v>
      </c>
      <c r="AR5213" s="106">
        <v>-33</v>
      </c>
      <c r="BI5213" s="106">
        <v>-64.63</v>
      </c>
      <c r="BO5213" s="106">
        <v>-63.945</v>
      </c>
      <c r="BU5213" s="106">
        <v>-95.015000000000001</v>
      </c>
      <c r="CA5213" s="106">
        <v>-34.299999999999997</v>
      </c>
      <c r="DE5213" s="74">
        <v>-36.085000000000001</v>
      </c>
      <c r="DP5213" s="74">
        <v>-62.384999999999998</v>
      </c>
      <c r="DU5213" s="106">
        <v>-90.754999999999995</v>
      </c>
      <c r="EA5213" s="74">
        <v>-163.95</v>
      </c>
      <c r="EG5213" s="74">
        <v>-97.84</v>
      </c>
    </row>
    <row r="5214" spans="1:216" x14ac:dyDescent="0.25">
      <c r="A5214" s="127">
        <v>45764</v>
      </c>
      <c r="B5214" s="24" t="s">
        <v>184</v>
      </c>
      <c r="C5214" s="21">
        <f t="shared" si="85"/>
        <v>-112.395</v>
      </c>
      <c r="AR5214" s="106">
        <v>-8.6449999999999996</v>
      </c>
      <c r="AW5214" s="106">
        <v>-16.559999999999999</v>
      </c>
      <c r="BU5214" s="106">
        <v>-8.0250000000000004</v>
      </c>
      <c r="CM5214" s="106">
        <v>-33.465000000000003</v>
      </c>
      <c r="CS5214" s="74">
        <v>-16.47</v>
      </c>
      <c r="CY5214" s="106">
        <v>-29.23</v>
      </c>
    </row>
    <row r="5215" spans="1:216" x14ac:dyDescent="0.25">
      <c r="A5215" s="127">
        <v>45764</v>
      </c>
      <c r="B5215" s="24" t="s">
        <v>133</v>
      </c>
      <c r="C5215" s="21">
        <f t="shared" si="85"/>
        <v>-96.88</v>
      </c>
      <c r="AR5215" s="106">
        <v>-25.145</v>
      </c>
      <c r="BO5215" s="106">
        <v>-16.545000000000002</v>
      </c>
      <c r="CA5215" s="106">
        <v>-30.61</v>
      </c>
      <c r="CS5215" s="74">
        <v>-24.58</v>
      </c>
    </row>
    <row r="5216" spans="1:216" x14ac:dyDescent="0.25">
      <c r="A5216" s="127">
        <v>45764</v>
      </c>
      <c r="B5216" s="24" t="s">
        <v>48</v>
      </c>
      <c r="C5216" s="21">
        <f t="shared" si="85"/>
        <v>-16.190000000000001</v>
      </c>
      <c r="CS5216" s="74">
        <v>-8.01</v>
      </c>
      <c r="CY5216" s="106">
        <v>-8.18</v>
      </c>
    </row>
    <row r="5217" spans="1:231" x14ac:dyDescent="0.25">
      <c r="A5217" s="127">
        <v>45764</v>
      </c>
      <c r="B5217" s="24" t="s">
        <v>184</v>
      </c>
      <c r="C5217" s="21">
        <f t="shared" si="85"/>
        <v>-41.024999999999999</v>
      </c>
      <c r="P5217" s="106">
        <v>-1.25</v>
      </c>
      <c r="Z5217" s="79">
        <v>-23.8</v>
      </c>
      <c r="BU5217" s="106">
        <v>-15.975</v>
      </c>
    </row>
    <row r="5218" spans="1:231" x14ac:dyDescent="0.25">
      <c r="A5218" s="127">
        <v>45764</v>
      </c>
      <c r="B5218" s="24" t="s">
        <v>33</v>
      </c>
      <c r="C5218" s="21">
        <f t="shared" si="85"/>
        <v>-8.0850000000000009</v>
      </c>
      <c r="BI5218" s="106">
        <v>-8.0850000000000009</v>
      </c>
    </row>
    <row r="5219" spans="1:231" x14ac:dyDescent="0.25">
      <c r="A5219" s="127">
        <v>45765</v>
      </c>
      <c r="B5219" s="24" t="s">
        <v>20</v>
      </c>
      <c r="C5219" s="21">
        <f t="shared" si="85"/>
        <v>-32.65</v>
      </c>
      <c r="BB5219" s="69">
        <v>-8.41</v>
      </c>
      <c r="BI5219" s="106">
        <v>-8.2100000000000009</v>
      </c>
      <c r="BO5219" s="106">
        <v>-8.09</v>
      </c>
      <c r="BU5219" s="106">
        <v>-7.94</v>
      </c>
    </row>
    <row r="5220" spans="1:231" x14ac:dyDescent="0.25">
      <c r="A5220" s="127">
        <v>45766</v>
      </c>
      <c r="B5220" s="24" t="s">
        <v>218</v>
      </c>
      <c r="C5220" s="21">
        <f t="shared" si="85"/>
        <v>137.72</v>
      </c>
      <c r="BQ5220" s="126">
        <v>36.51</v>
      </c>
      <c r="DA5220" s="126">
        <v>33.83</v>
      </c>
      <c r="DG5220" s="126">
        <v>33.659999999999997</v>
      </c>
      <c r="EU5220" s="126">
        <v>33.72</v>
      </c>
    </row>
    <row r="5221" spans="1:231" x14ac:dyDescent="0.25">
      <c r="A5221" s="127">
        <v>45766</v>
      </c>
      <c r="B5221" s="24" t="s">
        <v>222</v>
      </c>
      <c r="C5221" s="21">
        <f t="shared" si="85"/>
        <v>-16.684999999999999</v>
      </c>
      <c r="AB5221" s="69">
        <v>-8.5950000000000006</v>
      </c>
      <c r="BI5221" s="106">
        <v>-8.09</v>
      </c>
    </row>
    <row r="5222" spans="1:231" x14ac:dyDescent="0.25">
      <c r="A5222" s="127">
        <v>45768</v>
      </c>
      <c r="B5222" s="24" t="s">
        <v>222</v>
      </c>
      <c r="C5222" s="21">
        <f t="shared" si="85"/>
        <v>-8.1999999999999993</v>
      </c>
      <c r="AW5222" s="106">
        <v>-8.1999999999999993</v>
      </c>
    </row>
    <row r="5223" spans="1:231" x14ac:dyDescent="0.25">
      <c r="A5223" s="127">
        <v>45769</v>
      </c>
      <c r="B5223" s="24" t="s">
        <v>137</v>
      </c>
      <c r="C5223" s="21">
        <f t="shared" si="85"/>
        <v>-24.795000000000002</v>
      </c>
      <c r="AR5223" s="106">
        <v>-8.5449999999999999</v>
      </c>
      <c r="BC5223" s="106">
        <v>-7.99</v>
      </c>
      <c r="BO5223" s="106">
        <v>-8.26</v>
      </c>
    </row>
    <row r="5224" spans="1:231" x14ac:dyDescent="0.25">
      <c r="A5224" s="127">
        <v>45769</v>
      </c>
      <c r="B5224" s="24" t="s">
        <v>197</v>
      </c>
      <c r="C5224" s="21">
        <f t="shared" si="85"/>
        <v>-83.46</v>
      </c>
      <c r="DP5224" s="74">
        <v>-25.504999999999999</v>
      </c>
      <c r="DT5224" s="69">
        <v>-8.3350000000000009</v>
      </c>
      <c r="DU5224" s="106">
        <v>-15.96</v>
      </c>
      <c r="EU5224" s="126">
        <v>-33.659999999999997</v>
      </c>
    </row>
    <row r="5225" spans="1:231" x14ac:dyDescent="0.25">
      <c r="A5225" s="127">
        <v>45769</v>
      </c>
      <c r="B5225" s="24" t="s">
        <v>223</v>
      </c>
      <c r="C5225" s="21">
        <f t="shared" si="85"/>
        <v>-82.67</v>
      </c>
      <c r="AW5225" s="106">
        <v>-16.47</v>
      </c>
      <c r="BC5225" s="106">
        <v>-8.0350000000000001</v>
      </c>
      <c r="BO5225" s="106">
        <v>-16.5</v>
      </c>
      <c r="CA5225" s="106">
        <v>-7.53</v>
      </c>
      <c r="CG5225" s="106">
        <v>-8.4499999999999993</v>
      </c>
      <c r="CM5225" s="106">
        <v>-25.684999999999999</v>
      </c>
    </row>
    <row r="5226" spans="1:231" x14ac:dyDescent="0.25">
      <c r="A5226" s="127">
        <v>45769</v>
      </c>
      <c r="B5226" s="24" t="s">
        <v>213</v>
      </c>
      <c r="C5226" s="21">
        <f t="shared" si="85"/>
        <v>-66.14</v>
      </c>
      <c r="BC5226" s="106">
        <v>-7.9950000000000001</v>
      </c>
      <c r="BI5226" s="106">
        <v>-8.0950000000000006</v>
      </c>
      <c r="BO5226" s="106">
        <v>-16.52</v>
      </c>
      <c r="CA5226" s="106">
        <v>-16.655000000000001</v>
      </c>
      <c r="CG5226" s="106">
        <v>-16.875</v>
      </c>
    </row>
    <row r="5227" spans="1:231" x14ac:dyDescent="0.25">
      <c r="A5227" s="127">
        <v>45769</v>
      </c>
      <c r="B5227" s="24" t="s">
        <v>127</v>
      </c>
      <c r="C5227" s="21">
        <f t="shared" si="85"/>
        <v>-17.649999999999999</v>
      </c>
      <c r="BQ5227" s="126">
        <v>-17.649999999999999</v>
      </c>
    </row>
    <row r="5228" spans="1:231" x14ac:dyDescent="0.25">
      <c r="A5228" s="127">
        <v>45769</v>
      </c>
      <c r="B5228" s="24" t="s">
        <v>139</v>
      </c>
      <c r="C5228" s="21">
        <f t="shared" si="85"/>
        <v>-8.52</v>
      </c>
      <c r="BZ5228" s="69">
        <v>-8.52</v>
      </c>
    </row>
    <row r="5229" spans="1:231" x14ac:dyDescent="0.25">
      <c r="A5229" s="127">
        <v>45769</v>
      </c>
      <c r="B5229" s="24" t="s">
        <v>79</v>
      </c>
      <c r="C5229" s="21">
        <f t="shared" si="85"/>
        <v>-25.23</v>
      </c>
      <c r="AW5229" s="106">
        <v>-8.67</v>
      </c>
      <c r="BI5229" s="106">
        <v>-8.2100000000000009</v>
      </c>
      <c r="BU5229" s="106">
        <v>-8.35</v>
      </c>
    </row>
    <row r="5230" spans="1:231" x14ac:dyDescent="0.25">
      <c r="A5230" s="127">
        <v>45769</v>
      </c>
      <c r="B5230" s="24" t="s">
        <v>50</v>
      </c>
      <c r="C5230" s="21">
        <f t="shared" si="85"/>
        <v>-22.68</v>
      </c>
      <c r="HW5230" s="42">
        <v>-22.68</v>
      </c>
    </row>
    <row r="5231" spans="1:231" x14ac:dyDescent="0.25">
      <c r="A5231" s="127">
        <v>45769</v>
      </c>
      <c r="B5231" s="24" t="s">
        <v>218</v>
      </c>
      <c r="C5231" s="21">
        <f t="shared" si="85"/>
        <v>-16.29</v>
      </c>
      <c r="CS5231" s="74">
        <f>-8.235-8.055</f>
        <v>-16.29</v>
      </c>
    </row>
    <row r="5232" spans="1:231" x14ac:dyDescent="0.25">
      <c r="A5232" s="127">
        <v>45770</v>
      </c>
      <c r="B5232" s="24" t="s">
        <v>139</v>
      </c>
      <c r="C5232" s="21">
        <f t="shared" si="85"/>
        <v>-34.96</v>
      </c>
      <c r="CL5232" s="69">
        <v>-8.52</v>
      </c>
      <c r="CR5232" s="69">
        <v>-8.7200000000000006</v>
      </c>
      <c r="CX5232" s="69">
        <v>-8.5299999999999994</v>
      </c>
      <c r="DE5232" s="74">
        <v>-9.19</v>
      </c>
    </row>
    <row r="5233" spans="1:137" x14ac:dyDescent="0.25">
      <c r="A5233" s="127">
        <v>45770</v>
      </c>
      <c r="B5233" s="24" t="s">
        <v>218</v>
      </c>
      <c r="C5233" s="21">
        <f t="shared" ref="C5233:C5296" si="86">SUM(D5233:JT5233)</f>
        <v>-25.24</v>
      </c>
      <c r="AR5233" s="106">
        <v>-8.5649999999999995</v>
      </c>
      <c r="CA5233" s="106">
        <v>-8.4</v>
      </c>
      <c r="CG5233" s="106">
        <v>-8.2750000000000004</v>
      </c>
    </row>
    <row r="5234" spans="1:137" x14ac:dyDescent="0.25">
      <c r="A5234" s="127">
        <v>45770</v>
      </c>
      <c r="B5234" s="24" t="s">
        <v>113</v>
      </c>
      <c r="C5234" s="21">
        <f t="shared" si="86"/>
        <v>812.17499999999995</v>
      </c>
      <c r="AR5234" s="106">
        <v>66.114999999999995</v>
      </c>
      <c r="BC5234" s="106">
        <v>66.194999999999993</v>
      </c>
      <c r="BI5234" s="106">
        <v>101.69499999999999</v>
      </c>
      <c r="BO5234" s="106">
        <v>108.125</v>
      </c>
      <c r="BU5234" s="106">
        <v>167.215</v>
      </c>
      <c r="CA5234" s="106">
        <v>102.155</v>
      </c>
      <c r="CS5234" s="74">
        <v>99.674999999999997</v>
      </c>
      <c r="DK5234" s="106">
        <v>67.94</v>
      </c>
      <c r="EG5234" s="74">
        <v>33.06</v>
      </c>
    </row>
    <row r="5235" spans="1:137" x14ac:dyDescent="0.25">
      <c r="A5235" s="127">
        <v>45771</v>
      </c>
      <c r="B5235" s="24" t="s">
        <v>112</v>
      </c>
      <c r="C5235" s="21">
        <f t="shared" si="86"/>
        <v>-23.93</v>
      </c>
      <c r="BC5235" s="106">
        <v>-8.0950000000000006</v>
      </c>
      <c r="CA5235" s="106">
        <v>-8.6199999999999992</v>
      </c>
      <c r="CG5235" s="106">
        <v>-7.2149999999999999</v>
      </c>
    </row>
    <row r="5236" spans="1:137" x14ac:dyDescent="0.25">
      <c r="A5236" s="127">
        <v>45771</v>
      </c>
      <c r="B5236" s="24" t="s">
        <v>224</v>
      </c>
      <c r="C5236" s="21">
        <f t="shared" si="86"/>
        <v>-27.01</v>
      </c>
      <c r="DP5236" s="74">
        <v>-8.48</v>
      </c>
      <c r="DR5236" s="46">
        <v>-18.53</v>
      </c>
    </row>
    <row r="5237" spans="1:137" x14ac:dyDescent="0.25">
      <c r="A5237" s="127">
        <v>45771</v>
      </c>
      <c r="B5237" s="24" t="s">
        <v>133</v>
      </c>
      <c r="C5237" s="21">
        <f t="shared" si="86"/>
        <v>-164.74</v>
      </c>
      <c r="BC5237" s="106">
        <v>-33.774999999999999</v>
      </c>
      <c r="BO5237" s="106">
        <v>-30.32</v>
      </c>
      <c r="BU5237" s="106">
        <v>-34.265000000000001</v>
      </c>
      <c r="CA5237" s="106">
        <v>-33.299999999999997</v>
      </c>
      <c r="CG5237" s="106">
        <v>-33.08</v>
      </c>
    </row>
    <row r="5238" spans="1:137" x14ac:dyDescent="0.25">
      <c r="A5238" s="127">
        <v>45771</v>
      </c>
      <c r="B5238" s="24" t="s">
        <v>184</v>
      </c>
      <c r="C5238" s="21">
        <f t="shared" si="86"/>
        <v>-168.30500000000001</v>
      </c>
      <c r="BI5238" s="106">
        <v>-33.86</v>
      </c>
      <c r="CA5238" s="106">
        <v>-67.625</v>
      </c>
      <c r="DK5238" s="106">
        <v>-33.76</v>
      </c>
      <c r="EG5238" s="74">
        <v>-33.06</v>
      </c>
    </row>
    <row r="5239" spans="1:137" x14ac:dyDescent="0.25">
      <c r="A5239" s="127">
        <v>45771</v>
      </c>
      <c r="B5239" s="24" t="s">
        <v>213</v>
      </c>
      <c r="C5239" s="21">
        <f t="shared" si="86"/>
        <v>-132.06</v>
      </c>
      <c r="BI5239" s="106">
        <v>-33.880000000000003</v>
      </c>
      <c r="BO5239" s="106">
        <v>-30.524999999999999</v>
      </c>
      <c r="BU5239" s="106">
        <v>-34.685000000000002</v>
      </c>
      <c r="CS5239" s="74">
        <v>-32.97</v>
      </c>
    </row>
    <row r="5240" spans="1:137" x14ac:dyDescent="0.25">
      <c r="A5240" s="127">
        <v>45772</v>
      </c>
      <c r="B5240" s="24" t="s">
        <v>223</v>
      </c>
      <c r="C5240" s="21">
        <f t="shared" si="86"/>
        <v>-32.69</v>
      </c>
      <c r="BI5240" s="106">
        <f>-8.505-8.47</f>
        <v>-16.975000000000001</v>
      </c>
      <c r="BU5240" s="106">
        <f>-7.86-7.855</f>
        <v>-15.715</v>
      </c>
    </row>
    <row r="5241" spans="1:137" x14ac:dyDescent="0.25">
      <c r="A5241" s="127">
        <v>45772</v>
      </c>
      <c r="B5241" s="24" t="s">
        <v>68</v>
      </c>
      <c r="C5241" s="21">
        <f t="shared" si="86"/>
        <v>-63.61</v>
      </c>
      <c r="AG5241" s="106">
        <v>-8.6</v>
      </c>
      <c r="AN5241" s="106">
        <v>-5.83</v>
      </c>
      <c r="AR5241" s="106">
        <v>-8.2899999999999991</v>
      </c>
      <c r="AW5241" s="106">
        <v>-8.0449999999999999</v>
      </c>
      <c r="BC5241" s="106">
        <v>-8</v>
      </c>
      <c r="BI5241" s="106">
        <v>-8.5050000000000008</v>
      </c>
      <c r="BO5241" s="106">
        <v>-7.8949999999999996</v>
      </c>
      <c r="BU5241" s="106">
        <v>-8.4450000000000003</v>
      </c>
    </row>
    <row r="5242" spans="1:137" x14ac:dyDescent="0.25">
      <c r="A5242" s="127">
        <v>45772</v>
      </c>
      <c r="B5242" s="24" t="s">
        <v>25</v>
      </c>
      <c r="C5242" s="21">
        <f t="shared" si="86"/>
        <v>-40.454999999999998</v>
      </c>
      <c r="P5242" s="106">
        <v>-7.25</v>
      </c>
      <c r="AB5242" s="69">
        <v>-8.61</v>
      </c>
      <c r="AW5242" s="106">
        <v>-8.1199999999999992</v>
      </c>
      <c r="BC5242" s="106">
        <v>-8</v>
      </c>
      <c r="BI5242" s="106">
        <v>-8.4749999999999996</v>
      </c>
    </row>
    <row r="5243" spans="1:137" x14ac:dyDescent="0.25">
      <c r="A5243" s="127">
        <v>45772</v>
      </c>
      <c r="B5243" s="24" t="s">
        <v>193</v>
      </c>
      <c r="C5243" s="21">
        <f t="shared" si="86"/>
        <v>-8.33</v>
      </c>
      <c r="CS5243" s="74">
        <v>-8.33</v>
      </c>
    </row>
    <row r="5244" spans="1:137" x14ac:dyDescent="0.25">
      <c r="A5244" s="127">
        <v>45772</v>
      </c>
      <c r="B5244" s="24" t="s">
        <v>184</v>
      </c>
      <c r="C5244" s="21">
        <f t="shared" si="86"/>
        <v>-87.614999999999995</v>
      </c>
      <c r="AG5244" s="106">
        <v>-8.58</v>
      </c>
      <c r="BC5244" s="106">
        <v>-24.324999999999999</v>
      </c>
      <c r="BO5244" s="106">
        <v>-7.8650000000000002</v>
      </c>
      <c r="BU5244" s="106">
        <v>-7.12</v>
      </c>
      <c r="CA5244" s="106">
        <v>-8.3849999999999998</v>
      </c>
      <c r="CG5244" s="106">
        <v>-16.425000000000001</v>
      </c>
      <c r="CS5244" s="74">
        <v>-14.914999999999999</v>
      </c>
    </row>
    <row r="5245" spans="1:137" x14ac:dyDescent="0.25">
      <c r="A5245" s="127">
        <v>45772</v>
      </c>
      <c r="B5245" s="24" t="s">
        <v>33</v>
      </c>
      <c r="C5245" s="21">
        <f t="shared" si="86"/>
        <v>-15.975</v>
      </c>
      <c r="AW5245" s="106">
        <v>-8.0950000000000006</v>
      </c>
      <c r="BO5245" s="106">
        <v>-7.88</v>
      </c>
    </row>
    <row r="5246" spans="1:137" x14ac:dyDescent="0.25">
      <c r="A5246" s="127">
        <v>45772</v>
      </c>
      <c r="B5246" s="24" t="s">
        <v>20</v>
      </c>
      <c r="C5246" s="21">
        <f t="shared" si="86"/>
        <v>-24.765000000000001</v>
      </c>
      <c r="BU5246" s="106">
        <v>-7.8949999999999996</v>
      </c>
      <c r="BZ5246" s="69">
        <v>-8.5399999999999991</v>
      </c>
      <c r="CG5246" s="106">
        <v>-8.33</v>
      </c>
    </row>
    <row r="5247" spans="1:137" x14ac:dyDescent="0.25">
      <c r="A5247" s="127">
        <v>45772</v>
      </c>
      <c r="B5247" s="24" t="s">
        <v>197</v>
      </c>
      <c r="C5247" s="21">
        <f t="shared" si="86"/>
        <v>-92.41</v>
      </c>
      <c r="BU5247" s="106">
        <v>-16.895</v>
      </c>
      <c r="BZ5247" s="69">
        <v>-8.52</v>
      </c>
      <c r="CG5247" s="106">
        <v>-16.55</v>
      </c>
      <c r="CS5247" s="74">
        <v>-16.73</v>
      </c>
      <c r="CX5247" s="69">
        <v>-17.004999999999999</v>
      </c>
      <c r="DG5247" s="126">
        <v>-16.71</v>
      </c>
    </row>
    <row r="5248" spans="1:137" x14ac:dyDescent="0.25">
      <c r="A5248" s="127">
        <v>45772</v>
      </c>
      <c r="B5248" s="24" t="s">
        <v>162</v>
      </c>
      <c r="C5248" s="21">
        <f t="shared" si="86"/>
        <v>-34.18</v>
      </c>
      <c r="DK5248" s="106">
        <v>-34.18</v>
      </c>
    </row>
    <row r="5249" spans="1:230" x14ac:dyDescent="0.25">
      <c r="A5249" s="127">
        <v>45773</v>
      </c>
      <c r="B5249" s="24" t="s">
        <v>192</v>
      </c>
      <c r="C5249" s="21">
        <f t="shared" si="86"/>
        <v>-16.905000000000001</v>
      </c>
      <c r="BB5249" s="69">
        <v>-16.905000000000001</v>
      </c>
    </row>
    <row r="5250" spans="1:230" x14ac:dyDescent="0.25">
      <c r="A5250" s="127">
        <v>45776</v>
      </c>
      <c r="B5250" s="24" t="s">
        <v>20</v>
      </c>
      <c r="C5250" s="21">
        <f t="shared" si="86"/>
        <v>-8.1999999999999993</v>
      </c>
      <c r="CM5250" s="106">
        <v>-8.1999999999999993</v>
      </c>
    </row>
    <row r="5251" spans="1:230" x14ac:dyDescent="0.25">
      <c r="A5251" s="127">
        <v>45776</v>
      </c>
      <c r="B5251" s="24" t="s">
        <v>75</v>
      </c>
      <c r="C5251" s="21">
        <f t="shared" si="86"/>
        <v>-16.524999999999999</v>
      </c>
      <c r="AW5251" s="106">
        <v>-8.0250000000000004</v>
      </c>
      <c r="BZ5251" s="69">
        <v>-8.5</v>
      </c>
    </row>
    <row r="5252" spans="1:230" x14ac:dyDescent="0.25">
      <c r="A5252" s="127">
        <v>45776</v>
      </c>
      <c r="B5252" s="24" t="s">
        <v>39</v>
      </c>
      <c r="C5252" s="21">
        <f t="shared" si="86"/>
        <v>-24.86</v>
      </c>
      <c r="BO5252" s="106">
        <v>-7.88</v>
      </c>
      <c r="BU5252" s="106">
        <v>-8.44</v>
      </c>
      <c r="BZ5252" s="69">
        <v>-8.5399999999999991</v>
      </c>
    </row>
    <row r="5253" spans="1:230" x14ac:dyDescent="0.25">
      <c r="A5253" s="127">
        <v>45776</v>
      </c>
      <c r="B5253" s="24" t="s">
        <v>218</v>
      </c>
      <c r="C5253" s="21">
        <f t="shared" si="86"/>
        <v>-19.055</v>
      </c>
      <c r="AG5253" s="106">
        <v>-35.774999999999999</v>
      </c>
      <c r="BZ5253" s="69">
        <v>-8.58</v>
      </c>
      <c r="CA5253" s="106">
        <v>-8.6449999999999996</v>
      </c>
      <c r="CG5253" s="106">
        <f>-6.5-8.45</f>
        <v>-14.95</v>
      </c>
      <c r="CS5253" s="74">
        <f>-8.25-8.295</f>
        <v>-16.545000000000002</v>
      </c>
      <c r="EQ5253" s="46">
        <f>8.26+8.44</f>
        <v>16.7</v>
      </c>
      <c r="EU5253" s="126">
        <f>8.43+8.36+7.68+8.38+8.66</f>
        <v>41.51</v>
      </c>
      <c r="HV5253" s="92">
        <v>7.23</v>
      </c>
    </row>
    <row r="5254" spans="1:230" x14ac:dyDescent="0.25">
      <c r="A5254" s="127">
        <v>45776</v>
      </c>
      <c r="B5254" s="24" t="s">
        <v>83</v>
      </c>
      <c r="C5254" s="21">
        <f t="shared" si="86"/>
        <v>10.265000000000001</v>
      </c>
      <c r="V5254" s="74">
        <v>-23.835000000000001</v>
      </c>
      <c r="AW5254" s="106">
        <v>34.1</v>
      </c>
    </row>
    <row r="5255" spans="1:230" x14ac:dyDescent="0.25">
      <c r="A5255" s="127">
        <v>45777</v>
      </c>
      <c r="B5255" s="24" t="s">
        <v>184</v>
      </c>
      <c r="C5255" s="21">
        <f t="shared" si="86"/>
        <v>-96.98</v>
      </c>
      <c r="AR5255" s="106">
        <v>-16.664999999999999</v>
      </c>
      <c r="AW5255" s="106">
        <v>-16.625</v>
      </c>
      <c r="CS5255" s="74">
        <v>-16.594999999999999</v>
      </c>
      <c r="CY5255" s="106">
        <v>-15.275</v>
      </c>
      <c r="EA5255" s="74">
        <v>-31.82</v>
      </c>
    </row>
    <row r="5256" spans="1:230" x14ac:dyDescent="0.25">
      <c r="A5256" s="127">
        <v>45777</v>
      </c>
      <c r="B5256" s="24" t="s">
        <v>48</v>
      </c>
      <c r="C5256" s="21">
        <f t="shared" si="86"/>
        <v>-8.52</v>
      </c>
      <c r="P5256" s="106">
        <v>-8.52</v>
      </c>
    </row>
    <row r="5257" spans="1:230" x14ac:dyDescent="0.25">
      <c r="A5257" s="127">
        <v>45779</v>
      </c>
      <c r="B5257" s="24" t="s">
        <v>192</v>
      </c>
      <c r="C5257" s="21">
        <f t="shared" si="86"/>
        <v>-8.4450000000000003</v>
      </c>
      <c r="BU5257" s="106">
        <v>-8.4450000000000003</v>
      </c>
    </row>
    <row r="5258" spans="1:230" x14ac:dyDescent="0.25">
      <c r="A5258" s="127">
        <v>45779</v>
      </c>
      <c r="B5258" s="24" t="s">
        <v>162</v>
      </c>
      <c r="C5258" s="21">
        <f t="shared" si="86"/>
        <v>-26.97</v>
      </c>
      <c r="CY5258" s="106">
        <v>-8.42</v>
      </c>
      <c r="DG5258" s="126">
        <v>-18.55</v>
      </c>
    </row>
    <row r="5259" spans="1:230" x14ac:dyDescent="0.25">
      <c r="A5259" s="127">
        <v>45780</v>
      </c>
      <c r="B5259" s="24" t="s">
        <v>133</v>
      </c>
      <c r="C5259" s="21">
        <f t="shared" si="86"/>
        <v>-32.704999999999998</v>
      </c>
      <c r="EA5259" s="74">
        <v>-32.704999999999998</v>
      </c>
    </row>
    <row r="5260" spans="1:230" x14ac:dyDescent="0.25">
      <c r="A5260" s="127">
        <v>45780</v>
      </c>
      <c r="B5260" s="24" t="s">
        <v>173</v>
      </c>
      <c r="C5260" s="21">
        <f t="shared" si="86"/>
        <v>-17.295000000000002</v>
      </c>
      <c r="BU5260" s="106">
        <v>-8.4350000000000005</v>
      </c>
      <c r="DG5260" s="126">
        <v>-8.86</v>
      </c>
    </row>
    <row r="5261" spans="1:230" x14ac:dyDescent="0.25">
      <c r="A5261" s="127">
        <v>45782</v>
      </c>
      <c r="B5261" s="24" t="s">
        <v>44</v>
      </c>
      <c r="C5261" s="21">
        <f t="shared" si="86"/>
        <v>-136.58500000000001</v>
      </c>
      <c r="AR5261" s="106">
        <v>-8.5350000000000001</v>
      </c>
      <c r="GQ5261" s="92">
        <v>-102.815</v>
      </c>
      <c r="GW5261" s="92">
        <v>-8.1649999999999991</v>
      </c>
      <c r="HR5261" s="92">
        <v>-17.07</v>
      </c>
    </row>
    <row r="5262" spans="1:230" x14ac:dyDescent="0.25">
      <c r="A5262" s="127">
        <v>45783</v>
      </c>
      <c r="B5262" s="24" t="s">
        <v>113</v>
      </c>
      <c r="C5262" s="21">
        <f t="shared" si="86"/>
        <v>905.68</v>
      </c>
      <c r="AR5262" s="106">
        <v>66.2</v>
      </c>
      <c r="AW5262" s="106">
        <v>101.21</v>
      </c>
      <c r="BC5262" s="106">
        <v>65.165000000000006</v>
      </c>
      <c r="BO5262" s="106">
        <v>101.06</v>
      </c>
      <c r="CA5262" s="106">
        <v>94.88</v>
      </c>
      <c r="CG5262" s="106">
        <v>103.73</v>
      </c>
      <c r="CM5262" s="106">
        <v>95.564999999999998</v>
      </c>
      <c r="CY5262" s="106">
        <v>65.215000000000003</v>
      </c>
      <c r="DE5262" s="74">
        <v>78.459999999999994</v>
      </c>
      <c r="DK5262" s="106">
        <v>68.004999999999995</v>
      </c>
      <c r="EG5262" s="74">
        <v>66.19</v>
      </c>
    </row>
    <row r="5263" spans="1:230" x14ac:dyDescent="0.25">
      <c r="A5263" s="127">
        <v>45784</v>
      </c>
      <c r="B5263" s="24" t="s">
        <v>213</v>
      </c>
      <c r="C5263" s="21">
        <f t="shared" si="86"/>
        <v>-83.17</v>
      </c>
      <c r="AW5263" s="106">
        <v>-8.26</v>
      </c>
      <c r="BC5263" s="106">
        <v>-33.125</v>
      </c>
      <c r="BO5263" s="106">
        <v>-8.3450000000000006</v>
      </c>
      <c r="CA5263" s="106">
        <v>-15.79</v>
      </c>
      <c r="CG5263" s="106">
        <v>-17.649999999999999</v>
      </c>
    </row>
    <row r="5264" spans="1:230" x14ac:dyDescent="0.25">
      <c r="A5264" s="127">
        <v>45784</v>
      </c>
      <c r="B5264" s="24" t="s">
        <v>68</v>
      </c>
      <c r="C5264" s="21">
        <f t="shared" si="86"/>
        <v>-66.540000000000006</v>
      </c>
      <c r="AG5264" s="106">
        <v>-8.5850000000000009</v>
      </c>
      <c r="AN5264" s="106">
        <v>-8.24</v>
      </c>
      <c r="AR5264" s="106">
        <v>-8.32</v>
      </c>
      <c r="AW5264" s="106">
        <v>-16.765000000000001</v>
      </c>
      <c r="BO5264" s="106">
        <v>-16.73</v>
      </c>
      <c r="CA5264" s="106">
        <v>-7.9</v>
      </c>
    </row>
    <row r="5265" spans="1:131" x14ac:dyDescent="0.25">
      <c r="A5265" s="127">
        <v>45784</v>
      </c>
      <c r="B5265" s="24" t="s">
        <v>139</v>
      </c>
      <c r="C5265" s="21">
        <f t="shared" si="86"/>
        <v>-25.15</v>
      </c>
      <c r="BU5265" s="106">
        <v>-8.4649999999999999</v>
      </c>
      <c r="CA5265" s="106">
        <v>-7.88</v>
      </c>
      <c r="CG5265" s="106">
        <v>-8.8049999999999997</v>
      </c>
    </row>
    <row r="5266" spans="1:131" x14ac:dyDescent="0.25">
      <c r="A5266" s="127">
        <v>45784</v>
      </c>
      <c r="B5266" s="24" t="s">
        <v>20</v>
      </c>
      <c r="C5266" s="21">
        <f t="shared" si="86"/>
        <v>-7.71</v>
      </c>
      <c r="AW5266" s="106">
        <v>-7.71</v>
      </c>
    </row>
    <row r="5267" spans="1:131" x14ac:dyDescent="0.25">
      <c r="A5267" s="127">
        <v>45784</v>
      </c>
      <c r="B5267" s="24" t="s">
        <v>184</v>
      </c>
      <c r="C5267" s="21">
        <f t="shared" si="86"/>
        <v>-133.14500000000001</v>
      </c>
      <c r="P5267" s="106">
        <v>-8.4849999999999994</v>
      </c>
      <c r="AR5267" s="106">
        <v>-41.475000000000001</v>
      </c>
      <c r="BO5267" s="106">
        <v>-33.83</v>
      </c>
      <c r="CA5267" s="106">
        <v>-31.725000000000001</v>
      </c>
      <c r="CG5267" s="106">
        <v>-17.63</v>
      </c>
    </row>
    <row r="5268" spans="1:131" x14ac:dyDescent="0.25">
      <c r="A5268" s="127">
        <v>45784</v>
      </c>
      <c r="B5268" s="24" t="s">
        <v>218</v>
      </c>
      <c r="C5268" s="21">
        <f t="shared" si="86"/>
        <v>-57.994999999999997</v>
      </c>
      <c r="AR5268" s="106">
        <v>-8.3849999999999998</v>
      </c>
      <c r="AW5268" s="106">
        <f>-8.17-8.015-9.06</f>
        <v>-25.245000000000001</v>
      </c>
      <c r="BC5268" s="106">
        <f>-8.01-8.02</f>
        <v>-16.03</v>
      </c>
      <c r="BO5268" s="106">
        <v>-8.3350000000000009</v>
      </c>
    </row>
    <row r="5269" spans="1:131" x14ac:dyDescent="0.25">
      <c r="A5269" s="127">
        <v>45784</v>
      </c>
      <c r="B5269" s="24" t="s">
        <v>213</v>
      </c>
      <c r="C5269" s="21">
        <f t="shared" si="86"/>
        <v>-8.0850000000000009</v>
      </c>
      <c r="AR5269" s="106">
        <v>-8.0850000000000009</v>
      </c>
    </row>
    <row r="5270" spans="1:131" x14ac:dyDescent="0.25">
      <c r="A5270" s="127">
        <v>45784</v>
      </c>
      <c r="B5270" s="24" t="s">
        <v>127</v>
      </c>
      <c r="C5270" s="21">
        <f t="shared" si="86"/>
        <v>-16.364999999999998</v>
      </c>
      <c r="AR5270" s="106">
        <v>-8.3450000000000006</v>
      </c>
      <c r="BC5270" s="106">
        <v>-8.02</v>
      </c>
    </row>
    <row r="5271" spans="1:131" x14ac:dyDescent="0.25">
      <c r="A5271" s="127">
        <v>45785</v>
      </c>
      <c r="B5271" s="24" t="s">
        <v>32</v>
      </c>
      <c r="C5271" s="21">
        <f t="shared" si="86"/>
        <v>-43.71</v>
      </c>
      <c r="AR5271" s="106">
        <v>-8.3450000000000006</v>
      </c>
      <c r="CG5271" s="106">
        <v>-35.365000000000002</v>
      </c>
    </row>
    <row r="5272" spans="1:131" x14ac:dyDescent="0.25">
      <c r="A5272" s="127">
        <v>45785</v>
      </c>
      <c r="B5272" s="24" t="s">
        <v>174</v>
      </c>
      <c r="C5272" s="21">
        <f t="shared" si="86"/>
        <v>-16.79</v>
      </c>
      <c r="AW5272" s="106">
        <v>-8.8000000000000007</v>
      </c>
      <c r="BC5272" s="106">
        <v>-7.99</v>
      </c>
    </row>
    <row r="5273" spans="1:131" x14ac:dyDescent="0.25">
      <c r="A5273" s="127">
        <v>45785</v>
      </c>
      <c r="B5273" s="24" t="s">
        <v>174</v>
      </c>
      <c r="C5273" s="21">
        <f t="shared" si="86"/>
        <v>-8.44</v>
      </c>
      <c r="BU5273" s="106">
        <v>-8.44</v>
      </c>
    </row>
    <row r="5274" spans="1:131" x14ac:dyDescent="0.25">
      <c r="A5274" s="127">
        <v>45786</v>
      </c>
      <c r="B5274" s="24" t="s">
        <v>113</v>
      </c>
      <c r="C5274" s="21">
        <f t="shared" si="86"/>
        <v>428.70499999999998</v>
      </c>
      <c r="AR5274" s="106">
        <v>34.74</v>
      </c>
      <c r="BC5274" s="106">
        <v>30.63</v>
      </c>
      <c r="BI5274" s="106">
        <v>100.09</v>
      </c>
      <c r="BU5274" s="106">
        <v>34.35</v>
      </c>
      <c r="CA5274" s="106">
        <v>31.225000000000001</v>
      </c>
      <c r="DP5274" s="74">
        <f>100.05</f>
        <v>100.05</v>
      </c>
      <c r="DU5274" s="106">
        <f>73.22+24.4</f>
        <v>97.62</v>
      </c>
    </row>
    <row r="5275" spans="1:131" x14ac:dyDescent="0.25">
      <c r="A5275" s="127">
        <v>45786</v>
      </c>
      <c r="B5275" s="24" t="s">
        <v>115</v>
      </c>
      <c r="C5275" s="21">
        <f t="shared" si="86"/>
        <v>60.57</v>
      </c>
      <c r="D5275" s="386">
        <v>28.35</v>
      </c>
      <c r="F5275" s="145">
        <v>32.22</v>
      </c>
    </row>
    <row r="5276" spans="1:131" x14ac:dyDescent="0.25">
      <c r="A5276" s="127">
        <v>45786</v>
      </c>
      <c r="B5276" s="24" t="s">
        <v>197</v>
      </c>
      <c r="C5276" s="21">
        <f t="shared" si="86"/>
        <v>-189.81</v>
      </c>
      <c r="DP5276" s="74">
        <v>-49.524999999999999</v>
      </c>
      <c r="DU5276" s="106">
        <v>-81.349999999999994</v>
      </c>
      <c r="DY5276" s="42">
        <v>-8.23</v>
      </c>
      <c r="DZ5276" s="69">
        <f>-4.4-4.5</f>
        <v>-8.9</v>
      </c>
      <c r="EA5276" s="74">
        <f>-8.79-8.255-8.57-7.91-8.28</f>
        <v>-41.805</v>
      </c>
    </row>
    <row r="5277" spans="1:131" x14ac:dyDescent="0.25">
      <c r="A5277" s="127">
        <v>45786</v>
      </c>
      <c r="B5277" s="24" t="s">
        <v>20</v>
      </c>
      <c r="C5277" s="21">
        <f t="shared" si="86"/>
        <v>-26.734999999999999</v>
      </c>
      <c r="BC5277" s="106">
        <v>-8.0549999999999997</v>
      </c>
      <c r="BI5277" s="106">
        <v>-8.34</v>
      </c>
      <c r="BQ5277" s="126">
        <v>-10.34</v>
      </c>
    </row>
    <row r="5278" spans="1:131" x14ac:dyDescent="0.25">
      <c r="A5278" s="127">
        <v>45786</v>
      </c>
      <c r="B5278" s="24" t="s">
        <v>213</v>
      </c>
      <c r="C5278" s="21">
        <f t="shared" si="86"/>
        <v>-91.114999999999995</v>
      </c>
      <c r="AR5278" s="106">
        <v>-8.2799999999999994</v>
      </c>
      <c r="BI5278" s="106">
        <v>-33.53</v>
      </c>
      <c r="BO5278" s="106">
        <v>-15.76</v>
      </c>
      <c r="BU5278" s="106">
        <v>-17.204999999999998</v>
      </c>
      <c r="CA5278" s="106">
        <v>-16.34</v>
      </c>
    </row>
    <row r="5279" spans="1:131" x14ac:dyDescent="0.25">
      <c r="A5279" s="127">
        <v>45786</v>
      </c>
      <c r="B5279" s="24" t="s">
        <v>138</v>
      </c>
      <c r="C5279" s="21">
        <f t="shared" si="86"/>
        <v>-44.395000000000003</v>
      </c>
      <c r="AW5279" s="106">
        <v>-8.4149999999999991</v>
      </c>
      <c r="BI5279" s="106">
        <v>-16.445</v>
      </c>
      <c r="BU5279" s="106">
        <v>-8.57</v>
      </c>
      <c r="DO5279" s="375">
        <v>-3.45</v>
      </c>
      <c r="DP5279" s="74">
        <v>-7.5149999999999997</v>
      </c>
    </row>
    <row r="5280" spans="1:131" x14ac:dyDescent="0.25">
      <c r="A5280" s="127">
        <v>45786</v>
      </c>
      <c r="B5280" s="24" t="s">
        <v>188</v>
      </c>
      <c r="C5280" s="21">
        <f t="shared" si="86"/>
        <v>-17.015000000000001</v>
      </c>
      <c r="AR5280" s="106">
        <v>-8.44</v>
      </c>
      <c r="BU5280" s="106">
        <v>-8.5749999999999993</v>
      </c>
    </row>
    <row r="5281" spans="1:91" x14ac:dyDescent="0.25">
      <c r="A5281" s="127">
        <v>45786</v>
      </c>
      <c r="B5281" s="24" t="s">
        <v>20</v>
      </c>
      <c r="C5281" s="21">
        <f t="shared" si="86"/>
        <v>-7.8949999999999996</v>
      </c>
      <c r="CA5281" s="106">
        <v>-7.8949999999999996</v>
      </c>
    </row>
    <row r="5282" spans="1:91" x14ac:dyDescent="0.25">
      <c r="A5282" s="127">
        <v>45789</v>
      </c>
      <c r="B5282" s="24" t="s">
        <v>184</v>
      </c>
      <c r="C5282" s="21">
        <f t="shared" si="86"/>
        <v>-113.745</v>
      </c>
      <c r="AN5282" s="106">
        <v>-12.68</v>
      </c>
      <c r="AR5282" s="106">
        <v>-17.149999999999999</v>
      </c>
      <c r="AW5282" s="106">
        <v>-16.940000000000001</v>
      </c>
      <c r="BI5282" s="106">
        <v>-16.7</v>
      </c>
      <c r="BO5282" s="106">
        <v>-16.87</v>
      </c>
      <c r="CA5282" s="106">
        <v>-16.094999999999999</v>
      </c>
      <c r="CM5282" s="106">
        <v>-17.309999999999999</v>
      </c>
    </row>
    <row r="5283" spans="1:91" x14ac:dyDescent="0.25">
      <c r="A5283" s="127">
        <v>45790</v>
      </c>
      <c r="B5283" s="24" t="s">
        <v>25</v>
      </c>
      <c r="C5283" s="21">
        <f t="shared" si="86"/>
        <v>-31.41</v>
      </c>
      <c r="BC5283" s="106">
        <v>-8</v>
      </c>
      <c r="BI5283" s="106">
        <v>-8.3699999999999992</v>
      </c>
      <c r="BO5283" s="106">
        <v>-8.4749999999999996</v>
      </c>
      <c r="CG5283" s="106">
        <v>-6.5650000000000004</v>
      </c>
    </row>
    <row r="5284" spans="1:91" x14ac:dyDescent="0.25">
      <c r="A5284" s="127">
        <v>45790</v>
      </c>
      <c r="B5284" s="24" t="s">
        <v>192</v>
      </c>
      <c r="C5284" s="21">
        <f t="shared" si="86"/>
        <v>-15.77</v>
      </c>
      <c r="CA5284" s="106">
        <v>-15.77</v>
      </c>
    </row>
    <row r="5285" spans="1:91" x14ac:dyDescent="0.25">
      <c r="A5285" s="127">
        <v>45790</v>
      </c>
      <c r="B5285" s="24" t="s">
        <v>139</v>
      </c>
      <c r="C5285" s="21">
        <f t="shared" si="86"/>
        <v>-15.55</v>
      </c>
      <c r="CA5285" s="106">
        <v>-6.71</v>
      </c>
      <c r="CG5285" s="106">
        <v>-8.84</v>
      </c>
    </row>
    <row r="5286" spans="1:91" x14ac:dyDescent="0.25">
      <c r="A5286" s="127">
        <v>45790</v>
      </c>
      <c r="B5286" s="24" t="s">
        <v>75</v>
      </c>
      <c r="C5286" s="21">
        <f t="shared" si="86"/>
        <v>-34.484999999999999</v>
      </c>
      <c r="AR5286" s="106">
        <v>-8.7650000000000006</v>
      </c>
      <c r="BI5286" s="106">
        <v>-8.3699999999999992</v>
      </c>
      <c r="BO5286" s="106">
        <v>-8.4749999999999996</v>
      </c>
      <c r="CG5286" s="106">
        <v>-8.875</v>
      </c>
    </row>
    <row r="5287" spans="1:91" x14ac:dyDescent="0.25">
      <c r="A5287" s="127">
        <v>45791</v>
      </c>
      <c r="B5287" s="24" t="s">
        <v>58</v>
      </c>
      <c r="C5287" s="21">
        <f t="shared" si="86"/>
        <v>-8.2550000000000008</v>
      </c>
      <c r="CM5287" s="106">
        <v>-8.2550000000000008</v>
      </c>
    </row>
    <row r="5288" spans="1:91" x14ac:dyDescent="0.25">
      <c r="A5288" s="127">
        <v>45791</v>
      </c>
      <c r="B5288" s="24" t="s">
        <v>24</v>
      </c>
      <c r="C5288" s="21">
        <f t="shared" si="86"/>
        <v>-30.87</v>
      </c>
      <c r="AN5288" s="106">
        <v>-7.42</v>
      </c>
      <c r="AW5288" s="106">
        <v>-7.98</v>
      </c>
      <c r="BC5288" s="106">
        <v>-7.4850000000000003</v>
      </c>
      <c r="CM5288" s="106">
        <v>-7.9850000000000003</v>
      </c>
    </row>
    <row r="5289" spans="1:91" x14ac:dyDescent="0.25">
      <c r="A5289" s="127">
        <v>45792</v>
      </c>
      <c r="B5289" s="24" t="s">
        <v>19</v>
      </c>
      <c r="C5289" s="21">
        <f t="shared" si="86"/>
        <v>0</v>
      </c>
    </row>
    <row r="5290" spans="1:91" x14ac:dyDescent="0.25">
      <c r="A5290" s="127">
        <v>45792</v>
      </c>
      <c r="B5290" s="24" t="s">
        <v>202</v>
      </c>
      <c r="C5290" s="21">
        <f t="shared" si="86"/>
        <v>-8.23</v>
      </c>
      <c r="D5290" s="386">
        <v>-8.23</v>
      </c>
    </row>
    <row r="5291" spans="1:91" x14ac:dyDescent="0.25">
      <c r="A5291" s="127">
        <v>45796</v>
      </c>
      <c r="B5291" s="24" t="s">
        <v>224</v>
      </c>
      <c r="C5291" s="21">
        <f t="shared" si="86"/>
        <v>-8.2149999999999999</v>
      </c>
      <c r="Z5291" s="79">
        <v>-8.2149999999999999</v>
      </c>
    </row>
    <row r="5292" spans="1:91" x14ac:dyDescent="0.25">
      <c r="A5292" s="127">
        <v>45796</v>
      </c>
      <c r="B5292" s="24" t="s">
        <v>33</v>
      </c>
      <c r="C5292" s="21">
        <f t="shared" si="86"/>
        <v>-14.824999999999999</v>
      </c>
      <c r="AR5292" s="106">
        <v>-7.7350000000000003</v>
      </c>
      <c r="BC5292" s="106">
        <v>-7.09</v>
      </c>
    </row>
    <row r="5293" spans="1:91" x14ac:dyDescent="0.25">
      <c r="A5293" s="127">
        <v>45796</v>
      </c>
      <c r="B5293" s="24" t="s">
        <v>213</v>
      </c>
      <c r="C5293" s="21">
        <f t="shared" si="86"/>
        <v>-36.655000000000001</v>
      </c>
      <c r="AN5293" s="106">
        <v>-3.04</v>
      </c>
      <c r="AR5293" s="106">
        <f>-4.42-4.36</f>
        <v>-8.7799999999999994</v>
      </c>
      <c r="AW5293" s="106">
        <v>-7.98</v>
      </c>
      <c r="BI5293" s="106">
        <v>-8.3350000000000009</v>
      </c>
      <c r="BQ5293" s="126">
        <v>-8.52</v>
      </c>
    </row>
    <row r="5294" spans="1:91" x14ac:dyDescent="0.25">
      <c r="A5294" s="127">
        <v>45797</v>
      </c>
      <c r="B5294" s="24" t="s">
        <v>184</v>
      </c>
      <c r="C5294" s="21">
        <f t="shared" si="86"/>
        <v>-48.335000000000001</v>
      </c>
      <c r="I5294" s="84">
        <v>-6.27</v>
      </c>
      <c r="Z5294" s="79">
        <v>-8.1850000000000005</v>
      </c>
      <c r="AN5294" s="106">
        <v>-33.880000000000003</v>
      </c>
    </row>
    <row r="5295" spans="1:91" x14ac:dyDescent="0.25">
      <c r="A5295" s="127">
        <v>45797</v>
      </c>
      <c r="B5295" s="24" t="s">
        <v>184</v>
      </c>
      <c r="C5295" s="21">
        <f t="shared" si="86"/>
        <v>-8.5950000000000006</v>
      </c>
      <c r="AG5295" s="106">
        <v>-8.5950000000000006</v>
      </c>
    </row>
    <row r="5296" spans="1:91" x14ac:dyDescent="0.25">
      <c r="A5296" s="127">
        <v>45797</v>
      </c>
      <c r="B5296" s="24" t="s">
        <v>169</v>
      </c>
      <c r="C5296" s="21">
        <f t="shared" si="86"/>
        <v>-50.52</v>
      </c>
      <c r="E5296" s="386">
        <v>-18.3</v>
      </c>
      <c r="F5296" s="145">
        <v>-32.22</v>
      </c>
    </row>
    <row r="5297" spans="1:199" x14ac:dyDescent="0.25">
      <c r="A5297" s="127">
        <v>45797</v>
      </c>
      <c r="B5297" s="24" t="s">
        <v>20</v>
      </c>
      <c r="C5297" s="21">
        <f t="shared" ref="C5297:C5360" si="87">SUM(D5297:JT5297)</f>
        <v>-8.4250000000000007</v>
      </c>
      <c r="Z5297" s="79">
        <v>-8.4250000000000007</v>
      </c>
    </row>
    <row r="5298" spans="1:199" x14ac:dyDescent="0.25">
      <c r="A5298" s="127">
        <v>45798</v>
      </c>
      <c r="B5298" s="24" t="s">
        <v>197</v>
      </c>
      <c r="C5298" s="21">
        <f t="shared" si="87"/>
        <v>-24.425000000000001</v>
      </c>
      <c r="Z5298" s="79">
        <v>-8.1549999999999994</v>
      </c>
      <c r="DU5298" s="106">
        <v>-16.27</v>
      </c>
    </row>
    <row r="5299" spans="1:199" x14ac:dyDescent="0.25">
      <c r="A5299" s="127">
        <v>45798</v>
      </c>
      <c r="B5299" s="24" t="s">
        <v>213</v>
      </c>
      <c r="C5299" s="21">
        <f t="shared" si="87"/>
        <v>-4.9400000000000004</v>
      </c>
      <c r="AW5299" s="106">
        <v>-4.9400000000000004</v>
      </c>
    </row>
    <row r="5300" spans="1:199" x14ac:dyDescent="0.25">
      <c r="A5300" s="127">
        <v>45799</v>
      </c>
      <c r="B5300" s="24" t="s">
        <v>113</v>
      </c>
      <c r="C5300" s="21">
        <f t="shared" si="87"/>
        <v>935.29499999999996</v>
      </c>
      <c r="BC5300" s="106">
        <v>64.265000000000001</v>
      </c>
      <c r="BI5300" s="106">
        <v>93.504999999999995</v>
      </c>
      <c r="BO5300" s="106">
        <v>130.11000000000001</v>
      </c>
      <c r="BU5300" s="106">
        <v>154.01499999999999</v>
      </c>
      <c r="CA5300" s="106">
        <f>93.545+41.3</f>
        <v>134.845</v>
      </c>
      <c r="CG5300" s="106">
        <f>43.735+73.405</f>
        <v>117.14</v>
      </c>
      <c r="CM5300" s="106">
        <v>58.435000000000002</v>
      </c>
      <c r="DU5300" s="106">
        <v>67.215000000000003</v>
      </c>
      <c r="EA5300" s="74">
        <v>115.765</v>
      </c>
    </row>
    <row r="5301" spans="1:199" x14ac:dyDescent="0.25">
      <c r="A5301" s="127">
        <v>45799</v>
      </c>
      <c r="B5301" s="24" t="s">
        <v>152</v>
      </c>
      <c r="C5301" s="21">
        <f t="shared" si="87"/>
        <v>-497.13</v>
      </c>
      <c r="AN5301" s="106">
        <v>-35.57</v>
      </c>
      <c r="BO5301" s="106">
        <v>-65.474999999999994</v>
      </c>
      <c r="BU5301" s="106">
        <v>-69.174999999999997</v>
      </c>
      <c r="CA5301" s="106">
        <v>-66.97</v>
      </c>
      <c r="CG5301" s="106">
        <v>-60.41</v>
      </c>
      <c r="DU5301" s="106">
        <v>-67.215000000000003</v>
      </c>
      <c r="EA5301" s="74">
        <v>-99.19</v>
      </c>
      <c r="EG5301" s="74">
        <v>-33.125</v>
      </c>
    </row>
    <row r="5302" spans="1:199" x14ac:dyDescent="0.25">
      <c r="A5302" s="127">
        <v>45799</v>
      </c>
      <c r="B5302" s="24" t="s">
        <v>39</v>
      </c>
      <c r="C5302" s="21">
        <f t="shared" si="87"/>
        <v>-32.58</v>
      </c>
      <c r="BC5302" s="106">
        <v>-8.0350000000000001</v>
      </c>
      <c r="BI5302" s="106">
        <v>-8.0299999999999994</v>
      </c>
      <c r="BO5302" s="106">
        <v>-8.0950000000000006</v>
      </c>
      <c r="BU5302" s="106">
        <v>-8.42</v>
      </c>
    </row>
    <row r="5303" spans="1:199" x14ac:dyDescent="0.25">
      <c r="A5303" s="127">
        <v>45799</v>
      </c>
      <c r="B5303" s="24" t="s">
        <v>218</v>
      </c>
      <c r="C5303" s="21">
        <f t="shared" si="87"/>
        <v>-72.915000000000006</v>
      </c>
      <c r="AN5303" s="106">
        <v>-7.7</v>
      </c>
      <c r="BC5303" s="106">
        <v>-16.055</v>
      </c>
      <c r="BI5303" s="106">
        <v>-23.785</v>
      </c>
      <c r="CA5303" s="106">
        <v>-25.375</v>
      </c>
    </row>
    <row r="5304" spans="1:199" x14ac:dyDescent="0.25">
      <c r="A5304" s="127">
        <v>45799</v>
      </c>
      <c r="B5304" s="24" t="s">
        <v>44</v>
      </c>
      <c r="C5304" s="21">
        <f t="shared" si="87"/>
        <v>-86.227000000000004</v>
      </c>
      <c r="GO5304" s="110">
        <v>-29.74</v>
      </c>
      <c r="GQ5304" s="92">
        <v>-56.487000000000002</v>
      </c>
    </row>
    <row r="5305" spans="1:199" x14ac:dyDescent="0.25">
      <c r="A5305" s="127">
        <v>45800</v>
      </c>
      <c r="B5305" s="24" t="s">
        <v>224</v>
      </c>
      <c r="C5305" s="21">
        <f t="shared" si="87"/>
        <v>-8.93</v>
      </c>
      <c r="BU5305" s="106">
        <v>-8.93</v>
      </c>
    </row>
    <row r="5306" spans="1:199" x14ac:dyDescent="0.25">
      <c r="A5306" s="127">
        <v>45800</v>
      </c>
      <c r="B5306" s="24" t="s">
        <v>75</v>
      </c>
      <c r="C5306" s="21">
        <f t="shared" si="87"/>
        <v>-16.670000000000002</v>
      </c>
      <c r="BO5306" s="106">
        <v>-8.0749999999999993</v>
      </c>
      <c r="BU5306" s="106">
        <v>-8.5950000000000006</v>
      </c>
    </row>
    <row r="5307" spans="1:199" x14ac:dyDescent="0.25">
      <c r="A5307" s="127">
        <v>45800</v>
      </c>
      <c r="B5307" s="24" t="s">
        <v>192</v>
      </c>
      <c r="C5307" s="21">
        <f t="shared" si="87"/>
        <v>-6.13</v>
      </c>
      <c r="AN5307" s="106">
        <v>-6.13</v>
      </c>
    </row>
    <row r="5308" spans="1:199" x14ac:dyDescent="0.25">
      <c r="A5308" s="127">
        <v>45800</v>
      </c>
      <c r="B5308" s="24" t="s">
        <v>20</v>
      </c>
      <c r="C5308" s="21">
        <f t="shared" si="87"/>
        <v>-32.28</v>
      </c>
      <c r="BO5308" s="106">
        <v>-8.2100000000000009</v>
      </c>
      <c r="BU5308" s="106">
        <v>-8.2799999999999994</v>
      </c>
      <c r="CG5308" s="106">
        <v>-7.56</v>
      </c>
      <c r="CM5308" s="106">
        <v>-8.23</v>
      </c>
    </row>
    <row r="5309" spans="1:199" x14ac:dyDescent="0.25">
      <c r="A5309" s="127">
        <v>45800</v>
      </c>
      <c r="B5309" s="24" t="s">
        <v>139</v>
      </c>
      <c r="C5309" s="21">
        <f t="shared" si="87"/>
        <v>-23.72</v>
      </c>
      <c r="BU5309" s="106">
        <v>-8.3650000000000002</v>
      </c>
      <c r="CA5309" s="106">
        <v>-8.4550000000000001</v>
      </c>
      <c r="CG5309" s="106">
        <v>-6.9</v>
      </c>
    </row>
    <row r="5310" spans="1:199" x14ac:dyDescent="0.25">
      <c r="A5310" s="127">
        <v>45800</v>
      </c>
      <c r="B5310" s="24" t="s">
        <v>171</v>
      </c>
      <c r="C5310" s="21">
        <f t="shared" si="87"/>
        <v>-8.2050000000000001</v>
      </c>
      <c r="BI5310" s="106">
        <v>-8.2050000000000001</v>
      </c>
    </row>
    <row r="5311" spans="1:199" x14ac:dyDescent="0.25">
      <c r="A5311" s="127">
        <v>45800</v>
      </c>
      <c r="B5311" s="24" t="s">
        <v>64</v>
      </c>
      <c r="C5311" s="21">
        <f t="shared" si="87"/>
        <v>50.104999999999997</v>
      </c>
      <c r="AN5311" s="106">
        <v>50.104999999999997</v>
      </c>
    </row>
    <row r="5312" spans="1:199" x14ac:dyDescent="0.25">
      <c r="A5312" s="127">
        <v>45803</v>
      </c>
      <c r="B5312" s="24" t="s">
        <v>184</v>
      </c>
      <c r="C5312" s="21">
        <f t="shared" si="87"/>
        <v>-143.37</v>
      </c>
      <c r="BC5312" s="106">
        <v>-16.094999999999999</v>
      </c>
      <c r="BI5312" s="106">
        <v>-15.515000000000001</v>
      </c>
      <c r="BO5312" s="106">
        <v>-16.309999999999999</v>
      </c>
      <c r="BU5312" s="106">
        <v>-17.239999999999998</v>
      </c>
      <c r="CA5312" s="106">
        <v>-17.14</v>
      </c>
      <c r="CM5312" s="106">
        <v>-15.21</v>
      </c>
      <c r="CY5312" s="106">
        <v>-16.38</v>
      </c>
      <c r="DE5312" s="74">
        <v>-29.48</v>
      </c>
    </row>
    <row r="5313" spans="1:208" x14ac:dyDescent="0.25">
      <c r="A5313" s="127">
        <v>45803</v>
      </c>
      <c r="B5313" s="24" t="s">
        <v>213</v>
      </c>
      <c r="C5313" s="21">
        <f t="shared" si="87"/>
        <v>-126.795</v>
      </c>
      <c r="BC5313" s="106">
        <v>-16.035</v>
      </c>
      <c r="BI5313" s="106">
        <v>-15.31</v>
      </c>
      <c r="BO5313" s="106">
        <v>-16.225000000000001</v>
      </c>
      <c r="BU5313" s="106">
        <v>-17.21</v>
      </c>
      <c r="CA5313" s="106">
        <v>-16.905000000000001</v>
      </c>
      <c r="CG5313" s="106">
        <v>-28.9</v>
      </c>
      <c r="CY5313" s="106">
        <v>-16.21</v>
      </c>
    </row>
    <row r="5314" spans="1:208" x14ac:dyDescent="0.25">
      <c r="A5314" s="127">
        <v>45803</v>
      </c>
      <c r="B5314" s="24" t="s">
        <v>33</v>
      </c>
      <c r="C5314" s="21">
        <f t="shared" si="87"/>
        <v>-15.62</v>
      </c>
      <c r="BI5314" s="106">
        <v>-7.9</v>
      </c>
      <c r="BO5314" s="106">
        <v>-7.72</v>
      </c>
    </row>
    <row r="5315" spans="1:208" x14ac:dyDescent="0.25">
      <c r="A5315" s="127">
        <v>45803</v>
      </c>
      <c r="B5315" s="24" t="s">
        <v>192</v>
      </c>
      <c r="C5315" s="21">
        <f t="shared" si="87"/>
        <v>-5.9249999999999998</v>
      </c>
      <c r="CG5315" s="106">
        <v>-5.9249999999999998</v>
      </c>
    </row>
    <row r="5316" spans="1:208" x14ac:dyDescent="0.25">
      <c r="A5316" s="127">
        <v>45804</v>
      </c>
      <c r="B5316" s="24" t="s">
        <v>20</v>
      </c>
      <c r="C5316" s="21">
        <f t="shared" si="87"/>
        <v>-7.4450000000000003</v>
      </c>
      <c r="CG5316" s="106">
        <v>-7.4450000000000003</v>
      </c>
    </row>
    <row r="5317" spans="1:208" x14ac:dyDescent="0.25">
      <c r="A5317" s="127">
        <v>45804</v>
      </c>
      <c r="B5317" s="24" t="s">
        <v>115</v>
      </c>
      <c r="C5317" s="21">
        <f t="shared" si="87"/>
        <v>32.494999999999997</v>
      </c>
      <c r="E5317" s="386">
        <v>32.494999999999997</v>
      </c>
    </row>
    <row r="5318" spans="1:208" x14ac:dyDescent="0.25">
      <c r="A5318" s="127">
        <v>45805</v>
      </c>
      <c r="B5318" s="24" t="s">
        <v>113</v>
      </c>
      <c r="C5318" s="21">
        <f t="shared" si="87"/>
        <v>966.33</v>
      </c>
      <c r="AR5318" s="106">
        <v>31.91</v>
      </c>
      <c r="AW5318" s="106">
        <v>36</v>
      </c>
      <c r="BC5318" s="106">
        <v>130.08000000000001</v>
      </c>
      <c r="CA5318" s="106">
        <v>46.604999999999997</v>
      </c>
      <c r="CG5318" s="106">
        <v>98.245000000000005</v>
      </c>
      <c r="CM5318" s="106">
        <v>168.57499999999999</v>
      </c>
      <c r="CY5318" s="106">
        <v>65.075000000000003</v>
      </c>
      <c r="GQ5318" s="92">
        <v>211.44499999999999</v>
      </c>
      <c r="GZ5318" s="106">
        <v>178.39500000000001</v>
      </c>
    </row>
    <row r="5319" spans="1:208" x14ac:dyDescent="0.25">
      <c r="A5319" s="127">
        <v>45805</v>
      </c>
      <c r="B5319" s="24" t="s">
        <v>113</v>
      </c>
      <c r="C5319" s="21">
        <f t="shared" si="87"/>
        <v>161.72499999999999</v>
      </c>
      <c r="BI5319" s="106">
        <v>61.78</v>
      </c>
      <c r="BO5319" s="106">
        <v>66.349999999999994</v>
      </c>
      <c r="BU5319" s="106">
        <v>33.594999999999999</v>
      </c>
    </row>
    <row r="5320" spans="1:208" x14ac:dyDescent="0.25">
      <c r="A5320" s="127">
        <v>45805</v>
      </c>
      <c r="B5320" s="24" t="s">
        <v>113</v>
      </c>
      <c r="C5320" s="21">
        <f t="shared" si="87"/>
        <v>100.55500000000001</v>
      </c>
      <c r="BU5320" s="106">
        <f>75.875+24.68</f>
        <v>100.55500000000001</v>
      </c>
    </row>
    <row r="5321" spans="1:208" x14ac:dyDescent="0.25">
      <c r="A5321" s="127">
        <v>45805</v>
      </c>
      <c r="B5321" s="24" t="s">
        <v>115</v>
      </c>
      <c r="C5321" s="21">
        <f t="shared" si="87"/>
        <v>37.5</v>
      </c>
      <c r="F5321" s="145">
        <v>37.5</v>
      </c>
    </row>
    <row r="5322" spans="1:208" x14ac:dyDescent="0.25">
      <c r="A5322" s="127">
        <v>45805</v>
      </c>
      <c r="B5322" s="24" t="s">
        <v>139</v>
      </c>
      <c r="C5322" s="21">
        <f t="shared" si="87"/>
        <v>-14.4</v>
      </c>
      <c r="Z5322" s="79">
        <v>-6.31</v>
      </c>
      <c r="BO5322" s="106">
        <v>-8.09</v>
      </c>
    </row>
    <row r="5323" spans="1:208" x14ac:dyDescent="0.25">
      <c r="A5323" s="127">
        <v>45805</v>
      </c>
      <c r="B5323" s="24" t="s">
        <v>184</v>
      </c>
      <c r="C5323" s="21">
        <f t="shared" si="87"/>
        <v>-16.155000000000001</v>
      </c>
      <c r="Z5323" s="79">
        <v>-16.155000000000001</v>
      </c>
    </row>
    <row r="5324" spans="1:208" x14ac:dyDescent="0.25">
      <c r="A5324" s="127">
        <v>45806</v>
      </c>
      <c r="B5324" s="24" t="s">
        <v>133</v>
      </c>
      <c r="C5324" s="21">
        <f t="shared" si="87"/>
        <v>-232.935</v>
      </c>
      <c r="AW5324" s="106">
        <v>-36</v>
      </c>
      <c r="BC5324" s="106">
        <v>-66.03</v>
      </c>
      <c r="BI5324" s="106">
        <v>-30.585000000000001</v>
      </c>
      <c r="BO5324" s="106">
        <v>-32.844999999999999</v>
      </c>
      <c r="BU5324" s="106">
        <v>-67.474999999999994</v>
      </c>
    </row>
    <row r="5325" spans="1:208" x14ac:dyDescent="0.25">
      <c r="A5325" s="127">
        <v>45806</v>
      </c>
      <c r="B5325" s="24" t="s">
        <v>169</v>
      </c>
      <c r="C5325" s="21">
        <f t="shared" si="87"/>
        <v>-32.494999999999997</v>
      </c>
      <c r="E5325" s="386">
        <v>-32.494999999999997</v>
      </c>
    </row>
    <row r="5326" spans="1:208" x14ac:dyDescent="0.25">
      <c r="A5326" s="127">
        <v>45806</v>
      </c>
      <c r="B5326" s="24" t="s">
        <v>213</v>
      </c>
      <c r="C5326" s="21">
        <f t="shared" si="87"/>
        <v>-65.56</v>
      </c>
      <c r="BI5326" s="106">
        <v>-16.414999999999999</v>
      </c>
      <c r="BO5326" s="106">
        <v>-8.4</v>
      </c>
      <c r="BU5326" s="106">
        <v>-16.86</v>
      </c>
      <c r="CG5326" s="106">
        <v>-8.0749999999999993</v>
      </c>
      <c r="CM5326" s="106">
        <v>-15.81</v>
      </c>
    </row>
    <row r="5327" spans="1:208" x14ac:dyDescent="0.25">
      <c r="A5327" s="127">
        <v>45806</v>
      </c>
      <c r="B5327" s="24" t="s">
        <v>197</v>
      </c>
      <c r="C5327" s="21">
        <f t="shared" si="87"/>
        <v>-53.42</v>
      </c>
      <c r="BU5327" s="106">
        <v>-8.3149999999999995</v>
      </c>
      <c r="CA5327" s="106">
        <v>-6.91</v>
      </c>
      <c r="CG5327" s="106">
        <v>-8.0649999999999995</v>
      </c>
      <c r="DG5327" s="126">
        <v>-30.13</v>
      </c>
    </row>
    <row r="5328" spans="1:208" x14ac:dyDescent="0.25">
      <c r="A5328" s="127">
        <v>45806</v>
      </c>
      <c r="B5328" s="24" t="s">
        <v>218</v>
      </c>
      <c r="C5328" s="21">
        <f t="shared" si="87"/>
        <v>229.23</v>
      </c>
      <c r="BQ5328" s="126">
        <v>31.87</v>
      </c>
      <c r="DG5328" s="126">
        <v>23.43</v>
      </c>
      <c r="DW5328" s="126">
        <v>59.48</v>
      </c>
      <c r="EC5328" s="126">
        <v>35.450000000000003</v>
      </c>
      <c r="EI5328" s="150">
        <v>35.92</v>
      </c>
      <c r="EM5328" s="150">
        <v>43.08</v>
      </c>
    </row>
    <row r="5329" spans="1:226" x14ac:dyDescent="0.25">
      <c r="A5329" s="127">
        <v>45807</v>
      </c>
      <c r="B5329" s="24" t="s">
        <v>224</v>
      </c>
      <c r="C5329" s="21">
        <f t="shared" si="87"/>
        <v>-32.51</v>
      </c>
      <c r="CY5329" s="106">
        <v>-32.51</v>
      </c>
    </row>
    <row r="5330" spans="1:226" x14ac:dyDescent="0.25">
      <c r="A5330" s="127">
        <v>45807</v>
      </c>
      <c r="B5330" s="24" t="s">
        <v>48</v>
      </c>
      <c r="C5330" s="21">
        <f t="shared" si="87"/>
        <v>-17.015000000000001</v>
      </c>
      <c r="BO5330" s="106">
        <v>-17.015000000000001</v>
      </c>
    </row>
    <row r="5331" spans="1:226" x14ac:dyDescent="0.25">
      <c r="A5331" s="127">
        <v>45807</v>
      </c>
      <c r="B5331" s="24" t="s">
        <v>79</v>
      </c>
      <c r="C5331" s="21">
        <f t="shared" si="87"/>
        <v>-39.119999999999997</v>
      </c>
      <c r="BI5331" s="106">
        <v>-14.545</v>
      </c>
      <c r="BQ5331" s="126">
        <v>-8.89</v>
      </c>
      <c r="CA5331" s="106">
        <v>-15.685</v>
      </c>
    </row>
    <row r="5332" spans="1:226" x14ac:dyDescent="0.25">
      <c r="A5332" s="127">
        <v>45807</v>
      </c>
      <c r="B5332" s="24" t="s">
        <v>75</v>
      </c>
      <c r="C5332" s="21">
        <f t="shared" si="87"/>
        <v>-8.06</v>
      </c>
      <c r="CG5332" s="106">
        <v>-8.06</v>
      </c>
    </row>
    <row r="5333" spans="1:226" x14ac:dyDescent="0.25">
      <c r="A5333" s="127">
        <v>45807</v>
      </c>
      <c r="B5333" s="24" t="s">
        <v>213</v>
      </c>
      <c r="C5333" s="21">
        <f t="shared" si="87"/>
        <v>-7.49</v>
      </c>
      <c r="BQ5333" s="126">
        <v>-7.49</v>
      </c>
    </row>
    <row r="5334" spans="1:226" x14ac:dyDescent="0.25">
      <c r="A5334" s="127">
        <v>45807</v>
      </c>
      <c r="B5334" s="24" t="s">
        <v>213</v>
      </c>
      <c r="C5334" s="21">
        <f t="shared" si="87"/>
        <v>-25.504999999999999</v>
      </c>
      <c r="BU5334" s="106">
        <v>-16.87</v>
      </c>
      <c r="CA5334" s="106">
        <v>-8.6349999999999998</v>
      </c>
    </row>
    <row r="5335" spans="1:226" x14ac:dyDescent="0.25">
      <c r="A5335" s="127">
        <v>45810</v>
      </c>
      <c r="B5335" s="24" t="s">
        <v>138</v>
      </c>
      <c r="C5335" s="21">
        <f t="shared" si="87"/>
        <v>-7.8</v>
      </c>
      <c r="BU5335" s="106">
        <v>-7.8</v>
      </c>
    </row>
    <row r="5336" spans="1:226" x14ac:dyDescent="0.25">
      <c r="A5336" s="127">
        <v>45810</v>
      </c>
      <c r="B5336" s="24" t="s">
        <v>25</v>
      </c>
      <c r="C5336" s="21">
        <f t="shared" si="87"/>
        <v>-39.85</v>
      </c>
      <c r="BC5336" s="106">
        <v>-7.9950000000000001</v>
      </c>
      <c r="BQ5336" s="126">
        <v>-7.75</v>
      </c>
      <c r="BU5336" s="106">
        <v>-7.95</v>
      </c>
      <c r="CG5336" s="106">
        <v>-8.08</v>
      </c>
      <c r="CM5336" s="106">
        <v>-8.0749999999999993</v>
      </c>
    </row>
    <row r="5337" spans="1:226" x14ac:dyDescent="0.25">
      <c r="A5337" s="127">
        <v>45810</v>
      </c>
      <c r="B5337" s="24" t="s">
        <v>17</v>
      </c>
      <c r="C5337" s="21">
        <f t="shared" si="87"/>
        <v>-15.895</v>
      </c>
      <c r="BI5337" s="106">
        <v>-15.895</v>
      </c>
    </row>
    <row r="5338" spans="1:226" x14ac:dyDescent="0.25">
      <c r="A5338" s="127">
        <v>45810</v>
      </c>
      <c r="B5338" s="24" t="s">
        <v>44</v>
      </c>
      <c r="C5338" s="21">
        <f t="shared" si="87"/>
        <v>-197.89099999999999</v>
      </c>
      <c r="GK5338" s="79">
        <v>-15.256</v>
      </c>
      <c r="GQ5338" s="92">
        <v>-146.82499999999999</v>
      </c>
      <c r="HJ5338" s="79">
        <v>-35.81</v>
      </c>
    </row>
    <row r="5339" spans="1:226" x14ac:dyDescent="0.25">
      <c r="A5339" s="127">
        <v>45810</v>
      </c>
      <c r="B5339" s="24" t="s">
        <v>184</v>
      </c>
      <c r="C5339" s="21">
        <f t="shared" si="87"/>
        <v>-89.935000000000002</v>
      </c>
      <c r="AG5339" s="106">
        <v>-8.6199999999999992</v>
      </c>
      <c r="AR5339" s="106">
        <v>-15.955</v>
      </c>
      <c r="AW5339" s="106">
        <v>-7.94</v>
      </c>
      <c r="BC5339" s="106">
        <v>-15.994999999999999</v>
      </c>
      <c r="BU5339" s="106">
        <v>-8.4049999999999994</v>
      </c>
      <c r="CG5339" s="106">
        <v>-17.545000000000002</v>
      </c>
      <c r="CM5339" s="106">
        <v>-15.475</v>
      </c>
    </row>
    <row r="5340" spans="1:226" x14ac:dyDescent="0.25">
      <c r="A5340" s="127">
        <v>45810</v>
      </c>
      <c r="B5340" s="24" t="s">
        <v>218</v>
      </c>
      <c r="C5340" s="21">
        <f t="shared" si="87"/>
        <v>627.62</v>
      </c>
      <c r="CU5340" s="126">
        <v>8.1999999999999993</v>
      </c>
      <c r="DA5340" s="126">
        <v>34.28</v>
      </c>
      <c r="DG5340" s="126">
        <v>8.3800000000000008</v>
      </c>
      <c r="DM5340" s="46">
        <v>53.11</v>
      </c>
      <c r="DR5340" s="46">
        <v>42.18</v>
      </c>
      <c r="DW5340" s="126">
        <v>25.85</v>
      </c>
      <c r="EC5340" s="126">
        <v>16.45</v>
      </c>
      <c r="EI5340" s="150">
        <v>8.8800000000000008</v>
      </c>
      <c r="EM5340" s="150">
        <v>41.32</v>
      </c>
      <c r="EQ5340" s="46">
        <v>41.15</v>
      </c>
      <c r="EU5340" s="126">
        <f>86.65+17.57</f>
        <v>104.22</v>
      </c>
      <c r="EV5340" s="170">
        <v>14.1</v>
      </c>
      <c r="EX5340" s="251">
        <v>13.9</v>
      </c>
      <c r="FH5340" s="46">
        <v>26.35</v>
      </c>
      <c r="FN5340" s="150">
        <v>24.2</v>
      </c>
      <c r="FO5340" s="210">
        <v>48.15</v>
      </c>
      <c r="FP5340" s="210">
        <v>23.75</v>
      </c>
      <c r="FW5340" s="150">
        <v>67.95</v>
      </c>
      <c r="GI5340" s="251">
        <v>25.2</v>
      </c>
    </row>
    <row r="5341" spans="1:226" x14ac:dyDescent="0.25">
      <c r="A5341" s="127">
        <v>45811</v>
      </c>
      <c r="B5341" s="24" t="s">
        <v>33</v>
      </c>
      <c r="C5341" s="21">
        <f t="shared" si="87"/>
        <v>-24.864999999999998</v>
      </c>
      <c r="BC5341" s="106">
        <v>-8.0449999999999999</v>
      </c>
      <c r="BU5341" s="106">
        <v>-8.2799999999999994</v>
      </c>
      <c r="CA5341" s="106">
        <v>-8.5399999999999991</v>
      </c>
    </row>
    <row r="5342" spans="1:226" x14ac:dyDescent="0.25">
      <c r="A5342" s="127">
        <v>45811</v>
      </c>
      <c r="B5342" s="24" t="s">
        <v>58</v>
      </c>
      <c r="C5342" s="21">
        <f t="shared" si="87"/>
        <v>-23.75</v>
      </c>
      <c r="FP5342" s="210">
        <v>-23.75</v>
      </c>
    </row>
    <row r="5343" spans="1:226" x14ac:dyDescent="0.25">
      <c r="A5343" s="127">
        <v>45812</v>
      </c>
      <c r="B5343" s="24" t="s">
        <v>127</v>
      </c>
      <c r="C5343" s="21">
        <f t="shared" si="87"/>
        <v>-7.74</v>
      </c>
      <c r="BQ5343" s="126">
        <v>-7.74</v>
      </c>
    </row>
    <row r="5344" spans="1:226" x14ac:dyDescent="0.25">
      <c r="A5344" s="127">
        <v>45818</v>
      </c>
      <c r="B5344" s="24" t="s">
        <v>82</v>
      </c>
      <c r="C5344" s="21">
        <f t="shared" si="87"/>
        <v>-83.915000000000006</v>
      </c>
      <c r="HM5344" s="106">
        <v>-32.67</v>
      </c>
      <c r="HR5344" s="92">
        <v>-51.244999999999997</v>
      </c>
    </row>
    <row r="5345" spans="1:179" x14ac:dyDescent="0.25">
      <c r="A5345" s="127">
        <v>45818</v>
      </c>
      <c r="B5345" s="24" t="s">
        <v>33</v>
      </c>
      <c r="C5345" s="21">
        <f t="shared" si="87"/>
        <v>-9.25</v>
      </c>
      <c r="EC5345" s="126">
        <v>-9.25</v>
      </c>
    </row>
    <row r="5346" spans="1:179" x14ac:dyDescent="0.25">
      <c r="A5346" s="127">
        <v>45818</v>
      </c>
      <c r="B5346" s="24" t="s">
        <v>192</v>
      </c>
      <c r="C5346" s="21">
        <f t="shared" si="87"/>
        <v>-8.08</v>
      </c>
      <c r="CG5346" s="106">
        <v>-8.08</v>
      </c>
    </row>
    <row r="5347" spans="1:179" x14ac:dyDescent="0.25">
      <c r="A5347" s="127">
        <v>45819</v>
      </c>
      <c r="B5347" s="24" t="s">
        <v>20</v>
      </c>
      <c r="C5347" s="21">
        <f t="shared" si="87"/>
        <v>-41.305</v>
      </c>
      <c r="AW5347" s="106">
        <v>-7.98</v>
      </c>
      <c r="BC5347" s="106">
        <v>-8.0250000000000004</v>
      </c>
      <c r="CA5347" s="106">
        <v>-8.6349999999999998</v>
      </c>
      <c r="CG5347" s="106">
        <v>-8.0500000000000007</v>
      </c>
      <c r="CL5347" s="69">
        <v>-8.6150000000000002</v>
      </c>
    </row>
    <row r="5348" spans="1:179" x14ac:dyDescent="0.25">
      <c r="A5348" s="127">
        <v>45819</v>
      </c>
      <c r="B5348" s="24" t="s">
        <v>138</v>
      </c>
      <c r="C5348" s="21">
        <f t="shared" si="87"/>
        <v>-8.5350000000000001</v>
      </c>
      <c r="CM5348" s="106">
        <v>-8.5350000000000001</v>
      </c>
    </row>
    <row r="5349" spans="1:179" x14ac:dyDescent="0.25">
      <c r="A5349" s="127">
        <v>45819</v>
      </c>
      <c r="B5349" s="24" t="s">
        <v>152</v>
      </c>
      <c r="C5349" s="21">
        <f t="shared" si="87"/>
        <v>-67.915000000000006</v>
      </c>
      <c r="CY5349" s="106">
        <v>-32.564999999999998</v>
      </c>
      <c r="EI5349" s="150">
        <v>-35.35</v>
      </c>
    </row>
    <row r="5350" spans="1:179" x14ac:dyDescent="0.25">
      <c r="A5350" s="127">
        <v>45819</v>
      </c>
      <c r="B5350" s="24" t="s">
        <v>48</v>
      </c>
      <c r="C5350" s="21">
        <f t="shared" si="87"/>
        <v>-76.605000000000004</v>
      </c>
      <c r="DP5350" s="74">
        <v>-17.38</v>
      </c>
      <c r="EA5350" s="74">
        <v>-16.574999999999999</v>
      </c>
      <c r="EC5350" s="126">
        <v>-42.65</v>
      </c>
    </row>
    <row r="5351" spans="1:179" x14ac:dyDescent="0.25">
      <c r="A5351" s="127">
        <v>45820</v>
      </c>
      <c r="B5351" s="24" t="s">
        <v>24</v>
      </c>
      <c r="C5351" s="21">
        <f t="shared" si="87"/>
        <v>-30.065000000000001</v>
      </c>
      <c r="AW5351" s="106">
        <v>-6</v>
      </c>
      <c r="BC5351" s="106">
        <v>-7.95</v>
      </c>
      <c r="CG5351" s="106">
        <v>-16.114999999999998</v>
      </c>
    </row>
    <row r="5352" spans="1:179" x14ac:dyDescent="0.25">
      <c r="A5352" s="127">
        <v>45820</v>
      </c>
      <c r="B5352" s="24" t="s">
        <v>193</v>
      </c>
      <c r="C5352" s="21">
        <f t="shared" si="87"/>
        <v>-24.38</v>
      </c>
      <c r="CG5352" s="106">
        <v>-8.07</v>
      </c>
      <c r="CU5352" s="126">
        <v>-8.1999999999999993</v>
      </c>
      <c r="CY5352" s="106">
        <v>-8.11</v>
      </c>
    </row>
    <row r="5353" spans="1:179" x14ac:dyDescent="0.25">
      <c r="A5353" s="127">
        <v>45820</v>
      </c>
      <c r="B5353" s="24" t="s">
        <v>218</v>
      </c>
      <c r="C5353" s="21">
        <f t="shared" si="87"/>
        <v>-40.96</v>
      </c>
      <c r="AG5353" s="106">
        <f>-8.61-8.615</f>
        <v>-17.225000000000001</v>
      </c>
      <c r="AN5353" s="106">
        <v>-8.44</v>
      </c>
      <c r="AR5353" s="106">
        <v>-7.9950000000000001</v>
      </c>
      <c r="AW5353" s="106">
        <v>-7.3</v>
      </c>
    </row>
    <row r="5354" spans="1:179" x14ac:dyDescent="0.25">
      <c r="A5354" s="127">
        <v>45820</v>
      </c>
      <c r="B5354" s="24" t="s">
        <v>48</v>
      </c>
      <c r="C5354" s="21">
        <f t="shared" si="87"/>
        <v>-22.55</v>
      </c>
      <c r="FW5354" s="150">
        <v>-22.55</v>
      </c>
    </row>
    <row r="5355" spans="1:179" x14ac:dyDescent="0.25">
      <c r="A5355" s="127">
        <v>45821</v>
      </c>
      <c r="B5355" s="24" t="s">
        <v>213</v>
      </c>
      <c r="C5355" s="21">
        <f t="shared" si="87"/>
        <v>-24.344999999999999</v>
      </c>
      <c r="AN5355" s="106">
        <v>-8.3800000000000008</v>
      </c>
      <c r="AR5355" s="106">
        <v>-7.96</v>
      </c>
      <c r="BC5355" s="106">
        <v>-8.0050000000000008</v>
      </c>
    </row>
    <row r="5356" spans="1:179" x14ac:dyDescent="0.25">
      <c r="A5356" s="127">
        <v>45821</v>
      </c>
      <c r="B5356" s="24" t="s">
        <v>138</v>
      </c>
      <c r="C5356" s="21">
        <f t="shared" si="87"/>
        <v>-40.549999999999997</v>
      </c>
      <c r="AW5356" s="106">
        <v>-15.88</v>
      </c>
      <c r="BC5356" s="106">
        <v>-16.079999999999998</v>
      </c>
      <c r="CM5356" s="106">
        <v>-8.59</v>
      </c>
    </row>
    <row r="5357" spans="1:179" x14ac:dyDescent="0.25">
      <c r="A5357" s="127">
        <v>45821</v>
      </c>
      <c r="B5357" s="24" t="s">
        <v>50</v>
      </c>
      <c r="C5357" s="21">
        <f t="shared" si="87"/>
        <v>-67.010000000000005</v>
      </c>
      <c r="DP5357" s="74">
        <v>-24.83</v>
      </c>
      <c r="DR5357" s="46">
        <v>-42.18</v>
      </c>
    </row>
    <row r="5358" spans="1:179" x14ac:dyDescent="0.25">
      <c r="A5358" s="127">
        <v>45821</v>
      </c>
      <c r="B5358" s="24" t="s">
        <v>25</v>
      </c>
      <c r="C5358" s="21">
        <f t="shared" si="87"/>
        <v>-16.594999999999999</v>
      </c>
      <c r="CG5358" s="106">
        <v>-8.0749999999999993</v>
      </c>
      <c r="CM5358" s="106">
        <v>-8.52</v>
      </c>
    </row>
    <row r="5359" spans="1:179" x14ac:dyDescent="0.25">
      <c r="A5359" s="127">
        <v>45825</v>
      </c>
      <c r="B5359" s="24" t="s">
        <v>113</v>
      </c>
      <c r="C5359" s="21">
        <f t="shared" si="87"/>
        <v>286.26</v>
      </c>
      <c r="BC5359" s="106">
        <v>34.555</v>
      </c>
      <c r="BI5359" s="106">
        <v>64.44</v>
      </c>
      <c r="BO5359" s="106">
        <v>44.005000000000003</v>
      </c>
      <c r="BU5359" s="106">
        <v>41.515000000000001</v>
      </c>
      <c r="CA5359" s="106">
        <v>32.835000000000001</v>
      </c>
      <c r="CG5359" s="106">
        <v>36.174999999999997</v>
      </c>
      <c r="CS5359" s="74">
        <v>32.734999999999999</v>
      </c>
    </row>
    <row r="5360" spans="1:179" x14ac:dyDescent="0.25">
      <c r="A5360" s="127">
        <v>45825</v>
      </c>
      <c r="B5360" s="24" t="s">
        <v>79</v>
      </c>
      <c r="C5360" s="21">
        <f t="shared" si="87"/>
        <v>-7.1</v>
      </c>
      <c r="BU5360" s="106">
        <v>-7.1</v>
      </c>
    </row>
    <row r="5361" spans="1:242" x14ac:dyDescent="0.25">
      <c r="A5361" s="127">
        <v>45825</v>
      </c>
      <c r="B5361" s="24" t="s">
        <v>197</v>
      </c>
      <c r="C5361" s="21">
        <f t="shared" ref="C5361:C5424" si="88">SUM(D5361:JT5361)</f>
        <v>-34.604999999999997</v>
      </c>
      <c r="BC5361" s="106">
        <v>-16.785</v>
      </c>
      <c r="BI5361" s="106">
        <v>-17.82</v>
      </c>
    </row>
    <row r="5362" spans="1:242" x14ac:dyDescent="0.25">
      <c r="A5362" s="127">
        <v>45825</v>
      </c>
      <c r="B5362" s="24" t="s">
        <v>138</v>
      </c>
      <c r="C5362" s="21">
        <f t="shared" si="88"/>
        <v>-96.04</v>
      </c>
      <c r="AN5362" s="106">
        <v>-8.32</v>
      </c>
      <c r="BI5362" s="106">
        <v>-8.06</v>
      </c>
      <c r="BO5362" s="106">
        <v>-13.78</v>
      </c>
      <c r="BU5362" s="106">
        <v>-14.22</v>
      </c>
      <c r="CA5362" s="106">
        <v>-17.77</v>
      </c>
      <c r="CG5362" s="106">
        <v>-8.6999999999999993</v>
      </c>
      <c r="CM5362" s="106">
        <v>-25.19</v>
      </c>
    </row>
    <row r="5363" spans="1:242" x14ac:dyDescent="0.25">
      <c r="A5363" s="127">
        <v>45825</v>
      </c>
      <c r="B5363" s="24" t="s">
        <v>20</v>
      </c>
      <c r="C5363" s="21">
        <f t="shared" si="88"/>
        <v>-14.54</v>
      </c>
      <c r="BI5363" s="106">
        <v>-7.6349999999999998</v>
      </c>
      <c r="BO5363" s="106">
        <v>-6.9050000000000002</v>
      </c>
    </row>
    <row r="5364" spans="1:242" x14ac:dyDescent="0.25">
      <c r="A5364" s="127">
        <v>45825</v>
      </c>
      <c r="B5364" s="24" t="s">
        <v>213</v>
      </c>
      <c r="C5364" s="21">
        <f t="shared" si="88"/>
        <v>-109.94</v>
      </c>
      <c r="BI5364" s="106">
        <v>-30.925000000000001</v>
      </c>
      <c r="BO5364" s="106">
        <v>-16.094999999999999</v>
      </c>
      <c r="BU5364" s="106">
        <v>-13.09</v>
      </c>
      <c r="CA5364" s="106">
        <v>-15.065</v>
      </c>
      <c r="CG5364" s="106">
        <v>-18.61</v>
      </c>
      <c r="CS5364" s="74">
        <v>-16.155000000000001</v>
      </c>
    </row>
    <row r="5365" spans="1:242" x14ac:dyDescent="0.25">
      <c r="A5365" s="127">
        <v>45826</v>
      </c>
      <c r="B5365" s="24" t="s">
        <v>224</v>
      </c>
      <c r="C5365" s="21">
        <f t="shared" si="88"/>
        <v>-8.8650000000000002</v>
      </c>
      <c r="CG5365" s="106">
        <v>-8.8650000000000002</v>
      </c>
    </row>
    <row r="5366" spans="1:242" x14ac:dyDescent="0.25">
      <c r="A5366" s="127">
        <v>45827</v>
      </c>
      <c r="B5366" s="24" t="s">
        <v>44</v>
      </c>
      <c r="C5366" s="21">
        <f t="shared" si="88"/>
        <v>-71.959999999999994</v>
      </c>
      <c r="GO5366" s="110">
        <v>-7.34</v>
      </c>
      <c r="GQ5366" s="92">
        <v>-64.62</v>
      </c>
    </row>
    <row r="5367" spans="1:242" x14ac:dyDescent="0.25">
      <c r="A5367" s="127">
        <v>45827</v>
      </c>
      <c r="B5367" s="24" t="s">
        <v>184</v>
      </c>
      <c r="C5367" s="21">
        <f t="shared" si="88"/>
        <v>-67.25</v>
      </c>
      <c r="CM5367" s="106">
        <v>-8.5</v>
      </c>
      <c r="DA5367" s="126">
        <v>-7.77</v>
      </c>
      <c r="DK5367" s="106">
        <v>-17</v>
      </c>
      <c r="DW5367" s="126">
        <v>-33.979999999999997</v>
      </c>
    </row>
    <row r="5368" spans="1:242" x14ac:dyDescent="0.25">
      <c r="A5368" s="127">
        <v>45827</v>
      </c>
      <c r="B5368" s="24" t="s">
        <v>218</v>
      </c>
      <c r="C5368" s="21">
        <f t="shared" si="88"/>
        <v>59.56</v>
      </c>
      <c r="EX5368" s="251">
        <v>-13.9</v>
      </c>
      <c r="IB5368" s="42">
        <v>37.299999999999997</v>
      </c>
      <c r="IH5368" s="34">
        <v>36.159999999999997</v>
      </c>
    </row>
    <row r="5369" spans="1:242" x14ac:dyDescent="0.25">
      <c r="A5369" s="127">
        <v>45828</v>
      </c>
      <c r="B5369" s="24" t="s">
        <v>20</v>
      </c>
      <c r="C5369" s="21">
        <f t="shared" si="88"/>
        <v>-16.945</v>
      </c>
      <c r="CM5369" s="106">
        <v>-8.6300000000000008</v>
      </c>
      <c r="CS5369" s="74">
        <v>-8.3149999999999995</v>
      </c>
    </row>
    <row r="5370" spans="1:242" x14ac:dyDescent="0.25">
      <c r="A5370" s="127">
        <v>45829</v>
      </c>
      <c r="B5370" s="24" t="s">
        <v>113</v>
      </c>
      <c r="C5370" s="21">
        <f t="shared" si="88"/>
        <v>341.04</v>
      </c>
      <c r="BI5370" s="106">
        <f>39.985+37.55</f>
        <v>77.534999999999997</v>
      </c>
      <c r="BO5370" s="106">
        <v>65.36</v>
      </c>
      <c r="BU5370" s="106">
        <v>70.055000000000007</v>
      </c>
      <c r="CA5370" s="106">
        <v>64.575000000000003</v>
      </c>
      <c r="CG5370" s="106">
        <v>31.13</v>
      </c>
      <c r="CS5370" s="74">
        <v>32.384999999999998</v>
      </c>
    </row>
    <row r="5371" spans="1:242" x14ac:dyDescent="0.25">
      <c r="A5371" s="127">
        <v>45831</v>
      </c>
      <c r="B5371" s="24" t="s">
        <v>33</v>
      </c>
      <c r="C5371" s="21">
        <f t="shared" si="88"/>
        <v>-32.15</v>
      </c>
      <c r="BI5371" s="106">
        <v>-8.0399999999999991</v>
      </c>
      <c r="BO5371" s="106">
        <v>-7.2249999999999996</v>
      </c>
      <c r="BU5371" s="106">
        <v>-8.93</v>
      </c>
      <c r="CA5371" s="106">
        <v>-7.9550000000000001</v>
      </c>
    </row>
    <row r="5372" spans="1:242" x14ac:dyDescent="0.25">
      <c r="A5372" s="127">
        <v>45831</v>
      </c>
      <c r="B5372" s="24" t="s">
        <v>197</v>
      </c>
      <c r="C5372" s="21">
        <f t="shared" si="88"/>
        <v>-59.185000000000002</v>
      </c>
      <c r="BU5372" s="106">
        <v>-15.875</v>
      </c>
      <c r="CM5372" s="106">
        <v>-17.05</v>
      </c>
      <c r="DA5372" s="126">
        <v>-26.26</v>
      </c>
    </row>
    <row r="5373" spans="1:242" x14ac:dyDescent="0.25">
      <c r="A5373" s="127">
        <v>45831</v>
      </c>
      <c r="B5373" s="24" t="s">
        <v>24</v>
      </c>
      <c r="C5373" s="21">
        <f t="shared" si="88"/>
        <v>-110.685</v>
      </c>
      <c r="BC5373" s="106">
        <v>-8.81</v>
      </c>
      <c r="BI5373" s="106">
        <v>-14.535</v>
      </c>
      <c r="BO5373" s="106">
        <v>-16.12</v>
      </c>
      <c r="BU5373" s="106">
        <v>-17.12</v>
      </c>
      <c r="CA5373" s="106">
        <v>-15.685</v>
      </c>
      <c r="CM5373" s="106">
        <v>-13.56</v>
      </c>
      <c r="CS5373" s="74">
        <v>-24.855</v>
      </c>
    </row>
    <row r="5374" spans="1:242" x14ac:dyDescent="0.25">
      <c r="A5374" s="127">
        <v>45831</v>
      </c>
      <c r="B5374" s="24" t="s">
        <v>213</v>
      </c>
      <c r="C5374" s="21">
        <f t="shared" si="88"/>
        <v>-4.1100000000000003</v>
      </c>
      <c r="AN5374" s="106">
        <v>-4.1100000000000003</v>
      </c>
    </row>
    <row r="5375" spans="1:242" x14ac:dyDescent="0.25">
      <c r="A5375" s="127">
        <v>45831</v>
      </c>
      <c r="B5375" s="24" t="s">
        <v>213</v>
      </c>
      <c r="C5375" s="21">
        <f t="shared" si="88"/>
        <v>-138.33000000000001</v>
      </c>
      <c r="BC5375" s="106">
        <v>-8.9600000000000009</v>
      </c>
      <c r="BI5375" s="106">
        <v>-31.97</v>
      </c>
      <c r="BO5375" s="106">
        <v>-16.785</v>
      </c>
      <c r="BU5375" s="106">
        <v>-17.594999999999999</v>
      </c>
      <c r="CA5375" s="106">
        <v>-16.094999999999999</v>
      </c>
      <c r="CG5375" s="106">
        <v>-31.13</v>
      </c>
      <c r="CS5375" s="74">
        <v>-15.795</v>
      </c>
    </row>
    <row r="5376" spans="1:242" x14ac:dyDescent="0.25">
      <c r="A5376" s="127">
        <v>45831</v>
      </c>
      <c r="B5376" s="24" t="s">
        <v>184</v>
      </c>
      <c r="C5376" s="21">
        <f t="shared" si="88"/>
        <v>-16.559999999999999</v>
      </c>
      <c r="AN5376" s="106">
        <v>-8.56</v>
      </c>
      <c r="BO5376" s="106">
        <v>-8</v>
      </c>
    </row>
    <row r="5377" spans="1:199" x14ac:dyDescent="0.25">
      <c r="A5377" s="127">
        <v>45831</v>
      </c>
      <c r="B5377" s="24" t="s">
        <v>192</v>
      </c>
      <c r="C5377" s="21">
        <f t="shared" si="88"/>
        <v>-8.94</v>
      </c>
      <c r="CA5377" s="106">
        <v>-8.94</v>
      </c>
    </row>
    <row r="5378" spans="1:199" x14ac:dyDescent="0.25">
      <c r="A5378" s="127">
        <v>45831</v>
      </c>
      <c r="B5378" s="24" t="s">
        <v>212</v>
      </c>
      <c r="C5378" s="21">
        <f t="shared" si="88"/>
        <v>-88.944999999999993</v>
      </c>
      <c r="AN5378" s="106">
        <v>-7.96</v>
      </c>
      <c r="BI5378" s="106">
        <v>-22.99</v>
      </c>
      <c r="BO5378" s="106">
        <v>-24.454999999999998</v>
      </c>
      <c r="BU5378" s="106">
        <v>-17.64</v>
      </c>
      <c r="CA5378" s="106">
        <v>-15.9</v>
      </c>
    </row>
    <row r="5379" spans="1:199" x14ac:dyDescent="0.25">
      <c r="A5379" s="127">
        <v>45833</v>
      </c>
      <c r="B5379" s="24" t="s">
        <v>48</v>
      </c>
      <c r="C5379" s="21">
        <f t="shared" si="88"/>
        <v>-8.61</v>
      </c>
      <c r="AG5379" s="106">
        <v>-8.61</v>
      </c>
    </row>
    <row r="5380" spans="1:199" x14ac:dyDescent="0.25">
      <c r="A5380" s="127">
        <v>45833</v>
      </c>
      <c r="B5380" s="24" t="s">
        <v>113</v>
      </c>
      <c r="C5380" s="21">
        <f t="shared" si="88"/>
        <v>381.72500000000002</v>
      </c>
      <c r="BI5380" s="106">
        <v>64.375</v>
      </c>
      <c r="BU5380" s="106">
        <v>33.08</v>
      </c>
      <c r="CM5380" s="106">
        <v>88.39</v>
      </c>
      <c r="DE5380" s="74">
        <f>42.535+40.775</f>
        <v>83.31</v>
      </c>
      <c r="DK5380" s="106">
        <v>68.075000000000003</v>
      </c>
      <c r="ET5380" s="106">
        <v>44.494999999999997</v>
      </c>
    </row>
    <row r="5381" spans="1:199" x14ac:dyDescent="0.25">
      <c r="A5381" s="127">
        <v>45833</v>
      </c>
      <c r="B5381" s="24" t="s">
        <v>113</v>
      </c>
      <c r="C5381" s="21">
        <f t="shared" si="88"/>
        <v>708.94200000000001</v>
      </c>
      <c r="P5381" s="106">
        <v>33.479999999999997</v>
      </c>
      <c r="V5381" s="74">
        <v>33.055</v>
      </c>
      <c r="AC5381" s="106">
        <v>34.590000000000003</v>
      </c>
      <c r="AN5381" s="106">
        <v>34.375</v>
      </c>
      <c r="AR5381" s="106">
        <v>33.414999999999999</v>
      </c>
      <c r="AW5381" s="106">
        <v>98.355000000000004</v>
      </c>
      <c r="BC5381" s="106">
        <v>34.104999999999997</v>
      </c>
      <c r="BO5381" s="106">
        <v>34.774999999999999</v>
      </c>
      <c r="BU5381" s="106">
        <v>32.549999999999997</v>
      </c>
      <c r="CG5381" s="106">
        <v>29.9</v>
      </c>
      <c r="CS5381" s="74">
        <v>66.965000000000003</v>
      </c>
      <c r="CY5381" s="106">
        <v>52.23</v>
      </c>
      <c r="DU5381" s="106">
        <v>34.42</v>
      </c>
      <c r="EA5381" s="74">
        <v>106.03</v>
      </c>
      <c r="GK5381" s="79">
        <v>26.172000000000001</v>
      </c>
      <c r="GQ5381" s="92">
        <v>24.524999999999999</v>
      </c>
    </row>
    <row r="5382" spans="1:199" x14ac:dyDescent="0.25">
      <c r="A5382" s="127">
        <v>45834</v>
      </c>
      <c r="B5382" s="24" t="s">
        <v>184</v>
      </c>
      <c r="C5382" s="21">
        <f t="shared" si="88"/>
        <v>-118.83</v>
      </c>
      <c r="P5382" s="106">
        <v>-8.7550000000000008</v>
      </c>
      <c r="AN5382" s="106">
        <v>-8.6</v>
      </c>
      <c r="DE5382" s="74">
        <v>-33.4</v>
      </c>
      <c r="DK5382" s="106">
        <v>-68.075000000000003</v>
      </c>
    </row>
    <row r="5383" spans="1:199" x14ac:dyDescent="0.25">
      <c r="A5383" s="127">
        <v>45834</v>
      </c>
      <c r="B5383" s="24" t="s">
        <v>184</v>
      </c>
      <c r="C5383" s="21">
        <f t="shared" si="88"/>
        <v>-114.36</v>
      </c>
      <c r="AR5383" s="106">
        <v>-8.33</v>
      </c>
      <c r="EA5383" s="74">
        <v>-106.03</v>
      </c>
    </row>
    <row r="5384" spans="1:199" x14ac:dyDescent="0.25">
      <c r="A5384" s="127">
        <v>45834</v>
      </c>
      <c r="B5384" s="24" t="s">
        <v>197</v>
      </c>
      <c r="C5384" s="21">
        <f t="shared" si="88"/>
        <v>-15.71</v>
      </c>
      <c r="CG5384" s="106">
        <v>-15.71</v>
      </c>
    </row>
    <row r="5385" spans="1:199" x14ac:dyDescent="0.25">
      <c r="A5385" s="127">
        <v>45834</v>
      </c>
      <c r="B5385" s="24" t="s">
        <v>48</v>
      </c>
      <c r="C5385" s="21">
        <f t="shared" si="88"/>
        <v>-52.9</v>
      </c>
      <c r="V5385" s="74">
        <v>-16.425000000000001</v>
      </c>
      <c r="CY5385" s="106">
        <v>-17.045000000000002</v>
      </c>
      <c r="FA5385" s="42">
        <v>-19.43</v>
      </c>
    </row>
    <row r="5386" spans="1:199" x14ac:dyDescent="0.25">
      <c r="A5386" s="127">
        <v>45834</v>
      </c>
      <c r="B5386" s="24" t="s">
        <v>20</v>
      </c>
      <c r="C5386" s="21">
        <f t="shared" si="88"/>
        <v>-49.78</v>
      </c>
      <c r="P5386" s="106">
        <v>-8.1999999999999993</v>
      </c>
      <c r="V5386" s="74">
        <v>-8.2349999999999994</v>
      </c>
      <c r="AR5386" s="106">
        <v>-8.42</v>
      </c>
      <c r="AW5386" s="106">
        <v>-8.2550000000000008</v>
      </c>
      <c r="BC5386" s="106">
        <v>-8.51</v>
      </c>
      <c r="BU5386" s="106">
        <v>-8.16</v>
      </c>
    </row>
    <row r="5387" spans="1:199" x14ac:dyDescent="0.25">
      <c r="A5387" s="127">
        <v>45834</v>
      </c>
      <c r="B5387" s="24" t="s">
        <v>152</v>
      </c>
      <c r="C5387" s="21">
        <f t="shared" si="88"/>
        <v>-33.840000000000003</v>
      </c>
      <c r="AG5387" s="106">
        <v>-33.840000000000003</v>
      </c>
    </row>
    <row r="5388" spans="1:199" x14ac:dyDescent="0.25">
      <c r="A5388" s="127">
        <v>45834</v>
      </c>
      <c r="B5388" s="24" t="s">
        <v>218</v>
      </c>
      <c r="C5388" s="21">
        <f t="shared" si="88"/>
        <v>-49.875</v>
      </c>
      <c r="AN5388" s="106">
        <f>-8.56-8.605</f>
        <v>-17.164999999999999</v>
      </c>
      <c r="AR5388" s="106">
        <v>-8.35</v>
      </c>
      <c r="AW5388" s="106">
        <v>-8.0050000000000008</v>
      </c>
      <c r="BU5388" s="106">
        <f>-7.935-8.42</f>
        <v>-16.355</v>
      </c>
    </row>
    <row r="5389" spans="1:199" x14ac:dyDescent="0.25">
      <c r="A5389" s="127">
        <v>45834</v>
      </c>
      <c r="B5389" s="24" t="s">
        <v>213</v>
      </c>
      <c r="C5389" s="21">
        <f t="shared" si="88"/>
        <v>-117.95</v>
      </c>
      <c r="AW5389" s="106">
        <v>-8.2449999999999992</v>
      </c>
      <c r="BI5389" s="106">
        <v>-24.66</v>
      </c>
      <c r="BO5389" s="106">
        <v>-8.125</v>
      </c>
      <c r="BU5389" s="106">
        <v>-16.675000000000001</v>
      </c>
      <c r="CM5389" s="106">
        <v>-8.5050000000000008</v>
      </c>
      <c r="CS5389" s="74">
        <v>-42.435000000000002</v>
      </c>
      <c r="CY5389" s="106">
        <v>-9.3049999999999997</v>
      </c>
    </row>
    <row r="5390" spans="1:199" x14ac:dyDescent="0.25">
      <c r="A5390" s="127">
        <v>45834</v>
      </c>
      <c r="B5390" s="24" t="s">
        <v>213</v>
      </c>
      <c r="C5390" s="21">
        <f t="shared" si="88"/>
        <v>-50.414999999999999</v>
      </c>
      <c r="CY5390" s="106">
        <v>-17.38</v>
      </c>
      <c r="DE5390" s="74">
        <v>-24.45</v>
      </c>
      <c r="DU5390" s="106">
        <v>-8.5850000000000009</v>
      </c>
    </row>
    <row r="5391" spans="1:199" x14ac:dyDescent="0.25">
      <c r="A5391" s="127">
        <v>45834</v>
      </c>
      <c r="B5391" s="24" t="s">
        <v>184</v>
      </c>
      <c r="C5391" s="21">
        <f t="shared" si="88"/>
        <v>-16.085000000000001</v>
      </c>
      <c r="Z5391" s="79">
        <f>-8.185-7.9</f>
        <v>-16.085000000000001</v>
      </c>
    </row>
    <row r="5392" spans="1:199" x14ac:dyDescent="0.25">
      <c r="A5392" s="127">
        <v>45834</v>
      </c>
      <c r="B5392" s="24" t="s">
        <v>115</v>
      </c>
      <c r="C5392" s="21">
        <f t="shared" si="88"/>
        <v>101.325</v>
      </c>
      <c r="D5392" s="386">
        <v>27.58</v>
      </c>
      <c r="E5392" s="386">
        <v>73.745000000000005</v>
      </c>
    </row>
    <row r="5393" spans="1:235" x14ac:dyDescent="0.25">
      <c r="A5393" s="127">
        <v>45835</v>
      </c>
      <c r="B5393" s="24" t="s">
        <v>68</v>
      </c>
      <c r="C5393" s="21">
        <f t="shared" si="88"/>
        <v>-32.744999999999997</v>
      </c>
      <c r="AN5393" s="106">
        <v>-8.61</v>
      </c>
      <c r="AR5393" s="106">
        <v>-8.3149999999999995</v>
      </c>
      <c r="AW5393" s="106">
        <v>-8.0399999999999991</v>
      </c>
      <c r="BI5393" s="106">
        <v>-7.78</v>
      </c>
    </row>
    <row r="5394" spans="1:235" x14ac:dyDescent="0.25">
      <c r="A5394" s="127">
        <v>45835</v>
      </c>
      <c r="B5394" s="24" t="s">
        <v>127</v>
      </c>
      <c r="C5394" s="21">
        <f t="shared" si="88"/>
        <v>-16.32</v>
      </c>
      <c r="DW5394" s="126">
        <v>-16.32</v>
      </c>
    </row>
    <row r="5395" spans="1:235" x14ac:dyDescent="0.25">
      <c r="A5395" s="127">
        <v>45835</v>
      </c>
      <c r="B5395" s="24" t="s">
        <v>31</v>
      </c>
      <c r="C5395" s="21">
        <f t="shared" si="88"/>
        <v>-43.204999999999998</v>
      </c>
      <c r="GO5395" s="110">
        <v>-28.245000000000001</v>
      </c>
      <c r="GW5395" s="92">
        <v>-8.94</v>
      </c>
      <c r="IA5395" s="79">
        <v>-6.02</v>
      </c>
    </row>
    <row r="5396" spans="1:235" x14ac:dyDescent="0.25">
      <c r="A5396" s="127">
        <v>45835</v>
      </c>
      <c r="B5396" s="24" t="s">
        <v>202</v>
      </c>
      <c r="C5396" s="21">
        <f t="shared" si="88"/>
        <v>-36.9</v>
      </c>
      <c r="E5396" s="386">
        <v>-36.9</v>
      </c>
    </row>
    <row r="5397" spans="1:235" x14ac:dyDescent="0.25">
      <c r="A5397" s="127">
        <v>45835</v>
      </c>
      <c r="B5397" s="24" t="s">
        <v>212</v>
      </c>
      <c r="C5397" s="21">
        <f t="shared" si="88"/>
        <v>-68.099999999999994</v>
      </c>
      <c r="AC5397" s="106">
        <v>-8.66</v>
      </c>
      <c r="AW5397" s="106">
        <v>-24.905000000000001</v>
      </c>
      <c r="BC5397" s="106">
        <v>-25.594999999999999</v>
      </c>
      <c r="BO5397" s="106">
        <v>-8.94</v>
      </c>
    </row>
    <row r="5398" spans="1:235" x14ac:dyDescent="0.25">
      <c r="A5398" s="127">
        <v>45835</v>
      </c>
      <c r="B5398" s="24" t="s">
        <v>25</v>
      </c>
      <c r="C5398" s="21">
        <f t="shared" si="88"/>
        <v>-46.24</v>
      </c>
      <c r="AW5398" s="106">
        <v>-8.3800000000000008</v>
      </c>
      <c r="BI5398" s="106">
        <v>-8.1649999999999991</v>
      </c>
      <c r="BO5398" s="106">
        <v>-8.875</v>
      </c>
      <c r="BU5398" s="106">
        <v>-8.1449999999999996</v>
      </c>
      <c r="CG5398" s="106">
        <v>-5.6950000000000003</v>
      </c>
      <c r="CM5398" s="106">
        <v>-6.98</v>
      </c>
    </row>
    <row r="5399" spans="1:235" x14ac:dyDescent="0.25">
      <c r="A5399" s="127">
        <v>45835</v>
      </c>
      <c r="B5399" s="24" t="s">
        <v>138</v>
      </c>
      <c r="C5399" s="21">
        <f t="shared" si="88"/>
        <v>-57.395000000000003</v>
      </c>
      <c r="AW5399" s="106">
        <v>-16.04</v>
      </c>
      <c r="BI5399" s="106">
        <v>-15.904999999999999</v>
      </c>
      <c r="BO5399" s="106">
        <v>-8.8350000000000009</v>
      </c>
      <c r="BU5399" s="106">
        <v>-8.1199999999999992</v>
      </c>
      <c r="CG5399" s="106">
        <v>-8.4949999999999992</v>
      </c>
    </row>
    <row r="5400" spans="1:235" x14ac:dyDescent="0.25">
      <c r="A5400" s="127">
        <v>45836</v>
      </c>
      <c r="B5400" s="24" t="s">
        <v>192</v>
      </c>
      <c r="C5400" s="21">
        <f t="shared" si="88"/>
        <v>-7.8650000000000002</v>
      </c>
      <c r="BI5400" s="106">
        <v>-7.8650000000000002</v>
      </c>
    </row>
    <row r="5401" spans="1:235" x14ac:dyDescent="0.25">
      <c r="A5401" s="127">
        <v>45839</v>
      </c>
      <c r="B5401" s="24" t="s">
        <v>113</v>
      </c>
      <c r="C5401" s="21">
        <f t="shared" si="88"/>
        <v>334.125</v>
      </c>
      <c r="GO5401" s="110">
        <v>334.125</v>
      </c>
    </row>
    <row r="5402" spans="1:235" x14ac:dyDescent="0.25">
      <c r="A5402" s="127">
        <v>45839</v>
      </c>
      <c r="B5402" s="24" t="s">
        <v>218</v>
      </c>
      <c r="C5402" s="21">
        <f t="shared" si="88"/>
        <v>-8.66</v>
      </c>
      <c r="AC5402" s="106">
        <v>-8.66</v>
      </c>
    </row>
    <row r="5403" spans="1:235" x14ac:dyDescent="0.25">
      <c r="A5403" s="127">
        <v>45839</v>
      </c>
      <c r="B5403" s="24" t="s">
        <v>31</v>
      </c>
      <c r="C5403" s="21">
        <f t="shared" si="88"/>
        <v>-7.42</v>
      </c>
      <c r="GO5403" s="110">
        <v>-7.42</v>
      </c>
    </row>
    <row r="5404" spans="1:235" x14ac:dyDescent="0.25">
      <c r="A5404" s="127">
        <v>45840</v>
      </c>
      <c r="B5404" s="24" t="s">
        <v>44</v>
      </c>
      <c r="C5404" s="21">
        <f t="shared" si="88"/>
        <v>-141</v>
      </c>
      <c r="GO5404" s="110">
        <v>-116.47499999999999</v>
      </c>
      <c r="GQ5404" s="92">
        <v>-24.524999999999999</v>
      </c>
    </row>
    <row r="5405" spans="1:235" x14ac:dyDescent="0.25">
      <c r="A5405" s="127">
        <v>45840</v>
      </c>
      <c r="B5405" s="24" t="s">
        <v>202</v>
      </c>
      <c r="C5405" s="21">
        <f t="shared" si="88"/>
        <v>-9.25</v>
      </c>
      <c r="E5405" s="386">
        <v>-9.25</v>
      </c>
    </row>
    <row r="5406" spans="1:235" x14ac:dyDescent="0.25">
      <c r="A5406" s="127">
        <v>45841</v>
      </c>
      <c r="B5406" s="24" t="s">
        <v>213</v>
      </c>
      <c r="C5406" s="21">
        <f t="shared" si="88"/>
        <v>-8.4450000000000003</v>
      </c>
      <c r="DK5406" s="106">
        <v>-8.4450000000000003</v>
      </c>
    </row>
    <row r="5407" spans="1:235" x14ac:dyDescent="0.25">
      <c r="A5407" s="127">
        <v>45842</v>
      </c>
      <c r="B5407" s="24" t="s">
        <v>113</v>
      </c>
      <c r="C5407" s="21">
        <f t="shared" si="88"/>
        <v>397.33</v>
      </c>
      <c r="BO5407" s="106">
        <v>95.11</v>
      </c>
      <c r="BU5407" s="106">
        <v>63.86</v>
      </c>
      <c r="CA5407" s="106">
        <v>69.165000000000006</v>
      </c>
      <c r="CG5407" s="106">
        <v>99.55</v>
      </c>
      <c r="DE5407" s="74">
        <v>34</v>
      </c>
      <c r="DP5407" s="74">
        <v>35.645000000000003</v>
      </c>
    </row>
    <row r="5408" spans="1:235" x14ac:dyDescent="0.25">
      <c r="A5408" s="127">
        <v>45842</v>
      </c>
      <c r="B5408" s="24" t="s">
        <v>133</v>
      </c>
      <c r="C5408" s="21">
        <f t="shared" si="88"/>
        <v>-301.95499999999998</v>
      </c>
      <c r="AW5408" s="106">
        <v>-18.585000000000001</v>
      </c>
      <c r="BO5408" s="106">
        <v>-49.31</v>
      </c>
      <c r="BU5408" s="106">
        <v>-40.270000000000003</v>
      </c>
      <c r="CA5408" s="106">
        <v>-34.625</v>
      </c>
      <c r="CG5408" s="106">
        <v>-37.765000000000001</v>
      </c>
      <c r="CM5408" s="106">
        <v>-79.144999999999996</v>
      </c>
      <c r="CS5408" s="74">
        <v>-8.2550000000000008</v>
      </c>
      <c r="DE5408" s="74">
        <v>-34</v>
      </c>
    </row>
    <row r="5409" spans="1:214" x14ac:dyDescent="0.25">
      <c r="A5409" s="127">
        <v>45842</v>
      </c>
      <c r="B5409" s="24" t="s">
        <v>193</v>
      </c>
      <c r="C5409" s="21">
        <f t="shared" si="88"/>
        <v>-22.91</v>
      </c>
      <c r="CA5409" s="106">
        <v>-8.64</v>
      </c>
      <c r="CM5409" s="106">
        <v>-5.98</v>
      </c>
      <c r="CS5409" s="74">
        <v>-8.2899999999999991</v>
      </c>
    </row>
    <row r="5410" spans="1:214" x14ac:dyDescent="0.25">
      <c r="A5410" s="127">
        <v>45842</v>
      </c>
      <c r="B5410" s="24" t="s">
        <v>48</v>
      </c>
      <c r="C5410" s="21">
        <f t="shared" si="88"/>
        <v>-4.63</v>
      </c>
      <c r="AN5410" s="106">
        <v>-4.63</v>
      </c>
    </row>
    <row r="5411" spans="1:214" x14ac:dyDescent="0.25">
      <c r="A5411" s="127">
        <v>45842</v>
      </c>
      <c r="B5411" s="24" t="s">
        <v>184</v>
      </c>
      <c r="C5411" s="21">
        <f t="shared" si="88"/>
        <v>-8.6199999999999992</v>
      </c>
      <c r="AG5411" s="106">
        <v>-8.6199999999999992</v>
      </c>
    </row>
    <row r="5412" spans="1:214" x14ac:dyDescent="0.25">
      <c r="A5412" s="127">
        <v>45843</v>
      </c>
      <c r="B5412" s="24" t="s">
        <v>48</v>
      </c>
      <c r="C5412" s="21">
        <f t="shared" si="88"/>
        <v>-8.18</v>
      </c>
      <c r="P5412" s="106">
        <v>-8.18</v>
      </c>
    </row>
    <row r="5413" spans="1:214" x14ac:dyDescent="0.25">
      <c r="A5413" s="127">
        <v>45843</v>
      </c>
      <c r="B5413" s="24" t="s">
        <v>197</v>
      </c>
      <c r="C5413" s="21">
        <f t="shared" si="88"/>
        <v>-50.98</v>
      </c>
      <c r="P5413" s="106">
        <v>-8.3450000000000006</v>
      </c>
      <c r="CG5413" s="106">
        <v>-8.85</v>
      </c>
      <c r="CM5413" s="106">
        <v>-8.5299999999999994</v>
      </c>
      <c r="DP5413" s="74">
        <v>-8.0449999999999999</v>
      </c>
      <c r="DU5413" s="106">
        <v>-17.21</v>
      </c>
    </row>
    <row r="5414" spans="1:214" x14ac:dyDescent="0.25">
      <c r="A5414" s="127">
        <v>45843</v>
      </c>
      <c r="B5414" s="24" t="s">
        <v>224</v>
      </c>
      <c r="C5414" s="21">
        <f t="shared" si="88"/>
        <v>-25.36</v>
      </c>
      <c r="BU5414" s="106">
        <v>-8.125</v>
      </c>
      <c r="CA5414" s="106">
        <v>-8.625</v>
      </c>
      <c r="CM5414" s="106">
        <v>-8.61</v>
      </c>
    </row>
    <row r="5415" spans="1:214" x14ac:dyDescent="0.25">
      <c r="A5415" s="127">
        <v>45843</v>
      </c>
      <c r="B5415" s="24" t="s">
        <v>20</v>
      </c>
      <c r="C5415" s="21">
        <f t="shared" si="88"/>
        <v>-8.26</v>
      </c>
      <c r="BO5415" s="106">
        <v>-8.26</v>
      </c>
    </row>
    <row r="5416" spans="1:214" x14ac:dyDescent="0.25">
      <c r="A5416" s="127">
        <v>45845</v>
      </c>
      <c r="B5416" s="24" t="s">
        <v>79</v>
      </c>
      <c r="C5416" s="21">
        <f t="shared" si="88"/>
        <v>-21.204999999999998</v>
      </c>
      <c r="CM5416" s="106">
        <v>-21.204999999999998</v>
      </c>
    </row>
    <row r="5417" spans="1:214" x14ac:dyDescent="0.25">
      <c r="A5417" s="127">
        <v>45845</v>
      </c>
      <c r="B5417" s="24" t="s">
        <v>115</v>
      </c>
      <c r="C5417" s="21">
        <f t="shared" si="88"/>
        <v>58.024999999999999</v>
      </c>
      <c r="E5417" s="386">
        <v>58.024999999999999</v>
      </c>
    </row>
    <row r="5418" spans="1:214" x14ac:dyDescent="0.25">
      <c r="A5418" s="127">
        <v>45846</v>
      </c>
      <c r="B5418" s="24" t="s">
        <v>213</v>
      </c>
      <c r="C5418" s="21">
        <f t="shared" si="88"/>
        <v>-59.445</v>
      </c>
      <c r="V5418" s="74">
        <v>-8.3949999999999996</v>
      </c>
      <c r="AC5418" s="106">
        <v>-8.6050000000000004</v>
      </c>
      <c r="AG5418" s="106">
        <v>-8.6150000000000002</v>
      </c>
      <c r="DK5418" s="106">
        <v>-33.83</v>
      </c>
    </row>
    <row r="5419" spans="1:214" x14ac:dyDescent="0.25">
      <c r="A5419" s="127">
        <v>45846</v>
      </c>
      <c r="B5419" s="24" t="s">
        <v>134</v>
      </c>
      <c r="C5419" s="21">
        <f t="shared" si="88"/>
        <v>-67.224999999999994</v>
      </c>
      <c r="E5419" s="386">
        <v>-67.224999999999994</v>
      </c>
    </row>
    <row r="5420" spans="1:214" x14ac:dyDescent="0.25">
      <c r="A5420" s="127">
        <v>45846</v>
      </c>
      <c r="B5420" s="24" t="s">
        <v>24</v>
      </c>
      <c r="C5420" s="21">
        <f t="shared" si="88"/>
        <v>-41.73</v>
      </c>
      <c r="AC5420" s="106">
        <v>-8.6649999999999991</v>
      </c>
      <c r="BU5420" s="106">
        <v>-8.4550000000000001</v>
      </c>
      <c r="CA5420" s="106">
        <v>-8.6050000000000004</v>
      </c>
      <c r="CG5420" s="106">
        <v>-8.8849999999999998</v>
      </c>
      <c r="CM5420" s="106">
        <v>-7.12</v>
      </c>
    </row>
    <row r="5421" spans="1:214" x14ac:dyDescent="0.25">
      <c r="A5421" s="127">
        <v>45847</v>
      </c>
      <c r="B5421" s="24" t="s">
        <v>113</v>
      </c>
      <c r="C5421" s="21">
        <f t="shared" si="88"/>
        <v>380.88299999999998</v>
      </c>
      <c r="P5421" s="106">
        <v>81.08</v>
      </c>
      <c r="V5421" s="74">
        <v>65.385000000000005</v>
      </c>
      <c r="AN5421" s="106">
        <v>34.465000000000003</v>
      </c>
      <c r="AR5421" s="106">
        <v>33.4</v>
      </c>
      <c r="GK5421" s="79">
        <v>81.692999999999998</v>
      </c>
      <c r="GQ5421" s="92">
        <v>84.86</v>
      </c>
    </row>
    <row r="5422" spans="1:214" x14ac:dyDescent="0.25">
      <c r="A5422" s="127">
        <v>45847</v>
      </c>
      <c r="B5422" s="24" t="s">
        <v>113</v>
      </c>
      <c r="C5422" s="21">
        <f t="shared" si="88"/>
        <v>646.76499999999999</v>
      </c>
      <c r="BO5422" s="106">
        <v>66.040000000000006</v>
      </c>
      <c r="CA5422" s="106">
        <v>67.72</v>
      </c>
      <c r="CM5422" s="106">
        <v>34.145000000000003</v>
      </c>
      <c r="CS5422" s="74">
        <v>101.18</v>
      </c>
      <c r="DE5422" s="74">
        <v>71.015000000000001</v>
      </c>
      <c r="DP5422" s="74">
        <v>71.885000000000005</v>
      </c>
      <c r="EA5422" s="74">
        <v>130.76499999999999</v>
      </c>
      <c r="HF5422" s="92">
        <v>104.015</v>
      </c>
    </row>
    <row r="5423" spans="1:214" x14ac:dyDescent="0.25">
      <c r="A5423" s="127">
        <v>45847</v>
      </c>
      <c r="B5423" s="24" t="s">
        <v>44</v>
      </c>
      <c r="C5423" s="21">
        <f t="shared" si="88"/>
        <v>-145.732</v>
      </c>
      <c r="GK5423" s="79">
        <v>-26.172000000000001</v>
      </c>
      <c r="GQ5423" s="92">
        <v>-84.86</v>
      </c>
      <c r="HF5423" s="92">
        <v>-34.700000000000003</v>
      </c>
    </row>
    <row r="5424" spans="1:214" x14ac:dyDescent="0.25">
      <c r="A5424" s="127">
        <v>45847</v>
      </c>
      <c r="B5424" s="24" t="s">
        <v>133</v>
      </c>
      <c r="C5424" s="21">
        <f t="shared" si="88"/>
        <v>-108.035</v>
      </c>
      <c r="AG5424" s="106">
        <v>-8.6150000000000002</v>
      </c>
      <c r="AN5424" s="106">
        <v>-17.245000000000001</v>
      </c>
      <c r="AR5424" s="106">
        <v>-16.64</v>
      </c>
      <c r="BO5424" s="106">
        <v>-15.2</v>
      </c>
      <c r="CA5424" s="106">
        <v>-16.190000000000001</v>
      </c>
      <c r="CM5424" s="106">
        <v>-34.145000000000003</v>
      </c>
    </row>
    <row r="5425" spans="1:236" x14ac:dyDescent="0.25">
      <c r="A5425" s="127">
        <v>45847</v>
      </c>
      <c r="B5425" s="24" t="s">
        <v>48</v>
      </c>
      <c r="C5425" s="21">
        <f t="shared" ref="C5425:C5488" si="89">SUM(D5425:JT5425)</f>
        <v>-18.29</v>
      </c>
      <c r="DP5425" s="74">
        <v>-18.29</v>
      </c>
    </row>
    <row r="5426" spans="1:236" x14ac:dyDescent="0.25">
      <c r="A5426" s="127">
        <v>45847</v>
      </c>
      <c r="B5426" s="24" t="s">
        <v>184</v>
      </c>
      <c r="C5426" s="21">
        <f t="shared" si="89"/>
        <v>-191.19499999999999</v>
      </c>
      <c r="V5426" s="74">
        <v>-8.2200000000000006</v>
      </c>
      <c r="AG5426" s="106">
        <v>-8.6199999999999992</v>
      </c>
      <c r="AN5426" s="106">
        <v>-8.61</v>
      </c>
      <c r="AR5426" s="106">
        <v>-8.3550000000000004</v>
      </c>
      <c r="BO5426" s="106">
        <v>-22.34</v>
      </c>
      <c r="CA5426" s="106">
        <v>-17.344999999999999</v>
      </c>
      <c r="CG5426" s="106">
        <v>-17.64</v>
      </c>
      <c r="CM5426" s="106">
        <v>-7.68</v>
      </c>
      <c r="CS5426" s="74">
        <v>-16.754999999999999</v>
      </c>
      <c r="DP5426" s="74">
        <v>-18.48</v>
      </c>
      <c r="DU5426" s="106">
        <v>-8.625</v>
      </c>
      <c r="DW5426" s="126">
        <v>-8.77</v>
      </c>
      <c r="EA5426" s="74">
        <v>-32.755000000000003</v>
      </c>
      <c r="GZ5426" s="106">
        <v>-7</v>
      </c>
    </row>
    <row r="5427" spans="1:236" x14ac:dyDescent="0.25">
      <c r="A5427" s="127">
        <v>45847</v>
      </c>
      <c r="B5427" s="24" t="s">
        <v>173</v>
      </c>
      <c r="C5427" s="21">
        <f t="shared" si="89"/>
        <v>-17.11</v>
      </c>
      <c r="BU5427" s="106">
        <v>-8.4450000000000003</v>
      </c>
      <c r="CA5427" s="106">
        <v>-8.6649999999999991</v>
      </c>
    </row>
    <row r="5428" spans="1:236" x14ac:dyDescent="0.25">
      <c r="A5428" s="127">
        <v>45848</v>
      </c>
      <c r="B5428" s="24" t="s">
        <v>130</v>
      </c>
      <c r="C5428" s="21">
        <f t="shared" si="89"/>
        <v>-8.67</v>
      </c>
      <c r="CA5428" s="106">
        <v>-8.67</v>
      </c>
    </row>
    <row r="5429" spans="1:236" x14ac:dyDescent="0.25">
      <c r="A5429" s="127">
        <v>45848</v>
      </c>
      <c r="B5429" s="24" t="s">
        <v>127</v>
      </c>
      <c r="C5429" s="21">
        <f t="shared" si="89"/>
        <v>-16.655000000000001</v>
      </c>
      <c r="CS5429" s="74">
        <v>-16.655000000000001</v>
      </c>
    </row>
    <row r="5430" spans="1:236" x14ac:dyDescent="0.25">
      <c r="A5430" s="127">
        <v>45848</v>
      </c>
      <c r="B5430" s="24" t="s">
        <v>31</v>
      </c>
      <c r="C5430" s="21">
        <f t="shared" si="89"/>
        <v>-13.1</v>
      </c>
      <c r="GW5430" s="92">
        <v>-7.06</v>
      </c>
      <c r="IA5430" s="79">
        <v>-6.04</v>
      </c>
    </row>
    <row r="5431" spans="1:236" x14ac:dyDescent="0.25">
      <c r="A5431" s="127">
        <v>45848</v>
      </c>
      <c r="B5431" s="24" t="s">
        <v>184</v>
      </c>
      <c r="C5431" s="21">
        <f t="shared" si="89"/>
        <v>-65.27</v>
      </c>
      <c r="EA5431" s="74">
        <v>-65.27</v>
      </c>
    </row>
    <row r="5432" spans="1:236" x14ac:dyDescent="0.25">
      <c r="A5432" s="127">
        <v>45852</v>
      </c>
      <c r="B5432" s="24" t="s">
        <v>213</v>
      </c>
      <c r="C5432" s="21">
        <f t="shared" si="89"/>
        <v>-83.745000000000005</v>
      </c>
      <c r="BO5432" s="106">
        <v>-25.52</v>
      </c>
      <c r="BU5432" s="106">
        <v>-6.69</v>
      </c>
      <c r="CA5432" s="106">
        <v>-25.125</v>
      </c>
      <c r="CG5432" s="106">
        <v>-26.41</v>
      </c>
    </row>
    <row r="5433" spans="1:236" x14ac:dyDescent="0.25">
      <c r="A5433" s="127">
        <v>45852</v>
      </c>
      <c r="B5433" s="24" t="s">
        <v>173</v>
      </c>
      <c r="C5433" s="21">
        <f t="shared" si="89"/>
        <v>-24.23</v>
      </c>
      <c r="CM5433" s="106">
        <v>-7.86</v>
      </c>
      <c r="CS5433" s="74">
        <v>-16.37</v>
      </c>
    </row>
    <row r="5434" spans="1:236" x14ac:dyDescent="0.25">
      <c r="A5434" s="127">
        <v>45852</v>
      </c>
      <c r="B5434" s="24" t="s">
        <v>50</v>
      </c>
      <c r="C5434" s="21">
        <f t="shared" si="89"/>
        <v>-284.07499999999999</v>
      </c>
      <c r="CS5434" s="74">
        <v>-34.244999999999997</v>
      </c>
      <c r="DE5434" s="74">
        <v>-35.299999999999997</v>
      </c>
      <c r="DP5434" s="74">
        <v>-62.715000000000003</v>
      </c>
      <c r="GW5434" s="92">
        <v>-57.085000000000001</v>
      </c>
      <c r="GZ5434" s="106">
        <v>-57.43</v>
      </c>
      <c r="IB5434" s="42">
        <v>-37.299999999999997</v>
      </c>
    </row>
    <row r="5435" spans="1:236" x14ac:dyDescent="0.25">
      <c r="A5435" s="127">
        <v>45853</v>
      </c>
      <c r="B5435" s="24" t="s">
        <v>193</v>
      </c>
      <c r="C5435" s="21">
        <f t="shared" si="89"/>
        <v>-24.234999999999999</v>
      </c>
      <c r="CM5435" s="106">
        <v>-7.2</v>
      </c>
      <c r="CS5435" s="74">
        <v>-8.3849999999999998</v>
      </c>
      <c r="DE5435" s="74">
        <v>-8.65</v>
      </c>
    </row>
    <row r="5436" spans="1:236" x14ac:dyDescent="0.25">
      <c r="A5436" s="127">
        <v>45854</v>
      </c>
      <c r="B5436" s="24" t="s">
        <v>48</v>
      </c>
      <c r="C5436" s="21">
        <f t="shared" si="89"/>
        <v>-8.4049999999999994</v>
      </c>
      <c r="CS5436" s="74">
        <v>-8.4049999999999994</v>
      </c>
    </row>
    <row r="5437" spans="1:236" x14ac:dyDescent="0.25">
      <c r="A5437" s="127">
        <v>45854</v>
      </c>
      <c r="B5437" s="24" t="s">
        <v>113</v>
      </c>
      <c r="C5437" s="21">
        <f t="shared" si="89"/>
        <v>874.32</v>
      </c>
      <c r="AW5437" s="106">
        <v>50.96</v>
      </c>
      <c r="BC5437" s="106">
        <v>66.930000000000007</v>
      </c>
      <c r="BI5437" s="106">
        <v>140.96</v>
      </c>
      <c r="BO5437" s="106">
        <v>96.275000000000006</v>
      </c>
      <c r="BU5437" s="106">
        <v>101.64</v>
      </c>
      <c r="CA5437" s="106">
        <v>115.36499999999999</v>
      </c>
      <c r="CG5437" s="106">
        <v>102</v>
      </c>
      <c r="CS5437" s="74">
        <v>66.344999999999999</v>
      </c>
      <c r="CY5437" s="106">
        <v>66.52</v>
      </c>
      <c r="DU5437" s="106">
        <v>67.325000000000003</v>
      </c>
    </row>
    <row r="5438" spans="1:236" x14ac:dyDescent="0.25">
      <c r="A5438" s="127">
        <v>45854</v>
      </c>
      <c r="B5438" s="24" t="s">
        <v>197</v>
      </c>
      <c r="C5438" s="21">
        <f t="shared" si="89"/>
        <v>-101.06</v>
      </c>
      <c r="BO5438" s="106">
        <v>-16.515000000000001</v>
      </c>
      <c r="BU5438" s="106">
        <v>-17.175000000000001</v>
      </c>
      <c r="CA5438" s="106">
        <v>-16.614999999999998</v>
      </c>
      <c r="CG5438" s="106">
        <v>-16.940000000000001</v>
      </c>
      <c r="CM5438" s="106">
        <v>-17.09</v>
      </c>
      <c r="CS5438" s="74">
        <v>-16.725000000000001</v>
      </c>
    </row>
    <row r="5439" spans="1:236" x14ac:dyDescent="0.25">
      <c r="A5439" s="127">
        <v>45854</v>
      </c>
      <c r="B5439" s="24" t="s">
        <v>192</v>
      </c>
      <c r="C5439" s="21">
        <f t="shared" si="89"/>
        <v>-71.709999999999994</v>
      </c>
      <c r="AW5439" s="106">
        <v>-6.45</v>
      </c>
      <c r="BC5439" s="106">
        <v>-8.23</v>
      </c>
      <c r="BO5439" s="106">
        <v>-7.18</v>
      </c>
      <c r="BU5439" s="106">
        <v>-7.88</v>
      </c>
      <c r="CA5439" s="106">
        <v>-24.905000000000001</v>
      </c>
      <c r="CG5439" s="106">
        <v>-8.51</v>
      </c>
      <c r="CM5439" s="106">
        <v>-8.5549999999999997</v>
      </c>
    </row>
    <row r="5440" spans="1:236" x14ac:dyDescent="0.25">
      <c r="A5440" s="127">
        <v>45854</v>
      </c>
      <c r="B5440" s="24" t="s">
        <v>25</v>
      </c>
      <c r="C5440" s="21">
        <f t="shared" si="89"/>
        <v>-115.54</v>
      </c>
      <c r="BC5440" s="106">
        <v>-8.3550000000000004</v>
      </c>
      <c r="BI5440" s="106">
        <v>-17</v>
      </c>
      <c r="BO5440" s="106">
        <v>-16.09</v>
      </c>
      <c r="BU5440" s="106">
        <v>-17.204999999999998</v>
      </c>
      <c r="CA5440" s="106">
        <v>-16.61</v>
      </c>
      <c r="CG5440" s="106">
        <v>-16.95</v>
      </c>
      <c r="CM5440" s="106">
        <v>-14.74</v>
      </c>
      <c r="DA5440" s="126">
        <v>-8.59</v>
      </c>
    </row>
    <row r="5441" spans="1:197" x14ac:dyDescent="0.25">
      <c r="A5441" s="127">
        <v>45854</v>
      </c>
      <c r="B5441" s="24" t="s">
        <v>138</v>
      </c>
      <c r="C5441" s="21">
        <f t="shared" si="89"/>
        <v>-8.4049999999999994</v>
      </c>
      <c r="AR5441" s="106">
        <v>-8.4049999999999994</v>
      </c>
    </row>
    <row r="5442" spans="1:197" x14ac:dyDescent="0.25">
      <c r="A5442" s="127">
        <v>45854</v>
      </c>
      <c r="B5442" s="24" t="s">
        <v>20</v>
      </c>
      <c r="C5442" s="21">
        <f t="shared" si="89"/>
        <v>-8.61</v>
      </c>
      <c r="AN5442" s="106">
        <v>-8.61</v>
      </c>
    </row>
    <row r="5443" spans="1:197" x14ac:dyDescent="0.25">
      <c r="A5443" s="127">
        <v>45854</v>
      </c>
      <c r="B5443" s="24" t="s">
        <v>213</v>
      </c>
      <c r="C5443" s="21">
        <f t="shared" si="89"/>
        <v>-134.26499999999999</v>
      </c>
      <c r="BC5443" s="106">
        <v>-8.3000000000000007</v>
      </c>
      <c r="BI5443" s="106">
        <v>-34.229999999999997</v>
      </c>
      <c r="BO5443" s="106">
        <v>-23.56</v>
      </c>
      <c r="BU5443" s="106">
        <v>-17.504999999999999</v>
      </c>
      <c r="CA5443" s="106">
        <v>-16.594999999999999</v>
      </c>
      <c r="CG5443" s="106">
        <v>-34.075000000000003</v>
      </c>
    </row>
    <row r="5444" spans="1:197" x14ac:dyDescent="0.25">
      <c r="A5444" s="127">
        <v>45854</v>
      </c>
      <c r="B5444" s="24" t="s">
        <v>24</v>
      </c>
      <c r="C5444" s="21">
        <f t="shared" si="89"/>
        <v>-86.465000000000003</v>
      </c>
      <c r="AW5444" s="106">
        <v>-6.1050000000000004</v>
      </c>
      <c r="BC5444" s="106">
        <v>-8.3949999999999996</v>
      </c>
      <c r="BI5444" s="106">
        <v>-13.615</v>
      </c>
      <c r="BO5444" s="106">
        <v>-17.59</v>
      </c>
      <c r="BU5444" s="106">
        <v>-8.6950000000000003</v>
      </c>
      <c r="CA5444" s="106">
        <v>-15.505000000000001</v>
      </c>
      <c r="CG5444" s="106">
        <v>-8.52</v>
      </c>
      <c r="CM5444" s="106">
        <v>-8.0399999999999991</v>
      </c>
    </row>
    <row r="5445" spans="1:197" x14ac:dyDescent="0.25">
      <c r="A5445" s="127">
        <v>45854</v>
      </c>
      <c r="B5445" s="24" t="s">
        <v>33</v>
      </c>
      <c r="C5445" s="21">
        <f t="shared" si="89"/>
        <v>-8.4949999999999992</v>
      </c>
      <c r="BI5445" s="106">
        <v>-8.4949999999999992</v>
      </c>
    </row>
    <row r="5446" spans="1:197" x14ac:dyDescent="0.25">
      <c r="A5446" s="127">
        <v>45854</v>
      </c>
      <c r="B5446" s="24" t="s">
        <v>68</v>
      </c>
      <c r="C5446" s="21">
        <f t="shared" si="89"/>
        <v>-31.04</v>
      </c>
      <c r="AW5446" s="106">
        <v>-6.5750000000000002</v>
      </c>
      <c r="BC5446" s="106">
        <v>-8.48</v>
      </c>
      <c r="BI5446" s="106">
        <v>-8.2249999999999996</v>
      </c>
      <c r="BO5446" s="106">
        <v>-7.76</v>
      </c>
    </row>
    <row r="5447" spans="1:197" x14ac:dyDescent="0.25">
      <c r="A5447" s="127">
        <v>45854</v>
      </c>
      <c r="B5447" s="24" t="s">
        <v>173</v>
      </c>
      <c r="C5447" s="21">
        <f t="shared" si="89"/>
        <v>-15.994999999999999</v>
      </c>
      <c r="BI5447" s="106">
        <v>-7.49</v>
      </c>
      <c r="CG5447" s="106">
        <v>-8.5050000000000008</v>
      </c>
    </row>
    <row r="5448" spans="1:197" x14ac:dyDescent="0.25">
      <c r="A5448" s="127">
        <v>45854</v>
      </c>
      <c r="B5448" s="24" t="s">
        <v>225</v>
      </c>
      <c r="C5448" s="21">
        <f t="shared" si="89"/>
        <v>-34.65</v>
      </c>
      <c r="DM5448" s="46">
        <v>-34.65</v>
      </c>
    </row>
    <row r="5449" spans="1:197" x14ac:dyDescent="0.25">
      <c r="A5449" s="127">
        <v>45855</v>
      </c>
      <c r="B5449" s="24" t="s">
        <v>44</v>
      </c>
      <c r="C5449" s="21">
        <f t="shared" si="89"/>
        <v>-85.99</v>
      </c>
      <c r="GO5449" s="110">
        <v>-85.99</v>
      </c>
    </row>
    <row r="5450" spans="1:197" x14ac:dyDescent="0.25">
      <c r="A5450" s="127">
        <v>45855</v>
      </c>
      <c r="B5450" s="24" t="s">
        <v>162</v>
      </c>
      <c r="C5450" s="21">
        <f t="shared" si="89"/>
        <v>-44.265000000000001</v>
      </c>
      <c r="AW5450" s="106">
        <v>-12.69</v>
      </c>
      <c r="BI5450" s="106">
        <v>-15.01</v>
      </c>
      <c r="BO5450" s="106">
        <v>-16.565000000000001</v>
      </c>
    </row>
    <row r="5451" spans="1:197" x14ac:dyDescent="0.25">
      <c r="A5451" s="127">
        <v>45855</v>
      </c>
      <c r="B5451" s="24" t="s">
        <v>184</v>
      </c>
      <c r="C5451" s="21">
        <f t="shared" si="89"/>
        <v>-132.54499999999999</v>
      </c>
      <c r="AW5451" s="106">
        <v>-12.765000000000001</v>
      </c>
      <c r="BC5451" s="106">
        <v>-25.11</v>
      </c>
      <c r="BI5451" s="106">
        <v>-29.39</v>
      </c>
      <c r="BO5451" s="106">
        <v>-15.46</v>
      </c>
      <c r="BU5451" s="106">
        <v>-33.18</v>
      </c>
      <c r="CA5451" s="106">
        <v>-16.64</v>
      </c>
    </row>
    <row r="5452" spans="1:197" x14ac:dyDescent="0.25">
      <c r="A5452" s="127">
        <v>45855</v>
      </c>
      <c r="B5452" s="24" t="s">
        <v>169</v>
      </c>
      <c r="C5452" s="21">
        <f t="shared" si="89"/>
        <v>-55.895000000000003</v>
      </c>
      <c r="E5452" s="386">
        <v>-18.395</v>
      </c>
      <c r="F5452" s="145">
        <v>-37.5</v>
      </c>
    </row>
    <row r="5453" spans="1:197" x14ac:dyDescent="0.25">
      <c r="A5453" s="127">
        <v>45855</v>
      </c>
      <c r="B5453" s="24" t="s">
        <v>193</v>
      </c>
      <c r="C5453" s="21">
        <f t="shared" si="89"/>
        <v>-8.5</v>
      </c>
      <c r="CG5453" s="106">
        <v>-8.5</v>
      </c>
    </row>
    <row r="5454" spans="1:197" x14ac:dyDescent="0.25">
      <c r="A5454" s="127">
        <v>45856</v>
      </c>
      <c r="B5454" s="24" t="s">
        <v>20</v>
      </c>
      <c r="C5454" s="21">
        <f t="shared" si="89"/>
        <v>-15.88</v>
      </c>
      <c r="BI5454" s="106">
        <v>-7.5049999999999999</v>
      </c>
      <c r="BO5454" s="106">
        <v>-8.375</v>
      </c>
    </row>
    <row r="5455" spans="1:197" x14ac:dyDescent="0.25">
      <c r="A5455" s="127">
        <v>45856</v>
      </c>
      <c r="B5455" s="24" t="s">
        <v>138</v>
      </c>
      <c r="C5455" s="21">
        <f t="shared" si="89"/>
        <v>-24.594999999999999</v>
      </c>
      <c r="CM5455" s="106">
        <v>-8.0399999999999991</v>
      </c>
      <c r="CS5455" s="74">
        <v>-16.555</v>
      </c>
    </row>
    <row r="5456" spans="1:197" x14ac:dyDescent="0.25">
      <c r="A5456" s="127">
        <v>45856</v>
      </c>
      <c r="B5456" s="24" t="s">
        <v>224</v>
      </c>
      <c r="C5456" s="21">
        <f t="shared" si="89"/>
        <v>-8.07</v>
      </c>
      <c r="CM5456" s="106">
        <v>-8.07</v>
      </c>
    </row>
    <row r="5457" spans="1:212" x14ac:dyDescent="0.25">
      <c r="A5457" s="127">
        <v>45859</v>
      </c>
      <c r="B5457" s="24" t="s">
        <v>113</v>
      </c>
      <c r="C5457" s="21">
        <f t="shared" si="89"/>
        <v>960.91499999999996</v>
      </c>
      <c r="V5457" s="74">
        <v>97.644999999999996</v>
      </c>
      <c r="AC5457" s="106">
        <v>34.634999999999998</v>
      </c>
      <c r="AN5457" s="106">
        <v>66.715000000000003</v>
      </c>
      <c r="AR5457" s="106">
        <v>100.545</v>
      </c>
      <c r="AW5457" s="106">
        <v>66.594999999999999</v>
      </c>
      <c r="DE5457" s="74">
        <v>63.365000000000002</v>
      </c>
      <c r="DK5457" s="106">
        <f>76.275+97.405</f>
        <v>173.68</v>
      </c>
      <c r="DP5457" s="74">
        <v>73.13</v>
      </c>
      <c r="EA5457" s="74">
        <v>143.08500000000001</v>
      </c>
      <c r="EG5457" s="74">
        <v>33.770000000000003</v>
      </c>
      <c r="HD5457" s="92">
        <v>107.75</v>
      </c>
    </row>
    <row r="5458" spans="1:212" x14ac:dyDescent="0.25">
      <c r="A5458" s="127">
        <v>45859</v>
      </c>
      <c r="B5458" s="24" t="s">
        <v>113</v>
      </c>
      <c r="C5458" s="21">
        <f t="shared" si="89"/>
        <v>841.83500000000004</v>
      </c>
      <c r="AN5458" s="106">
        <v>41.71</v>
      </c>
      <c r="AW5458" s="106">
        <v>32.82</v>
      </c>
      <c r="BC5458" s="106">
        <v>95.13</v>
      </c>
      <c r="BI5458" s="106">
        <v>98.355000000000004</v>
      </c>
      <c r="BO5458" s="106">
        <v>97.35</v>
      </c>
      <c r="BU5458" s="106">
        <v>102.76</v>
      </c>
      <c r="CA5458" s="106">
        <v>105.325</v>
      </c>
      <c r="CG5458" s="106">
        <v>102.14</v>
      </c>
      <c r="CM5458" s="106">
        <v>100.11499999999999</v>
      </c>
      <c r="CS5458" s="74">
        <v>33.89</v>
      </c>
      <c r="CY5458" s="106">
        <v>32.24</v>
      </c>
    </row>
    <row r="5459" spans="1:212" x14ac:dyDescent="0.25">
      <c r="A5459" s="127">
        <v>45859</v>
      </c>
      <c r="B5459" s="24" t="s">
        <v>48</v>
      </c>
      <c r="C5459" s="21">
        <f t="shared" si="89"/>
        <v>-33.119999999999997</v>
      </c>
      <c r="EA5459" s="74">
        <v>-8.2249999999999996</v>
      </c>
      <c r="EG5459" s="74">
        <v>-24.895</v>
      </c>
    </row>
    <row r="5460" spans="1:212" x14ac:dyDescent="0.25">
      <c r="A5460" s="127">
        <v>45859</v>
      </c>
      <c r="B5460" s="24" t="s">
        <v>50</v>
      </c>
      <c r="C5460" s="21">
        <f t="shared" si="89"/>
        <v>-12.32</v>
      </c>
      <c r="GT5460" s="110">
        <v>-12.32</v>
      </c>
    </row>
    <row r="5461" spans="1:212" x14ac:dyDescent="0.25">
      <c r="A5461" s="127">
        <v>45859</v>
      </c>
      <c r="B5461" s="24" t="s">
        <v>184</v>
      </c>
      <c r="C5461" s="21">
        <f t="shared" si="89"/>
        <v>-219.79</v>
      </c>
      <c r="P5461" s="106">
        <v>-8.0649999999999995</v>
      </c>
      <c r="AN5461" s="106">
        <v>-15.875</v>
      </c>
      <c r="AR5461" s="106">
        <v>-16.704999999999998</v>
      </c>
      <c r="AW5461" s="106">
        <v>-24.645</v>
      </c>
      <c r="BC5461" s="106">
        <v>-8.34</v>
      </c>
      <c r="BI5461" s="106">
        <v>-32.520000000000003</v>
      </c>
      <c r="BO5461" s="106">
        <v>-8.18</v>
      </c>
      <c r="BU5461" s="106">
        <v>-8.6449999999999996</v>
      </c>
      <c r="CA5461" s="106">
        <v>-17.37</v>
      </c>
      <c r="CG5461" s="106">
        <v>-17.045000000000002</v>
      </c>
      <c r="CM5461" s="106">
        <v>-17.074999999999999</v>
      </c>
      <c r="CS5461" s="74">
        <v>-8.3550000000000004</v>
      </c>
      <c r="DP5461" s="74">
        <v>-36.97</v>
      </c>
    </row>
    <row r="5462" spans="1:212" x14ac:dyDescent="0.25">
      <c r="A5462" s="127">
        <v>45859</v>
      </c>
      <c r="B5462" s="24" t="s">
        <v>133</v>
      </c>
      <c r="C5462" s="21">
        <f t="shared" si="89"/>
        <v>-184.16</v>
      </c>
      <c r="AN5462" s="106">
        <v>-34.450000000000003</v>
      </c>
      <c r="AW5462" s="106">
        <v>-24.69</v>
      </c>
      <c r="BC5462" s="106">
        <v>-23.54</v>
      </c>
      <c r="BO5462" s="106">
        <v>-32.380000000000003</v>
      </c>
      <c r="BU5462" s="106">
        <v>-17.34</v>
      </c>
      <c r="CA5462" s="106">
        <v>-34.72</v>
      </c>
      <c r="CG5462" s="106">
        <v>-17.04</v>
      </c>
    </row>
    <row r="5463" spans="1:212" x14ac:dyDescent="0.25">
      <c r="A5463" s="127">
        <v>45859</v>
      </c>
      <c r="B5463" s="24" t="s">
        <v>213</v>
      </c>
      <c r="C5463" s="21">
        <f t="shared" si="89"/>
        <v>-168.595</v>
      </c>
      <c r="AW5463" s="106">
        <v>-8.1649999999999991</v>
      </c>
      <c r="BC5463" s="106">
        <v>-16.149999999999999</v>
      </c>
      <c r="BI5463" s="106">
        <v>-33.04</v>
      </c>
      <c r="BU5463" s="106">
        <v>-34.045000000000002</v>
      </c>
      <c r="CA5463" s="106">
        <v>-35.86</v>
      </c>
      <c r="CG5463" s="106">
        <v>-33.994999999999997</v>
      </c>
      <c r="CM5463" s="106">
        <v>-7.34</v>
      </c>
    </row>
    <row r="5464" spans="1:212" x14ac:dyDescent="0.25">
      <c r="A5464" s="127">
        <v>45859</v>
      </c>
      <c r="B5464" s="24" t="s">
        <v>138</v>
      </c>
      <c r="C5464" s="21">
        <f t="shared" si="89"/>
        <v>-8.5549999999999997</v>
      </c>
      <c r="CM5464" s="106">
        <v>-8.5549999999999997</v>
      </c>
    </row>
    <row r="5465" spans="1:212" x14ac:dyDescent="0.25">
      <c r="A5465" s="127">
        <v>45859</v>
      </c>
      <c r="B5465" s="24" t="s">
        <v>173</v>
      </c>
      <c r="C5465" s="21">
        <f t="shared" si="89"/>
        <v>-24.31</v>
      </c>
      <c r="BC5465" s="106">
        <v>-7.4249999999999998</v>
      </c>
      <c r="BI5465" s="106">
        <v>-8.2200000000000006</v>
      </c>
      <c r="CY5465" s="106">
        <v>-8.6649999999999991</v>
      </c>
    </row>
    <row r="5466" spans="1:212" x14ac:dyDescent="0.25">
      <c r="A5466" s="127">
        <v>45859</v>
      </c>
      <c r="B5466" s="24" t="s">
        <v>115</v>
      </c>
      <c r="C5466" s="21">
        <f t="shared" si="89"/>
        <v>96.23</v>
      </c>
      <c r="E5466" s="386">
        <v>58.9</v>
      </c>
      <c r="F5466" s="145">
        <v>37.33</v>
      </c>
    </row>
    <row r="5467" spans="1:212" x14ac:dyDescent="0.25">
      <c r="A5467" s="127">
        <v>45860</v>
      </c>
      <c r="B5467" s="24" t="s">
        <v>169</v>
      </c>
      <c r="C5467" s="21">
        <f t="shared" si="89"/>
        <v>-14.7</v>
      </c>
      <c r="E5467" s="386">
        <v>-14.7</v>
      </c>
    </row>
    <row r="5468" spans="1:212" x14ac:dyDescent="0.25">
      <c r="A5468" s="127">
        <v>45860</v>
      </c>
      <c r="B5468" s="24" t="s">
        <v>188</v>
      </c>
      <c r="C5468" s="21">
        <f t="shared" si="89"/>
        <v>-15.095000000000001</v>
      </c>
      <c r="BC5468" s="106">
        <v>-7.85</v>
      </c>
      <c r="CM5468" s="106">
        <v>-7.2450000000000001</v>
      </c>
    </row>
    <row r="5469" spans="1:212" x14ac:dyDescent="0.25">
      <c r="A5469" s="127">
        <v>45860</v>
      </c>
      <c r="B5469" s="24" t="s">
        <v>212</v>
      </c>
      <c r="C5469" s="21">
        <f t="shared" si="89"/>
        <v>-8.4350000000000005</v>
      </c>
      <c r="AR5469" s="106">
        <v>-8.4350000000000005</v>
      </c>
    </row>
    <row r="5470" spans="1:212" x14ac:dyDescent="0.25">
      <c r="A5470" s="127">
        <v>45860</v>
      </c>
      <c r="B5470" s="24" t="s">
        <v>75</v>
      </c>
      <c r="C5470" s="21">
        <f t="shared" si="89"/>
        <v>-15.91</v>
      </c>
      <c r="BC5470" s="106">
        <v>-7.8049999999999997</v>
      </c>
      <c r="BI5470" s="106">
        <v>-8.1050000000000004</v>
      </c>
    </row>
    <row r="5471" spans="1:212" x14ac:dyDescent="0.25">
      <c r="A5471" s="127">
        <v>45860</v>
      </c>
      <c r="B5471" s="24" t="s">
        <v>33</v>
      </c>
      <c r="C5471" s="21">
        <f t="shared" si="89"/>
        <v>-8.09</v>
      </c>
      <c r="BC5471" s="106">
        <v>-8.09</v>
      </c>
    </row>
    <row r="5472" spans="1:212" x14ac:dyDescent="0.25">
      <c r="A5472" s="127">
        <v>45860</v>
      </c>
      <c r="B5472" s="24" t="s">
        <v>224</v>
      </c>
      <c r="C5472" s="21">
        <f t="shared" si="89"/>
        <v>-22.09</v>
      </c>
      <c r="AC5472" s="106">
        <v>-8.6750000000000007</v>
      </c>
      <c r="AN5472" s="106">
        <v>-5.59</v>
      </c>
      <c r="BC5472" s="106">
        <v>-7.8250000000000002</v>
      </c>
    </row>
    <row r="5473" spans="1:199" x14ac:dyDescent="0.25">
      <c r="A5473" s="127">
        <v>45860</v>
      </c>
      <c r="B5473" s="24" t="s">
        <v>48</v>
      </c>
      <c r="C5473" s="21">
        <f t="shared" si="89"/>
        <v>-29.38</v>
      </c>
      <c r="DE5473" s="74">
        <v>-8.2200000000000006</v>
      </c>
      <c r="FX5473" s="34">
        <v>-21.16</v>
      </c>
    </row>
    <row r="5474" spans="1:199" x14ac:dyDescent="0.25">
      <c r="A5474" s="127">
        <v>45860</v>
      </c>
      <c r="B5474" s="24" t="s">
        <v>127</v>
      </c>
      <c r="C5474" s="21">
        <f t="shared" si="89"/>
        <v>-25.12</v>
      </c>
      <c r="AC5474" s="106">
        <v>-8.6300000000000008</v>
      </c>
      <c r="AW5474" s="106">
        <v>-8.3849999999999998</v>
      </c>
      <c r="BC5474" s="106">
        <v>-8.1050000000000004</v>
      </c>
    </row>
    <row r="5475" spans="1:199" x14ac:dyDescent="0.25">
      <c r="A5475" s="127">
        <v>45860</v>
      </c>
      <c r="B5475" s="24" t="s">
        <v>17</v>
      </c>
      <c r="C5475" s="21">
        <f t="shared" si="89"/>
        <v>-16.73</v>
      </c>
      <c r="AW5475" s="106">
        <v>-16.73</v>
      </c>
    </row>
    <row r="5476" spans="1:199" x14ac:dyDescent="0.25">
      <c r="A5476" s="127">
        <v>45862</v>
      </c>
      <c r="B5476" s="24" t="s">
        <v>197</v>
      </c>
      <c r="C5476" s="21">
        <f t="shared" si="89"/>
        <v>-51.645000000000003</v>
      </c>
      <c r="DP5476" s="74">
        <v>-27.035</v>
      </c>
      <c r="DU5476" s="106">
        <v>-24.61</v>
      </c>
    </row>
    <row r="5477" spans="1:199" x14ac:dyDescent="0.25">
      <c r="A5477" s="127">
        <v>45863</v>
      </c>
      <c r="B5477" s="24" t="s">
        <v>202</v>
      </c>
      <c r="C5477" s="21">
        <f t="shared" si="89"/>
        <v>-36.835000000000001</v>
      </c>
      <c r="E5477" s="386">
        <v>-36.835000000000001</v>
      </c>
    </row>
    <row r="5478" spans="1:199" x14ac:dyDescent="0.25">
      <c r="A5478" s="127">
        <v>45863</v>
      </c>
      <c r="B5478" s="24" t="s">
        <v>212</v>
      </c>
      <c r="C5478" s="21">
        <f t="shared" si="89"/>
        <v>-17.135000000000002</v>
      </c>
      <c r="BU5478" s="106">
        <v>-17.135000000000002</v>
      </c>
    </row>
    <row r="5479" spans="1:199" x14ac:dyDescent="0.25">
      <c r="A5479" s="127">
        <v>45863</v>
      </c>
      <c r="B5479" s="24" t="s">
        <v>31</v>
      </c>
      <c r="C5479" s="21">
        <f t="shared" si="89"/>
        <v>-44.604999999999997</v>
      </c>
      <c r="GO5479" s="110">
        <v>-44.604999999999997</v>
      </c>
    </row>
    <row r="5480" spans="1:199" x14ac:dyDescent="0.25">
      <c r="A5480" s="127">
        <v>45863</v>
      </c>
      <c r="B5480" s="24" t="s">
        <v>197</v>
      </c>
      <c r="C5480" s="21">
        <f t="shared" si="89"/>
        <v>-70.614999999999995</v>
      </c>
      <c r="DK5480" s="106">
        <v>-35.505000000000003</v>
      </c>
      <c r="DP5480" s="74">
        <v>-9.125</v>
      </c>
      <c r="DU5480" s="106">
        <v>-25.984999999999999</v>
      </c>
    </row>
    <row r="5481" spans="1:199" x14ac:dyDescent="0.25">
      <c r="A5481" s="127">
        <v>45863</v>
      </c>
      <c r="B5481" s="24" t="s">
        <v>83</v>
      </c>
      <c r="C5481" s="21">
        <f t="shared" si="89"/>
        <v>-8.3149999999999995</v>
      </c>
      <c r="V5481" s="74">
        <v>-8.3149999999999995</v>
      </c>
    </row>
    <row r="5482" spans="1:199" x14ac:dyDescent="0.25">
      <c r="A5482" s="127">
        <v>45863</v>
      </c>
      <c r="B5482" s="24" t="s">
        <v>224</v>
      </c>
      <c r="C5482" s="21">
        <f t="shared" si="89"/>
        <v>-16.87</v>
      </c>
      <c r="AW5482" s="106">
        <v>-8.42</v>
      </c>
      <c r="CS5482" s="74">
        <v>-8.4499999999999993</v>
      </c>
    </row>
    <row r="5483" spans="1:199" x14ac:dyDescent="0.25">
      <c r="A5483" s="127">
        <v>45863</v>
      </c>
      <c r="B5483" s="24" t="s">
        <v>192</v>
      </c>
      <c r="C5483" s="21">
        <f t="shared" si="89"/>
        <v>-101.515</v>
      </c>
      <c r="BI5483" s="106">
        <v>-8.2349999999999994</v>
      </c>
      <c r="BO5483" s="106">
        <v>-8.1649999999999991</v>
      </c>
      <c r="DE5483" s="74">
        <v>-9.0950000000000006</v>
      </c>
      <c r="DK5483" s="106">
        <v>-76.02</v>
      </c>
    </row>
    <row r="5484" spans="1:199" x14ac:dyDescent="0.25">
      <c r="A5484" s="127">
        <v>45864</v>
      </c>
      <c r="B5484" s="24" t="s">
        <v>173</v>
      </c>
      <c r="C5484" s="21">
        <f t="shared" si="89"/>
        <v>-15.925000000000001</v>
      </c>
      <c r="AN5484" s="106">
        <v>-7.5250000000000004</v>
      </c>
      <c r="AR5484" s="106">
        <v>-8.4</v>
      </c>
    </row>
    <row r="5485" spans="1:199" x14ac:dyDescent="0.25">
      <c r="A5485" s="127">
        <v>45864</v>
      </c>
      <c r="B5485" s="24" t="s">
        <v>113</v>
      </c>
      <c r="C5485" s="21">
        <f t="shared" si="89"/>
        <v>894.81</v>
      </c>
      <c r="AN5485" s="106">
        <v>34.28</v>
      </c>
      <c r="AR5485" s="106">
        <v>33.46</v>
      </c>
      <c r="AW5485" s="106">
        <v>99.375</v>
      </c>
      <c r="BC5485" s="106">
        <v>68.36</v>
      </c>
      <c r="BI5485" s="106">
        <f>40.545+56.645</f>
        <v>97.19</v>
      </c>
      <c r="BO5485" s="106">
        <v>97.435000000000002</v>
      </c>
      <c r="BU5485" s="106">
        <f>68.25+34.765</f>
        <v>103.015</v>
      </c>
      <c r="CA5485" s="106">
        <v>69.545000000000002</v>
      </c>
      <c r="CG5485" s="106">
        <v>35.424999999999997</v>
      </c>
      <c r="CM5485" s="106">
        <v>69.599999999999994</v>
      </c>
      <c r="DE5485" s="74">
        <v>35.604999999999997</v>
      </c>
      <c r="DP5485" s="74">
        <v>37.090000000000003</v>
      </c>
      <c r="GQ5485" s="92">
        <v>114.43</v>
      </c>
    </row>
    <row r="5486" spans="1:199" x14ac:dyDescent="0.25">
      <c r="A5486" s="127">
        <v>45864</v>
      </c>
      <c r="B5486" s="24" t="s">
        <v>113</v>
      </c>
      <c r="C5486" s="21">
        <f t="shared" si="89"/>
        <v>132.21</v>
      </c>
      <c r="AW5486" s="106">
        <v>66.38</v>
      </c>
      <c r="CS5486" s="74">
        <v>65.83</v>
      </c>
    </row>
    <row r="5487" spans="1:199" x14ac:dyDescent="0.25">
      <c r="A5487" s="127">
        <v>45864</v>
      </c>
      <c r="B5487" s="24" t="s">
        <v>113</v>
      </c>
      <c r="C5487" s="21">
        <f t="shared" si="89"/>
        <v>68.875</v>
      </c>
      <c r="AG5487" s="106">
        <v>68.875</v>
      </c>
    </row>
    <row r="5488" spans="1:199" x14ac:dyDescent="0.25">
      <c r="A5488" s="127">
        <v>45866</v>
      </c>
      <c r="B5488" s="24" t="s">
        <v>50</v>
      </c>
      <c r="C5488" s="21">
        <f t="shared" si="89"/>
        <v>-63.07</v>
      </c>
      <c r="EA5488" s="74">
        <v>-63.07</v>
      </c>
    </row>
    <row r="5489" spans="1:226" x14ac:dyDescent="0.25">
      <c r="A5489" s="127">
        <v>45866</v>
      </c>
      <c r="B5489" s="24" t="s">
        <v>39</v>
      </c>
      <c r="C5489" s="21">
        <f t="shared" ref="C5489:C5552" si="90">SUM(D5489:JT5489)</f>
        <v>-33.945</v>
      </c>
      <c r="AC5489" s="106">
        <v>-8.6649999999999991</v>
      </c>
      <c r="AW5489" s="106">
        <v>-8.35</v>
      </c>
      <c r="BU5489" s="106">
        <v>-8.2449999999999992</v>
      </c>
      <c r="CA5489" s="106">
        <v>-8.6850000000000005</v>
      </c>
    </row>
    <row r="5490" spans="1:226" x14ac:dyDescent="0.25">
      <c r="A5490" s="127">
        <v>45866</v>
      </c>
      <c r="B5490" s="24" t="s">
        <v>213</v>
      </c>
      <c r="C5490" s="21">
        <f t="shared" si="90"/>
        <v>-17.145</v>
      </c>
      <c r="BC5490" s="106">
        <v>-17.145</v>
      </c>
    </row>
    <row r="5491" spans="1:226" x14ac:dyDescent="0.25">
      <c r="A5491" s="127">
        <v>45866</v>
      </c>
      <c r="B5491" s="24" t="s">
        <v>213</v>
      </c>
      <c r="C5491" s="21">
        <f t="shared" si="90"/>
        <v>-84.25</v>
      </c>
      <c r="BI5491" s="106">
        <v>-32.344999999999999</v>
      </c>
      <c r="BO5491" s="106">
        <v>-16.195</v>
      </c>
      <c r="CA5491" s="106">
        <v>-17.36</v>
      </c>
      <c r="CG5491" s="106">
        <v>-18.350000000000001</v>
      </c>
    </row>
    <row r="5492" spans="1:226" x14ac:dyDescent="0.25">
      <c r="A5492" s="127">
        <v>45866</v>
      </c>
      <c r="B5492" s="24" t="s">
        <v>48</v>
      </c>
      <c r="C5492" s="21">
        <f t="shared" si="90"/>
        <v>-83.98</v>
      </c>
      <c r="AG5492" s="106">
        <v>-8.6199999999999992</v>
      </c>
      <c r="AN5492" s="106">
        <v>-17.164999999999999</v>
      </c>
      <c r="AR5492" s="106">
        <v>-33.475000000000001</v>
      </c>
      <c r="AW5492" s="106">
        <v>-8.4550000000000001</v>
      </c>
      <c r="BO5492" s="106">
        <v>-16.265000000000001</v>
      </c>
    </row>
    <row r="5493" spans="1:226" x14ac:dyDescent="0.25">
      <c r="A5493" s="127">
        <v>45866</v>
      </c>
      <c r="B5493" s="24" t="s">
        <v>133</v>
      </c>
      <c r="C5493" s="21">
        <f t="shared" si="90"/>
        <v>-209.41499999999999</v>
      </c>
      <c r="V5493" s="74">
        <v>-16.46</v>
      </c>
      <c r="AC5493" s="106">
        <v>-8.6649999999999991</v>
      </c>
      <c r="AG5493" s="106">
        <v>-17.21</v>
      </c>
      <c r="AR5493" s="106">
        <v>-33.46</v>
      </c>
      <c r="AW5493" s="106">
        <v>-66.38</v>
      </c>
      <c r="BI5493" s="106">
        <v>-32.43</v>
      </c>
      <c r="BO5493" s="106">
        <v>-34.81</v>
      </c>
    </row>
    <row r="5494" spans="1:226" x14ac:dyDescent="0.25">
      <c r="A5494" s="127">
        <v>45866</v>
      </c>
      <c r="B5494" s="24" t="s">
        <v>184</v>
      </c>
      <c r="C5494" s="21">
        <f t="shared" si="90"/>
        <v>-92.295000000000002</v>
      </c>
      <c r="AW5494" s="106">
        <v>-8.3699999999999992</v>
      </c>
      <c r="BC5494" s="106">
        <v>-8.5250000000000004</v>
      </c>
      <c r="BI5494" s="106">
        <v>-16.21</v>
      </c>
      <c r="BO5494" s="106">
        <v>-8.14</v>
      </c>
      <c r="BU5494" s="106">
        <v>-8.4949999999999992</v>
      </c>
      <c r="CA5494" s="106">
        <v>-8.6549999999999994</v>
      </c>
      <c r="CG5494" s="106">
        <v>-16.864999999999998</v>
      </c>
      <c r="CM5494" s="106">
        <v>-8.5449999999999999</v>
      </c>
      <c r="CS5494" s="74">
        <v>-8.49</v>
      </c>
    </row>
    <row r="5495" spans="1:226" x14ac:dyDescent="0.25">
      <c r="A5495" s="127">
        <v>45866</v>
      </c>
      <c r="B5495" s="24" t="s">
        <v>171</v>
      </c>
      <c r="C5495" s="21">
        <f t="shared" si="90"/>
        <v>-16.420000000000002</v>
      </c>
      <c r="AW5495" s="106">
        <v>-8.32</v>
      </c>
      <c r="BO5495" s="106">
        <v>-8.1</v>
      </c>
    </row>
    <row r="5496" spans="1:226" x14ac:dyDescent="0.25">
      <c r="A5496" s="127">
        <v>45867</v>
      </c>
      <c r="B5496" s="24" t="s">
        <v>33</v>
      </c>
      <c r="C5496" s="21">
        <f t="shared" si="90"/>
        <v>-8.1999999999999993</v>
      </c>
      <c r="AN5496" s="106">
        <v>-8.1999999999999993</v>
      </c>
    </row>
    <row r="5497" spans="1:226" x14ac:dyDescent="0.25">
      <c r="A5497" s="127">
        <v>45867</v>
      </c>
      <c r="B5497" s="24" t="s">
        <v>75</v>
      </c>
      <c r="C5497" s="21">
        <f t="shared" si="90"/>
        <v>-16.675000000000001</v>
      </c>
      <c r="BC5497" s="106">
        <v>-8.56</v>
      </c>
      <c r="BI5497" s="106">
        <v>-8.1150000000000002</v>
      </c>
    </row>
    <row r="5498" spans="1:226" x14ac:dyDescent="0.25">
      <c r="A5498" s="127">
        <v>45867</v>
      </c>
      <c r="B5498" s="24" t="s">
        <v>115</v>
      </c>
      <c r="C5498" s="21">
        <f t="shared" si="90"/>
        <v>122.9</v>
      </c>
      <c r="E5498" s="386">
        <v>58.17</v>
      </c>
      <c r="HN5498" s="115">
        <v>64.73</v>
      </c>
    </row>
    <row r="5499" spans="1:226" x14ac:dyDescent="0.25">
      <c r="A5499" s="127">
        <v>45868</v>
      </c>
      <c r="B5499" s="29" t="s">
        <v>218</v>
      </c>
      <c r="C5499" s="21">
        <f t="shared" si="90"/>
        <v>-32.78</v>
      </c>
      <c r="AR5499" s="106">
        <v>-8.36</v>
      </c>
      <c r="BI5499" s="106">
        <v>-16.324999999999999</v>
      </c>
      <c r="BO5499" s="106">
        <v>-8.0950000000000006</v>
      </c>
    </row>
    <row r="5500" spans="1:226" x14ac:dyDescent="0.25">
      <c r="A5500" s="127">
        <v>45868</v>
      </c>
      <c r="B5500" s="29" t="s">
        <v>174</v>
      </c>
      <c r="C5500" s="21">
        <f t="shared" si="90"/>
        <v>-17.059999999999999</v>
      </c>
      <c r="CG5500" s="106">
        <v>-8.5350000000000001</v>
      </c>
      <c r="CM5500" s="106">
        <v>-8.5250000000000004</v>
      </c>
    </row>
    <row r="5501" spans="1:226" x14ac:dyDescent="0.25">
      <c r="A5501" s="127">
        <v>45869</v>
      </c>
      <c r="B5501" s="24" t="s">
        <v>113</v>
      </c>
      <c r="C5501" s="21">
        <f t="shared" si="90"/>
        <v>1753.28</v>
      </c>
      <c r="Z5501" s="79">
        <v>99.314999999999998</v>
      </c>
      <c r="AC5501" s="106">
        <v>103.27500000000001</v>
      </c>
      <c r="AG5501" s="106">
        <v>99.58</v>
      </c>
      <c r="AN5501" s="106">
        <v>28.47</v>
      </c>
      <c r="AR5501" s="106">
        <v>33.524999999999999</v>
      </c>
      <c r="BC5501" s="106">
        <v>101.145</v>
      </c>
      <c r="BI5501" s="106">
        <v>145.61500000000001</v>
      </c>
      <c r="BO5501" s="106">
        <v>47.975000000000001</v>
      </c>
      <c r="BU5501" s="106">
        <v>34.594999999999999</v>
      </c>
      <c r="CA5501" s="106">
        <v>100.86</v>
      </c>
      <c r="CM5501" s="106">
        <v>139.785</v>
      </c>
      <c r="CY5501" s="106">
        <f>91.725+41.31</f>
        <v>133.035</v>
      </c>
      <c r="DE5501" s="74">
        <v>103.78</v>
      </c>
      <c r="DK5501" s="106">
        <v>105.965</v>
      </c>
      <c r="DP5501" s="74">
        <v>99.87</v>
      </c>
      <c r="EG5501" s="74">
        <v>72.37</v>
      </c>
      <c r="GQ5501" s="92">
        <v>202.04</v>
      </c>
      <c r="HR5501" s="92">
        <v>102.08</v>
      </c>
    </row>
    <row r="5502" spans="1:226" x14ac:dyDescent="0.25">
      <c r="A5502" s="127">
        <v>45869</v>
      </c>
      <c r="B5502" s="24" t="s">
        <v>184</v>
      </c>
      <c r="C5502" s="21">
        <f t="shared" si="90"/>
        <v>-165.31</v>
      </c>
      <c r="Z5502" s="79">
        <v>-8.33</v>
      </c>
      <c r="AC5502" s="106">
        <v>-17.25</v>
      </c>
      <c r="AG5502" s="106">
        <v>-8.5950000000000006</v>
      </c>
      <c r="AN5502" s="106">
        <v>-8.59</v>
      </c>
      <c r="AR5502" s="106">
        <v>-8.2799999999999994</v>
      </c>
      <c r="BC5502" s="106">
        <v>-6.94</v>
      </c>
      <c r="BI5502" s="106">
        <v>-24.105</v>
      </c>
      <c r="BO5502" s="106">
        <v>-13.99</v>
      </c>
      <c r="BU5502" s="106">
        <v>-17.29</v>
      </c>
      <c r="CA5502" s="106">
        <v>-17.364999999999998</v>
      </c>
      <c r="CM5502" s="106">
        <v>-26.215</v>
      </c>
      <c r="CS5502" s="74">
        <v>-8.36</v>
      </c>
    </row>
    <row r="5503" spans="1:226" x14ac:dyDescent="0.25">
      <c r="A5503" s="127">
        <v>45869</v>
      </c>
      <c r="B5503" s="24" t="s">
        <v>212</v>
      </c>
      <c r="C5503" s="21">
        <f t="shared" si="90"/>
        <v>-378.2</v>
      </c>
      <c r="AN5503" s="106">
        <v>-8.19</v>
      </c>
      <c r="AR5503" s="106">
        <v>-8.41</v>
      </c>
      <c r="AW5503" s="106">
        <v>-41.56</v>
      </c>
      <c r="BC5503" s="106">
        <v>-51.715000000000003</v>
      </c>
      <c r="BI5503" s="106">
        <v>-32.42</v>
      </c>
      <c r="BO5503" s="106">
        <v>-64.984999999999999</v>
      </c>
      <c r="BU5503" s="106">
        <f>-60.685-25.595</f>
        <v>-86.28</v>
      </c>
      <c r="CA5503" s="106">
        <v>-50.414999999999999</v>
      </c>
      <c r="CG5503" s="106">
        <v>-17.074999999999999</v>
      </c>
      <c r="CM5503" s="106">
        <v>-17.149999999999999</v>
      </c>
    </row>
    <row r="5504" spans="1:226" x14ac:dyDescent="0.25">
      <c r="A5504" s="127">
        <v>45869</v>
      </c>
      <c r="B5504" s="24" t="s">
        <v>48</v>
      </c>
      <c r="C5504" s="21">
        <f t="shared" si="90"/>
        <v>-33.835000000000001</v>
      </c>
      <c r="CS5504" s="74">
        <v>-16.535</v>
      </c>
      <c r="HF5504" s="92">
        <v>-17.3</v>
      </c>
    </row>
    <row r="5505" spans="1:171" x14ac:dyDescent="0.25">
      <c r="A5505" s="127">
        <v>45869</v>
      </c>
      <c r="B5505" s="24" t="s">
        <v>20</v>
      </c>
      <c r="C5505" s="21">
        <f t="shared" si="90"/>
        <v>-58.71</v>
      </c>
      <c r="BC5505" s="106">
        <v>-8.5749999999999993</v>
      </c>
      <c r="BI5505" s="106">
        <v>-8.11</v>
      </c>
      <c r="BO5505" s="106">
        <v>-8.09</v>
      </c>
      <c r="BU5505" s="106">
        <v>-8.4649999999999999</v>
      </c>
      <c r="CA5505" s="106">
        <v>-8.69</v>
      </c>
      <c r="CM5505" s="106">
        <v>-8.5850000000000009</v>
      </c>
      <c r="CS5505" s="74">
        <v>-8.1950000000000003</v>
      </c>
    </row>
    <row r="5506" spans="1:171" x14ac:dyDescent="0.25">
      <c r="A5506" s="127">
        <v>45869</v>
      </c>
      <c r="B5506" s="24" t="s">
        <v>139</v>
      </c>
      <c r="C5506" s="21">
        <f t="shared" si="90"/>
        <v>-25.37</v>
      </c>
      <c r="CA5506" s="106">
        <v>-8.4949999999999992</v>
      </c>
      <c r="CM5506" s="106">
        <v>-8.5449999999999999</v>
      </c>
      <c r="CS5506" s="74">
        <v>-8.33</v>
      </c>
    </row>
    <row r="5507" spans="1:171" x14ac:dyDescent="0.25">
      <c r="A5507" s="127">
        <v>45869</v>
      </c>
      <c r="B5507" s="24" t="s">
        <v>140</v>
      </c>
      <c r="C5507" s="21">
        <f t="shared" si="90"/>
        <v>-50.755000000000003</v>
      </c>
      <c r="D5507" s="386">
        <v>-35.85</v>
      </c>
      <c r="E5507" s="386">
        <v>-14.904999999999999</v>
      </c>
    </row>
    <row r="5508" spans="1:171" x14ac:dyDescent="0.25">
      <c r="A5508" s="127">
        <v>45869</v>
      </c>
      <c r="B5508" s="24" t="s">
        <v>24</v>
      </c>
      <c r="C5508" s="21">
        <f t="shared" si="90"/>
        <v>-49.484999999999999</v>
      </c>
      <c r="AR5508" s="106">
        <v>-8.42</v>
      </c>
      <c r="AW5508" s="106">
        <v>-7.9249999999999998</v>
      </c>
      <c r="BC5508" s="106">
        <v>-8.5150000000000006</v>
      </c>
      <c r="BI5508" s="106">
        <v>-8.0649999999999995</v>
      </c>
      <c r="BO5508" s="106">
        <v>-8.0950000000000006</v>
      </c>
      <c r="BU5508" s="106">
        <v>-8.4649999999999999</v>
      </c>
    </row>
    <row r="5509" spans="1:171" x14ac:dyDescent="0.25">
      <c r="A5509" s="127">
        <v>45869</v>
      </c>
      <c r="B5509" s="24" t="s">
        <v>184</v>
      </c>
      <c r="C5509" s="21">
        <f t="shared" si="90"/>
        <v>-55.835000000000001</v>
      </c>
      <c r="Z5509" s="79">
        <v>-8.3000000000000007</v>
      </c>
      <c r="AC5509" s="106">
        <v>-8.64</v>
      </c>
      <c r="CS5509" s="74">
        <v>-8.49</v>
      </c>
      <c r="CY5509" s="106">
        <v>-8.1549999999999994</v>
      </c>
      <c r="DE5509" s="74">
        <v>-16.37</v>
      </c>
      <c r="EU5509" s="126">
        <v>-2.8</v>
      </c>
      <c r="FO5509" s="210">
        <v>-3.08</v>
      </c>
    </row>
    <row r="5510" spans="1:171" x14ac:dyDescent="0.25">
      <c r="A5510" s="127">
        <v>45869</v>
      </c>
      <c r="B5510" s="24" t="s">
        <v>197</v>
      </c>
      <c r="C5510" s="21">
        <f t="shared" si="90"/>
        <v>-77.885000000000005</v>
      </c>
      <c r="BU5510" s="106">
        <v>-17.655000000000001</v>
      </c>
      <c r="CA5510" s="106">
        <v>-8.25</v>
      </c>
      <c r="CM5510" s="106">
        <v>-17.385000000000002</v>
      </c>
      <c r="CS5510" s="74">
        <v>-16.73</v>
      </c>
      <c r="DE5510" s="74">
        <v>-17.864999999999998</v>
      </c>
    </row>
    <row r="5511" spans="1:171" x14ac:dyDescent="0.25">
      <c r="A5511" s="127">
        <v>45870</v>
      </c>
      <c r="B5511" s="24" t="s">
        <v>171</v>
      </c>
      <c r="C5511" s="21">
        <f t="shared" si="90"/>
        <v>-17.015000000000001</v>
      </c>
      <c r="CA5511" s="106">
        <v>-8.3000000000000007</v>
      </c>
      <c r="CM5511" s="106">
        <v>-8.7149999999999999</v>
      </c>
    </row>
    <row r="5512" spans="1:171" x14ac:dyDescent="0.25">
      <c r="A5512" s="127">
        <v>45870</v>
      </c>
      <c r="B5512" s="24" t="s">
        <v>188</v>
      </c>
      <c r="C5512" s="21">
        <f t="shared" si="90"/>
        <v>-33.645000000000003</v>
      </c>
      <c r="AG5512" s="106">
        <v>-8.6050000000000004</v>
      </c>
      <c r="AW5512" s="106">
        <v>-8.2949999999999999</v>
      </c>
      <c r="CG5512" s="106">
        <v>-8.48</v>
      </c>
      <c r="CY5512" s="106">
        <v>-8.2650000000000006</v>
      </c>
    </row>
    <row r="5513" spans="1:171" x14ac:dyDescent="0.25">
      <c r="A5513" s="127">
        <v>45873</v>
      </c>
      <c r="B5513" s="24" t="s">
        <v>25</v>
      </c>
      <c r="C5513" s="21">
        <f t="shared" si="90"/>
        <v>-84.295000000000002</v>
      </c>
      <c r="V5513" s="74">
        <v>-8.18</v>
      </c>
      <c r="AG5513" s="106">
        <v>-8.6050000000000004</v>
      </c>
      <c r="AN5513" s="106">
        <v>-8.57</v>
      </c>
      <c r="AW5513" s="106">
        <v>-8.4849999999999994</v>
      </c>
      <c r="BC5513" s="106">
        <v>-8.58</v>
      </c>
      <c r="BI5513" s="106">
        <v>-16.225000000000001</v>
      </c>
      <c r="BO5513" s="106">
        <v>-8.4849999999999994</v>
      </c>
      <c r="CA5513" s="106">
        <v>-8.27</v>
      </c>
      <c r="CM5513" s="106">
        <v>-8.8949999999999996</v>
      </c>
    </row>
    <row r="5514" spans="1:171" x14ac:dyDescent="0.25">
      <c r="A5514" s="127">
        <v>45873</v>
      </c>
      <c r="B5514" s="24" t="s">
        <v>20</v>
      </c>
      <c r="C5514" s="21">
        <f t="shared" si="90"/>
        <v>-7.9850000000000003</v>
      </c>
      <c r="AW5514" s="106">
        <v>-7.9850000000000003</v>
      </c>
    </row>
    <row r="5515" spans="1:171" x14ac:dyDescent="0.25">
      <c r="A5515" s="127">
        <v>45874</v>
      </c>
      <c r="B5515" s="24" t="s">
        <v>213</v>
      </c>
      <c r="C5515" s="21">
        <f t="shared" si="90"/>
        <v>-98.194999999999993</v>
      </c>
      <c r="AR5515" s="106">
        <f>-8.55-8.195</f>
        <v>-16.745000000000001</v>
      </c>
      <c r="AW5515" s="106">
        <v>-6.375</v>
      </c>
      <c r="BC5515" s="106">
        <f>-8.535-8.545</f>
        <v>-17.079999999999998</v>
      </c>
      <c r="BI5515" s="106">
        <v>-32.340000000000003</v>
      </c>
      <c r="BO5515" s="106">
        <f>-8.485-8.51</f>
        <v>-16.995000000000001</v>
      </c>
      <c r="BU5515" s="106">
        <v>-8.66</v>
      </c>
    </row>
    <row r="5516" spans="1:171" x14ac:dyDescent="0.25">
      <c r="A5516" s="127">
        <v>45874</v>
      </c>
      <c r="B5516" s="24" t="s">
        <v>184</v>
      </c>
      <c r="C5516" s="21">
        <f t="shared" si="90"/>
        <v>-35.76</v>
      </c>
      <c r="AG5516" s="106">
        <v>-8.61</v>
      </c>
      <c r="CY5516" s="106">
        <v>-27.15</v>
      </c>
    </row>
    <row r="5517" spans="1:171" x14ac:dyDescent="0.25">
      <c r="A5517" s="127">
        <v>45874</v>
      </c>
      <c r="B5517" s="24" t="s">
        <v>184</v>
      </c>
      <c r="C5517" s="21">
        <f t="shared" si="90"/>
        <v>-16.585000000000001</v>
      </c>
      <c r="Z5517" s="79">
        <v>-16.585000000000001</v>
      </c>
    </row>
    <row r="5518" spans="1:171" x14ac:dyDescent="0.25">
      <c r="A5518" s="127">
        <v>45874</v>
      </c>
      <c r="B5518" s="24" t="s">
        <v>184</v>
      </c>
      <c r="C5518" s="21">
        <f t="shared" si="90"/>
        <v>-180.96</v>
      </c>
      <c r="P5518" s="106">
        <v>-32.945</v>
      </c>
      <c r="V5518" s="74">
        <v>-32.21</v>
      </c>
      <c r="Z5518" s="79">
        <v>-16.625</v>
      </c>
      <c r="AC5518" s="106">
        <v>-34.424999999999997</v>
      </c>
      <c r="AG5518" s="106">
        <v>-30.795000000000002</v>
      </c>
      <c r="AN5518" s="106">
        <v>-17.12</v>
      </c>
      <c r="AR5518" s="106">
        <v>-16.84</v>
      </c>
    </row>
    <row r="5519" spans="1:171" x14ac:dyDescent="0.25">
      <c r="A5519" s="127">
        <v>45874</v>
      </c>
      <c r="B5519" s="24" t="s">
        <v>213</v>
      </c>
      <c r="C5519" s="21">
        <f t="shared" si="90"/>
        <v>-8.61</v>
      </c>
      <c r="AG5519" s="106">
        <v>-8.61</v>
      </c>
    </row>
    <row r="5520" spans="1:171" x14ac:dyDescent="0.25">
      <c r="A5520" s="127">
        <v>45874</v>
      </c>
      <c r="B5520" s="24" t="s">
        <v>139</v>
      </c>
      <c r="C5520" s="21">
        <f t="shared" si="90"/>
        <v>-24.614999999999998</v>
      </c>
      <c r="CA5520" s="106">
        <v>-8.26</v>
      </c>
      <c r="CM5520" s="106">
        <v>-7.9349999999999996</v>
      </c>
      <c r="CS5520" s="74">
        <v>-8.42</v>
      </c>
    </row>
    <row r="5521" spans="1:199" x14ac:dyDescent="0.25">
      <c r="A5521" s="127">
        <v>45874</v>
      </c>
      <c r="B5521" s="24" t="s">
        <v>48</v>
      </c>
      <c r="C5521" s="21">
        <f t="shared" si="90"/>
        <v>-31.41</v>
      </c>
      <c r="BC5521" s="106">
        <v>-8.51</v>
      </c>
      <c r="FL5521" s="46">
        <v>-22.9</v>
      </c>
    </row>
    <row r="5522" spans="1:199" x14ac:dyDescent="0.25">
      <c r="A5522" s="127">
        <v>45874</v>
      </c>
      <c r="B5522" s="24" t="s">
        <v>138</v>
      </c>
      <c r="C5522" s="21">
        <f t="shared" si="90"/>
        <v>-8.6050000000000004</v>
      </c>
      <c r="AG5522" s="106">
        <v>-8.6050000000000004</v>
      </c>
    </row>
    <row r="5523" spans="1:199" x14ac:dyDescent="0.25">
      <c r="A5523" s="127">
        <v>45874</v>
      </c>
      <c r="B5523" s="24" t="s">
        <v>218</v>
      </c>
      <c r="C5523" s="21">
        <f t="shared" si="90"/>
        <v>149.05000000000001</v>
      </c>
      <c r="FD5523" s="126">
        <v>13.4</v>
      </c>
      <c r="FE5523" s="170">
        <v>14.1</v>
      </c>
      <c r="FL5523" s="46">
        <v>22.9</v>
      </c>
      <c r="GC5523" s="157">
        <v>24.1</v>
      </c>
      <c r="GG5523" s="210">
        <f>24.2+26.05</f>
        <v>50.25</v>
      </c>
      <c r="GI5523" s="251">
        <v>24.3</v>
      </c>
    </row>
    <row r="5524" spans="1:199" x14ac:dyDescent="0.25">
      <c r="A5524" s="127">
        <v>45875</v>
      </c>
      <c r="B5524" s="24" t="s">
        <v>113</v>
      </c>
      <c r="C5524" s="21">
        <f t="shared" si="90"/>
        <v>719.53</v>
      </c>
      <c r="AR5524" s="106">
        <v>32.744999999999997</v>
      </c>
      <c r="AW5524" s="106">
        <v>98.52</v>
      </c>
      <c r="BC5524" s="106">
        <v>66.605000000000004</v>
      </c>
      <c r="BI5524" s="106">
        <v>59.085000000000001</v>
      </c>
      <c r="BO5524" s="106">
        <v>65.194999999999993</v>
      </c>
      <c r="BU5524" s="106">
        <v>100.19</v>
      </c>
      <c r="CA5524" s="106">
        <v>63.984999999999999</v>
      </c>
      <c r="CG5524" s="106">
        <v>98.44</v>
      </c>
      <c r="CS5524" s="74">
        <v>69.215000000000003</v>
      </c>
      <c r="DU5524" s="106">
        <v>65.55</v>
      </c>
    </row>
    <row r="5525" spans="1:199" x14ac:dyDescent="0.25">
      <c r="A5525" s="127">
        <v>45875</v>
      </c>
      <c r="B5525" s="24" t="s">
        <v>226</v>
      </c>
      <c r="C5525" s="21">
        <f t="shared" si="90"/>
        <v>-186.75</v>
      </c>
      <c r="DU5525" s="106">
        <v>-82.23</v>
      </c>
      <c r="EA5525" s="74">
        <v>-104.52</v>
      </c>
    </row>
    <row r="5526" spans="1:199" x14ac:dyDescent="0.25">
      <c r="A5526" s="127">
        <v>45876</v>
      </c>
      <c r="B5526" s="24" t="s">
        <v>184</v>
      </c>
      <c r="C5526" s="21">
        <f t="shared" si="90"/>
        <v>-14.835000000000001</v>
      </c>
      <c r="J5526" s="110">
        <v>-7.75</v>
      </c>
      <c r="P5526" s="106">
        <v>-7.085</v>
      </c>
    </row>
    <row r="5527" spans="1:199" x14ac:dyDescent="0.25">
      <c r="A5527" s="127">
        <v>45876</v>
      </c>
      <c r="B5527" s="24" t="s">
        <v>192</v>
      </c>
      <c r="C5527" s="21">
        <f t="shared" si="90"/>
        <v>-65.375</v>
      </c>
      <c r="CA5527" s="106">
        <v>-8.36</v>
      </c>
      <c r="CG5527" s="106">
        <v>-57.015000000000001</v>
      </c>
    </row>
    <row r="5528" spans="1:199" x14ac:dyDescent="0.25">
      <c r="A5528" s="127">
        <v>45876</v>
      </c>
      <c r="B5528" s="24" t="s">
        <v>48</v>
      </c>
      <c r="C5528" s="21">
        <f t="shared" si="90"/>
        <v>-33.61</v>
      </c>
      <c r="BU5528" s="106">
        <v>-16.855</v>
      </c>
      <c r="CA5528" s="106">
        <v>-16.754999999999999</v>
      </c>
    </row>
    <row r="5529" spans="1:199" x14ac:dyDescent="0.25">
      <c r="A5529" s="127">
        <v>45876</v>
      </c>
      <c r="B5529" s="24" t="s">
        <v>225</v>
      </c>
      <c r="C5529" s="21">
        <f t="shared" si="90"/>
        <v>-80.974999999999994</v>
      </c>
      <c r="AC5529" s="106">
        <v>-8.5950000000000006</v>
      </c>
      <c r="AR5529" s="106">
        <v>-8.0850000000000009</v>
      </c>
      <c r="AW5529" s="106">
        <v>-8.0549999999999997</v>
      </c>
      <c r="BC5529" s="106">
        <v>-8.32</v>
      </c>
      <c r="BI5529" s="106">
        <v>-7.5350000000000001</v>
      </c>
      <c r="CA5529" s="106">
        <v>-6.7149999999999999</v>
      </c>
      <c r="CG5529" s="106">
        <v>-8.2850000000000001</v>
      </c>
      <c r="CS5529" s="74">
        <v>-7.3449999999999998</v>
      </c>
      <c r="CY5529" s="106">
        <v>-9.2850000000000001</v>
      </c>
      <c r="DE5529" s="74">
        <v>-8.7550000000000008</v>
      </c>
    </row>
    <row r="5530" spans="1:199" x14ac:dyDescent="0.25">
      <c r="A5530" s="127">
        <v>45876</v>
      </c>
      <c r="B5530" s="24" t="s">
        <v>25</v>
      </c>
      <c r="C5530" s="21">
        <f t="shared" si="90"/>
        <v>-16.265000000000001</v>
      </c>
      <c r="BU5530" s="106">
        <v>-8.01</v>
      </c>
      <c r="CG5530" s="106">
        <v>-8.2550000000000008</v>
      </c>
    </row>
    <row r="5531" spans="1:199" x14ac:dyDescent="0.25">
      <c r="A5531" s="127">
        <v>45876</v>
      </c>
      <c r="B5531" s="24" t="s">
        <v>162</v>
      </c>
      <c r="C5531" s="21">
        <f t="shared" si="90"/>
        <v>-39.435000000000002</v>
      </c>
      <c r="Z5531" s="79">
        <v>-8.27</v>
      </c>
      <c r="BC5531" s="106">
        <v>-31.164999999999999</v>
      </c>
    </row>
    <row r="5532" spans="1:199" x14ac:dyDescent="0.25">
      <c r="A5532" s="127">
        <v>45877</v>
      </c>
      <c r="B5532" s="24" t="s">
        <v>44</v>
      </c>
      <c r="C5532" s="21">
        <f t="shared" si="90"/>
        <v>-104.06399999999999</v>
      </c>
      <c r="GO5532" s="110">
        <v>-101.425</v>
      </c>
      <c r="GQ5532" s="92">
        <v>-2.6389999999999998</v>
      </c>
    </row>
    <row r="5533" spans="1:199" x14ac:dyDescent="0.25">
      <c r="A5533" s="127">
        <v>45877</v>
      </c>
      <c r="B5533" s="24" t="s">
        <v>193</v>
      </c>
      <c r="C5533" s="21">
        <f t="shared" si="90"/>
        <v>-30.565000000000001</v>
      </c>
      <c r="P5533" s="106">
        <v>-1.02</v>
      </c>
      <c r="V5533" s="74">
        <v>-2.04</v>
      </c>
      <c r="Z5533" s="79">
        <v>-3.56</v>
      </c>
      <c r="AN5533" s="106">
        <v>-4.7450000000000001</v>
      </c>
      <c r="BI5533" s="106">
        <v>-3.22</v>
      </c>
      <c r="CY5533" s="106">
        <v>-8.5</v>
      </c>
      <c r="DE5533" s="74">
        <v>-7.48</v>
      </c>
    </row>
    <row r="5534" spans="1:199" x14ac:dyDescent="0.25">
      <c r="A5534" s="127">
        <v>45877</v>
      </c>
      <c r="B5534" s="24" t="s">
        <v>184</v>
      </c>
      <c r="C5534" s="21">
        <f t="shared" si="90"/>
        <v>-87.08</v>
      </c>
      <c r="P5534" s="106">
        <v>-7</v>
      </c>
      <c r="V5534" s="74">
        <v>-6.22</v>
      </c>
      <c r="AG5534" s="106">
        <v>-8.5299999999999994</v>
      </c>
      <c r="AW5534" s="106">
        <v>-16.440000000000001</v>
      </c>
      <c r="BI5534" s="106">
        <v>-15.525</v>
      </c>
      <c r="BO5534" s="106">
        <v>-16.329999999999998</v>
      </c>
      <c r="CM5534" s="106">
        <v>-8.6999999999999993</v>
      </c>
      <c r="CS5534" s="74">
        <v>-8.3350000000000009</v>
      </c>
    </row>
    <row r="5535" spans="1:199" x14ac:dyDescent="0.25">
      <c r="A5535" s="127">
        <v>45877</v>
      </c>
      <c r="B5535" s="24" t="s">
        <v>133</v>
      </c>
      <c r="C5535" s="21">
        <f t="shared" si="90"/>
        <v>-222.22499999999999</v>
      </c>
      <c r="AN5535" s="106">
        <v>-23.725000000000001</v>
      </c>
      <c r="AW5535" s="106">
        <v>-32.765000000000001</v>
      </c>
      <c r="BC5535" s="106">
        <v>-35.44</v>
      </c>
      <c r="BI5535" s="106">
        <v>-29.085000000000001</v>
      </c>
      <c r="BU5535" s="106">
        <v>-33.564999999999998</v>
      </c>
      <c r="CM5535" s="106">
        <v>-34.799999999999997</v>
      </c>
      <c r="CY5535" s="106">
        <v>-32.844999999999999</v>
      </c>
    </row>
    <row r="5536" spans="1:199" x14ac:dyDescent="0.25">
      <c r="A5536" s="127">
        <v>45877</v>
      </c>
      <c r="B5536" s="24" t="s">
        <v>213</v>
      </c>
      <c r="C5536" s="21">
        <f t="shared" si="90"/>
        <v>-31.795000000000002</v>
      </c>
      <c r="BI5536" s="106">
        <v>-15.035</v>
      </c>
      <c r="BU5536" s="106">
        <v>-16.760000000000002</v>
      </c>
    </row>
    <row r="5537" spans="1:222" x14ac:dyDescent="0.25">
      <c r="A5537" s="127">
        <v>45880</v>
      </c>
      <c r="B5537" s="24" t="s">
        <v>218</v>
      </c>
      <c r="C5537" s="21">
        <f t="shared" si="90"/>
        <v>-55.99</v>
      </c>
      <c r="AN5537" s="106">
        <v>-5.7949999999999999</v>
      </c>
      <c r="AR5537" s="106">
        <v>-8.3450000000000006</v>
      </c>
      <c r="AW5537" s="106">
        <v>-16.715</v>
      </c>
      <c r="BC5537" s="106">
        <v>-8.51</v>
      </c>
      <c r="BI5537" s="106">
        <v>-8.1199999999999992</v>
      </c>
      <c r="BO5537" s="106">
        <v>-8.5050000000000008</v>
      </c>
    </row>
    <row r="5538" spans="1:222" x14ac:dyDescent="0.25">
      <c r="A5538" s="127">
        <v>45880</v>
      </c>
      <c r="B5538" s="24" t="s">
        <v>68</v>
      </c>
      <c r="C5538" s="21">
        <f t="shared" si="90"/>
        <v>-30.655000000000001</v>
      </c>
      <c r="AN5538" s="106">
        <v>-5.6349999999999998</v>
      </c>
      <c r="AR5538" s="106">
        <v>-8.0299999999999994</v>
      </c>
      <c r="AW5538" s="106">
        <v>-8.4600000000000009</v>
      </c>
      <c r="BC5538" s="106">
        <v>-8.5299999999999994</v>
      </c>
    </row>
    <row r="5539" spans="1:222" x14ac:dyDescent="0.25">
      <c r="A5539" s="127">
        <v>45880</v>
      </c>
      <c r="B5539" s="24" t="s">
        <v>82</v>
      </c>
      <c r="C5539" s="21">
        <f t="shared" si="90"/>
        <v>-55.92</v>
      </c>
      <c r="HN5539" s="115">
        <v>-55.92</v>
      </c>
    </row>
    <row r="5540" spans="1:222" x14ac:dyDescent="0.25">
      <c r="A5540" s="127">
        <v>45880</v>
      </c>
      <c r="B5540" s="24" t="s">
        <v>115</v>
      </c>
      <c r="C5540" s="21">
        <f t="shared" si="90"/>
        <v>24.23</v>
      </c>
      <c r="HN5540" s="115">
        <v>24.23</v>
      </c>
    </row>
    <row r="5541" spans="1:222" x14ac:dyDescent="0.25">
      <c r="A5541" s="127">
        <v>45881</v>
      </c>
      <c r="B5541" s="24" t="s">
        <v>113</v>
      </c>
      <c r="C5541" s="21">
        <f t="shared" si="90"/>
        <v>1093.0899999999999</v>
      </c>
      <c r="AN5541" s="106">
        <v>95.724999999999994</v>
      </c>
      <c r="AR5541" s="106">
        <v>68.375</v>
      </c>
      <c r="AW5541" s="106">
        <v>66.534999999999997</v>
      </c>
      <c r="BC5541" s="106">
        <v>62.98</v>
      </c>
      <c r="BI5541" s="106">
        <f>77.89+21.395</f>
        <v>99.284999999999997</v>
      </c>
      <c r="BO5541" s="106">
        <f>80.345+46.56</f>
        <v>126.905</v>
      </c>
      <c r="BU5541" s="106">
        <v>96.76</v>
      </c>
      <c r="CA5541" s="106">
        <f>32.28+72.77</f>
        <v>105.05</v>
      </c>
      <c r="CG5541" s="106">
        <v>102.86</v>
      </c>
      <c r="CM5541" s="106">
        <v>33.685000000000002</v>
      </c>
      <c r="CS5541" s="74">
        <v>69.265000000000001</v>
      </c>
      <c r="DU5541" s="106">
        <v>65.61</v>
      </c>
      <c r="EA5541" s="74">
        <f>40.83+59.225</f>
        <v>100.05500000000001</v>
      </c>
    </row>
    <row r="5542" spans="1:222" x14ac:dyDescent="0.25">
      <c r="A5542" s="127">
        <v>45881</v>
      </c>
      <c r="B5542" s="24" t="s">
        <v>171</v>
      </c>
      <c r="C5542" s="21">
        <f t="shared" si="90"/>
        <v>-8.32</v>
      </c>
      <c r="CS5542" s="74">
        <v>-8.32</v>
      </c>
    </row>
    <row r="5543" spans="1:222" x14ac:dyDescent="0.25">
      <c r="A5543" s="127">
        <v>45881</v>
      </c>
      <c r="B5543" s="24" t="s">
        <v>133</v>
      </c>
      <c r="C5543" s="21">
        <f t="shared" si="90"/>
        <v>-201.48500000000001</v>
      </c>
      <c r="BO5543" s="106">
        <v>-48.865000000000002</v>
      </c>
      <c r="BU5543" s="106">
        <v>-32.4</v>
      </c>
      <c r="CA5543" s="106">
        <v>-68.83</v>
      </c>
      <c r="CG5543" s="106">
        <v>-51.39</v>
      </c>
    </row>
    <row r="5544" spans="1:222" x14ac:dyDescent="0.25">
      <c r="A5544" s="127">
        <v>45881</v>
      </c>
      <c r="B5544" s="24" t="s">
        <v>139</v>
      </c>
      <c r="C5544" s="21">
        <f t="shared" si="90"/>
        <v>-8.27</v>
      </c>
      <c r="CG5544" s="106">
        <v>-8.27</v>
      </c>
    </row>
    <row r="5545" spans="1:222" x14ac:dyDescent="0.25">
      <c r="A5545" s="127">
        <v>45881</v>
      </c>
      <c r="B5545" s="24" t="s">
        <v>184</v>
      </c>
      <c r="C5545" s="21">
        <f t="shared" si="90"/>
        <v>-114.79</v>
      </c>
      <c r="BU5545" s="106">
        <v>-7.9850000000000003</v>
      </c>
      <c r="CA5545" s="106">
        <v>-8.0250000000000004</v>
      </c>
      <c r="CG5545" s="106">
        <v>-8.5649999999999995</v>
      </c>
      <c r="CM5545" s="106">
        <v>-8.2449999999999992</v>
      </c>
      <c r="DU5545" s="106">
        <v>-49.195</v>
      </c>
      <c r="EA5545" s="74">
        <v>-32.774999999999999</v>
      </c>
    </row>
    <row r="5546" spans="1:222" x14ac:dyDescent="0.25">
      <c r="A5546" s="127">
        <v>45882</v>
      </c>
      <c r="B5546" s="24" t="s">
        <v>169</v>
      </c>
      <c r="C5546" s="21">
        <f t="shared" si="90"/>
        <v>-37.33</v>
      </c>
      <c r="F5546" s="145">
        <v>-37.33</v>
      </c>
    </row>
    <row r="5547" spans="1:222" x14ac:dyDescent="0.25">
      <c r="A5547" s="127">
        <v>45882</v>
      </c>
      <c r="B5547" s="24" t="s">
        <v>151</v>
      </c>
      <c r="C5547" s="21">
        <f t="shared" si="90"/>
        <v>-66.765000000000001</v>
      </c>
      <c r="CY5547" s="106">
        <v>-66.765000000000001</v>
      </c>
    </row>
    <row r="5548" spans="1:222" x14ac:dyDescent="0.25">
      <c r="A5548" s="127">
        <v>45882</v>
      </c>
      <c r="B5548" s="24" t="s">
        <v>48</v>
      </c>
      <c r="C5548" s="21">
        <f t="shared" si="90"/>
        <v>-8.2850000000000001</v>
      </c>
      <c r="Z5548" s="79">
        <v>-8.2850000000000001</v>
      </c>
    </row>
    <row r="5549" spans="1:222" x14ac:dyDescent="0.25">
      <c r="A5549" s="127">
        <v>45883</v>
      </c>
      <c r="B5549" s="24" t="s">
        <v>24</v>
      </c>
      <c r="C5549" s="21">
        <f t="shared" si="90"/>
        <v>-81.575000000000003</v>
      </c>
      <c r="BI5549" s="106">
        <v>-14.125</v>
      </c>
      <c r="BO5549" s="106">
        <v>-16.350000000000001</v>
      </c>
      <c r="BU5549" s="106">
        <v>-15.9</v>
      </c>
      <c r="CA5549" s="106">
        <v>-18.07</v>
      </c>
      <c r="CG5549" s="106">
        <v>-17.13</v>
      </c>
    </row>
    <row r="5550" spans="1:222" x14ac:dyDescent="0.25">
      <c r="A5550" s="127">
        <v>45883</v>
      </c>
      <c r="B5550" s="24" t="s">
        <v>33</v>
      </c>
      <c r="C5550" s="21">
        <f t="shared" si="90"/>
        <v>-24.25</v>
      </c>
      <c r="BI5550" s="106">
        <v>-7.3650000000000002</v>
      </c>
      <c r="BO5550" s="106">
        <v>-8.14</v>
      </c>
      <c r="BU5550" s="106">
        <v>-8.7449999999999992</v>
      </c>
    </row>
    <row r="5551" spans="1:222" x14ac:dyDescent="0.25">
      <c r="A5551" s="127">
        <v>45885</v>
      </c>
      <c r="B5551" s="24" t="s">
        <v>213</v>
      </c>
      <c r="C5551" s="21">
        <f t="shared" si="90"/>
        <v>-33.755000000000003</v>
      </c>
      <c r="DU5551" s="106">
        <f>-8.165-8.25</f>
        <v>-16.414999999999999</v>
      </c>
      <c r="EA5551" s="74">
        <f>-8.65-8.69</f>
        <v>-17.34</v>
      </c>
    </row>
    <row r="5552" spans="1:222" x14ac:dyDescent="0.25">
      <c r="A5552" s="127">
        <v>45885</v>
      </c>
      <c r="B5552" s="24" t="s">
        <v>213</v>
      </c>
      <c r="C5552" s="21">
        <f t="shared" si="90"/>
        <v>-110.24</v>
      </c>
      <c r="BI5552" s="106">
        <v>-28.135000000000002</v>
      </c>
      <c r="BO5552" s="106">
        <v>-30.265000000000001</v>
      </c>
      <c r="BU5552" s="106">
        <v>-16.53</v>
      </c>
      <c r="CA5552" s="106">
        <v>-18.149999999999999</v>
      </c>
      <c r="CG5552" s="106">
        <v>-17.16</v>
      </c>
    </row>
    <row r="5553" spans="1:257" x14ac:dyDescent="0.25">
      <c r="A5553" s="127">
        <v>45885</v>
      </c>
      <c r="B5553" s="24" t="s">
        <v>39</v>
      </c>
      <c r="C5553" s="21">
        <f t="shared" ref="C5553:C5616" si="91">SUM(D5553:JT5553)</f>
        <v>-31.09</v>
      </c>
      <c r="Z5553" s="79">
        <v>-8.2349999999999994</v>
      </c>
      <c r="AR5553" s="106">
        <v>-8.2449999999999992</v>
      </c>
      <c r="BI5553" s="106">
        <f>-7.4-7.21</f>
        <v>-14.61</v>
      </c>
    </row>
    <row r="5554" spans="1:257" x14ac:dyDescent="0.25">
      <c r="A5554" s="127">
        <v>45885</v>
      </c>
      <c r="B5554" s="24" t="s">
        <v>184</v>
      </c>
      <c r="C5554" s="21">
        <f t="shared" si="91"/>
        <v>-84.69</v>
      </c>
      <c r="AR5554" s="106">
        <v>-17.84</v>
      </c>
      <c r="BI5554" s="106">
        <v>-7.3449999999999998</v>
      </c>
      <c r="BO5554" s="106">
        <v>-8.15</v>
      </c>
      <c r="CG5554" s="106">
        <v>-8.6150000000000002</v>
      </c>
      <c r="CM5554" s="106">
        <v>-17.28</v>
      </c>
      <c r="EA5554" s="74">
        <v>-25.46</v>
      </c>
    </row>
    <row r="5555" spans="1:257" x14ac:dyDescent="0.25">
      <c r="A5555" s="127">
        <v>45885</v>
      </c>
      <c r="B5555" s="24" t="s">
        <v>25</v>
      </c>
      <c r="C5555" s="21">
        <f t="shared" si="91"/>
        <v>-24.96</v>
      </c>
      <c r="AW5555" s="106">
        <v>-8.61</v>
      </c>
      <c r="BU5555" s="106">
        <v>-8.3249999999999993</v>
      </c>
      <c r="CA5555" s="106">
        <v>-8.0250000000000004</v>
      </c>
    </row>
    <row r="5556" spans="1:257" x14ac:dyDescent="0.25">
      <c r="A5556" s="127">
        <v>45887</v>
      </c>
      <c r="B5556" s="24" t="s">
        <v>17</v>
      </c>
      <c r="C5556" s="21">
        <f t="shared" si="91"/>
        <v>-29.23</v>
      </c>
      <c r="AN5556" s="106">
        <v>-6.4950000000000001</v>
      </c>
      <c r="BI5556" s="106">
        <v>-6.65</v>
      </c>
      <c r="BO5556" s="106">
        <v>-8.1549999999999994</v>
      </c>
      <c r="BU5556" s="106">
        <v>-7.93</v>
      </c>
    </row>
    <row r="5557" spans="1:257" x14ac:dyDescent="0.25">
      <c r="A5557" s="127">
        <v>45887</v>
      </c>
      <c r="B5557" s="24" t="s">
        <v>213</v>
      </c>
      <c r="C5557" s="21">
        <f t="shared" si="91"/>
        <v>-33.58</v>
      </c>
      <c r="DW5557" s="126">
        <v>-17.3</v>
      </c>
      <c r="EA5557" s="74">
        <v>-16.28</v>
      </c>
    </row>
    <row r="5558" spans="1:257" x14ac:dyDescent="0.25">
      <c r="A5558" s="127">
        <v>45887</v>
      </c>
      <c r="B5558" s="24" t="s">
        <v>197</v>
      </c>
      <c r="C5558" s="21">
        <f t="shared" si="91"/>
        <v>-85.8</v>
      </c>
      <c r="BI5558" s="106">
        <v>-13.98</v>
      </c>
      <c r="BO5558" s="106">
        <v>-7.0449999999999999</v>
      </c>
      <c r="BU5558" s="106">
        <v>-16.315000000000001</v>
      </c>
      <c r="CM5558" s="106">
        <v>-16.855</v>
      </c>
      <c r="CY5558" s="106">
        <v>-15.02</v>
      </c>
      <c r="DE5558" s="74">
        <v>-16.585000000000001</v>
      </c>
    </row>
    <row r="5559" spans="1:257" x14ac:dyDescent="0.25">
      <c r="A5559" s="127">
        <v>45887</v>
      </c>
      <c r="B5559" s="24" t="s">
        <v>184</v>
      </c>
      <c r="C5559" s="21">
        <f t="shared" si="91"/>
        <v>-123.38</v>
      </c>
      <c r="AW5559" s="106">
        <v>-33.04</v>
      </c>
      <c r="BC5559" s="106">
        <v>-32.125</v>
      </c>
      <c r="BO5559" s="106">
        <v>-32.515000000000001</v>
      </c>
      <c r="CM5559" s="106">
        <v>-8.4049999999999994</v>
      </c>
      <c r="CS5559" s="74">
        <v>-17.295000000000002</v>
      </c>
    </row>
    <row r="5560" spans="1:257" x14ac:dyDescent="0.25">
      <c r="A5560" s="127">
        <v>45887</v>
      </c>
      <c r="B5560" s="29" t="s">
        <v>31</v>
      </c>
      <c r="C5560" s="21">
        <f t="shared" si="91"/>
        <v>467.51</v>
      </c>
      <c r="P5560" s="106">
        <f>5.78+6.62+5.38</f>
        <v>17.78</v>
      </c>
      <c r="S5560" s="74">
        <v>15.75</v>
      </c>
      <c r="V5560" s="74">
        <v>2.94</v>
      </c>
      <c r="AK5560" s="243">
        <v>24.27</v>
      </c>
      <c r="AR5560" s="106">
        <f>8.11+5.7</f>
        <v>13.81</v>
      </c>
      <c r="AW5560" s="106">
        <v>1.34</v>
      </c>
      <c r="CG5560" s="106">
        <v>6.18</v>
      </c>
      <c r="EP5560" s="74">
        <v>6.82</v>
      </c>
      <c r="FA5560" s="42">
        <v>6.53</v>
      </c>
      <c r="FM5560" s="42">
        <v>18.57</v>
      </c>
      <c r="FX5560" s="34">
        <v>9.1999999999999993</v>
      </c>
      <c r="GS5560" s="110">
        <v>2.94</v>
      </c>
      <c r="GU5560" s="110">
        <v>3.04</v>
      </c>
      <c r="HB5560" s="277">
        <v>5.58</v>
      </c>
      <c r="HD5560" s="92">
        <v>5.56</v>
      </c>
      <c r="HM5560" s="106">
        <f>5.5+0.94</f>
        <v>6.44</v>
      </c>
      <c r="HR5560" s="92">
        <v>3.18</v>
      </c>
      <c r="HU5560" s="42">
        <v>6.62</v>
      </c>
      <c r="HY5560" s="38">
        <f>6.02+5.38+6+6.2+5.32+5.9+4.94+2.26+0.66+6.12+4.96</f>
        <v>53.76</v>
      </c>
      <c r="IE5560" s="79">
        <v>2.42</v>
      </c>
      <c r="IJ5560" s="268">
        <v>3.4</v>
      </c>
      <c r="IK5560" s="262">
        <v>63.52</v>
      </c>
      <c r="IL5560" s="262">
        <v>10.46</v>
      </c>
      <c r="IP5560" s="262">
        <v>2.5</v>
      </c>
      <c r="IQ5560" s="262">
        <v>16.399999999999999</v>
      </c>
      <c r="IR5560" s="262">
        <v>4.8</v>
      </c>
      <c r="IS5560" s="262">
        <v>9.14</v>
      </c>
      <c r="IT5560" s="262">
        <v>9.2200000000000006</v>
      </c>
      <c r="IU5560" s="262">
        <v>18.5</v>
      </c>
      <c r="IV5560" s="378">
        <v>64.48</v>
      </c>
      <c r="IW5560" s="262">
        <v>52.36</v>
      </c>
    </row>
    <row r="5561" spans="1:257" x14ac:dyDescent="0.25">
      <c r="A5561" s="127">
        <v>45887</v>
      </c>
      <c r="B5561" s="24" t="s">
        <v>205</v>
      </c>
      <c r="C5561" s="21">
        <f t="shared" si="91"/>
        <v>-32.29</v>
      </c>
      <c r="AC5561" s="106">
        <v>-32.29</v>
      </c>
    </row>
    <row r="5562" spans="1:257" x14ac:dyDescent="0.25">
      <c r="A5562" s="127">
        <v>45888</v>
      </c>
      <c r="B5562" s="24" t="s">
        <v>192</v>
      </c>
      <c r="C5562" s="21">
        <f t="shared" si="91"/>
        <v>-16.72</v>
      </c>
      <c r="CA5562" s="106">
        <v>-16.72</v>
      </c>
    </row>
    <row r="5563" spans="1:257" x14ac:dyDescent="0.25">
      <c r="A5563" s="127">
        <v>45888</v>
      </c>
      <c r="B5563" s="24" t="s">
        <v>218</v>
      </c>
      <c r="C5563" s="21">
        <f t="shared" si="91"/>
        <v>248.345</v>
      </c>
      <c r="AZ5563" s="182">
        <v>102.375</v>
      </c>
      <c r="DW5563" s="126">
        <v>8.31</v>
      </c>
      <c r="EI5563" s="150">
        <v>17.03</v>
      </c>
      <c r="EM5563" s="150">
        <v>25.39</v>
      </c>
      <c r="EQ5563" s="46">
        <v>26.3</v>
      </c>
      <c r="EU5563" s="126">
        <v>24.39</v>
      </c>
      <c r="FN5563" s="150">
        <v>21.65</v>
      </c>
      <c r="FY5563" s="126">
        <v>22.9</v>
      </c>
    </row>
    <row r="5564" spans="1:257" x14ac:dyDescent="0.25">
      <c r="A5564" s="127">
        <v>45889</v>
      </c>
      <c r="B5564" s="24" t="s">
        <v>181</v>
      </c>
      <c r="C5564" s="21">
        <f t="shared" si="91"/>
        <v>-15.78</v>
      </c>
      <c r="I5564" s="84">
        <v>-15.78</v>
      </c>
    </row>
    <row r="5565" spans="1:257" x14ac:dyDescent="0.25">
      <c r="A5565" s="127">
        <v>45889</v>
      </c>
      <c r="B5565" s="24" t="s">
        <v>24</v>
      </c>
      <c r="C5565" s="21">
        <f t="shared" si="91"/>
        <v>-100.92</v>
      </c>
      <c r="AW5565" s="106">
        <v>-16.84</v>
      </c>
      <c r="BC5565" s="106">
        <v>-14.875</v>
      </c>
      <c r="BI5565" s="106">
        <v>-11.975</v>
      </c>
      <c r="CA5565" s="106">
        <v>-8.0549999999999997</v>
      </c>
      <c r="CG5565" s="106">
        <v>-14.475</v>
      </c>
      <c r="CM5565" s="106">
        <v>-17.414999999999999</v>
      </c>
      <c r="CS5565" s="74">
        <v>-17.285</v>
      </c>
    </row>
    <row r="5566" spans="1:257" x14ac:dyDescent="0.25">
      <c r="A5566" s="127">
        <v>45889</v>
      </c>
      <c r="B5566" s="24" t="s">
        <v>24</v>
      </c>
      <c r="C5566" s="21">
        <f t="shared" si="91"/>
        <v>-8.61</v>
      </c>
      <c r="AG5566" s="106">
        <v>-8.61</v>
      </c>
    </row>
    <row r="5567" spans="1:257" x14ac:dyDescent="0.25">
      <c r="A5567" s="127">
        <v>45890</v>
      </c>
      <c r="B5567" s="24" t="s">
        <v>20</v>
      </c>
      <c r="C5567" s="21">
        <f t="shared" si="91"/>
        <v>-24.81</v>
      </c>
      <c r="AR5567" s="106">
        <v>-8.3049999999999997</v>
      </c>
      <c r="AW5567" s="106">
        <v>-8.3450000000000006</v>
      </c>
      <c r="BC5567" s="106">
        <v>-8.16</v>
      </c>
    </row>
    <row r="5568" spans="1:257" x14ac:dyDescent="0.25">
      <c r="A5568" s="127">
        <v>45890</v>
      </c>
      <c r="B5568" s="24" t="s">
        <v>44</v>
      </c>
      <c r="C5568" s="21">
        <f t="shared" si="91"/>
        <v>-44.56</v>
      </c>
      <c r="AR5568" s="106">
        <v>-5.7</v>
      </c>
      <c r="GW5568" s="92">
        <v>-7.13</v>
      </c>
      <c r="GZ5568" s="106">
        <v>-14.7</v>
      </c>
      <c r="HR5568" s="92">
        <v>-17.03</v>
      </c>
    </row>
    <row r="5569" spans="1:208" x14ac:dyDescent="0.25">
      <c r="A5569" s="127">
        <v>45890</v>
      </c>
      <c r="B5569" s="24" t="s">
        <v>225</v>
      </c>
      <c r="C5569" s="21">
        <f t="shared" si="91"/>
        <v>-104.345</v>
      </c>
      <c r="P5569" s="106">
        <v>-5.38</v>
      </c>
      <c r="V5569" s="74">
        <v>-2.94</v>
      </c>
      <c r="Z5569" s="79">
        <v>-4.76</v>
      </c>
      <c r="AG5569" s="106">
        <v>-8.6150000000000002</v>
      </c>
      <c r="AN5569" s="106">
        <v>-8.31</v>
      </c>
      <c r="AR5569" s="106">
        <v>-8.5299999999999994</v>
      </c>
      <c r="AW5569" s="106">
        <v>-8.08</v>
      </c>
      <c r="BC5569" s="106">
        <v>-7.82</v>
      </c>
      <c r="BU5569" s="106">
        <v>-7.9</v>
      </c>
      <c r="CM5569" s="106">
        <v>-8.68</v>
      </c>
      <c r="CS5569" s="74">
        <v>-8.6850000000000005</v>
      </c>
      <c r="CY5569" s="106">
        <v>-7.7350000000000003</v>
      </c>
      <c r="DE5569" s="74">
        <v>-8.08</v>
      </c>
      <c r="DK5569" s="106">
        <v>-8.83</v>
      </c>
    </row>
    <row r="5570" spans="1:208" x14ac:dyDescent="0.25">
      <c r="A5570" s="127">
        <v>45890</v>
      </c>
      <c r="B5570" s="29" t="s">
        <v>133</v>
      </c>
      <c r="C5570" s="21">
        <f t="shared" si="91"/>
        <v>-99.924999999999997</v>
      </c>
      <c r="CY5570" s="106">
        <v>-47.91</v>
      </c>
      <c r="DA5570" s="126">
        <v>-16.96</v>
      </c>
      <c r="DE5570" s="74">
        <v>-35.055</v>
      </c>
    </row>
    <row r="5571" spans="1:208" x14ac:dyDescent="0.25">
      <c r="A5571" s="127">
        <v>45890</v>
      </c>
      <c r="B5571" s="24" t="s">
        <v>171</v>
      </c>
      <c r="C5571" s="21">
        <f t="shared" si="91"/>
        <v>-17.234999999999999</v>
      </c>
      <c r="CM5571" s="106">
        <v>-17.234999999999999</v>
      </c>
    </row>
    <row r="5572" spans="1:208" x14ac:dyDescent="0.25">
      <c r="A5572" s="127">
        <v>45890</v>
      </c>
      <c r="B5572" s="24" t="s">
        <v>218</v>
      </c>
      <c r="C5572" s="21">
        <f t="shared" si="91"/>
        <v>68.67</v>
      </c>
      <c r="EC5572" s="126">
        <v>68.67</v>
      </c>
    </row>
    <row r="5573" spans="1:208" x14ac:dyDescent="0.25">
      <c r="A5573" s="127">
        <v>45891</v>
      </c>
      <c r="B5573" s="24" t="s">
        <v>113</v>
      </c>
      <c r="C5573" s="21">
        <f t="shared" si="91"/>
        <v>723.07500000000005</v>
      </c>
      <c r="Z5573" s="79">
        <v>34.96</v>
      </c>
      <c r="AN5573" s="106">
        <v>33.76</v>
      </c>
      <c r="AR5573" s="106">
        <v>66.17</v>
      </c>
      <c r="AW5573" s="106">
        <v>96.3</v>
      </c>
      <c r="BI5573" s="106">
        <v>62.41</v>
      </c>
      <c r="BO5573" s="106">
        <v>65.73</v>
      </c>
      <c r="BU5573" s="106">
        <v>65.88</v>
      </c>
      <c r="CA5573" s="106">
        <f>63.09+59.925</f>
        <v>123.015</v>
      </c>
      <c r="CG5573" s="106">
        <f>68.715+42.91</f>
        <v>111.625</v>
      </c>
      <c r="CM5573" s="106">
        <v>31.03</v>
      </c>
      <c r="CS5573" s="74">
        <v>32.195</v>
      </c>
    </row>
    <row r="5574" spans="1:208" x14ac:dyDescent="0.25">
      <c r="A5574" s="127">
        <v>45891</v>
      </c>
      <c r="B5574" s="24" t="s">
        <v>213</v>
      </c>
      <c r="C5574" s="21">
        <f t="shared" si="91"/>
        <v>-98.96</v>
      </c>
      <c r="BI5574" s="106">
        <v>-30.864999999999998</v>
      </c>
      <c r="BU5574" s="106">
        <v>-15.63</v>
      </c>
      <c r="CA5574" s="106">
        <v>-18.024999999999999</v>
      </c>
      <c r="CG5574" s="106">
        <v>-17.094999999999999</v>
      </c>
      <c r="CS5574" s="74">
        <v>-17.344999999999999</v>
      </c>
    </row>
    <row r="5575" spans="1:208" x14ac:dyDescent="0.25">
      <c r="A5575" s="127">
        <v>45892</v>
      </c>
      <c r="B5575" s="24" t="s">
        <v>225</v>
      </c>
      <c r="C5575" s="21">
        <f t="shared" si="91"/>
        <v>-25.844999999999999</v>
      </c>
      <c r="BI5575" s="106">
        <v>-7.89</v>
      </c>
      <c r="CA5575" s="106">
        <v>-9.2899999999999991</v>
      </c>
      <c r="CG5575" s="106">
        <v>-8.6649999999999991</v>
      </c>
    </row>
    <row r="5576" spans="1:208" x14ac:dyDescent="0.25">
      <c r="A5576" s="127">
        <v>45892</v>
      </c>
      <c r="B5576" s="24" t="s">
        <v>127</v>
      </c>
      <c r="C5576" s="21">
        <f t="shared" si="91"/>
        <v>-25.3</v>
      </c>
      <c r="AW5576" s="106">
        <v>-9.4250000000000007</v>
      </c>
      <c r="BI5576" s="106">
        <v>-7.7350000000000003</v>
      </c>
      <c r="BO5576" s="106">
        <v>-8.14</v>
      </c>
    </row>
    <row r="5577" spans="1:208" x14ac:dyDescent="0.25">
      <c r="A5577" s="127">
        <v>45892</v>
      </c>
      <c r="B5577" s="24" t="s">
        <v>20</v>
      </c>
      <c r="C5577" s="21">
        <f t="shared" si="91"/>
        <v>-34.335000000000001</v>
      </c>
      <c r="Z5577" s="79">
        <v>-8.0950000000000006</v>
      </c>
      <c r="BI5577" s="106">
        <v>-8.0150000000000006</v>
      </c>
      <c r="BU5577" s="106">
        <v>-9.17</v>
      </c>
      <c r="CA5577" s="106">
        <v>-9.0549999999999997</v>
      </c>
    </row>
    <row r="5578" spans="1:208" x14ac:dyDescent="0.25">
      <c r="A5578" s="127">
        <v>45892</v>
      </c>
      <c r="B5578" s="24" t="s">
        <v>184</v>
      </c>
      <c r="C5578" s="21">
        <f t="shared" si="91"/>
        <v>-35.134999999999998</v>
      </c>
      <c r="DE5578" s="74">
        <v>-35.134999999999998</v>
      </c>
    </row>
    <row r="5579" spans="1:208" x14ac:dyDescent="0.25">
      <c r="A5579" s="127">
        <v>45894</v>
      </c>
      <c r="B5579" s="24" t="s">
        <v>17</v>
      </c>
      <c r="C5579" s="21">
        <f t="shared" si="91"/>
        <v>-16.78</v>
      </c>
      <c r="BO5579" s="106">
        <v>-16.78</v>
      </c>
    </row>
    <row r="5580" spans="1:208" x14ac:dyDescent="0.25">
      <c r="A5580" s="127">
        <v>45894</v>
      </c>
      <c r="B5580" s="24" t="s">
        <v>184</v>
      </c>
      <c r="C5580" s="21">
        <f t="shared" si="91"/>
        <v>-225.215</v>
      </c>
      <c r="AW5580" s="106">
        <v>-18.2</v>
      </c>
      <c r="BO5580" s="106">
        <v>-15.45</v>
      </c>
      <c r="BU5580" s="106">
        <v>-24.524999999999999</v>
      </c>
      <c r="CA5580" s="106">
        <v>-34.1</v>
      </c>
      <c r="CG5580" s="106">
        <v>-14.38</v>
      </c>
      <c r="CM5580" s="106">
        <v>-8.6199999999999992</v>
      </c>
      <c r="DA5580" s="126">
        <v>-16.28</v>
      </c>
      <c r="DP5580" s="74">
        <v>-33.5</v>
      </c>
      <c r="DW5580" s="126">
        <v>-17.27</v>
      </c>
      <c r="EC5580" s="126">
        <v>-42.89</v>
      </c>
    </row>
    <row r="5581" spans="1:208" x14ac:dyDescent="0.25">
      <c r="A5581" s="127">
        <v>45895</v>
      </c>
      <c r="B5581" s="24" t="s">
        <v>48</v>
      </c>
      <c r="C5581" s="21">
        <f t="shared" si="91"/>
        <v>-34.814999999999998</v>
      </c>
      <c r="AN5581" s="106">
        <v>-17.600000000000001</v>
      </c>
      <c r="CG5581" s="106">
        <v>-8.58</v>
      </c>
      <c r="CM5581" s="106">
        <v>-8.6349999999999998</v>
      </c>
    </row>
    <row r="5582" spans="1:208" x14ac:dyDescent="0.25">
      <c r="A5582" s="127">
        <v>45895</v>
      </c>
      <c r="B5582" s="24" t="s">
        <v>184</v>
      </c>
      <c r="C5582" s="21">
        <f t="shared" si="91"/>
        <v>-36.844999999999999</v>
      </c>
      <c r="DK5582" s="106">
        <v>-36.844999999999999</v>
      </c>
    </row>
    <row r="5583" spans="1:208" x14ac:dyDescent="0.25">
      <c r="A5583" s="127">
        <v>45895</v>
      </c>
      <c r="B5583" s="24" t="s">
        <v>197</v>
      </c>
      <c r="C5583" s="21">
        <f t="shared" si="91"/>
        <v>-46.365000000000002</v>
      </c>
      <c r="CA5583" s="106">
        <v>-18.22</v>
      </c>
      <c r="CG5583" s="106">
        <v>-14.37</v>
      </c>
      <c r="CM5583" s="106">
        <v>-13.775</v>
      </c>
    </row>
    <row r="5584" spans="1:208" x14ac:dyDescent="0.25">
      <c r="A5584" s="127">
        <v>45895</v>
      </c>
      <c r="B5584" s="24" t="s">
        <v>50</v>
      </c>
      <c r="C5584" s="21">
        <f t="shared" si="91"/>
        <v>-92.275000000000006</v>
      </c>
      <c r="GZ5584" s="106">
        <v>-92.275000000000006</v>
      </c>
    </row>
    <row r="5585" spans="1:199" x14ac:dyDescent="0.25">
      <c r="A5585" s="127">
        <v>45895</v>
      </c>
      <c r="B5585" s="24" t="s">
        <v>138</v>
      </c>
      <c r="C5585" s="21">
        <f t="shared" si="91"/>
        <v>-17.75</v>
      </c>
      <c r="AW5585" s="106">
        <v>-9.11</v>
      </c>
      <c r="BU5585" s="106">
        <v>-8.64</v>
      </c>
    </row>
    <row r="5586" spans="1:199" x14ac:dyDescent="0.25">
      <c r="A5586" s="127">
        <v>45895</v>
      </c>
      <c r="B5586" s="24" t="s">
        <v>212</v>
      </c>
      <c r="C5586" s="21">
        <f t="shared" si="91"/>
        <v>-16.8</v>
      </c>
      <c r="CS5586" s="74">
        <v>-16.8</v>
      </c>
    </row>
    <row r="5587" spans="1:199" x14ac:dyDescent="0.25">
      <c r="A5587" s="127">
        <v>45896</v>
      </c>
      <c r="B5587" s="24" t="s">
        <v>33</v>
      </c>
      <c r="C5587" s="21">
        <f t="shared" si="91"/>
        <v>-32.67</v>
      </c>
      <c r="AW5587" s="106">
        <v>-7.99</v>
      </c>
      <c r="BO5587" s="106">
        <v>-8.1449999999999996</v>
      </c>
      <c r="BU5587" s="106">
        <v>-7.915</v>
      </c>
      <c r="CA5587" s="106">
        <v>-8.6199999999999992</v>
      </c>
    </row>
    <row r="5588" spans="1:199" x14ac:dyDescent="0.25">
      <c r="A5588" s="127">
        <v>45897</v>
      </c>
      <c r="B5588" s="24" t="s">
        <v>113</v>
      </c>
      <c r="C5588" s="21">
        <f t="shared" si="91"/>
        <v>383.41</v>
      </c>
      <c r="BC5588" s="106">
        <v>95.64</v>
      </c>
      <c r="BI5588" s="106">
        <v>97.974999999999994</v>
      </c>
      <c r="CA5588" s="106">
        <v>35.954999999999998</v>
      </c>
      <c r="CG5588" s="106">
        <v>58.884999999999998</v>
      </c>
      <c r="DU5588" s="106">
        <v>94.954999999999998</v>
      </c>
    </row>
    <row r="5589" spans="1:199" x14ac:dyDescent="0.25">
      <c r="A5589" s="127">
        <v>45897</v>
      </c>
      <c r="B5589" s="24" t="s">
        <v>113</v>
      </c>
      <c r="C5589" s="21">
        <f t="shared" si="91"/>
        <v>692.80499999999995</v>
      </c>
      <c r="M5589" s="92">
        <v>35.555</v>
      </c>
      <c r="AN5589" s="106">
        <v>33.020000000000003</v>
      </c>
      <c r="AR5589" s="106">
        <v>32.99</v>
      </c>
      <c r="AW5589" s="106">
        <v>74.91</v>
      </c>
      <c r="CM5589" s="106">
        <v>32.22</v>
      </c>
      <c r="CS5589" s="74">
        <v>33.134999999999998</v>
      </c>
      <c r="DE5589" s="74">
        <v>70.885000000000005</v>
      </c>
      <c r="DK5589" s="106">
        <v>68.19</v>
      </c>
      <c r="EG5589" s="74">
        <v>67.364999999999995</v>
      </c>
      <c r="GQ5589" s="92">
        <v>244.535</v>
      </c>
    </row>
    <row r="5590" spans="1:199" x14ac:dyDescent="0.25">
      <c r="A5590" s="127">
        <v>45897</v>
      </c>
      <c r="B5590" s="24" t="s">
        <v>213</v>
      </c>
      <c r="C5590" s="21">
        <f t="shared" si="91"/>
        <v>-165.88499999999999</v>
      </c>
      <c r="AR5590" s="106">
        <v>-16.574999999999999</v>
      </c>
      <c r="AW5590" s="106">
        <v>-12.9</v>
      </c>
      <c r="BC5590" s="106">
        <v>-7.875</v>
      </c>
      <c r="BI5590" s="106">
        <v>-25.704999999999998</v>
      </c>
      <c r="BO5590" s="106">
        <v>-33.5</v>
      </c>
      <c r="CA5590" s="106">
        <v>-18.510000000000002</v>
      </c>
      <c r="CG5590" s="106">
        <v>-8.52</v>
      </c>
      <c r="CS5590" s="74">
        <v>-33.134999999999998</v>
      </c>
      <c r="DE5590" s="74">
        <v>-9.1649999999999991</v>
      </c>
    </row>
    <row r="5591" spans="1:199" x14ac:dyDescent="0.25">
      <c r="A5591" s="127">
        <v>45897</v>
      </c>
      <c r="B5591" s="24" t="s">
        <v>48</v>
      </c>
      <c r="C5591" s="21">
        <f t="shared" si="91"/>
        <v>-7.85</v>
      </c>
      <c r="DK5591" s="106">
        <v>-7.85</v>
      </c>
    </row>
    <row r="5592" spans="1:199" x14ac:dyDescent="0.25">
      <c r="A5592" s="127">
        <v>45897</v>
      </c>
      <c r="B5592" s="24" t="s">
        <v>193</v>
      </c>
      <c r="C5592" s="21">
        <f t="shared" si="91"/>
        <v>-32.854999999999997</v>
      </c>
      <c r="CA5592" s="106">
        <v>-8.1300000000000008</v>
      </c>
      <c r="CG5592" s="106">
        <v>-7.2350000000000003</v>
      </c>
      <c r="CS5592" s="74">
        <v>-8.4149999999999991</v>
      </c>
      <c r="DE5592" s="74">
        <v>-9.0749999999999993</v>
      </c>
    </row>
    <row r="5593" spans="1:199" x14ac:dyDescent="0.25">
      <c r="A5593" s="127">
        <v>45897</v>
      </c>
      <c r="B5593" s="24" t="s">
        <v>184</v>
      </c>
      <c r="C5593" s="21">
        <f t="shared" si="91"/>
        <v>-81.364999999999995</v>
      </c>
      <c r="V5593" s="74">
        <v>-16.149999999999999</v>
      </c>
      <c r="Z5593" s="79">
        <v>-16.594999999999999</v>
      </c>
      <c r="BI5593" s="106">
        <v>-16.399999999999999</v>
      </c>
      <c r="CM5593" s="106">
        <v>-32.22</v>
      </c>
    </row>
    <row r="5594" spans="1:199" x14ac:dyDescent="0.25">
      <c r="A5594" s="127">
        <v>45897</v>
      </c>
      <c r="B5594" s="24" t="s">
        <v>133</v>
      </c>
      <c r="C5594" s="21">
        <f t="shared" si="91"/>
        <v>-128.85</v>
      </c>
      <c r="AR5594" s="106">
        <v>-32.99</v>
      </c>
      <c r="BC5594" s="106">
        <v>-31.965</v>
      </c>
      <c r="CG5594" s="106">
        <v>-29.434999999999999</v>
      </c>
      <c r="DE5594" s="74">
        <v>-34.46</v>
      </c>
    </row>
    <row r="5595" spans="1:199" x14ac:dyDescent="0.25">
      <c r="A5595" s="127">
        <v>45897</v>
      </c>
      <c r="B5595" s="24" t="s">
        <v>226</v>
      </c>
      <c r="C5595" s="21">
        <f t="shared" si="91"/>
        <v>-113.19</v>
      </c>
      <c r="DU5595" s="106">
        <v>-79.209999999999994</v>
      </c>
      <c r="EA5595" s="74">
        <v>-8.1999999999999993</v>
      </c>
      <c r="EC5595" s="126">
        <v>-25.78</v>
      </c>
    </row>
    <row r="5596" spans="1:199" x14ac:dyDescent="0.25">
      <c r="A5596" s="127">
        <v>45897</v>
      </c>
      <c r="B5596" s="24" t="s">
        <v>33</v>
      </c>
      <c r="C5596" s="21">
        <f t="shared" si="91"/>
        <v>-7.04</v>
      </c>
      <c r="BC5596" s="106">
        <v>-7.04</v>
      </c>
    </row>
    <row r="5597" spans="1:199" x14ac:dyDescent="0.25">
      <c r="A5597" s="127">
        <v>45897</v>
      </c>
      <c r="B5597" s="24" t="s">
        <v>218</v>
      </c>
      <c r="C5597" s="21">
        <f t="shared" si="91"/>
        <v>-131.19499999999999</v>
      </c>
      <c r="AN5597" s="106">
        <v>-33.020000000000003</v>
      </c>
      <c r="BI5597" s="106">
        <f>-7.83-8.04</f>
        <v>-15.87</v>
      </c>
      <c r="CA5597" s="106">
        <f>-8.56-9.315</f>
        <v>-17.875</v>
      </c>
      <c r="CG5597" s="106">
        <f>-8.555-7.22-7.215-7.78</f>
        <v>-30.77</v>
      </c>
      <c r="DE5597" s="74">
        <f>-8.08-7.395-9.07-9.115</f>
        <v>-33.659999999999997</v>
      </c>
    </row>
    <row r="5598" spans="1:199" x14ac:dyDescent="0.25">
      <c r="A5598" s="127">
        <v>45898</v>
      </c>
      <c r="B5598" s="24" t="s">
        <v>48</v>
      </c>
      <c r="C5598" s="21">
        <f t="shared" si="91"/>
        <v>-101.99</v>
      </c>
      <c r="CS5598" s="74">
        <v>-34.619999999999997</v>
      </c>
      <c r="DE5598" s="74">
        <v>-16.48</v>
      </c>
      <c r="DK5598" s="106">
        <v>-8.2550000000000008</v>
      </c>
      <c r="DP5598" s="74">
        <v>-42.634999999999998</v>
      </c>
    </row>
    <row r="5599" spans="1:199" x14ac:dyDescent="0.25">
      <c r="A5599" s="127">
        <v>45898</v>
      </c>
      <c r="B5599" s="24" t="s">
        <v>44</v>
      </c>
      <c r="C5599" s="21">
        <f t="shared" si="91"/>
        <v>-202.90199999999999</v>
      </c>
      <c r="GK5599" s="79">
        <v>-28.382000000000001</v>
      </c>
      <c r="GO5599" s="110">
        <v>-59.49</v>
      </c>
      <c r="GQ5599" s="92">
        <v>-115.03</v>
      </c>
    </row>
    <row r="5600" spans="1:199" x14ac:dyDescent="0.25">
      <c r="A5600" s="127">
        <v>45898</v>
      </c>
      <c r="B5600" s="24" t="s">
        <v>184</v>
      </c>
      <c r="C5600" s="21">
        <f t="shared" si="91"/>
        <v>-57.9</v>
      </c>
      <c r="Z5600" s="79">
        <v>-26.67</v>
      </c>
      <c r="AN5600" s="106">
        <v>-8.2349999999999994</v>
      </c>
      <c r="AW5600" s="106">
        <v>-7.0750000000000002</v>
      </c>
      <c r="CG5600" s="106">
        <v>-7.18</v>
      </c>
      <c r="CM5600" s="106">
        <v>-8.74</v>
      </c>
    </row>
    <row r="5601" spans="1:169" x14ac:dyDescent="0.25">
      <c r="A5601" s="127">
        <v>45899</v>
      </c>
      <c r="B5601" s="24" t="s">
        <v>127</v>
      </c>
      <c r="C5601" s="21">
        <f t="shared" si="91"/>
        <v>-16.23</v>
      </c>
      <c r="BC5601" s="106">
        <v>-16.23</v>
      </c>
    </row>
    <row r="5602" spans="1:169" x14ac:dyDescent="0.25">
      <c r="A5602" s="127">
        <v>45899</v>
      </c>
      <c r="B5602" s="24" t="s">
        <v>138</v>
      </c>
      <c r="C5602" s="21">
        <f t="shared" si="91"/>
        <v>-8.5749999999999993</v>
      </c>
      <c r="AN5602" s="106">
        <v>-8.5749999999999993</v>
      </c>
    </row>
    <row r="5603" spans="1:169" x14ac:dyDescent="0.25">
      <c r="A5603" s="127">
        <v>45899</v>
      </c>
      <c r="B5603" s="24" t="s">
        <v>48</v>
      </c>
      <c r="C5603" s="21">
        <f t="shared" si="91"/>
        <v>-33.895000000000003</v>
      </c>
      <c r="DK5603" s="106">
        <v>-33.895000000000003</v>
      </c>
    </row>
    <row r="5604" spans="1:169" x14ac:dyDescent="0.25">
      <c r="A5604" s="127">
        <v>45901</v>
      </c>
      <c r="B5604" s="24" t="s">
        <v>171</v>
      </c>
      <c r="C5604" s="21">
        <f t="shared" si="91"/>
        <v>-35.909999999999997</v>
      </c>
      <c r="DP5604" s="74">
        <v>-35.909999999999997</v>
      </c>
    </row>
    <row r="5605" spans="1:169" x14ac:dyDescent="0.25">
      <c r="A5605" s="127">
        <v>45901</v>
      </c>
      <c r="B5605" s="24" t="s">
        <v>213</v>
      </c>
      <c r="C5605" s="21">
        <f t="shared" si="91"/>
        <v>-18.57</v>
      </c>
      <c r="FM5605" s="42">
        <v>-18.57</v>
      </c>
    </row>
    <row r="5606" spans="1:169" x14ac:dyDescent="0.25">
      <c r="A5606" s="127">
        <v>45902</v>
      </c>
      <c r="B5606" s="24" t="s">
        <v>192</v>
      </c>
      <c r="C5606" s="21">
        <f t="shared" si="91"/>
        <v>-8.61</v>
      </c>
      <c r="AN5606" s="106">
        <v>-8.61</v>
      </c>
    </row>
    <row r="5607" spans="1:169" x14ac:dyDescent="0.25">
      <c r="A5607" s="127">
        <v>45902</v>
      </c>
      <c r="B5607" s="24" t="s">
        <v>75</v>
      </c>
      <c r="C5607" s="21">
        <f t="shared" si="91"/>
        <v>-16.215</v>
      </c>
      <c r="BC5607" s="106">
        <v>-8.1150000000000002</v>
      </c>
      <c r="BI5607" s="106">
        <v>-8.1</v>
      </c>
    </row>
    <row r="5608" spans="1:169" x14ac:dyDescent="0.25">
      <c r="A5608" s="127">
        <v>45902</v>
      </c>
      <c r="B5608" s="24" t="s">
        <v>188</v>
      </c>
      <c r="C5608" s="21">
        <f t="shared" si="91"/>
        <v>-31.76</v>
      </c>
      <c r="BI5608" s="106">
        <v>-7.7649999999999997</v>
      </c>
      <c r="BO5608" s="106">
        <v>-8.0350000000000001</v>
      </c>
      <c r="CG5608" s="106">
        <v>-7.1749999999999998</v>
      </c>
      <c r="CM5608" s="106">
        <v>-8.7850000000000001</v>
      </c>
    </row>
    <row r="5609" spans="1:169" x14ac:dyDescent="0.25">
      <c r="A5609" s="127">
        <v>45902</v>
      </c>
      <c r="B5609" s="24" t="s">
        <v>48</v>
      </c>
      <c r="C5609" s="21">
        <f t="shared" si="91"/>
        <v>-25.395</v>
      </c>
      <c r="V5609" s="74">
        <v>-8.18</v>
      </c>
      <c r="AG5609" s="106">
        <v>-17.215</v>
      </c>
    </row>
    <row r="5610" spans="1:169" x14ac:dyDescent="0.25">
      <c r="A5610" s="127">
        <v>45904</v>
      </c>
      <c r="B5610" s="24" t="s">
        <v>20</v>
      </c>
      <c r="C5610" s="21">
        <f t="shared" si="91"/>
        <v>-8.57</v>
      </c>
      <c r="CG5610" s="106">
        <v>-8.57</v>
      </c>
    </row>
    <row r="5611" spans="1:169" x14ac:dyDescent="0.25">
      <c r="A5611" s="127">
        <v>45904</v>
      </c>
      <c r="B5611" s="24" t="s">
        <v>17</v>
      </c>
      <c r="C5611" s="21">
        <f t="shared" si="91"/>
        <v>-42.48</v>
      </c>
      <c r="DE5611" s="74">
        <v>-17.510000000000002</v>
      </c>
      <c r="DK5611" s="106">
        <v>-8.36</v>
      </c>
      <c r="DP5611" s="74">
        <v>-16.61</v>
      </c>
    </row>
    <row r="5612" spans="1:169" x14ac:dyDescent="0.25">
      <c r="A5612" s="127">
        <v>45904</v>
      </c>
      <c r="B5612" s="24" t="s">
        <v>224</v>
      </c>
      <c r="C5612" s="21">
        <f t="shared" si="91"/>
        <v>-8.125</v>
      </c>
      <c r="BC5612" s="106">
        <v>-8.125</v>
      </c>
    </row>
    <row r="5613" spans="1:169" x14ac:dyDescent="0.25">
      <c r="A5613" s="127">
        <v>45904</v>
      </c>
      <c r="B5613" s="24" t="s">
        <v>48</v>
      </c>
      <c r="C5613" s="21">
        <f t="shared" si="91"/>
        <v>-17.114999999999998</v>
      </c>
      <c r="CS5613" s="74">
        <v>-17.114999999999998</v>
      </c>
    </row>
    <row r="5614" spans="1:169" x14ac:dyDescent="0.25">
      <c r="A5614" s="127">
        <v>45904</v>
      </c>
      <c r="B5614" s="24" t="s">
        <v>218</v>
      </c>
      <c r="C5614" s="21">
        <f t="shared" si="91"/>
        <v>-62.634999999999998</v>
      </c>
      <c r="AR5614" s="106">
        <v>-33.4</v>
      </c>
      <c r="AW5614" s="106">
        <f>-7.15-7.065-7.19</f>
        <v>-21.405000000000001</v>
      </c>
      <c r="BI5614" s="106">
        <v>-7.83</v>
      </c>
    </row>
    <row r="5615" spans="1:169" x14ac:dyDescent="0.25">
      <c r="A5615" s="127">
        <v>45905</v>
      </c>
      <c r="B5615" s="24" t="s">
        <v>68</v>
      </c>
      <c r="C5615" s="21">
        <f t="shared" si="91"/>
        <v>-24.28</v>
      </c>
      <c r="AW5615" s="106">
        <v>-8.0050000000000008</v>
      </c>
      <c r="BC5615" s="106">
        <v>-8.1449999999999996</v>
      </c>
      <c r="BI5615" s="106">
        <v>-8.1300000000000008</v>
      </c>
    </row>
    <row r="5616" spans="1:169" x14ac:dyDescent="0.25">
      <c r="A5616" s="127">
        <v>45905</v>
      </c>
      <c r="B5616" s="24" t="s">
        <v>184</v>
      </c>
      <c r="C5616" s="21">
        <f t="shared" si="91"/>
        <v>-67.364999999999995</v>
      </c>
      <c r="EG5616" s="74">
        <v>-67.364999999999995</v>
      </c>
    </row>
    <row r="5617" spans="1:212" x14ac:dyDescent="0.25">
      <c r="A5617" s="127">
        <v>45906</v>
      </c>
      <c r="B5617" s="24" t="s">
        <v>212</v>
      </c>
      <c r="C5617" s="21">
        <f t="shared" ref="C5617:C5680" si="92">SUM(D5617:JT5617)</f>
        <v>-16.204999999999998</v>
      </c>
      <c r="DP5617" s="74">
        <v>-8.3049999999999997</v>
      </c>
      <c r="DU5617" s="106">
        <v>-7.9</v>
      </c>
    </row>
    <row r="5618" spans="1:212" x14ac:dyDescent="0.25">
      <c r="A5618" s="127">
        <v>45906</v>
      </c>
      <c r="B5618" s="24" t="s">
        <v>192</v>
      </c>
      <c r="C5618" s="21">
        <f t="shared" si="92"/>
        <v>-8.5</v>
      </c>
      <c r="CA5618" s="106">
        <v>-8.5</v>
      </c>
    </row>
    <row r="5619" spans="1:212" x14ac:dyDescent="0.25">
      <c r="A5619" s="127">
        <v>45909</v>
      </c>
      <c r="B5619" s="24" t="s">
        <v>50</v>
      </c>
      <c r="C5619" s="21">
        <f t="shared" si="92"/>
        <v>-35.615000000000002</v>
      </c>
      <c r="HD5619" s="92">
        <v>-35.615000000000002</v>
      </c>
    </row>
    <row r="5620" spans="1:212" x14ac:dyDescent="0.25">
      <c r="A5620" s="127">
        <v>45909</v>
      </c>
      <c r="B5620" s="24" t="s">
        <v>197</v>
      </c>
      <c r="C5620" s="21">
        <f t="shared" si="92"/>
        <v>-41.865000000000002</v>
      </c>
      <c r="CM5620" s="106">
        <v>-26.24</v>
      </c>
      <c r="CS5620" s="74">
        <v>-15.625</v>
      </c>
    </row>
    <row r="5621" spans="1:212" x14ac:dyDescent="0.25">
      <c r="A5621" s="127">
        <v>45909</v>
      </c>
      <c r="B5621" s="24" t="s">
        <v>224</v>
      </c>
      <c r="C5621" s="21">
        <f t="shared" si="92"/>
        <v>-25.33</v>
      </c>
      <c r="BO5621" s="106">
        <v>-8.0950000000000006</v>
      </c>
      <c r="CG5621" s="106">
        <v>-8.5350000000000001</v>
      </c>
      <c r="CM5621" s="106">
        <v>-8.6999999999999993</v>
      </c>
    </row>
    <row r="5622" spans="1:212" x14ac:dyDescent="0.25">
      <c r="A5622" s="127">
        <v>45910</v>
      </c>
      <c r="B5622" s="24" t="s">
        <v>113</v>
      </c>
      <c r="C5622" s="21">
        <f t="shared" si="92"/>
        <v>1020.535</v>
      </c>
      <c r="AC5622" s="106">
        <v>34.094999999999999</v>
      </c>
      <c r="BC5622" s="106">
        <v>100.75</v>
      </c>
      <c r="BI5622" s="106">
        <v>117.2</v>
      </c>
      <c r="BO5622" s="106">
        <f>68.1+72.2</f>
        <v>140.30000000000001</v>
      </c>
      <c r="BU5622" s="106">
        <f>108+24.25</f>
        <v>132.25</v>
      </c>
      <c r="CA5622" s="106">
        <v>99.965000000000003</v>
      </c>
      <c r="CG5622" s="106">
        <v>99.55</v>
      </c>
      <c r="CM5622" s="106">
        <v>66.95</v>
      </c>
      <c r="CS5622" s="74">
        <v>34.049999999999997</v>
      </c>
      <c r="DP5622" s="74">
        <v>63.895000000000003</v>
      </c>
      <c r="DU5622" s="106">
        <v>65.930000000000007</v>
      </c>
      <c r="EA5622" s="74">
        <v>65.599999999999994</v>
      </c>
    </row>
    <row r="5623" spans="1:212" x14ac:dyDescent="0.25">
      <c r="A5623" s="127">
        <v>45910</v>
      </c>
      <c r="B5623" s="24" t="s">
        <v>224</v>
      </c>
      <c r="C5623" s="21">
        <f t="shared" si="92"/>
        <v>-22.725000000000001</v>
      </c>
      <c r="AW5623" s="106">
        <v>-6.53</v>
      </c>
      <c r="BU5623" s="106">
        <v>-7.55</v>
      </c>
      <c r="CA5623" s="106">
        <v>-8.6449999999999996</v>
      </c>
    </row>
    <row r="5624" spans="1:212" x14ac:dyDescent="0.25">
      <c r="A5624" s="127">
        <v>45910</v>
      </c>
      <c r="B5624" s="24" t="s">
        <v>193</v>
      </c>
      <c r="C5624" s="21">
        <f t="shared" si="92"/>
        <v>-8</v>
      </c>
      <c r="BU5624" s="106">
        <v>-8</v>
      </c>
    </row>
    <row r="5625" spans="1:212" x14ac:dyDescent="0.25">
      <c r="A5625" s="127">
        <v>45910</v>
      </c>
      <c r="B5625" s="24" t="s">
        <v>48</v>
      </c>
      <c r="C5625" s="21">
        <f t="shared" si="92"/>
        <v>-8.5500000000000007</v>
      </c>
      <c r="AR5625" s="106">
        <v>-8.5500000000000007</v>
      </c>
    </row>
    <row r="5626" spans="1:212" x14ac:dyDescent="0.25">
      <c r="A5626" s="127">
        <v>45910</v>
      </c>
      <c r="B5626" s="24" t="s">
        <v>184</v>
      </c>
      <c r="C5626" s="21">
        <f t="shared" si="92"/>
        <v>-193.45500000000001</v>
      </c>
      <c r="V5626" s="74">
        <v>-16.414999999999999</v>
      </c>
      <c r="AC5626" s="106">
        <v>-8.5</v>
      </c>
      <c r="AG5626" s="106">
        <v>-8.6199999999999992</v>
      </c>
      <c r="AN5626" s="106">
        <v>-16.88</v>
      </c>
      <c r="AR5626" s="106">
        <v>-8.11</v>
      </c>
      <c r="AW5626" s="106">
        <v>-25.83</v>
      </c>
      <c r="BC5626" s="106">
        <v>-27.95</v>
      </c>
      <c r="BI5626" s="106">
        <v>-14.35</v>
      </c>
      <c r="BO5626" s="106">
        <v>-18</v>
      </c>
      <c r="BU5626" s="106">
        <v>-17.3</v>
      </c>
      <c r="CG5626" s="106">
        <v>-15.3</v>
      </c>
      <c r="CM5626" s="106">
        <v>-16.2</v>
      </c>
    </row>
    <row r="5627" spans="1:212" x14ac:dyDescent="0.25">
      <c r="A5627" s="127">
        <v>45910</v>
      </c>
      <c r="B5627" s="24" t="s">
        <v>197</v>
      </c>
      <c r="C5627" s="21">
        <f t="shared" si="92"/>
        <v>-16.600000000000001</v>
      </c>
      <c r="CG5627" s="106">
        <v>-16.600000000000001</v>
      </c>
    </row>
    <row r="5628" spans="1:212" x14ac:dyDescent="0.25">
      <c r="A5628" s="127">
        <v>45910</v>
      </c>
      <c r="B5628" s="24" t="s">
        <v>225</v>
      </c>
      <c r="C5628" s="21">
        <f t="shared" si="92"/>
        <v>-156.60499999999999</v>
      </c>
      <c r="P5628" s="106">
        <v>-5.78</v>
      </c>
      <c r="V5628" s="74">
        <v>-4.5</v>
      </c>
      <c r="AG5628" s="106">
        <v>-8.6050000000000004</v>
      </c>
      <c r="AW5628" s="106">
        <v>-6.4850000000000003</v>
      </c>
      <c r="BC5628" s="106">
        <v>-14.7</v>
      </c>
      <c r="BI5628" s="106">
        <v>-14.3</v>
      </c>
      <c r="BO5628" s="106">
        <v>-18.149999999999999</v>
      </c>
      <c r="BU5628" s="106">
        <v>-16.600000000000001</v>
      </c>
      <c r="CA5628" s="106">
        <v>-16.350000000000001</v>
      </c>
      <c r="CG5628" s="106">
        <v>-16.7</v>
      </c>
      <c r="CM5628" s="106">
        <v>-16.850000000000001</v>
      </c>
      <c r="CS5628" s="74">
        <v>-8.67</v>
      </c>
      <c r="DE5628" s="74">
        <v>-8.9149999999999991</v>
      </c>
    </row>
    <row r="5629" spans="1:212" x14ac:dyDescent="0.25">
      <c r="A5629" s="127">
        <v>45910</v>
      </c>
      <c r="B5629" s="24" t="s">
        <v>20</v>
      </c>
      <c r="C5629" s="21">
        <f t="shared" si="92"/>
        <v>-32.314999999999998</v>
      </c>
      <c r="AC5629" s="106">
        <v>-8.5150000000000006</v>
      </c>
      <c r="BC5629" s="106">
        <v>-7.35</v>
      </c>
      <c r="BI5629" s="106">
        <v>-7.35</v>
      </c>
      <c r="BO5629" s="106">
        <v>-9.1</v>
      </c>
    </row>
    <row r="5630" spans="1:212" x14ac:dyDescent="0.25">
      <c r="A5630" s="127">
        <v>45910</v>
      </c>
      <c r="B5630" s="24" t="s">
        <v>133</v>
      </c>
      <c r="C5630" s="21">
        <f t="shared" si="92"/>
        <v>-164.745</v>
      </c>
      <c r="AN5630" s="106">
        <v>-32.979999999999997</v>
      </c>
      <c r="BI5630" s="106">
        <v>-28.9</v>
      </c>
      <c r="BO5630" s="106">
        <v>-34.6</v>
      </c>
      <c r="CS5630" s="74">
        <v>-34.049999999999997</v>
      </c>
      <c r="DE5630" s="74">
        <v>-34.215000000000003</v>
      </c>
    </row>
    <row r="5631" spans="1:212" x14ac:dyDescent="0.25">
      <c r="A5631" s="127">
        <v>45910</v>
      </c>
      <c r="B5631" s="24" t="s">
        <v>213</v>
      </c>
      <c r="C5631" s="21">
        <f t="shared" si="92"/>
        <v>-64.03</v>
      </c>
      <c r="BI5631" s="106">
        <f>-7.4-7.7</f>
        <v>-15.1</v>
      </c>
      <c r="BU5631" s="106">
        <f>-8.45-7.8</f>
        <v>-16.25</v>
      </c>
      <c r="CA5631" s="106">
        <v>-32.68</v>
      </c>
    </row>
    <row r="5632" spans="1:212" x14ac:dyDescent="0.25">
      <c r="A5632" s="127">
        <v>45911</v>
      </c>
      <c r="B5632" s="24" t="s">
        <v>171</v>
      </c>
      <c r="C5632" s="21">
        <f t="shared" si="92"/>
        <v>-34.435000000000002</v>
      </c>
      <c r="CG5632" s="106">
        <v>-25.8</v>
      </c>
      <c r="CS5632" s="74">
        <v>-8.6349999999999998</v>
      </c>
    </row>
    <row r="5633" spans="1:131" x14ac:dyDescent="0.25">
      <c r="A5633" s="127">
        <v>45911</v>
      </c>
      <c r="B5633" s="24" t="s">
        <v>24</v>
      </c>
      <c r="C5633" s="21">
        <f t="shared" si="92"/>
        <v>-38.78</v>
      </c>
      <c r="AN5633" s="106">
        <v>-8.5850000000000009</v>
      </c>
      <c r="AW5633" s="106">
        <v>-12.895</v>
      </c>
      <c r="BU5633" s="106">
        <v>-17.3</v>
      </c>
    </row>
    <row r="5634" spans="1:131" x14ac:dyDescent="0.25">
      <c r="A5634" s="127">
        <v>45911</v>
      </c>
      <c r="B5634" s="24" t="s">
        <v>48</v>
      </c>
      <c r="C5634" s="21">
        <f t="shared" si="92"/>
        <v>-66.814999999999998</v>
      </c>
      <c r="DU5634" s="106">
        <f>-32.85-8.175-8.24</f>
        <v>-49.265000000000001</v>
      </c>
      <c r="EA5634" s="74">
        <f>-8.2-9.35</f>
        <v>-17.55</v>
      </c>
    </row>
    <row r="5635" spans="1:131" x14ac:dyDescent="0.25">
      <c r="A5635" s="127">
        <v>45911</v>
      </c>
      <c r="B5635" s="24" t="s">
        <v>138</v>
      </c>
      <c r="C5635" s="21">
        <f t="shared" si="92"/>
        <v>-25.5</v>
      </c>
      <c r="BI5635" s="106">
        <v>-7.6</v>
      </c>
      <c r="BO5635" s="106">
        <v>-9.15</v>
      </c>
      <c r="BU5635" s="106">
        <v>-8.75</v>
      </c>
    </row>
    <row r="5636" spans="1:131" x14ac:dyDescent="0.25">
      <c r="A5636" s="127">
        <v>45911</v>
      </c>
      <c r="B5636" s="24" t="s">
        <v>192</v>
      </c>
      <c r="C5636" s="21">
        <f t="shared" si="92"/>
        <v>-51.56</v>
      </c>
      <c r="BU5636" s="106">
        <v>-8.65</v>
      </c>
      <c r="CA5636" s="106">
        <v>-34.659999999999997</v>
      </c>
      <c r="CG5636" s="106">
        <v>-8.25</v>
      </c>
    </row>
    <row r="5637" spans="1:131" x14ac:dyDescent="0.25">
      <c r="A5637" s="127">
        <v>45911</v>
      </c>
      <c r="B5637" s="24" t="s">
        <v>171</v>
      </c>
      <c r="C5637" s="21">
        <f t="shared" si="92"/>
        <v>-7.86</v>
      </c>
      <c r="V5637" s="74">
        <v>-7.86</v>
      </c>
    </row>
    <row r="5638" spans="1:131" x14ac:dyDescent="0.25">
      <c r="A5638" s="127">
        <v>45912</v>
      </c>
      <c r="B5638" s="24" t="s">
        <v>213</v>
      </c>
      <c r="C5638" s="21">
        <f t="shared" si="92"/>
        <v>-65.14</v>
      </c>
      <c r="BI5638" s="106">
        <v>-15.324999999999999</v>
      </c>
      <c r="BO5638" s="106">
        <v>-18.3</v>
      </c>
      <c r="BU5638" s="106">
        <v>-14.55</v>
      </c>
      <c r="CS5638" s="74">
        <v>-16.965</v>
      </c>
    </row>
    <row r="5639" spans="1:131" x14ac:dyDescent="0.25">
      <c r="A5639" s="127">
        <v>45912</v>
      </c>
      <c r="B5639" s="24" t="s">
        <v>48</v>
      </c>
      <c r="C5639" s="21">
        <f t="shared" si="92"/>
        <v>-15.835000000000001</v>
      </c>
      <c r="DU5639" s="106">
        <v>-8.3350000000000009</v>
      </c>
      <c r="EA5639" s="74">
        <v>-7.5</v>
      </c>
    </row>
    <row r="5640" spans="1:131" x14ac:dyDescent="0.25">
      <c r="A5640" s="127">
        <v>45912</v>
      </c>
      <c r="B5640" s="24" t="s">
        <v>197</v>
      </c>
      <c r="C5640" s="21">
        <f t="shared" si="92"/>
        <v>-8.35</v>
      </c>
      <c r="CM5640" s="106">
        <v>-8.35</v>
      </c>
    </row>
    <row r="5641" spans="1:131" x14ac:dyDescent="0.25">
      <c r="A5641" s="127">
        <v>45912</v>
      </c>
      <c r="B5641" s="24" t="s">
        <v>218</v>
      </c>
      <c r="C5641" s="21">
        <f t="shared" si="92"/>
        <v>-39.244999999999997</v>
      </c>
      <c r="AZ5641" s="182">
        <v>-8.59</v>
      </c>
      <c r="BC5641" s="106">
        <v>-6.9</v>
      </c>
      <c r="BI5641" s="106">
        <v>-15.555</v>
      </c>
      <c r="CA5641" s="106">
        <v>-8.1999999999999993</v>
      </c>
    </row>
    <row r="5642" spans="1:131" x14ac:dyDescent="0.25">
      <c r="A5642" s="127">
        <v>45913</v>
      </c>
      <c r="B5642" s="24" t="s">
        <v>25</v>
      </c>
      <c r="C5642" s="21">
        <f t="shared" si="92"/>
        <v>-24.184999999999999</v>
      </c>
      <c r="DP5642" s="74">
        <v>-8.01</v>
      </c>
      <c r="DU5642" s="106">
        <v>-16.175000000000001</v>
      </c>
    </row>
    <row r="5643" spans="1:131" x14ac:dyDescent="0.25">
      <c r="A5643" s="127">
        <v>45913</v>
      </c>
      <c r="B5643" s="24" t="s">
        <v>135</v>
      </c>
      <c r="C5643" s="21">
        <f t="shared" si="92"/>
        <v>-64.405000000000001</v>
      </c>
      <c r="AN5643" s="106">
        <v>-8.2949999999999999</v>
      </c>
      <c r="AR5643" s="106">
        <v>-8.11</v>
      </c>
      <c r="AW5643" s="106">
        <v>-7.2249999999999996</v>
      </c>
      <c r="BC5643" s="106">
        <v>-6.65</v>
      </c>
      <c r="BU5643" s="106">
        <v>-8.6999999999999993</v>
      </c>
      <c r="CA5643" s="106">
        <v>-8.0749999999999993</v>
      </c>
      <c r="CG5643" s="106">
        <v>-8.65</v>
      </c>
      <c r="CM5643" s="106">
        <v>-8.6999999999999993</v>
      </c>
    </row>
    <row r="5644" spans="1:131" x14ac:dyDescent="0.25">
      <c r="A5644" s="127">
        <v>45916</v>
      </c>
      <c r="B5644" s="24" t="s">
        <v>171</v>
      </c>
      <c r="C5644" s="21">
        <f t="shared" si="92"/>
        <v>-8.25</v>
      </c>
      <c r="CG5644" s="106">
        <v>-8.25</v>
      </c>
    </row>
    <row r="5645" spans="1:131" x14ac:dyDescent="0.25">
      <c r="A5645" s="127">
        <v>45916</v>
      </c>
      <c r="B5645" s="24" t="s">
        <v>113</v>
      </c>
      <c r="C5645" s="21">
        <f t="shared" si="92"/>
        <v>271.95</v>
      </c>
      <c r="BC5645" s="106">
        <v>28.2</v>
      </c>
      <c r="CA5645" s="106">
        <v>36.299999999999997</v>
      </c>
      <c r="CG5645" s="106">
        <v>31.6</v>
      </c>
      <c r="CY5645" s="106">
        <v>34</v>
      </c>
      <c r="EA5645" s="74">
        <v>141.85</v>
      </c>
    </row>
    <row r="5646" spans="1:131" x14ac:dyDescent="0.25">
      <c r="A5646" s="127">
        <v>45916</v>
      </c>
      <c r="B5646" s="24" t="s">
        <v>113</v>
      </c>
      <c r="C5646" s="21">
        <f t="shared" si="92"/>
        <v>565.70500000000004</v>
      </c>
      <c r="AC5646" s="106">
        <v>30.055</v>
      </c>
      <c r="AG5646" s="106">
        <v>32.075000000000003</v>
      </c>
      <c r="AN5646" s="106">
        <v>68.400000000000006</v>
      </c>
      <c r="AR5646" s="106">
        <v>34.055</v>
      </c>
      <c r="BC5646" s="106">
        <v>28.2</v>
      </c>
      <c r="BI5646" s="106">
        <v>29.5</v>
      </c>
      <c r="BO5646" s="106">
        <v>70.150000000000006</v>
      </c>
      <c r="BU5646" s="106">
        <v>102.8</v>
      </c>
      <c r="CA5646" s="106">
        <v>66.819999999999993</v>
      </c>
      <c r="CM5646" s="106">
        <v>103.65</v>
      </c>
    </row>
    <row r="5647" spans="1:131" x14ac:dyDescent="0.25">
      <c r="A5647" s="127">
        <v>45916</v>
      </c>
      <c r="B5647" s="24" t="s">
        <v>48</v>
      </c>
      <c r="C5647" s="21">
        <f t="shared" si="92"/>
        <v>-7.77</v>
      </c>
      <c r="AC5647" s="106">
        <v>-7.77</v>
      </c>
    </row>
    <row r="5648" spans="1:131" x14ac:dyDescent="0.25">
      <c r="A5648" s="127">
        <v>45916</v>
      </c>
      <c r="B5648" s="24" t="s">
        <v>184</v>
      </c>
      <c r="C5648" s="21">
        <f t="shared" si="92"/>
        <v>-126.35</v>
      </c>
      <c r="AG5648" s="106">
        <v>-8.0449999999999999</v>
      </c>
      <c r="AN5648" s="106">
        <v>-8.5549999999999997</v>
      </c>
      <c r="AW5648" s="106">
        <v>-10.27</v>
      </c>
      <c r="BC5648" s="106">
        <v>-14.15</v>
      </c>
      <c r="BI5648" s="106">
        <v>-14.35</v>
      </c>
      <c r="BO5648" s="106">
        <v>-36.1</v>
      </c>
      <c r="BU5648" s="106">
        <v>-17.649999999999999</v>
      </c>
      <c r="CA5648" s="106">
        <v>-17.23</v>
      </c>
    </row>
    <row r="5649" spans="1:199" x14ac:dyDescent="0.25">
      <c r="A5649" s="127">
        <v>45916</v>
      </c>
      <c r="B5649" s="24" t="s">
        <v>133</v>
      </c>
      <c r="C5649" s="21">
        <f t="shared" si="92"/>
        <v>-304.2</v>
      </c>
      <c r="BC5649" s="106">
        <v>-14.4</v>
      </c>
      <c r="BO5649" s="106">
        <v>-34.049999999999997</v>
      </c>
      <c r="BU5649" s="106">
        <v>-51.85</v>
      </c>
      <c r="CA5649" s="106">
        <v>-52.61</v>
      </c>
      <c r="CM5649" s="106">
        <v>-50.1</v>
      </c>
      <c r="CY5649" s="106">
        <v>-34</v>
      </c>
      <c r="DK5649" s="106">
        <v>-35.17</v>
      </c>
      <c r="DP5649" s="74">
        <v>-32.020000000000003</v>
      </c>
    </row>
    <row r="5650" spans="1:199" x14ac:dyDescent="0.25">
      <c r="A5650" s="127">
        <v>45916</v>
      </c>
      <c r="B5650" s="24" t="s">
        <v>83</v>
      </c>
      <c r="C5650" s="21">
        <f t="shared" si="92"/>
        <v>-32.81</v>
      </c>
      <c r="V5650" s="74">
        <v>-32.81</v>
      </c>
    </row>
    <row r="5651" spans="1:199" x14ac:dyDescent="0.25">
      <c r="A5651" s="127">
        <v>45916</v>
      </c>
      <c r="B5651" s="24" t="s">
        <v>213</v>
      </c>
      <c r="C5651" s="21">
        <f t="shared" si="92"/>
        <v>-74.33</v>
      </c>
      <c r="AN5651" s="106">
        <v>-4.92</v>
      </c>
      <c r="AR5651" s="106">
        <v>-8.5649999999999995</v>
      </c>
      <c r="AW5651" s="106">
        <v>-6.8849999999999998</v>
      </c>
      <c r="BC5651" s="106">
        <v>-6.66</v>
      </c>
      <c r="BI5651" s="106">
        <v>-7.4</v>
      </c>
      <c r="BO5651" s="106">
        <v>-17.600000000000001</v>
      </c>
      <c r="BU5651" s="106">
        <v>-8.0500000000000007</v>
      </c>
      <c r="CG5651" s="106">
        <v>-14.25</v>
      </c>
    </row>
    <row r="5652" spans="1:199" x14ac:dyDescent="0.25">
      <c r="A5652" s="127">
        <v>45917</v>
      </c>
      <c r="B5652" s="24" t="s">
        <v>44</v>
      </c>
      <c r="C5652" s="21">
        <f t="shared" si="92"/>
        <v>-144.87</v>
      </c>
      <c r="GQ5652" s="92">
        <v>-144.87</v>
      </c>
    </row>
    <row r="5653" spans="1:199" x14ac:dyDescent="0.25">
      <c r="A5653" s="127">
        <v>45917</v>
      </c>
      <c r="B5653" s="24" t="s">
        <v>20</v>
      </c>
      <c r="C5653" s="21">
        <f t="shared" si="92"/>
        <v>-8.75</v>
      </c>
      <c r="CM5653" s="106">
        <v>-8.75</v>
      </c>
    </row>
    <row r="5654" spans="1:199" x14ac:dyDescent="0.25">
      <c r="A5654" s="127">
        <v>45917</v>
      </c>
      <c r="B5654" s="24" t="s">
        <v>39</v>
      </c>
      <c r="C5654" s="21">
        <f t="shared" si="92"/>
        <v>-32.625</v>
      </c>
      <c r="AZ5654" s="182">
        <v>-8.5250000000000004</v>
      </c>
      <c r="BC5654" s="106">
        <v>-7.05</v>
      </c>
      <c r="BI5654" s="106">
        <v>-7.75</v>
      </c>
      <c r="BO5654" s="106">
        <v>-9.3000000000000007</v>
      </c>
    </row>
    <row r="5655" spans="1:199" x14ac:dyDescent="0.25">
      <c r="A5655" s="127">
        <v>45917</v>
      </c>
      <c r="B5655" s="24" t="s">
        <v>79</v>
      </c>
      <c r="C5655" s="21">
        <f t="shared" si="92"/>
        <v>-8.8000000000000007</v>
      </c>
      <c r="CG5655" s="106">
        <v>-8.8000000000000007</v>
      </c>
    </row>
    <row r="5656" spans="1:199" x14ac:dyDescent="0.25">
      <c r="A5656" s="127">
        <v>45917</v>
      </c>
      <c r="B5656" s="24" t="s">
        <v>25</v>
      </c>
      <c r="C5656" s="21">
        <f t="shared" si="92"/>
        <v>-8.2799999999999994</v>
      </c>
      <c r="CG5656" s="106">
        <v>-8.2799999999999994</v>
      </c>
    </row>
    <row r="5657" spans="1:199" x14ac:dyDescent="0.25">
      <c r="A5657" s="127">
        <v>45918</v>
      </c>
      <c r="B5657" s="24" t="s">
        <v>48</v>
      </c>
      <c r="C5657" s="21">
        <f t="shared" si="92"/>
        <v>-96.6</v>
      </c>
      <c r="EK5657" s="69">
        <v>-4</v>
      </c>
      <c r="EL5657" s="106">
        <v>-25.15</v>
      </c>
      <c r="EM5657" s="150">
        <v>-67.45</v>
      </c>
    </row>
    <row r="5658" spans="1:199" x14ac:dyDescent="0.25">
      <c r="A5658" s="127">
        <v>45918</v>
      </c>
      <c r="B5658" s="24" t="s">
        <v>138</v>
      </c>
      <c r="C5658" s="21">
        <f t="shared" si="92"/>
        <v>-21.645</v>
      </c>
      <c r="BC5658" s="106">
        <v>-8.1449999999999996</v>
      </c>
      <c r="BI5658" s="106">
        <v>-7.4</v>
      </c>
      <c r="BO5658" s="106">
        <v>-6.1</v>
      </c>
    </row>
    <row r="5659" spans="1:199" x14ac:dyDescent="0.25">
      <c r="A5659" s="127">
        <v>45918</v>
      </c>
      <c r="B5659" s="24" t="s">
        <v>218</v>
      </c>
      <c r="C5659" s="21">
        <f t="shared" si="92"/>
        <v>793.25</v>
      </c>
      <c r="AI5659" s="126">
        <v>7.36</v>
      </c>
      <c r="AO5659" s="46">
        <v>7.64</v>
      </c>
      <c r="CU5659" s="126">
        <v>24.91</v>
      </c>
      <c r="DA5659" s="126">
        <v>55.65</v>
      </c>
      <c r="DG5659" s="126">
        <v>8.16</v>
      </c>
      <c r="DM5659" s="46">
        <v>33.97</v>
      </c>
      <c r="DR5659" s="46">
        <v>42.16</v>
      </c>
      <c r="DW5659" s="126">
        <v>49.84</v>
      </c>
      <c r="EC5659" s="126">
        <v>26.39</v>
      </c>
      <c r="EI5659" s="150">
        <v>108.21</v>
      </c>
      <c r="EM5659" s="150">
        <v>117.26</v>
      </c>
      <c r="EQ5659" s="46">
        <v>85.17</v>
      </c>
      <c r="EU5659" s="126">
        <v>83.33</v>
      </c>
      <c r="FE5659" s="170">
        <v>13.9</v>
      </c>
      <c r="FH5659" s="46">
        <v>13.05</v>
      </c>
      <c r="FP5659" s="210">
        <v>22.35</v>
      </c>
      <c r="FY5659" s="126">
        <v>23.25</v>
      </c>
      <c r="GC5659" s="157">
        <v>46.2</v>
      </c>
      <c r="GI5659" s="251">
        <v>24.45</v>
      </c>
    </row>
    <row r="5660" spans="1:199" x14ac:dyDescent="0.25">
      <c r="A5660" s="127">
        <v>45918</v>
      </c>
      <c r="B5660" s="24" t="s">
        <v>48</v>
      </c>
      <c r="C5660" s="21">
        <f t="shared" si="92"/>
        <v>-124</v>
      </c>
      <c r="EA5660" s="74">
        <v>-124</v>
      </c>
    </row>
    <row r="5661" spans="1:199" x14ac:dyDescent="0.25">
      <c r="A5661" s="127">
        <v>45918</v>
      </c>
      <c r="B5661" s="24" t="s">
        <v>48</v>
      </c>
      <c r="C5661" s="21">
        <f t="shared" si="92"/>
        <v>-41.44</v>
      </c>
      <c r="DA5661" s="126">
        <v>-7.89</v>
      </c>
      <c r="DK5661" s="106">
        <v>-17.715</v>
      </c>
      <c r="DP5661" s="74">
        <v>-15.835000000000001</v>
      </c>
    </row>
    <row r="5662" spans="1:199" x14ac:dyDescent="0.25">
      <c r="A5662" s="127">
        <v>45919</v>
      </c>
      <c r="B5662" s="24" t="s">
        <v>197</v>
      </c>
      <c r="C5662" s="21">
        <f t="shared" si="92"/>
        <v>-74.805000000000007</v>
      </c>
      <c r="BI5662" s="106">
        <v>-7.4</v>
      </c>
      <c r="BU5662" s="106">
        <v>-16.7</v>
      </c>
      <c r="CA5662" s="106">
        <v>-16.324999999999999</v>
      </c>
      <c r="CM5662" s="106">
        <v>-17.649999999999999</v>
      </c>
      <c r="CU5662" s="126">
        <v>-16.73</v>
      </c>
    </row>
    <row r="5663" spans="1:199" x14ac:dyDescent="0.25">
      <c r="A5663" s="127">
        <v>45920</v>
      </c>
      <c r="B5663" s="24" t="s">
        <v>162</v>
      </c>
      <c r="C5663" s="21">
        <f t="shared" si="92"/>
        <v>-8.85</v>
      </c>
      <c r="CM5663" s="106">
        <v>-8.85</v>
      </c>
    </row>
    <row r="5664" spans="1:199" x14ac:dyDescent="0.25">
      <c r="A5664" s="127">
        <v>45920</v>
      </c>
      <c r="B5664" s="24" t="s">
        <v>33</v>
      </c>
      <c r="C5664" s="21">
        <f t="shared" si="92"/>
        <v>-8.0549999999999997</v>
      </c>
      <c r="AG5664" s="106">
        <v>-8.0549999999999997</v>
      </c>
    </row>
    <row r="5665" spans="1:154" x14ac:dyDescent="0.25">
      <c r="A5665" s="127">
        <v>45922</v>
      </c>
      <c r="B5665" s="24" t="s">
        <v>229</v>
      </c>
      <c r="C5665" s="21">
        <f t="shared" si="92"/>
        <v>-24.2</v>
      </c>
      <c r="BC5665" s="106">
        <v>-24.2</v>
      </c>
    </row>
    <row r="5666" spans="1:154" x14ac:dyDescent="0.25">
      <c r="A5666" s="127">
        <v>45923</v>
      </c>
      <c r="B5666" s="24" t="s">
        <v>188</v>
      </c>
      <c r="C5666" s="21">
        <f t="shared" si="92"/>
        <v>-15.45</v>
      </c>
      <c r="BC5666" s="106">
        <v>-6.85</v>
      </c>
      <c r="BU5666" s="106">
        <v>-8.6</v>
      </c>
    </row>
    <row r="5667" spans="1:154" x14ac:dyDescent="0.25">
      <c r="A5667" s="127">
        <v>45923</v>
      </c>
      <c r="B5667" s="24" t="s">
        <v>113</v>
      </c>
      <c r="C5667" s="21">
        <f t="shared" si="92"/>
        <v>1285.7049999999999</v>
      </c>
      <c r="Z5667" s="79">
        <v>31.524999999999999</v>
      </c>
      <c r="AN5667" s="106">
        <v>34.11</v>
      </c>
      <c r="AR5667" s="106">
        <v>51.12</v>
      </c>
      <c r="AW5667" s="106">
        <v>80.13</v>
      </c>
      <c r="BC5667" s="106">
        <v>105.605</v>
      </c>
      <c r="BI5667" s="106">
        <v>136.255</v>
      </c>
      <c r="BO5667" s="106">
        <v>107.3</v>
      </c>
      <c r="BU5667" s="106">
        <v>99.75</v>
      </c>
      <c r="CA5667" s="106">
        <v>140.66</v>
      </c>
      <c r="CG5667" s="106">
        <v>156.94999999999999</v>
      </c>
      <c r="CM5667" s="106">
        <v>100.25</v>
      </c>
      <c r="CS5667" s="74">
        <v>69.42</v>
      </c>
      <c r="CY5667" s="106">
        <v>101.29</v>
      </c>
      <c r="DE5667" s="74">
        <v>71.34</v>
      </c>
    </row>
    <row r="5668" spans="1:154" x14ac:dyDescent="0.25">
      <c r="A5668" s="127">
        <v>45924</v>
      </c>
      <c r="B5668" s="24" t="s">
        <v>48</v>
      </c>
      <c r="C5668" s="21">
        <f t="shared" si="92"/>
        <v>-13.35</v>
      </c>
      <c r="EX5668" s="251">
        <v>-13.35</v>
      </c>
    </row>
    <row r="5669" spans="1:154" x14ac:dyDescent="0.25">
      <c r="A5669" s="127">
        <v>45924</v>
      </c>
      <c r="B5669" s="24" t="s">
        <v>20</v>
      </c>
      <c r="C5669" s="21">
        <f t="shared" si="92"/>
        <v>-39.270000000000003</v>
      </c>
      <c r="AW5669" s="106">
        <v>-8.23</v>
      </c>
      <c r="BI5669" s="106">
        <v>-7.45</v>
      </c>
      <c r="BU5669" s="106">
        <v>-7.55</v>
      </c>
      <c r="CA5669" s="106">
        <v>-7.89</v>
      </c>
      <c r="CG5669" s="106">
        <v>-8.15</v>
      </c>
    </row>
    <row r="5670" spans="1:154" x14ac:dyDescent="0.25">
      <c r="A5670" s="127">
        <v>45924</v>
      </c>
      <c r="B5670" s="24" t="s">
        <v>193</v>
      </c>
      <c r="C5670" s="21">
        <f t="shared" si="92"/>
        <v>-7.17</v>
      </c>
      <c r="AC5670" s="106">
        <v>-7.17</v>
      </c>
    </row>
    <row r="5671" spans="1:154" x14ac:dyDescent="0.25">
      <c r="A5671" s="127">
        <v>45924</v>
      </c>
      <c r="B5671" s="24" t="s">
        <v>224</v>
      </c>
      <c r="C5671" s="21">
        <f t="shared" si="92"/>
        <v>-25.72</v>
      </c>
      <c r="AN5671" s="106">
        <v>-8.57</v>
      </c>
      <c r="BO5671" s="106">
        <v>-9.1</v>
      </c>
      <c r="BU5671" s="106">
        <v>-8.0500000000000007</v>
      </c>
    </row>
    <row r="5672" spans="1:154" x14ac:dyDescent="0.25">
      <c r="A5672" s="127">
        <v>45924</v>
      </c>
      <c r="B5672" s="24" t="s">
        <v>184</v>
      </c>
      <c r="C5672" s="21">
        <f t="shared" si="92"/>
        <v>-107.985</v>
      </c>
      <c r="Z5672" s="79">
        <v>-14.39</v>
      </c>
      <c r="AR5672" s="106">
        <v>-8.4649999999999999</v>
      </c>
      <c r="AW5672" s="106">
        <v>-8.3149999999999995</v>
      </c>
      <c r="BC5672" s="106">
        <v>-14.7</v>
      </c>
      <c r="BO5672" s="106">
        <v>-9.4</v>
      </c>
      <c r="CS5672" s="74">
        <v>-8.6150000000000002</v>
      </c>
      <c r="CY5672" s="106">
        <v>-8.0500000000000007</v>
      </c>
      <c r="EA5672" s="74">
        <v>-36.049999999999997</v>
      </c>
    </row>
    <row r="5673" spans="1:154" x14ac:dyDescent="0.25">
      <c r="A5673" s="127">
        <v>45924</v>
      </c>
      <c r="B5673" s="24" t="s">
        <v>33</v>
      </c>
      <c r="C5673" s="21">
        <f t="shared" si="92"/>
        <v>-41.064999999999998</v>
      </c>
      <c r="AW5673" s="106">
        <v>-7.5149999999999997</v>
      </c>
      <c r="BC5673" s="106">
        <v>-8.49</v>
      </c>
      <c r="BI5673" s="106">
        <v>-8.31</v>
      </c>
      <c r="BO5673" s="106">
        <v>-8.9499999999999993</v>
      </c>
      <c r="BU5673" s="106">
        <v>-7.8</v>
      </c>
    </row>
    <row r="5674" spans="1:154" x14ac:dyDescent="0.25">
      <c r="A5674" s="127">
        <v>45924</v>
      </c>
      <c r="B5674" s="24" t="s">
        <v>48</v>
      </c>
      <c r="C5674" s="21">
        <f t="shared" si="92"/>
        <v>-198.42500000000001</v>
      </c>
      <c r="AW5674" s="106">
        <v>-7.51</v>
      </c>
      <c r="BI5674" s="106">
        <v>-7.5</v>
      </c>
      <c r="BO5674" s="106">
        <v>-35.15</v>
      </c>
      <c r="BU5674" s="106">
        <v>-8.75</v>
      </c>
      <c r="CA5674" s="106">
        <f>-8.2-36</f>
        <v>-44.2</v>
      </c>
      <c r="CG5674" s="106">
        <v>-29.6</v>
      </c>
      <c r="DW5674" s="126">
        <v>-33.65</v>
      </c>
      <c r="EA5674" s="74">
        <v>-14.9</v>
      </c>
      <c r="EG5674" s="74">
        <v>-17.164999999999999</v>
      </c>
    </row>
    <row r="5675" spans="1:154" x14ac:dyDescent="0.25">
      <c r="A5675" s="127">
        <v>45924</v>
      </c>
      <c r="B5675" s="24" t="s">
        <v>48</v>
      </c>
      <c r="C5675" s="21">
        <f t="shared" si="92"/>
        <v>-228.745</v>
      </c>
      <c r="Z5675" s="79">
        <v>-8.5399999999999991</v>
      </c>
      <c r="AG5675" s="106">
        <v>-7.94</v>
      </c>
      <c r="AN5675" s="106">
        <v>-8.5749999999999993</v>
      </c>
      <c r="AR5675" s="106">
        <v>-8.5500000000000007</v>
      </c>
      <c r="AW5675" s="106">
        <v>-16.655000000000001</v>
      </c>
      <c r="BC5675" s="106">
        <v>-17.579999999999998</v>
      </c>
      <c r="BI5675" s="106">
        <v>-7.55</v>
      </c>
      <c r="BU5675" s="106">
        <v>-8.85</v>
      </c>
      <c r="CA5675" s="106">
        <v>-35.520000000000003</v>
      </c>
      <c r="CG5675" s="106">
        <v>-15.3</v>
      </c>
      <c r="CY5675" s="106">
        <v>-68.814999999999998</v>
      </c>
      <c r="DP5675" s="74">
        <v>-8.0299999999999994</v>
      </c>
      <c r="DR5675" s="46">
        <v>-16.84</v>
      </c>
    </row>
    <row r="5676" spans="1:154" x14ac:dyDescent="0.25">
      <c r="A5676" s="127">
        <v>45925</v>
      </c>
      <c r="B5676" s="24" t="s">
        <v>48</v>
      </c>
      <c r="C5676" s="21">
        <f t="shared" si="92"/>
        <v>-115.85</v>
      </c>
      <c r="AN5676" s="106">
        <v>-8.5549999999999997</v>
      </c>
      <c r="AR5676" s="106">
        <v>-8.15</v>
      </c>
      <c r="AW5676" s="106">
        <v>-8.23</v>
      </c>
      <c r="BC5676" s="106">
        <v>-6.35</v>
      </c>
      <c r="BI5676" s="106">
        <v>-16.155000000000001</v>
      </c>
      <c r="BO5676" s="106">
        <v>-8.9499999999999993</v>
      </c>
      <c r="BU5676" s="106">
        <f>-16.95-9.15</f>
        <v>-26.1</v>
      </c>
      <c r="CG5676" s="106">
        <v>-6.8</v>
      </c>
      <c r="DK5676" s="106">
        <v>-26.56</v>
      </c>
    </row>
    <row r="5677" spans="1:154" x14ac:dyDescent="0.25">
      <c r="A5677" s="127">
        <v>45925</v>
      </c>
      <c r="B5677" s="24" t="s">
        <v>48</v>
      </c>
      <c r="C5677" s="21">
        <f t="shared" si="92"/>
        <v>-52.155000000000001</v>
      </c>
      <c r="AR5677" s="106">
        <v>-9.1300000000000008</v>
      </c>
      <c r="BC5677" s="106">
        <v>-8.25</v>
      </c>
      <c r="BO5677" s="106">
        <v>-8.9499999999999993</v>
      </c>
      <c r="CG5677" s="106">
        <v>-8.6999999999999993</v>
      </c>
      <c r="DK5677" s="106">
        <v>-17.125</v>
      </c>
    </row>
    <row r="5678" spans="1:154" x14ac:dyDescent="0.25">
      <c r="A5678" s="127">
        <v>45925</v>
      </c>
      <c r="B5678" s="24" t="s">
        <v>48</v>
      </c>
      <c r="C5678" s="21">
        <f t="shared" si="92"/>
        <v>-168.76</v>
      </c>
      <c r="AR5678" s="106">
        <v>-8.51</v>
      </c>
      <c r="AW5678" s="106">
        <v>-8.35</v>
      </c>
      <c r="BC5678" s="106">
        <v>-6.15</v>
      </c>
      <c r="BI5678" s="106">
        <v>-15.545</v>
      </c>
      <c r="BU5678" s="106">
        <v>-8.8000000000000007</v>
      </c>
      <c r="CA5678" s="106">
        <v>-18.25</v>
      </c>
      <c r="CG5678" s="106">
        <v>-16.649999999999999</v>
      </c>
      <c r="CM5678" s="106">
        <v>-17.5</v>
      </c>
      <c r="CY5678" s="106">
        <v>-16.364999999999998</v>
      </c>
      <c r="DE5678" s="74">
        <v>-35.69</v>
      </c>
      <c r="DK5678" s="106">
        <v>-9</v>
      </c>
      <c r="DR5678" s="46">
        <v>-7.95</v>
      </c>
    </row>
    <row r="5679" spans="1:154" x14ac:dyDescent="0.25">
      <c r="A5679" s="127">
        <v>45925</v>
      </c>
      <c r="B5679" s="24" t="s">
        <v>127</v>
      </c>
      <c r="C5679" s="21">
        <f t="shared" si="92"/>
        <v>-17.399999999999999</v>
      </c>
      <c r="CG5679" s="106">
        <v>-8.6</v>
      </c>
      <c r="CM5679" s="106">
        <v>-8.8000000000000007</v>
      </c>
    </row>
    <row r="5680" spans="1:154" x14ac:dyDescent="0.25">
      <c r="A5680" s="127">
        <v>45925</v>
      </c>
      <c r="B5680" s="24" t="s">
        <v>212</v>
      </c>
      <c r="C5680" s="21">
        <f t="shared" si="92"/>
        <v>-8.9350000000000005</v>
      </c>
      <c r="DE5680" s="74">
        <v>-8.9350000000000005</v>
      </c>
    </row>
    <row r="5681" spans="1:134" x14ac:dyDescent="0.25">
      <c r="A5681" s="127">
        <v>45925</v>
      </c>
      <c r="B5681" s="24" t="s">
        <v>230</v>
      </c>
      <c r="C5681" s="21">
        <f t="shared" ref="C5681:C5734" si="93">SUM(D5681:JT5681)</f>
        <v>-7.33</v>
      </c>
      <c r="E5681" s="386">
        <v>-7.33</v>
      </c>
    </row>
    <row r="5682" spans="1:134" x14ac:dyDescent="0.25">
      <c r="A5682" s="127">
        <v>45925</v>
      </c>
      <c r="B5682" s="24" t="s">
        <v>48</v>
      </c>
      <c r="C5682" s="21">
        <f t="shared" si="93"/>
        <v>-7.23</v>
      </c>
      <c r="AC5682" s="106">
        <v>-7.23</v>
      </c>
    </row>
    <row r="5683" spans="1:134" x14ac:dyDescent="0.25">
      <c r="A5683" s="127">
        <v>45926</v>
      </c>
      <c r="B5683" s="24" t="s">
        <v>48</v>
      </c>
      <c r="C5683" s="21">
        <f t="shared" si="93"/>
        <v>-35.195</v>
      </c>
      <c r="CA5683" s="106">
        <v>-35.195</v>
      </c>
    </row>
    <row r="5684" spans="1:134" x14ac:dyDescent="0.25">
      <c r="A5684" s="127">
        <v>45926</v>
      </c>
      <c r="B5684" s="24" t="s">
        <v>138</v>
      </c>
      <c r="C5684" s="21">
        <f t="shared" si="93"/>
        <v>-14.734999999999999</v>
      </c>
      <c r="BU5684" s="106">
        <v>-6.65</v>
      </c>
      <c r="CA5684" s="106">
        <v>-8.0850000000000009</v>
      </c>
    </row>
    <row r="5685" spans="1:134" x14ac:dyDescent="0.25">
      <c r="A5685" s="127">
        <v>45926</v>
      </c>
      <c r="B5685" s="24" t="s">
        <v>213</v>
      </c>
      <c r="C5685" s="21">
        <f t="shared" si="93"/>
        <v>-85.575000000000003</v>
      </c>
      <c r="BI5685" s="106">
        <v>-28.225000000000001</v>
      </c>
      <c r="BO5685" s="106">
        <v>-17.5</v>
      </c>
      <c r="BU5685" s="106">
        <v>-16.7</v>
      </c>
      <c r="CG5685" s="106">
        <v>-23.15</v>
      </c>
    </row>
    <row r="5686" spans="1:134" x14ac:dyDescent="0.25">
      <c r="A5686" s="127">
        <v>45926</v>
      </c>
      <c r="B5686" s="24" t="s">
        <v>213</v>
      </c>
      <c r="C5686" s="21">
        <f t="shared" si="93"/>
        <v>-23.87</v>
      </c>
      <c r="Z5686" s="79">
        <v>-8.5950000000000006</v>
      </c>
      <c r="AN5686" s="106">
        <v>-8.4749999999999996</v>
      </c>
      <c r="AW5686" s="106">
        <v>-6.8</v>
      </c>
    </row>
    <row r="5687" spans="1:134" x14ac:dyDescent="0.25">
      <c r="A5687" s="127">
        <v>45926</v>
      </c>
      <c r="B5687" s="24" t="s">
        <v>48</v>
      </c>
      <c r="C5687" s="21">
        <f t="shared" si="93"/>
        <v>-7.5149999999999997</v>
      </c>
      <c r="AW5687" s="106">
        <v>-7.5149999999999997</v>
      </c>
    </row>
    <row r="5688" spans="1:134" x14ac:dyDescent="0.25">
      <c r="A5688" s="127">
        <v>45926</v>
      </c>
      <c r="B5688" s="24" t="s">
        <v>212</v>
      </c>
      <c r="C5688" s="21">
        <f t="shared" si="93"/>
        <v>-8.57</v>
      </c>
      <c r="AC5688" s="106">
        <v>-8.57</v>
      </c>
    </row>
    <row r="5689" spans="1:134" x14ac:dyDescent="0.25">
      <c r="A5689" s="127">
        <v>45927</v>
      </c>
      <c r="B5689" s="24" t="s">
        <v>171</v>
      </c>
      <c r="C5689" s="21">
        <f t="shared" si="93"/>
        <v>-8.25</v>
      </c>
      <c r="AR5689" s="106">
        <v>-8.25</v>
      </c>
    </row>
    <row r="5690" spans="1:134" x14ac:dyDescent="0.25">
      <c r="A5690" s="127">
        <v>45927</v>
      </c>
      <c r="B5690" s="24" t="s">
        <v>48</v>
      </c>
      <c r="C5690" s="21">
        <f t="shared" si="93"/>
        <v>-32.880000000000003</v>
      </c>
      <c r="AC5690" s="106">
        <v>-8.51</v>
      </c>
      <c r="AI5690" s="126">
        <v>-7.36</v>
      </c>
      <c r="AR5690" s="106">
        <v>-17.010000000000002</v>
      </c>
    </row>
    <row r="5691" spans="1:134" x14ac:dyDescent="0.25">
      <c r="A5691" s="127">
        <v>45929</v>
      </c>
      <c r="B5691" s="24" t="s">
        <v>113</v>
      </c>
      <c r="C5691" s="21">
        <f t="shared" si="93"/>
        <v>736.94500000000005</v>
      </c>
      <c r="AC5691" s="106">
        <v>32.090000000000003</v>
      </c>
      <c r="AG5691" s="106">
        <v>33.164999999999999</v>
      </c>
      <c r="AN5691" s="106">
        <v>30.85</v>
      </c>
      <c r="AR5691" s="106">
        <v>32.33</v>
      </c>
      <c r="BC5691" s="106">
        <v>33.365000000000002</v>
      </c>
      <c r="BI5691" s="106">
        <v>63.72</v>
      </c>
      <c r="BO5691" s="106">
        <v>36.25</v>
      </c>
      <c r="BU5691" s="106">
        <v>58.04</v>
      </c>
      <c r="CA5691" s="106">
        <v>133.9</v>
      </c>
      <c r="CS5691" s="74">
        <v>68.125</v>
      </c>
      <c r="CY5691" s="106">
        <v>31.3</v>
      </c>
      <c r="DE5691" s="74">
        <v>64.900000000000006</v>
      </c>
      <c r="DK5691" s="106">
        <v>69.215000000000003</v>
      </c>
      <c r="DP5691" s="74">
        <v>16.895</v>
      </c>
      <c r="EA5691" s="74">
        <v>32.799999999999997</v>
      </c>
    </row>
    <row r="5692" spans="1:134" x14ac:dyDescent="0.25">
      <c r="A5692" s="127">
        <v>45929</v>
      </c>
      <c r="B5692" s="29" t="s">
        <v>115</v>
      </c>
      <c r="C5692" s="21">
        <f t="shared" si="93"/>
        <v>99.74</v>
      </c>
      <c r="DX5692" s="115">
        <v>32.79</v>
      </c>
      <c r="ED5692" s="115">
        <v>66.95</v>
      </c>
    </row>
    <row r="5693" spans="1:134" x14ac:dyDescent="0.25">
      <c r="A5693" s="127">
        <v>45929</v>
      </c>
      <c r="B5693" s="24" t="s">
        <v>184</v>
      </c>
      <c r="C5693" s="21">
        <f t="shared" si="93"/>
        <v>-238.8</v>
      </c>
      <c r="AN5693" s="106">
        <v>-8.57</v>
      </c>
      <c r="AW5693" s="106">
        <v>-22.54</v>
      </c>
      <c r="BC5693" s="106">
        <v>-25.01</v>
      </c>
      <c r="BI5693" s="106">
        <v>-16.295000000000002</v>
      </c>
      <c r="BO5693" s="106">
        <v>-18.05</v>
      </c>
      <c r="BU5693" s="106">
        <v>-34.049999999999997</v>
      </c>
      <c r="CA5693" s="106">
        <v>-34.1</v>
      </c>
      <c r="CS5693" s="74">
        <v>-34.299999999999997</v>
      </c>
      <c r="CY5693" s="106">
        <v>-16.18</v>
      </c>
      <c r="EA5693" s="74">
        <v>-15.164999999999999</v>
      </c>
      <c r="ED5693" s="115">
        <v>-14.54</v>
      </c>
    </row>
    <row r="5694" spans="1:134" x14ac:dyDescent="0.25">
      <c r="A5694" s="127">
        <v>45929</v>
      </c>
      <c r="B5694" s="29" t="s">
        <v>48</v>
      </c>
      <c r="C5694" s="21">
        <f t="shared" si="93"/>
        <v>-23.95</v>
      </c>
      <c r="AW5694" s="106">
        <v>-7.55</v>
      </c>
      <c r="BC5694" s="106">
        <v>-7.55</v>
      </c>
      <c r="CM5694" s="106">
        <v>-8.85</v>
      </c>
    </row>
    <row r="5695" spans="1:134" x14ac:dyDescent="0.25">
      <c r="A5695" s="127">
        <v>45929</v>
      </c>
      <c r="B5695" s="29" t="s">
        <v>48</v>
      </c>
      <c r="C5695" s="21">
        <f t="shared" si="93"/>
        <v>-35.25</v>
      </c>
      <c r="CA5695" s="106">
        <v>-35.25</v>
      </c>
    </row>
    <row r="5696" spans="1:134" x14ac:dyDescent="0.25">
      <c r="A5696" s="127">
        <v>45929</v>
      </c>
      <c r="B5696" s="29" t="s">
        <v>218</v>
      </c>
      <c r="C5696" s="21">
        <f t="shared" si="93"/>
        <v>-67.034999999999997</v>
      </c>
      <c r="AN5696" s="106">
        <v>-8.4700000000000006</v>
      </c>
      <c r="AR5696" s="106">
        <v>-8.58</v>
      </c>
      <c r="AZ5696" s="182">
        <v>-14.39</v>
      </c>
      <c r="BI5696" s="106">
        <v>-8.5500000000000007</v>
      </c>
      <c r="BO5696" s="106">
        <f>-9.3-8.545</f>
        <v>-17.844999999999999</v>
      </c>
      <c r="CA5696" s="106">
        <v>-9.1999999999999993</v>
      </c>
    </row>
    <row r="5697" spans="1:208" x14ac:dyDescent="0.25">
      <c r="A5697" s="127">
        <v>45929</v>
      </c>
      <c r="B5697" s="24" t="s">
        <v>213</v>
      </c>
      <c r="C5697" s="21">
        <f t="shared" si="93"/>
        <v>-166.92500000000001</v>
      </c>
      <c r="CA5697" s="106">
        <v>-30.25</v>
      </c>
      <c r="DX5697" s="115">
        <v>-32.79</v>
      </c>
      <c r="EA5697" s="74">
        <v>-25.085000000000001</v>
      </c>
      <c r="EC5697" s="126">
        <v>-26.39</v>
      </c>
      <c r="ED5697" s="115">
        <v>-52.41</v>
      </c>
    </row>
    <row r="5698" spans="1:208" x14ac:dyDescent="0.25">
      <c r="A5698" s="127">
        <v>45930</v>
      </c>
      <c r="B5698" s="24" t="s">
        <v>75</v>
      </c>
      <c r="C5698" s="21">
        <f t="shared" si="93"/>
        <v>-16</v>
      </c>
      <c r="AW5698" s="106">
        <v>-7.6</v>
      </c>
      <c r="CA5698" s="106">
        <v>-8.4</v>
      </c>
    </row>
    <row r="5699" spans="1:208" x14ac:dyDescent="0.25">
      <c r="A5699" s="127">
        <v>45930</v>
      </c>
      <c r="B5699" s="24" t="s">
        <v>58</v>
      </c>
      <c r="C5699" s="21">
        <f t="shared" si="93"/>
        <v>-22.35</v>
      </c>
      <c r="FP5699" s="210">
        <v>-22.35</v>
      </c>
    </row>
    <row r="5700" spans="1:208" x14ac:dyDescent="0.25">
      <c r="A5700" s="127">
        <v>45930</v>
      </c>
      <c r="B5700" s="24" t="s">
        <v>213</v>
      </c>
      <c r="C5700" s="21">
        <f t="shared" si="93"/>
        <v>-63.01</v>
      </c>
      <c r="BO5700" s="106">
        <v>-18.2</v>
      </c>
      <c r="BU5700" s="106">
        <v>-12.125</v>
      </c>
      <c r="CS5700" s="74">
        <v>-17.559999999999999</v>
      </c>
      <c r="CY5700" s="106">
        <v>-15.125</v>
      </c>
    </row>
    <row r="5701" spans="1:208" x14ac:dyDescent="0.25">
      <c r="A5701" s="127">
        <v>45930</v>
      </c>
      <c r="B5701" s="24" t="s">
        <v>231</v>
      </c>
      <c r="C5701" s="21">
        <f t="shared" si="93"/>
        <v>38.664999999999999</v>
      </c>
      <c r="M5701" s="92">
        <v>-35.555</v>
      </c>
      <c r="P5701" s="106">
        <v>19.440000000000001</v>
      </c>
      <c r="W5701" s="163">
        <v>33.020000000000003</v>
      </c>
      <c r="GX5701" s="106">
        <v>21.76</v>
      </c>
    </row>
    <row r="5702" spans="1:208" x14ac:dyDescent="0.25">
      <c r="A5702" s="127">
        <v>45930</v>
      </c>
      <c r="B5702" s="24" t="s">
        <v>113</v>
      </c>
      <c r="C5702" s="21">
        <f t="shared" si="93"/>
        <v>1328.0050000000001</v>
      </c>
      <c r="Z5702" s="79">
        <v>71.87</v>
      </c>
      <c r="AN5702" s="106">
        <v>67.28</v>
      </c>
      <c r="AR5702" s="106">
        <v>67.665000000000006</v>
      </c>
      <c r="AW5702" s="106">
        <v>111.39</v>
      </c>
      <c r="BC5702" s="106">
        <v>66.94</v>
      </c>
      <c r="BO5702" s="106">
        <v>182.10499999999999</v>
      </c>
      <c r="BU5702" s="106">
        <v>34.450000000000003</v>
      </c>
      <c r="CM5702" s="106">
        <v>34.15</v>
      </c>
      <c r="CS5702" s="74">
        <v>67.16</v>
      </c>
      <c r="CY5702" s="106">
        <v>81.435000000000002</v>
      </c>
      <c r="DE5702" s="74">
        <v>95.7</v>
      </c>
      <c r="DP5702" s="74">
        <v>213.255</v>
      </c>
      <c r="EG5702" s="74">
        <v>69.55</v>
      </c>
      <c r="GZ5702" s="106">
        <v>165.05500000000001</v>
      </c>
    </row>
    <row r="5703" spans="1:208" x14ac:dyDescent="0.25">
      <c r="A5703" s="127">
        <v>45930</v>
      </c>
      <c r="B5703" s="24" t="s">
        <v>48</v>
      </c>
      <c r="C5703" s="21">
        <f t="shared" si="93"/>
        <v>-268.34500000000003</v>
      </c>
      <c r="BO5703" s="106">
        <v>-132.43</v>
      </c>
      <c r="BU5703" s="106">
        <v>-34.450000000000003</v>
      </c>
      <c r="CS5703" s="74">
        <v>-101.465</v>
      </c>
    </row>
    <row r="5704" spans="1:208" x14ac:dyDescent="0.25">
      <c r="A5704" s="127">
        <v>45931</v>
      </c>
      <c r="B5704" s="24" t="s">
        <v>197</v>
      </c>
      <c r="C5704" s="21">
        <f t="shared" si="93"/>
        <v>-51.46</v>
      </c>
      <c r="CM5704" s="106">
        <v>-17.7</v>
      </c>
      <c r="CS5704" s="74">
        <v>-17.57</v>
      </c>
      <c r="DW5704" s="126">
        <v>-16.190000000000001</v>
      </c>
    </row>
    <row r="5705" spans="1:208" x14ac:dyDescent="0.25">
      <c r="A5705" s="127">
        <v>45931</v>
      </c>
      <c r="B5705" s="24" t="s">
        <v>138</v>
      </c>
      <c r="C5705" s="21">
        <f t="shared" si="93"/>
        <v>-8.3249999999999993</v>
      </c>
      <c r="BC5705" s="106">
        <v>-8.3249999999999993</v>
      </c>
    </row>
    <row r="5706" spans="1:208" x14ac:dyDescent="0.25">
      <c r="A5706" s="127">
        <v>45931</v>
      </c>
      <c r="B5706" s="24" t="s">
        <v>184</v>
      </c>
      <c r="C5706" s="21">
        <f t="shared" si="93"/>
        <v>-32.265000000000001</v>
      </c>
      <c r="CY5706" s="106">
        <v>-32.265000000000001</v>
      </c>
    </row>
    <row r="5707" spans="1:208" x14ac:dyDescent="0.25">
      <c r="A5707" s="127">
        <v>45931</v>
      </c>
      <c r="B5707" s="24" t="s">
        <v>24</v>
      </c>
      <c r="C5707" s="21">
        <f t="shared" si="93"/>
        <v>-85.2</v>
      </c>
      <c r="AN5707" s="106">
        <v>-8.5850000000000009</v>
      </c>
      <c r="BC5707" s="106">
        <v>-15.404999999999999</v>
      </c>
      <c r="BI5707" s="106">
        <v>-13.89</v>
      </c>
      <c r="BO5707" s="106">
        <v>-24.844999999999999</v>
      </c>
      <c r="BU5707" s="106">
        <v>-5.55</v>
      </c>
      <c r="CA5707" s="106">
        <v>-16.925000000000001</v>
      </c>
    </row>
    <row r="5708" spans="1:208" x14ac:dyDescent="0.25">
      <c r="A5708" s="127">
        <v>45931</v>
      </c>
      <c r="B5708" s="24" t="s">
        <v>17</v>
      </c>
      <c r="C5708" s="21">
        <f t="shared" si="93"/>
        <v>-31.295000000000002</v>
      </c>
      <c r="BC5708" s="106">
        <v>-7.1</v>
      </c>
      <c r="BI5708" s="106">
        <v>-7.65</v>
      </c>
      <c r="BO5708" s="106">
        <v>-16.545000000000002</v>
      </c>
    </row>
    <row r="5709" spans="1:208" x14ac:dyDescent="0.25">
      <c r="A5709" s="127">
        <v>45931</v>
      </c>
      <c r="B5709" s="24" t="s">
        <v>68</v>
      </c>
      <c r="C5709" s="21">
        <f t="shared" si="93"/>
        <v>-64.174999999999997</v>
      </c>
      <c r="AR5709" s="106">
        <v>-8.26</v>
      </c>
      <c r="AW5709" s="106">
        <v>-9.3000000000000007</v>
      </c>
      <c r="BC5709" s="106">
        <v>-8.4149999999999991</v>
      </c>
      <c r="BI5709" s="106">
        <v>-6.3</v>
      </c>
      <c r="BO5709" s="106">
        <v>-8.2850000000000001</v>
      </c>
      <c r="BU5709" s="106">
        <v>-15.365</v>
      </c>
      <c r="CA5709" s="106">
        <v>-8.25</v>
      </c>
    </row>
    <row r="5710" spans="1:208" x14ac:dyDescent="0.25">
      <c r="A5710" s="127">
        <v>45931</v>
      </c>
      <c r="B5710" s="24" t="s">
        <v>193</v>
      </c>
      <c r="C5710" s="21">
        <f t="shared" si="93"/>
        <v>-2.31</v>
      </c>
      <c r="P5710" s="106">
        <v>-2.31</v>
      </c>
    </row>
    <row r="5711" spans="1:208" x14ac:dyDescent="0.25">
      <c r="A5711" s="127">
        <v>45931</v>
      </c>
      <c r="B5711" s="24" t="s">
        <v>218</v>
      </c>
      <c r="C5711" s="21">
        <f t="shared" si="93"/>
        <v>442.05</v>
      </c>
      <c r="CC5711" s="126">
        <v>8.57</v>
      </c>
      <c r="CO5711" s="126">
        <v>8.57</v>
      </c>
      <c r="CU5711" s="126">
        <v>24.21</v>
      </c>
      <c r="DA5711" s="126">
        <v>16.32</v>
      </c>
      <c r="DM5711" s="46">
        <v>25.44</v>
      </c>
      <c r="DR5711" s="46">
        <v>9.36</v>
      </c>
      <c r="DW5711" s="126">
        <v>50.41</v>
      </c>
      <c r="EC5711" s="126">
        <v>41.76</v>
      </c>
      <c r="EI5711" s="150">
        <v>24.29</v>
      </c>
      <c r="EM5711" s="150">
        <v>42.03</v>
      </c>
      <c r="EQ5711" s="46">
        <v>52.04</v>
      </c>
      <c r="EU5711" s="126">
        <v>69.599999999999994</v>
      </c>
      <c r="FN5711" s="150">
        <v>25.05</v>
      </c>
      <c r="GC5711" s="157">
        <v>19.149999999999999</v>
      </c>
      <c r="GI5711" s="251">
        <v>25.25</v>
      </c>
    </row>
    <row r="5712" spans="1:208" x14ac:dyDescent="0.25">
      <c r="A5712" s="127">
        <v>45931</v>
      </c>
      <c r="B5712" s="24" t="s">
        <v>197</v>
      </c>
      <c r="C5712" s="21">
        <f t="shared" si="93"/>
        <v>-84.91</v>
      </c>
      <c r="CC5712" s="126">
        <v>-8.57</v>
      </c>
      <c r="DW5712" s="126">
        <v>-34.58</v>
      </c>
      <c r="EC5712" s="126">
        <v>-41.76</v>
      </c>
    </row>
    <row r="5713" spans="1:214" x14ac:dyDescent="0.25">
      <c r="A5713" s="127">
        <v>45931</v>
      </c>
      <c r="B5713" s="24" t="s">
        <v>184</v>
      </c>
      <c r="C5713" s="21">
        <f t="shared" si="93"/>
        <v>-249.47</v>
      </c>
      <c r="DP5713" s="74">
        <v>-144.185</v>
      </c>
      <c r="EG5713" s="74">
        <v>-105.285</v>
      </c>
    </row>
    <row r="5714" spans="1:214" x14ac:dyDescent="0.25">
      <c r="A5714" s="127">
        <v>45932</v>
      </c>
      <c r="B5714" s="24" t="s">
        <v>231</v>
      </c>
      <c r="C5714" s="21">
        <f t="shared" si="93"/>
        <v>-8.6449999999999996</v>
      </c>
      <c r="M5714" s="92">
        <f>7.41+6.29+8+8.875+8.84+7.9+36.98</f>
        <v>84.295000000000002</v>
      </c>
      <c r="GZ5714" s="106">
        <v>-92.94</v>
      </c>
    </row>
    <row r="5715" spans="1:214" x14ac:dyDescent="0.25">
      <c r="A5715" s="127">
        <v>45933</v>
      </c>
      <c r="B5715" s="24" t="s">
        <v>224</v>
      </c>
      <c r="C5715" s="21">
        <f t="shared" si="93"/>
        <v>-6.75</v>
      </c>
      <c r="CG5715" s="106">
        <v>-6.75</v>
      </c>
    </row>
    <row r="5716" spans="1:214" x14ac:dyDescent="0.25">
      <c r="A5716" s="127">
        <v>45933</v>
      </c>
      <c r="B5716" s="24" t="s">
        <v>79</v>
      </c>
      <c r="C5716" s="21">
        <f t="shared" si="93"/>
        <v>-33.505000000000003</v>
      </c>
      <c r="AR5716" s="106">
        <v>-8.4749999999999996</v>
      </c>
      <c r="CM5716" s="106">
        <v>-8.85</v>
      </c>
      <c r="CS5716" s="74">
        <v>-16.18</v>
      </c>
    </row>
    <row r="5717" spans="1:214" x14ac:dyDescent="0.25">
      <c r="A5717" s="127">
        <v>45934</v>
      </c>
      <c r="B5717" s="24" t="s">
        <v>188</v>
      </c>
      <c r="C5717" s="21">
        <f t="shared" si="93"/>
        <v>-8.6999999999999993</v>
      </c>
      <c r="CM5717" s="106">
        <v>-8.6999999999999993</v>
      </c>
    </row>
    <row r="5718" spans="1:214" x14ac:dyDescent="0.25">
      <c r="A5718" s="127">
        <v>45936</v>
      </c>
      <c r="B5718" s="24" t="s">
        <v>115</v>
      </c>
      <c r="C5718" s="21">
        <f t="shared" ref="C5718:C5725" si="94">SUM(D5718:JT5718)</f>
        <v>72.02</v>
      </c>
      <c r="F5718" s="145">
        <v>72.02</v>
      </c>
    </row>
    <row r="5719" spans="1:214" x14ac:dyDescent="0.25">
      <c r="A5719" s="127">
        <v>45937</v>
      </c>
      <c r="B5719" s="24" t="s">
        <v>48</v>
      </c>
      <c r="C5719" s="21">
        <f t="shared" si="94"/>
        <v>-106.855</v>
      </c>
      <c r="AW5719" s="106">
        <v>-58.34</v>
      </c>
      <c r="BC5719" s="106">
        <v>-33.58</v>
      </c>
      <c r="ET5719" s="106">
        <v>-14.935</v>
      </c>
    </row>
    <row r="5720" spans="1:214" x14ac:dyDescent="0.25">
      <c r="A5720" s="127">
        <v>45937</v>
      </c>
      <c r="B5720" s="24" t="s">
        <v>48</v>
      </c>
      <c r="C5720" s="21">
        <f t="shared" si="94"/>
        <v>-7.2450000000000001</v>
      </c>
      <c r="GQ5720" s="92">
        <v>-7.2450000000000001</v>
      </c>
    </row>
    <row r="5721" spans="1:214" x14ac:dyDescent="0.25">
      <c r="A5721" s="127">
        <v>45937</v>
      </c>
      <c r="B5721" s="24" t="s">
        <v>171</v>
      </c>
      <c r="C5721" s="21">
        <f t="shared" si="94"/>
        <v>-24.2</v>
      </c>
      <c r="GG5721" s="210">
        <v>-24.2</v>
      </c>
    </row>
    <row r="5722" spans="1:214" x14ac:dyDescent="0.25">
      <c r="A5722" s="127">
        <v>45938</v>
      </c>
      <c r="B5722" s="24" t="s">
        <v>169</v>
      </c>
      <c r="C5722" s="21">
        <f t="shared" si="94"/>
        <v>-65.52</v>
      </c>
      <c r="E5722" s="386">
        <v>-29.51</v>
      </c>
      <c r="F5722" s="145">
        <v>-36.01</v>
      </c>
    </row>
    <row r="5723" spans="1:214" x14ac:dyDescent="0.25">
      <c r="A5723" s="127">
        <v>45938</v>
      </c>
      <c r="B5723" s="24" t="s">
        <v>202</v>
      </c>
      <c r="C5723" s="21">
        <f t="shared" si="94"/>
        <v>-14.06</v>
      </c>
      <c r="E5723" s="386">
        <v>-14.06</v>
      </c>
    </row>
    <row r="5724" spans="1:214" x14ac:dyDescent="0.25">
      <c r="A5724" s="127">
        <v>45938</v>
      </c>
      <c r="B5724" s="24" t="s">
        <v>20</v>
      </c>
      <c r="C5724" s="21">
        <f>SUM(D5724:JT5724)</f>
        <v>-54.795000000000002</v>
      </c>
      <c r="W5724" s="163">
        <v>-3.6</v>
      </c>
      <c r="BC5724" s="106">
        <v>-7.7</v>
      </c>
      <c r="BI5724" s="106">
        <v>-8.1549999999999994</v>
      </c>
      <c r="CM5724" s="106">
        <v>-8.75</v>
      </c>
      <c r="DE5724" s="74">
        <v>-26.59</v>
      </c>
    </row>
    <row r="5725" spans="1:214" x14ac:dyDescent="0.25">
      <c r="A5725" s="127">
        <v>45938</v>
      </c>
      <c r="B5725" s="24" t="s">
        <v>44</v>
      </c>
      <c r="C5725" s="21">
        <f t="shared" si="94"/>
        <v>-206.714</v>
      </c>
      <c r="GK5725" s="79">
        <v>-27.664000000000001</v>
      </c>
      <c r="GQ5725" s="92">
        <v>-144.37</v>
      </c>
      <c r="HF5725" s="92">
        <v>-34.68</v>
      </c>
    </row>
    <row r="5726" spans="1:214" x14ac:dyDescent="0.25">
      <c r="A5726" s="127">
        <v>45938</v>
      </c>
      <c r="B5726" s="24" t="s">
        <v>25</v>
      </c>
      <c r="C5726" s="21">
        <f t="shared" si="93"/>
        <v>-72.790000000000006</v>
      </c>
      <c r="AG5726" s="106">
        <v>-8.61</v>
      </c>
      <c r="AR5726" s="106">
        <v>-8.1</v>
      </c>
      <c r="AW5726" s="106">
        <v>-6.7</v>
      </c>
      <c r="BC5726" s="106">
        <v>-8.4049999999999994</v>
      </c>
      <c r="BI5726" s="106">
        <v>-16.274999999999999</v>
      </c>
      <c r="CM5726" s="106">
        <v>-8.25</v>
      </c>
      <c r="CS5726" s="74">
        <v>-8.3949999999999996</v>
      </c>
      <c r="CY5726" s="106">
        <v>-8.0549999999999997</v>
      </c>
    </row>
    <row r="5727" spans="1:214" x14ac:dyDescent="0.25">
      <c r="A5727" s="127">
        <v>45940</v>
      </c>
      <c r="B5727" s="24" t="s">
        <v>127</v>
      </c>
      <c r="C5727" s="21">
        <f t="shared" si="93"/>
        <v>-24.79</v>
      </c>
      <c r="CM5727" s="106">
        <v>-17.149999999999999</v>
      </c>
      <c r="CU5727" s="126">
        <v>-7.64</v>
      </c>
    </row>
    <row r="5728" spans="1:214" x14ac:dyDescent="0.25">
      <c r="A5728" s="127">
        <v>45940</v>
      </c>
      <c r="B5728" s="24" t="s">
        <v>75</v>
      </c>
      <c r="C5728" s="21">
        <f t="shared" si="93"/>
        <v>-14.595000000000001</v>
      </c>
      <c r="AZ5728" s="182">
        <v>-7.1950000000000003</v>
      </c>
      <c r="BC5728" s="106">
        <v>-7.4</v>
      </c>
    </row>
    <row r="5729" spans="1:233" x14ac:dyDescent="0.25">
      <c r="A5729" s="127">
        <v>45940</v>
      </c>
      <c r="B5729" s="24" t="s">
        <v>138</v>
      </c>
      <c r="C5729" s="21">
        <f t="shared" si="93"/>
        <v>-15.36</v>
      </c>
      <c r="W5729" s="163">
        <v>-8.1300000000000008</v>
      </c>
      <c r="AZ5729" s="182">
        <v>-7.23</v>
      </c>
    </row>
    <row r="5730" spans="1:233" x14ac:dyDescent="0.25">
      <c r="A5730" s="127">
        <v>45940</v>
      </c>
      <c r="B5730" s="24" t="s">
        <v>48</v>
      </c>
      <c r="C5730" s="21">
        <f t="shared" si="93"/>
        <v>-33.53</v>
      </c>
      <c r="P5730" s="106">
        <v>-8.7100000000000009</v>
      </c>
      <c r="AR5730" s="106">
        <v>-16.670000000000002</v>
      </c>
      <c r="CU5730" s="126">
        <v>-8.15</v>
      </c>
    </row>
    <row r="5731" spans="1:233" x14ac:dyDescent="0.25">
      <c r="A5731" s="127">
        <v>45940</v>
      </c>
      <c r="B5731" s="24" t="s">
        <v>127</v>
      </c>
      <c r="C5731" s="21">
        <f t="shared" si="93"/>
        <v>-16.84</v>
      </c>
      <c r="AN5731" s="106">
        <v>-8.5399999999999991</v>
      </c>
      <c r="AR5731" s="106">
        <v>-8.3000000000000007</v>
      </c>
    </row>
    <row r="5732" spans="1:233" x14ac:dyDescent="0.25">
      <c r="A5732" s="127">
        <v>45943</v>
      </c>
      <c r="B5732" s="24" t="s">
        <v>50</v>
      </c>
      <c r="C5732" s="21">
        <f t="shared" si="93"/>
        <v>-130.785</v>
      </c>
      <c r="DP5732" s="74">
        <v>-85.965000000000003</v>
      </c>
      <c r="HY5732" s="38">
        <v>-44.82</v>
      </c>
    </row>
    <row r="5733" spans="1:233" x14ac:dyDescent="0.25">
      <c r="A5733" s="127">
        <v>45944</v>
      </c>
      <c r="B5733" s="24" t="s">
        <v>113</v>
      </c>
      <c r="C5733" s="21">
        <f t="shared" si="93"/>
        <v>843.08</v>
      </c>
      <c r="BC5733" s="106">
        <v>32.24</v>
      </c>
      <c r="BI5733" s="106">
        <v>102.285</v>
      </c>
      <c r="BO5733" s="106">
        <v>96.745000000000005</v>
      </c>
      <c r="BU5733" s="106">
        <v>111.75</v>
      </c>
      <c r="CA5733" s="106">
        <v>98.055000000000007</v>
      </c>
      <c r="CG5733" s="106">
        <v>103.685</v>
      </c>
      <c r="CS5733" s="74">
        <v>66.605000000000004</v>
      </c>
      <c r="DU5733" s="106">
        <f>38.805+55.7</f>
        <v>94.504999999999995</v>
      </c>
      <c r="EA5733" s="74">
        <v>137.21</v>
      </c>
    </row>
    <row r="5734" spans="1:233" x14ac:dyDescent="0.25">
      <c r="A5734" s="127">
        <v>45944</v>
      </c>
      <c r="B5734" s="24" t="s">
        <v>20</v>
      </c>
      <c r="C5734" s="21">
        <f t="shared" si="93"/>
        <v>-57.045000000000002</v>
      </c>
      <c r="AN5734" s="106">
        <v>-8.5500000000000007</v>
      </c>
      <c r="AW5734" s="106">
        <v>-7.0750000000000002</v>
      </c>
      <c r="BO5734" s="106">
        <v>-8.1199999999999992</v>
      </c>
      <c r="BU5734" s="106">
        <v>-8</v>
      </c>
      <c r="CA5734" s="106">
        <v>-8.9499999999999993</v>
      </c>
      <c r="CG5734" s="106">
        <v>-8.6</v>
      </c>
      <c r="CM5734" s="106">
        <v>-7.75</v>
      </c>
    </row>
    <row r="5735" spans="1:233" x14ac:dyDescent="0.25">
      <c r="A5735" s="127">
        <v>45944</v>
      </c>
      <c r="B5735" s="24" t="s">
        <v>139</v>
      </c>
      <c r="C5735" s="21">
        <f t="shared" ref="C5735:C5748" si="95">SUM(D5735:JT5735)</f>
        <v>-16.175000000000001</v>
      </c>
      <c r="BU5735" s="106">
        <v>-7.9850000000000003</v>
      </c>
      <c r="CA5735" s="106">
        <v>-8.19</v>
      </c>
    </row>
    <row r="5736" spans="1:233" x14ac:dyDescent="0.25">
      <c r="A5736" s="127">
        <v>45944</v>
      </c>
      <c r="B5736" s="24" t="s">
        <v>205</v>
      </c>
      <c r="C5736" s="21">
        <f t="shared" si="95"/>
        <v>-36.634999999999998</v>
      </c>
      <c r="EG5736" s="74">
        <v>-36.634999999999998</v>
      </c>
    </row>
    <row r="5737" spans="1:233" x14ac:dyDescent="0.25">
      <c r="A5737" s="127">
        <v>45944</v>
      </c>
      <c r="B5737" s="24" t="s">
        <v>197</v>
      </c>
      <c r="C5737" s="21">
        <f t="shared" si="95"/>
        <v>-81.510000000000005</v>
      </c>
      <c r="AC5737" s="106">
        <v>-7.8849999999999998</v>
      </c>
      <c r="AG5737" s="106">
        <v>-8.0150000000000006</v>
      </c>
      <c r="BI5737" s="106">
        <v>-16.88</v>
      </c>
      <c r="BU5737" s="106">
        <v>-7.99</v>
      </c>
      <c r="CA5737" s="106">
        <v>-8.16</v>
      </c>
      <c r="CG5737" s="106">
        <v>-17.23</v>
      </c>
      <c r="CM5737" s="106">
        <v>-15.35</v>
      </c>
    </row>
    <row r="5738" spans="1:233" x14ac:dyDescent="0.25">
      <c r="A5738" s="127">
        <v>45945</v>
      </c>
      <c r="B5738" s="24" t="s">
        <v>213</v>
      </c>
      <c r="C5738" s="21">
        <f t="shared" si="95"/>
        <v>-128.44</v>
      </c>
      <c r="BO5738" s="106">
        <v>-30.03</v>
      </c>
      <c r="BU5738" s="106">
        <v>-31.914999999999999</v>
      </c>
      <c r="CA5738" s="106">
        <v>-31.77</v>
      </c>
      <c r="CG5738" s="106">
        <v>-34.725000000000001</v>
      </c>
    </row>
    <row r="5739" spans="1:233" x14ac:dyDescent="0.25">
      <c r="A5739" s="127">
        <v>45945</v>
      </c>
      <c r="B5739" s="24" t="s">
        <v>213</v>
      </c>
      <c r="C5739" s="21">
        <f t="shared" si="95"/>
        <v>-33.975000000000001</v>
      </c>
      <c r="BI5739" s="106">
        <v>-33.975000000000001</v>
      </c>
    </row>
    <row r="5740" spans="1:233" x14ac:dyDescent="0.25">
      <c r="A5740" s="127">
        <v>45945</v>
      </c>
      <c r="B5740" s="24" t="s">
        <v>39</v>
      </c>
      <c r="C5740" s="21">
        <f t="shared" si="95"/>
        <v>-31.614999999999998</v>
      </c>
      <c r="W5740" s="163">
        <v>-7</v>
      </c>
      <c r="BI5740" s="106">
        <v>-8.51</v>
      </c>
      <c r="BO5740" s="106">
        <v>-8.1349999999999998</v>
      </c>
      <c r="BU5740" s="106">
        <v>-7.97</v>
      </c>
    </row>
    <row r="5741" spans="1:233" x14ac:dyDescent="0.25">
      <c r="A5741" s="127">
        <v>45945</v>
      </c>
      <c r="B5741" s="24" t="s">
        <v>113</v>
      </c>
      <c r="C5741" s="21">
        <f t="shared" si="95"/>
        <v>-14.17</v>
      </c>
      <c r="GQ5741" s="92">
        <v>-14.17</v>
      </c>
    </row>
    <row r="5742" spans="1:233" x14ac:dyDescent="0.25">
      <c r="A5742" s="127">
        <v>45945</v>
      </c>
      <c r="B5742" s="24" t="s">
        <v>224</v>
      </c>
      <c r="C5742" s="21">
        <f t="shared" si="95"/>
        <v>-24.344999999999999</v>
      </c>
      <c r="BO5742" s="106">
        <v>-8.16</v>
      </c>
      <c r="BU5742" s="106">
        <v>-7.98</v>
      </c>
      <c r="CA5742" s="106">
        <v>-8.2050000000000001</v>
      </c>
    </row>
    <row r="5743" spans="1:233" x14ac:dyDescent="0.25">
      <c r="A5743" s="127">
        <v>45945</v>
      </c>
      <c r="B5743" s="24" t="s">
        <v>188</v>
      </c>
      <c r="C5743" s="21">
        <f t="shared" si="95"/>
        <v>-24.49</v>
      </c>
      <c r="AR5743" s="106">
        <v>-8.36</v>
      </c>
      <c r="BU5743" s="106">
        <v>-7.99</v>
      </c>
      <c r="CA5743" s="106">
        <v>-8.14</v>
      </c>
    </row>
    <row r="5744" spans="1:233" x14ac:dyDescent="0.25">
      <c r="A5744" s="127">
        <v>45945</v>
      </c>
      <c r="B5744" s="24" t="s">
        <v>33</v>
      </c>
      <c r="C5744" s="21">
        <f t="shared" si="95"/>
        <v>-24.92</v>
      </c>
      <c r="AR5744" s="106">
        <v>-8.2100000000000009</v>
      </c>
      <c r="BI5744" s="106">
        <v>-8.52</v>
      </c>
      <c r="CA5744" s="106">
        <v>-8.19</v>
      </c>
    </row>
    <row r="5745" spans="1:235" x14ac:dyDescent="0.25">
      <c r="A5745" s="127">
        <v>45945</v>
      </c>
      <c r="B5745" s="24" t="s">
        <v>229</v>
      </c>
      <c r="C5745" s="21">
        <f t="shared" si="95"/>
        <v>-89.185000000000002</v>
      </c>
      <c r="AN5745" s="106">
        <v>-8.58</v>
      </c>
      <c r="AR5745" s="106">
        <v>-8.8249999999999993</v>
      </c>
      <c r="AW5745" s="106">
        <v>-13.4</v>
      </c>
      <c r="BI5745" s="106">
        <v>-8.4849999999999994</v>
      </c>
      <c r="BO5745" s="106">
        <v>-16.875</v>
      </c>
      <c r="BU5745" s="106">
        <v>-7.9749999999999996</v>
      </c>
      <c r="CA5745" s="106">
        <v>-16.45</v>
      </c>
      <c r="CG5745" s="106">
        <v>-8.5950000000000006</v>
      </c>
    </row>
    <row r="5746" spans="1:235" x14ac:dyDescent="0.25">
      <c r="A5746" s="127">
        <v>45945</v>
      </c>
      <c r="B5746" s="24" t="s">
        <v>79</v>
      </c>
      <c r="C5746" s="21">
        <f t="shared" si="95"/>
        <v>-17.715</v>
      </c>
      <c r="AG5746" s="106">
        <v>-8.5449999999999999</v>
      </c>
      <c r="BO5746" s="106">
        <v>-9.17</v>
      </c>
    </row>
    <row r="5747" spans="1:235" x14ac:dyDescent="0.25">
      <c r="A5747" s="127">
        <v>45945</v>
      </c>
      <c r="B5747" s="24" t="s">
        <v>138</v>
      </c>
      <c r="C5747" s="21">
        <f t="shared" si="95"/>
        <v>-32.055</v>
      </c>
      <c r="AC5747" s="106">
        <v>-8.4049999999999994</v>
      </c>
      <c r="AW5747" s="106">
        <v>-6.25</v>
      </c>
      <c r="BI5747" s="106">
        <v>-17.399999999999999</v>
      </c>
    </row>
    <row r="5748" spans="1:235" x14ac:dyDescent="0.25">
      <c r="A5748" s="127">
        <v>45945</v>
      </c>
      <c r="B5748" s="24" t="s">
        <v>184</v>
      </c>
      <c r="C5748" s="21">
        <f t="shared" si="95"/>
        <v>-132.05500000000001</v>
      </c>
      <c r="DU5748" s="106">
        <v>-63.62</v>
      </c>
      <c r="EA5748" s="74">
        <v>-68.435000000000002</v>
      </c>
    </row>
    <row r="5749" spans="1:235" x14ac:dyDescent="0.25">
      <c r="A5749" s="127">
        <v>45947</v>
      </c>
      <c r="B5749" s="24" t="s">
        <v>197</v>
      </c>
      <c r="C5749" s="21">
        <f t="shared" ref="C5749:C5810" si="96">SUM(D5749:JT5749)</f>
        <v>-83.33</v>
      </c>
      <c r="DR5749" s="46">
        <f>-8.36-9.36-9.01</f>
        <v>-26.73</v>
      </c>
      <c r="DU5749" s="106">
        <v>-30.885000000000002</v>
      </c>
      <c r="EA5749" s="74">
        <v>-25.715</v>
      </c>
    </row>
    <row r="5750" spans="1:235" x14ac:dyDescent="0.25">
      <c r="A5750" s="127">
        <v>45947</v>
      </c>
      <c r="B5750" s="24" t="s">
        <v>138</v>
      </c>
      <c r="C5750" s="21">
        <f t="shared" si="96"/>
        <v>-65.3</v>
      </c>
      <c r="CY5750" s="106">
        <v>-32.049999999999997</v>
      </c>
      <c r="DE5750" s="74">
        <v>-33.25</v>
      </c>
    </row>
    <row r="5751" spans="1:235" x14ac:dyDescent="0.25">
      <c r="A5751" s="127">
        <v>45947</v>
      </c>
      <c r="B5751" s="24" t="s">
        <v>224</v>
      </c>
      <c r="C5751" s="21">
        <f t="shared" si="96"/>
        <v>-23.355</v>
      </c>
      <c r="AW5751" s="106">
        <v>-6.5</v>
      </c>
      <c r="CG5751" s="106">
        <v>-8.6050000000000004</v>
      </c>
      <c r="CM5751" s="106">
        <v>-8.25</v>
      </c>
    </row>
    <row r="5752" spans="1:235" x14ac:dyDescent="0.25">
      <c r="A5752" s="127">
        <v>45947</v>
      </c>
      <c r="B5752" s="24" t="s">
        <v>192</v>
      </c>
      <c r="C5752" s="21">
        <f t="shared" si="96"/>
        <v>-24.32</v>
      </c>
      <c r="BO5752" s="106">
        <v>-8.1199999999999992</v>
      </c>
      <c r="CM5752" s="106">
        <v>-16.2</v>
      </c>
    </row>
    <row r="5753" spans="1:235" x14ac:dyDescent="0.25">
      <c r="A5753" s="127">
        <v>45947</v>
      </c>
      <c r="B5753" s="24" t="s">
        <v>75</v>
      </c>
      <c r="C5753" s="21">
        <f t="shared" si="96"/>
        <v>-24.67</v>
      </c>
      <c r="AR5753" s="106">
        <v>-8.57</v>
      </c>
      <c r="BO5753" s="106">
        <v>-8.1349999999999998</v>
      </c>
      <c r="BU5753" s="106">
        <v>-7.9649999999999999</v>
      </c>
    </row>
    <row r="5754" spans="1:235" x14ac:dyDescent="0.25">
      <c r="A5754" s="127">
        <v>45947</v>
      </c>
      <c r="B5754" s="24" t="s">
        <v>25</v>
      </c>
      <c r="C5754" s="21">
        <f t="shared" si="96"/>
        <v>-15.87</v>
      </c>
      <c r="DA5754" s="126">
        <f>-8.28-7.59</f>
        <v>-15.87</v>
      </c>
    </row>
    <row r="5755" spans="1:235" x14ac:dyDescent="0.25">
      <c r="A5755" s="127">
        <v>45947</v>
      </c>
      <c r="B5755" s="24" t="s">
        <v>218</v>
      </c>
      <c r="C5755" s="21">
        <f>SUM(D5755:JT5755)</f>
        <v>-29.34</v>
      </c>
      <c r="W5755" s="163">
        <v>-6.4</v>
      </c>
      <c r="AR5755" s="106">
        <v>-8.6999999999999993</v>
      </c>
      <c r="AW5755" s="106">
        <v>-6.25</v>
      </c>
      <c r="BU5755" s="106">
        <v>-7.99</v>
      </c>
    </row>
    <row r="5756" spans="1:235" x14ac:dyDescent="0.25">
      <c r="A5756" s="127">
        <v>45947</v>
      </c>
      <c r="B5756" s="24" t="s">
        <v>152</v>
      </c>
      <c r="C5756" s="21">
        <f>SUM(D5756:JT5756)</f>
        <v>-68.33</v>
      </c>
      <c r="EA5756" s="74">
        <v>-8.5150000000000006</v>
      </c>
      <c r="GS5756" s="110">
        <v>-2.94</v>
      </c>
      <c r="GW5756" s="92">
        <v>-7.125</v>
      </c>
      <c r="HB5756" s="277">
        <v>-5.58</v>
      </c>
      <c r="HD5756" s="92">
        <v>-9.1349999999999998</v>
      </c>
      <c r="HJ5756" s="79">
        <v>-8.9550000000000001</v>
      </c>
      <c r="HM5756" s="106">
        <v>-5.5</v>
      </c>
      <c r="HS5756" s="38">
        <v>-8.18</v>
      </c>
      <c r="HU5756" s="42">
        <v>-6.62</v>
      </c>
      <c r="IA5756" s="79">
        <v>-5.78</v>
      </c>
    </row>
    <row r="5757" spans="1:235" x14ac:dyDescent="0.25">
      <c r="A5757" s="127">
        <v>45950</v>
      </c>
      <c r="B5757" s="24" t="s">
        <v>48</v>
      </c>
      <c r="C5757" s="21">
        <f>SUM(D5757:JT5757)</f>
        <v>-32.01</v>
      </c>
      <c r="W5757" s="163">
        <v>-7.9</v>
      </c>
      <c r="Z5757" s="79">
        <v>-8.94</v>
      </c>
      <c r="AC5757" s="106">
        <v>-7.1749999999999998</v>
      </c>
      <c r="AG5757" s="106">
        <v>-7.9950000000000001</v>
      </c>
    </row>
    <row r="5758" spans="1:235" x14ac:dyDescent="0.25">
      <c r="A5758" s="127">
        <v>45950</v>
      </c>
      <c r="B5758" s="24" t="s">
        <v>115</v>
      </c>
      <c r="C5758" s="21">
        <f>SUM(D5758:JT5758)</f>
        <v>67.790000000000006</v>
      </c>
      <c r="E5758" s="386">
        <v>67.790000000000006</v>
      </c>
    </row>
    <row r="5759" spans="1:235" x14ac:dyDescent="0.25">
      <c r="A5759" s="127">
        <v>45951</v>
      </c>
      <c r="B5759" s="24" t="s">
        <v>213</v>
      </c>
      <c r="C5759" s="21">
        <f>SUM(D5759:JT5759)</f>
        <v>-32.799999999999997</v>
      </c>
      <c r="AW5759" s="106">
        <v>-7.25</v>
      </c>
      <c r="BC5759" s="106">
        <v>-8.09</v>
      </c>
      <c r="CG5759" s="106">
        <v>-17.46</v>
      </c>
    </row>
    <row r="5760" spans="1:235" x14ac:dyDescent="0.25">
      <c r="A5760" s="127">
        <v>45951</v>
      </c>
      <c r="B5760" s="24" t="s">
        <v>174</v>
      </c>
      <c r="C5760" s="21">
        <f t="shared" si="96"/>
        <v>-17.37</v>
      </c>
      <c r="CG5760" s="106">
        <v>-8.4700000000000006</v>
      </c>
      <c r="CM5760" s="106">
        <v>-8.9</v>
      </c>
    </row>
    <row r="5761" spans="1:131" x14ac:dyDescent="0.25">
      <c r="A5761" s="127">
        <v>45951</v>
      </c>
      <c r="B5761" s="24" t="s">
        <v>202</v>
      </c>
      <c r="C5761" s="21">
        <f t="shared" si="96"/>
        <v>-59.405000000000001</v>
      </c>
      <c r="D5761" s="386">
        <v>-8.56</v>
      </c>
      <c r="E5761" s="386">
        <v>-50.844999999999999</v>
      </c>
    </row>
    <row r="5762" spans="1:131" x14ac:dyDescent="0.25">
      <c r="A5762" s="127">
        <v>45951</v>
      </c>
      <c r="B5762" s="24" t="s">
        <v>138</v>
      </c>
      <c r="C5762" s="21">
        <f t="shared" si="96"/>
        <v>-16.504999999999999</v>
      </c>
      <c r="BI5762" s="106">
        <v>-8.5150000000000006</v>
      </c>
      <c r="BU5762" s="106">
        <v>-7.99</v>
      </c>
    </row>
    <row r="5763" spans="1:131" x14ac:dyDescent="0.25">
      <c r="A5763" s="127">
        <v>45951</v>
      </c>
      <c r="B5763" s="24" t="s">
        <v>20</v>
      </c>
      <c r="C5763" s="21">
        <f t="shared" si="96"/>
        <v>-8.06</v>
      </c>
      <c r="AR5763" s="106">
        <v>-8.06</v>
      </c>
    </row>
    <row r="5764" spans="1:131" x14ac:dyDescent="0.25">
      <c r="A5764" s="127">
        <v>45951</v>
      </c>
      <c r="B5764" s="24" t="s">
        <v>184</v>
      </c>
      <c r="C5764" s="21">
        <f t="shared" si="96"/>
        <v>-58.83</v>
      </c>
      <c r="CS5764" s="74">
        <v>-25.015000000000001</v>
      </c>
      <c r="DW5764" s="126">
        <v>-7.8</v>
      </c>
      <c r="EA5764" s="74">
        <v>-26.015000000000001</v>
      </c>
    </row>
    <row r="5765" spans="1:131" x14ac:dyDescent="0.25">
      <c r="A5765" s="127">
        <v>45951</v>
      </c>
      <c r="B5765" s="24" t="s">
        <v>171</v>
      </c>
      <c r="C5765" s="21">
        <f t="shared" si="96"/>
        <v>-8.3800000000000008</v>
      </c>
      <c r="BC5765" s="106">
        <v>-8.3800000000000008</v>
      </c>
    </row>
    <row r="5766" spans="1:131" x14ac:dyDescent="0.25">
      <c r="A5766" s="127">
        <v>45951</v>
      </c>
      <c r="B5766" s="24" t="s">
        <v>213</v>
      </c>
      <c r="C5766" s="21">
        <f t="shared" si="96"/>
        <v>-17.25</v>
      </c>
      <c r="CM5766" s="106">
        <v>-17.25</v>
      </c>
    </row>
    <row r="5767" spans="1:131" x14ac:dyDescent="0.25">
      <c r="A5767" s="127">
        <v>45953</v>
      </c>
      <c r="B5767" s="24" t="s">
        <v>127</v>
      </c>
      <c r="C5767" s="21">
        <f t="shared" si="96"/>
        <v>-8.16</v>
      </c>
      <c r="DG5767" s="126">
        <v>-8.16</v>
      </c>
    </row>
    <row r="5768" spans="1:131" x14ac:dyDescent="0.25">
      <c r="A5768" s="127">
        <v>45953</v>
      </c>
      <c r="B5768" s="24" t="s">
        <v>113</v>
      </c>
      <c r="C5768" s="21">
        <f t="shared" si="96"/>
        <v>917.82</v>
      </c>
      <c r="AG5768" s="106">
        <v>34.68</v>
      </c>
      <c r="AW5768" s="106">
        <v>64.38</v>
      </c>
      <c r="BI5768" s="106">
        <v>110.75</v>
      </c>
      <c r="BO5768" s="106">
        <v>115.52500000000001</v>
      </c>
      <c r="BU5768" s="106">
        <v>97.51</v>
      </c>
      <c r="CA5768" s="106">
        <v>98.724999999999994</v>
      </c>
      <c r="CG5768" s="106">
        <v>65.14</v>
      </c>
      <c r="CM5768" s="106">
        <v>67.424999999999997</v>
      </c>
      <c r="DP5768" s="74">
        <f>32.74+63.795</f>
        <v>96.534999999999997</v>
      </c>
      <c r="DU5768" s="106">
        <v>65.819999999999993</v>
      </c>
      <c r="EA5768" s="74">
        <v>101.33</v>
      </c>
    </row>
    <row r="5769" spans="1:131" x14ac:dyDescent="0.25">
      <c r="A5769" s="127">
        <v>45953</v>
      </c>
      <c r="B5769" s="24" t="s">
        <v>113</v>
      </c>
      <c r="C5769" s="21">
        <f t="shared" si="96"/>
        <v>329.53</v>
      </c>
      <c r="BI5769" s="106">
        <v>95.155000000000001</v>
      </c>
      <c r="BU5769" s="106">
        <v>32.335000000000001</v>
      </c>
      <c r="CA5769" s="106">
        <v>34.645000000000003</v>
      </c>
      <c r="CG5769" s="106">
        <v>31.95</v>
      </c>
      <c r="CM5769" s="106">
        <v>33.869999999999997</v>
      </c>
      <c r="CS5769" s="74">
        <v>33.854999999999997</v>
      </c>
      <c r="CY5769" s="106">
        <v>67.72</v>
      </c>
    </row>
    <row r="5770" spans="1:131" x14ac:dyDescent="0.25">
      <c r="A5770" s="127">
        <v>45953</v>
      </c>
      <c r="B5770" s="24" t="s">
        <v>20</v>
      </c>
      <c r="C5770" s="21">
        <f t="shared" si="96"/>
        <v>-16.864999999999998</v>
      </c>
      <c r="AG5770" s="106">
        <v>-8.625</v>
      </c>
      <c r="CA5770" s="106">
        <v>-8.24</v>
      </c>
    </row>
    <row r="5771" spans="1:131" x14ac:dyDescent="0.25">
      <c r="A5771" s="127">
        <v>45953</v>
      </c>
      <c r="B5771" s="24" t="s">
        <v>133</v>
      </c>
      <c r="C5771" s="21">
        <f t="shared" si="96"/>
        <v>-437.59500000000003</v>
      </c>
      <c r="AW5771" s="106">
        <v>-31.74</v>
      </c>
      <c r="BC5771" s="106">
        <v>-15.25</v>
      </c>
      <c r="BI5771" s="106">
        <v>-30.16</v>
      </c>
      <c r="BO5771" s="106">
        <v>-49.104999999999997</v>
      </c>
      <c r="BU5771" s="106">
        <v>-64.745000000000005</v>
      </c>
      <c r="CA5771" s="106">
        <v>-67.484999999999999</v>
      </c>
      <c r="CG5771" s="106">
        <v>-30.844999999999999</v>
      </c>
      <c r="CM5771" s="106">
        <v>-33.734999999999999</v>
      </c>
      <c r="CS5771" s="74">
        <v>-33.854999999999997</v>
      </c>
      <c r="CY5771" s="106">
        <v>-34.424999999999997</v>
      </c>
      <c r="DE5771" s="74">
        <v>-29.45</v>
      </c>
      <c r="DU5771" s="106">
        <v>-16.8</v>
      </c>
    </row>
    <row r="5772" spans="1:131" x14ac:dyDescent="0.25">
      <c r="A5772" s="127">
        <v>45953</v>
      </c>
      <c r="B5772" s="24" t="s">
        <v>213</v>
      </c>
      <c r="C5772" s="21">
        <f t="shared" si="96"/>
        <v>-65.25</v>
      </c>
      <c r="BU5772" s="106">
        <v>-32.299999999999997</v>
      </c>
      <c r="CA5772" s="106">
        <v>-32.950000000000003</v>
      </c>
    </row>
    <row r="5773" spans="1:131" x14ac:dyDescent="0.25">
      <c r="A5773" s="127">
        <v>45953</v>
      </c>
      <c r="B5773" s="24" t="s">
        <v>24</v>
      </c>
      <c r="C5773" s="21">
        <f t="shared" si="96"/>
        <v>-53.49</v>
      </c>
      <c r="AR5773" s="106">
        <v>-8.09</v>
      </c>
      <c r="AW5773" s="106">
        <v>-13.4</v>
      </c>
      <c r="BC5773" s="106">
        <v>-16.18</v>
      </c>
      <c r="BI5773" s="106">
        <v>-15.82</v>
      </c>
    </row>
    <row r="5774" spans="1:131" x14ac:dyDescent="0.25">
      <c r="A5774" s="127">
        <v>45953</v>
      </c>
      <c r="B5774" s="24" t="s">
        <v>75</v>
      </c>
      <c r="C5774" s="21">
        <f t="shared" si="96"/>
        <v>-16.2</v>
      </c>
      <c r="BI5774" s="106">
        <v>-8.11</v>
      </c>
      <c r="BU5774" s="106">
        <v>-8.09</v>
      </c>
    </row>
    <row r="5775" spans="1:131" x14ac:dyDescent="0.25">
      <c r="A5775" s="127">
        <v>45953</v>
      </c>
      <c r="B5775" s="24" t="s">
        <v>174</v>
      </c>
      <c r="C5775" s="21">
        <f t="shared" si="96"/>
        <v>-17.46</v>
      </c>
      <c r="CG5775" s="106">
        <v>-17.46</v>
      </c>
    </row>
    <row r="5776" spans="1:131" x14ac:dyDescent="0.25">
      <c r="A5776" s="127">
        <v>45953</v>
      </c>
      <c r="B5776" s="24" t="s">
        <v>48</v>
      </c>
      <c r="C5776" s="21">
        <f t="shared" si="96"/>
        <v>-34.034999999999997</v>
      </c>
      <c r="DU5776" s="106">
        <v>-8.36</v>
      </c>
      <c r="EA5776" s="74">
        <v>-25.675000000000001</v>
      </c>
    </row>
    <row r="5777" spans="1:248" x14ac:dyDescent="0.25">
      <c r="A5777" s="127">
        <v>45953</v>
      </c>
      <c r="B5777" s="24" t="s">
        <v>184</v>
      </c>
      <c r="C5777" s="21">
        <f t="shared" si="96"/>
        <v>-100.72499999999999</v>
      </c>
      <c r="DU5777" s="106">
        <v>-32.25</v>
      </c>
      <c r="EA5777" s="74">
        <v>-68.474999999999994</v>
      </c>
    </row>
    <row r="5778" spans="1:248" x14ac:dyDescent="0.25">
      <c r="A5778" s="127">
        <v>45953</v>
      </c>
      <c r="B5778" s="24" t="s">
        <v>213</v>
      </c>
      <c r="C5778" s="21">
        <f t="shared" si="96"/>
        <v>-49.81</v>
      </c>
      <c r="BI5778" s="106">
        <v>-16.004999999999999</v>
      </c>
      <c r="CG5778" s="106">
        <v>-16.835000000000001</v>
      </c>
      <c r="CM5778" s="106">
        <v>-16.97</v>
      </c>
    </row>
    <row r="5779" spans="1:248" x14ac:dyDescent="0.25">
      <c r="A5779" s="127">
        <v>45953</v>
      </c>
      <c r="B5779" s="24" t="s">
        <v>20</v>
      </c>
      <c r="C5779" s="21">
        <f t="shared" si="96"/>
        <v>-32.43</v>
      </c>
      <c r="BC5779" s="106">
        <v>-7.97</v>
      </c>
      <c r="BI5779" s="106">
        <v>-8.1750000000000007</v>
      </c>
      <c r="BO5779" s="106">
        <v>-8.1750000000000007</v>
      </c>
      <c r="BU5779" s="106">
        <v>-8.11</v>
      </c>
    </row>
    <row r="5780" spans="1:248" x14ac:dyDescent="0.25">
      <c r="A5780" s="127">
        <v>45954</v>
      </c>
      <c r="B5780" s="24" t="s">
        <v>127</v>
      </c>
      <c r="C5780" s="21">
        <f t="shared" ref="C5780:C5799" si="97">SUM(D5780:JT5780)</f>
        <v>-8.9049999999999994</v>
      </c>
      <c r="DE5780" s="74">
        <v>-8.9049999999999994</v>
      </c>
    </row>
    <row r="5781" spans="1:248" x14ac:dyDescent="0.25">
      <c r="A5781" s="127">
        <v>45954</v>
      </c>
      <c r="B5781" s="24" t="s">
        <v>12</v>
      </c>
      <c r="C5781" s="21">
        <f t="shared" si="97"/>
        <v>-31.35</v>
      </c>
      <c r="J5781" s="110">
        <v>-31.35</v>
      </c>
    </row>
    <row r="5782" spans="1:248" x14ac:dyDescent="0.25">
      <c r="A5782" s="127">
        <v>45954</v>
      </c>
      <c r="B5782" s="24" t="s">
        <v>19</v>
      </c>
      <c r="C5782" s="21">
        <f t="shared" si="97"/>
        <v>499.2</v>
      </c>
      <c r="IM5782" s="50">
        <v>166.7</v>
      </c>
      <c r="IN5782" s="42">
        <v>332.5</v>
      </c>
    </row>
    <row r="5783" spans="1:248" x14ac:dyDescent="0.25">
      <c r="A5783" s="127">
        <v>45957</v>
      </c>
      <c r="B5783" s="24" t="s">
        <v>82</v>
      </c>
      <c r="C5783" s="21">
        <f t="shared" si="97"/>
        <v>-50.99</v>
      </c>
      <c r="HR5783" s="92">
        <v>-50.99</v>
      </c>
    </row>
    <row r="5784" spans="1:248" x14ac:dyDescent="0.25">
      <c r="A5784" s="127">
        <v>45958</v>
      </c>
      <c r="B5784" s="24" t="s">
        <v>113</v>
      </c>
      <c r="C5784" s="21">
        <f t="shared" si="97"/>
        <v>902.96500000000003</v>
      </c>
      <c r="V5784" s="74">
        <v>70.73</v>
      </c>
      <c r="AC5784" s="106">
        <v>67.965000000000003</v>
      </c>
      <c r="AG5784" s="106">
        <v>49.93</v>
      </c>
      <c r="AR5784" s="106">
        <v>65.484999999999999</v>
      </c>
      <c r="AW5784" s="106">
        <v>66.254999999999995</v>
      </c>
      <c r="BC5784" s="106">
        <v>94.894999999999996</v>
      </c>
      <c r="BU5784" s="106">
        <v>51.225000000000001</v>
      </c>
      <c r="CG5784" s="106">
        <v>32.064999999999998</v>
      </c>
      <c r="CM5784" s="106">
        <v>68.239999999999995</v>
      </c>
      <c r="CS5784" s="74">
        <v>66.245000000000005</v>
      </c>
      <c r="DU5784" s="106">
        <v>99.734999999999999</v>
      </c>
      <c r="EA5784" s="74">
        <v>103.005</v>
      </c>
      <c r="GZ5784" s="106">
        <v>67.19</v>
      </c>
    </row>
    <row r="5785" spans="1:248" x14ac:dyDescent="0.25">
      <c r="A5785" s="127">
        <v>45958</v>
      </c>
      <c r="B5785" s="24" t="s">
        <v>25</v>
      </c>
      <c r="C5785" s="21">
        <f t="shared" si="97"/>
        <v>-122.98</v>
      </c>
      <c r="AR5785" s="106">
        <v>-16.18</v>
      </c>
      <c r="AW5785" s="106">
        <v>-16.215</v>
      </c>
      <c r="BI5785" s="106">
        <v>-15.91</v>
      </c>
      <c r="BO5785" s="106">
        <v>-16.899999999999999</v>
      </c>
      <c r="BU5785" s="106">
        <v>-8.4849999999999994</v>
      </c>
      <c r="CA5785" s="106">
        <v>-16.454999999999998</v>
      </c>
      <c r="CG5785" s="106">
        <v>-15.99</v>
      </c>
      <c r="CM5785" s="106">
        <v>-16.844999999999999</v>
      </c>
    </row>
    <row r="5786" spans="1:248" x14ac:dyDescent="0.25">
      <c r="A5786" s="127">
        <v>45958</v>
      </c>
      <c r="B5786" s="24" t="s">
        <v>225</v>
      </c>
      <c r="C5786" s="21">
        <f t="shared" si="97"/>
        <v>-107.87</v>
      </c>
      <c r="AG5786" s="106">
        <v>-8.6999999999999993</v>
      </c>
      <c r="AN5786" s="106">
        <v>-8.4849999999999994</v>
      </c>
      <c r="BI5786" s="106">
        <v>-15.865</v>
      </c>
      <c r="BO5786" s="106">
        <v>-16.914999999999999</v>
      </c>
      <c r="CA5786" s="106">
        <v>-8.24</v>
      </c>
      <c r="CG5786" s="106">
        <v>-7.9349999999999996</v>
      </c>
      <c r="CM5786" s="106">
        <v>-25.344999999999999</v>
      </c>
      <c r="CS5786" s="74">
        <v>-8.3049999999999997</v>
      </c>
      <c r="CY5786" s="106">
        <v>-8.08</v>
      </c>
    </row>
    <row r="5787" spans="1:248" x14ac:dyDescent="0.25">
      <c r="A5787" s="127">
        <v>45958</v>
      </c>
      <c r="B5787" s="24" t="s">
        <v>138</v>
      </c>
      <c r="C5787" s="21">
        <f t="shared" si="97"/>
        <v>-40.700000000000003</v>
      </c>
      <c r="BI5787" s="106">
        <v>-16.344999999999999</v>
      </c>
      <c r="BO5787" s="106">
        <v>-16.239999999999998</v>
      </c>
      <c r="BU5787" s="106">
        <v>-8.1150000000000002</v>
      </c>
    </row>
    <row r="5788" spans="1:248" x14ac:dyDescent="0.25">
      <c r="A5788" s="127">
        <v>45958</v>
      </c>
      <c r="B5788" s="24" t="s">
        <v>171</v>
      </c>
      <c r="C5788" s="21">
        <f t="shared" si="97"/>
        <v>-8.0250000000000004</v>
      </c>
      <c r="CG5788" s="106">
        <v>-8.0250000000000004</v>
      </c>
    </row>
    <row r="5789" spans="1:248" x14ac:dyDescent="0.25">
      <c r="A5789" s="127">
        <v>45958</v>
      </c>
      <c r="B5789" s="24" t="s">
        <v>20</v>
      </c>
      <c r="C5789" s="21">
        <f t="shared" si="97"/>
        <v>-16.914999999999999</v>
      </c>
      <c r="V5789" s="74">
        <v>-8.8699999999999992</v>
      </c>
      <c r="CG5789" s="106">
        <v>-8.0449999999999999</v>
      </c>
    </row>
    <row r="5790" spans="1:248" x14ac:dyDescent="0.25">
      <c r="A5790" s="127">
        <v>45958</v>
      </c>
      <c r="B5790" s="24" t="s">
        <v>25</v>
      </c>
      <c r="C5790" s="21">
        <f t="shared" si="97"/>
        <v>-24.204999999999998</v>
      </c>
      <c r="BC5790" s="106">
        <v>-16.045000000000002</v>
      </c>
      <c r="BU5790" s="106">
        <v>-8.16</v>
      </c>
    </row>
    <row r="5791" spans="1:248" x14ac:dyDescent="0.25">
      <c r="A5791" s="127">
        <v>45958</v>
      </c>
      <c r="B5791" s="24" t="s">
        <v>225</v>
      </c>
      <c r="C5791" s="21">
        <f t="shared" si="97"/>
        <v>-32.83</v>
      </c>
      <c r="BC5791" s="106">
        <v>-15.85</v>
      </c>
      <c r="BU5791" s="106">
        <v>-16.98</v>
      </c>
    </row>
    <row r="5792" spans="1:248" x14ac:dyDescent="0.25">
      <c r="A5792" s="127">
        <v>45958</v>
      </c>
      <c r="B5792" s="24" t="s">
        <v>48</v>
      </c>
      <c r="C5792" s="21">
        <f t="shared" si="97"/>
        <v>-97.685000000000002</v>
      </c>
      <c r="AG5792" s="106">
        <v>-34.685000000000002</v>
      </c>
      <c r="BC5792" s="106">
        <v>-63</v>
      </c>
    </row>
    <row r="5793" spans="1:248" x14ac:dyDescent="0.25">
      <c r="A5793" s="127">
        <v>45958</v>
      </c>
      <c r="B5793" s="24" t="s">
        <v>162</v>
      </c>
      <c r="C5793" s="21">
        <f t="shared" si="97"/>
        <v>-8.01</v>
      </c>
      <c r="CG5793" s="106">
        <v>-8.01</v>
      </c>
    </row>
    <row r="5794" spans="1:248" x14ac:dyDescent="0.25">
      <c r="A5794" s="127">
        <v>45958</v>
      </c>
      <c r="B5794" s="24" t="s">
        <v>184</v>
      </c>
      <c r="C5794" s="21">
        <f t="shared" si="97"/>
        <v>-68.334999999999994</v>
      </c>
      <c r="CM5794" s="106">
        <v>-25.12</v>
      </c>
      <c r="DE5794" s="74">
        <v>-8.9049999999999994</v>
      </c>
      <c r="DU5794" s="106">
        <v>-16.88</v>
      </c>
      <c r="EA5794" s="74">
        <v>-17.43</v>
      </c>
    </row>
    <row r="5795" spans="1:248" x14ac:dyDescent="0.25">
      <c r="A5795" s="127">
        <v>45958</v>
      </c>
      <c r="B5795" s="24" t="s">
        <v>184</v>
      </c>
      <c r="C5795" s="21">
        <f t="shared" si="97"/>
        <v>-69.114999999999995</v>
      </c>
      <c r="CM5795" s="106">
        <v>-17.41</v>
      </c>
      <c r="DE5795" s="74">
        <v>-17.45</v>
      </c>
      <c r="EA5795" s="74">
        <v>-34.255000000000003</v>
      </c>
    </row>
    <row r="5796" spans="1:248" x14ac:dyDescent="0.25">
      <c r="A5796" s="127">
        <v>45960</v>
      </c>
      <c r="B5796" s="24" t="s">
        <v>83</v>
      </c>
      <c r="C5796" s="21">
        <f t="shared" si="97"/>
        <v>-35.299999999999997</v>
      </c>
      <c r="V5796" s="74">
        <v>-35.299999999999997</v>
      </c>
    </row>
    <row r="5797" spans="1:248" x14ac:dyDescent="0.25">
      <c r="A5797" s="127">
        <v>45960</v>
      </c>
      <c r="B5797" s="24" t="s">
        <v>184</v>
      </c>
      <c r="C5797" s="21">
        <f t="shared" si="97"/>
        <v>-140.15</v>
      </c>
      <c r="AN5797" s="106">
        <v>-8.42</v>
      </c>
      <c r="AW5797" s="106">
        <v>-32.46</v>
      </c>
      <c r="BI5797" s="106">
        <v>-31.645</v>
      </c>
      <c r="BU5797" s="106">
        <v>-8.1649999999999991</v>
      </c>
      <c r="CM5797" s="106">
        <v>-25.805</v>
      </c>
      <c r="CS5797" s="74">
        <v>-33.655000000000001</v>
      </c>
    </row>
    <row r="5798" spans="1:248" x14ac:dyDescent="0.25">
      <c r="A5798" s="127">
        <v>45960</v>
      </c>
      <c r="B5798" s="24" t="s">
        <v>48</v>
      </c>
      <c r="C5798" s="21">
        <f t="shared" si="97"/>
        <v>-16.010000000000002</v>
      </c>
      <c r="DP5798" s="74">
        <v>-16.010000000000002</v>
      </c>
    </row>
    <row r="5799" spans="1:248" x14ac:dyDescent="0.25">
      <c r="A5799" s="127">
        <v>45960</v>
      </c>
      <c r="B5799" s="24" t="s">
        <v>233</v>
      </c>
      <c r="C5799" s="21">
        <f t="shared" si="97"/>
        <v>-66.3</v>
      </c>
      <c r="BU5799" s="106">
        <v>-17.920000000000002</v>
      </c>
      <c r="CG5799" s="106">
        <v>-16.010000000000002</v>
      </c>
      <c r="CS5799" s="74">
        <v>-15.77</v>
      </c>
      <c r="CU5799" s="126">
        <v>-16.600000000000001</v>
      </c>
    </row>
    <row r="5800" spans="1:248" x14ac:dyDescent="0.25">
      <c r="A5800" s="127">
        <v>45960</v>
      </c>
      <c r="B5800" s="24" t="s">
        <v>44</v>
      </c>
      <c r="C5800" s="21">
        <f>SUM(D5800:JT5800)</f>
        <v>-186.88499999999999</v>
      </c>
      <c r="GQ5800" s="92">
        <v>-85.885000000000005</v>
      </c>
      <c r="IN5800" s="42">
        <v>-101</v>
      </c>
    </row>
    <row r="5801" spans="1:248" x14ac:dyDescent="0.25">
      <c r="A5801" s="127">
        <v>45960</v>
      </c>
      <c r="B5801" s="24" t="s">
        <v>133</v>
      </c>
      <c r="C5801" s="21">
        <f>SUM(D5801:JT5801)</f>
        <v>-68.314999999999998</v>
      </c>
      <c r="CS5801" s="74">
        <v>-8.4649999999999999</v>
      </c>
      <c r="EA5801" s="74">
        <v>-59.85</v>
      </c>
    </row>
    <row r="5802" spans="1:248" x14ac:dyDescent="0.25">
      <c r="A5802" s="127">
        <v>45961</v>
      </c>
      <c r="B5802" s="24" t="s">
        <v>184</v>
      </c>
      <c r="C5802" s="21">
        <f>SUM(D5802:JT5802)</f>
        <v>-181.88</v>
      </c>
      <c r="BO5802" s="106">
        <v>-33.82</v>
      </c>
      <c r="BU5802" s="106">
        <v>-34.505000000000003</v>
      </c>
      <c r="CA5802" s="106">
        <v>-32.664999999999999</v>
      </c>
      <c r="CG5802" s="106">
        <v>-64.02</v>
      </c>
      <c r="CM5802" s="106">
        <v>-16.87</v>
      </c>
    </row>
    <row r="5803" spans="1:248" x14ac:dyDescent="0.25">
      <c r="A5803" s="127">
        <v>45962</v>
      </c>
      <c r="B5803" s="24" t="s">
        <v>113</v>
      </c>
      <c r="C5803" s="21">
        <f>SUM(D5803:JT5803)</f>
        <v>1061.79</v>
      </c>
      <c r="V5803" s="74">
        <v>35.395000000000003</v>
      </c>
      <c r="AC5803" s="106">
        <v>42.725000000000001</v>
      </c>
      <c r="AN5803" s="106">
        <v>30.47</v>
      </c>
      <c r="AW5803" s="106">
        <v>32.79</v>
      </c>
      <c r="BO5803" s="106">
        <v>67.564999999999998</v>
      </c>
      <c r="BU5803" s="106">
        <v>101.78</v>
      </c>
      <c r="CA5803" s="106">
        <v>97.875</v>
      </c>
      <c r="CG5803" s="106">
        <v>96.424999999999997</v>
      </c>
      <c r="CM5803" s="106">
        <v>33.744999999999997</v>
      </c>
      <c r="CS5803" s="74">
        <v>66.790000000000006</v>
      </c>
      <c r="DK5803" s="106">
        <v>33.365000000000002</v>
      </c>
      <c r="DP5803" s="74">
        <v>111.83499999999999</v>
      </c>
      <c r="DU5803" s="106">
        <v>102.045</v>
      </c>
      <c r="EA5803" s="74">
        <v>103.77500000000001</v>
      </c>
      <c r="GZ5803" s="106">
        <v>105.21</v>
      </c>
    </row>
    <row r="5804" spans="1:248" x14ac:dyDescent="0.25">
      <c r="A5804" s="127">
        <v>45962</v>
      </c>
      <c r="B5804" s="24" t="s">
        <v>213</v>
      </c>
      <c r="C5804" s="21">
        <f>SUM(D5804:JT5804)</f>
        <v>-65.739999999999995</v>
      </c>
      <c r="AN5804" s="106">
        <v>-7.4950000000000001</v>
      </c>
      <c r="AR5804" s="106">
        <v>-8.3550000000000004</v>
      </c>
      <c r="BI5804" s="106">
        <v>-16.315000000000001</v>
      </c>
      <c r="BO5804" s="106">
        <v>-16.765000000000001</v>
      </c>
      <c r="BU5804" s="106">
        <v>-16.809999999999999</v>
      </c>
    </row>
    <row r="5805" spans="1:248" x14ac:dyDescent="0.25">
      <c r="A5805" s="127">
        <v>45964</v>
      </c>
      <c r="B5805" s="24" t="s">
        <v>218</v>
      </c>
      <c r="C5805" s="21">
        <f t="shared" si="96"/>
        <v>-103.80500000000001</v>
      </c>
      <c r="P5805" s="106">
        <v>-6.44</v>
      </c>
      <c r="AN5805" s="106">
        <f>-8.39-7.65-7.66</f>
        <v>-23.7</v>
      </c>
      <c r="AR5805" s="106">
        <f>-8.315-7.43</f>
        <v>-15.744999999999999</v>
      </c>
      <c r="AW5805" s="106">
        <f>-8.28-8.295</f>
        <v>-16.574999999999999</v>
      </c>
      <c r="BI5805" s="106">
        <v>-7.9950000000000001</v>
      </c>
      <c r="BU5805" s="106">
        <f>-8.4-8.38</f>
        <v>-16.78</v>
      </c>
      <c r="CA5805" s="106">
        <f>-8.04-8.53</f>
        <v>-16.57</v>
      </c>
    </row>
    <row r="5806" spans="1:248" x14ac:dyDescent="0.25">
      <c r="A5806" s="127">
        <v>45964</v>
      </c>
      <c r="B5806" s="24" t="s">
        <v>133</v>
      </c>
      <c r="C5806" s="21">
        <f t="shared" si="96"/>
        <v>-68.314999999999998</v>
      </c>
      <c r="CS5806" s="74">
        <v>-8.4649999999999999</v>
      </c>
      <c r="EA5806" s="74">
        <v>-59.85</v>
      </c>
    </row>
    <row r="5807" spans="1:248" x14ac:dyDescent="0.25">
      <c r="A5807" s="127">
        <v>45964</v>
      </c>
      <c r="B5807" s="24" t="s">
        <v>138</v>
      </c>
      <c r="C5807" s="21">
        <f t="shared" si="96"/>
        <v>-16.29</v>
      </c>
      <c r="AW5807" s="106">
        <v>-16.29</v>
      </c>
    </row>
    <row r="5808" spans="1:248" x14ac:dyDescent="0.25">
      <c r="A5808" s="127">
        <v>45965</v>
      </c>
      <c r="B5808" s="24" t="s">
        <v>44</v>
      </c>
      <c r="C5808" s="21">
        <f t="shared" si="96"/>
        <v>-94.564999999999998</v>
      </c>
      <c r="BI5808" s="106">
        <v>-15.56</v>
      </c>
      <c r="GQ5808" s="92">
        <v>-50.13</v>
      </c>
      <c r="GW5808" s="92">
        <v>-7.1150000000000002</v>
      </c>
      <c r="GX5808" s="106">
        <v>-21.76</v>
      </c>
    </row>
    <row r="5809" spans="1:235" x14ac:dyDescent="0.25">
      <c r="A5809" s="127">
        <v>45965</v>
      </c>
      <c r="B5809" s="24" t="s">
        <v>193</v>
      </c>
      <c r="C5809" s="21">
        <f t="shared" si="96"/>
        <v>-8.43</v>
      </c>
      <c r="CM5809" s="106">
        <v>-8.43</v>
      </c>
    </row>
    <row r="5810" spans="1:235" x14ac:dyDescent="0.25">
      <c r="A5810" s="127">
        <v>45965</v>
      </c>
      <c r="B5810" s="24" t="s">
        <v>197</v>
      </c>
      <c r="C5810" s="21">
        <f t="shared" si="96"/>
        <v>-51.204999999999998</v>
      </c>
      <c r="DE5810" s="74">
        <v>-17.350000000000001</v>
      </c>
      <c r="DK5810" s="106">
        <v>-17.824999999999999</v>
      </c>
      <c r="DP5810" s="74">
        <v>-16.03</v>
      </c>
    </row>
    <row r="5811" spans="1:235" x14ac:dyDescent="0.25">
      <c r="A5811" s="127">
        <v>45965</v>
      </c>
      <c r="B5811" s="24" t="s">
        <v>75</v>
      </c>
      <c r="C5811" s="21">
        <f t="shared" ref="C5811:C5829" si="98">SUM(D5811:JT5811)</f>
        <v>-8</v>
      </c>
      <c r="BI5811" s="106">
        <v>-8</v>
      </c>
    </row>
    <row r="5812" spans="1:235" x14ac:dyDescent="0.25">
      <c r="A5812" s="127">
        <v>45965</v>
      </c>
      <c r="B5812" s="24" t="s">
        <v>48</v>
      </c>
      <c r="C5812" s="21">
        <f t="shared" si="98"/>
        <v>-8.4450000000000003</v>
      </c>
      <c r="CM5812" s="106">
        <v>-8.4450000000000003</v>
      </c>
    </row>
    <row r="5813" spans="1:235" x14ac:dyDescent="0.25">
      <c r="A5813" s="127">
        <v>45965</v>
      </c>
      <c r="B5813" s="24" t="s">
        <v>127</v>
      </c>
      <c r="C5813" s="21">
        <f t="shared" si="98"/>
        <v>-8.49</v>
      </c>
      <c r="BO5813" s="106">
        <v>-8.49</v>
      </c>
    </row>
    <row r="5814" spans="1:235" x14ac:dyDescent="0.25">
      <c r="A5814" s="127">
        <v>45966</v>
      </c>
      <c r="B5814" s="24" t="s">
        <v>192</v>
      </c>
      <c r="C5814" s="21">
        <f t="shared" si="98"/>
        <v>-16.635000000000002</v>
      </c>
      <c r="BO5814" s="106">
        <v>-8.19</v>
      </c>
      <c r="BU5814" s="106">
        <v>-8.4450000000000003</v>
      </c>
    </row>
    <row r="5815" spans="1:235" x14ac:dyDescent="0.25">
      <c r="A5815" s="127">
        <v>45966</v>
      </c>
      <c r="B5815" s="24" t="s">
        <v>184</v>
      </c>
      <c r="C5815" s="21">
        <f t="shared" si="98"/>
        <v>-34.15</v>
      </c>
      <c r="EA5815" s="74">
        <v>-34.15</v>
      </c>
    </row>
    <row r="5816" spans="1:235" x14ac:dyDescent="0.25">
      <c r="A5816" s="127">
        <v>45968</v>
      </c>
      <c r="B5816" s="24" t="s">
        <v>44</v>
      </c>
      <c r="C5816" s="21">
        <f t="shared" si="98"/>
        <v>-144.33000000000001</v>
      </c>
      <c r="GZ5816" s="106">
        <v>-70.805000000000007</v>
      </c>
      <c r="HF5816" s="92">
        <v>-8.6850000000000005</v>
      </c>
      <c r="IA5816" s="79">
        <v>-64.84</v>
      </c>
    </row>
    <row r="5817" spans="1:235" x14ac:dyDescent="0.25">
      <c r="A5817" s="127">
        <v>45968</v>
      </c>
      <c r="B5817" s="24" t="s">
        <v>213</v>
      </c>
      <c r="C5817" s="21">
        <f t="shared" si="98"/>
        <v>-40.145000000000003</v>
      </c>
      <c r="CA5817" s="106">
        <v>-8.5350000000000001</v>
      </c>
      <c r="CG5817" s="106">
        <v>-23.305</v>
      </c>
      <c r="CM5817" s="106">
        <v>-8.3049999999999997</v>
      </c>
    </row>
    <row r="5818" spans="1:235" x14ac:dyDescent="0.25">
      <c r="A5818" s="127">
        <v>45968</v>
      </c>
      <c r="B5818" s="24" t="s">
        <v>213</v>
      </c>
      <c r="C5818" s="21">
        <f t="shared" si="98"/>
        <v>-16.91</v>
      </c>
      <c r="AC5818" s="106">
        <v>-8.34</v>
      </c>
      <c r="CO5818" s="126">
        <v>-8.57</v>
      </c>
    </row>
    <row r="5819" spans="1:235" x14ac:dyDescent="0.25">
      <c r="A5819" s="127">
        <v>45968</v>
      </c>
      <c r="B5819" s="24" t="s">
        <v>20</v>
      </c>
      <c r="C5819" s="21">
        <f t="shared" si="98"/>
        <v>-33.04</v>
      </c>
      <c r="AW5819" s="106">
        <v>-8.26</v>
      </c>
      <c r="CA5819" s="106">
        <v>-8.0050000000000008</v>
      </c>
      <c r="DU5819" s="106">
        <v>-16.774999999999999</v>
      </c>
    </row>
    <row r="5820" spans="1:235" x14ac:dyDescent="0.25">
      <c r="A5820" s="127">
        <v>45968</v>
      </c>
      <c r="B5820" s="24" t="s">
        <v>79</v>
      </c>
      <c r="C5820" s="21">
        <f t="shared" si="98"/>
        <v>-8.49</v>
      </c>
      <c r="BO5820" s="106">
        <v>-8.49</v>
      </c>
    </row>
    <row r="5821" spans="1:235" x14ac:dyDescent="0.25">
      <c r="A5821" s="127">
        <v>45968</v>
      </c>
      <c r="B5821" s="24" t="s">
        <v>48</v>
      </c>
      <c r="C5821" s="21">
        <f t="shared" si="98"/>
        <v>-65.974999999999994</v>
      </c>
      <c r="AN5821" s="106">
        <v>-8.3149999999999995</v>
      </c>
      <c r="AR5821" s="106">
        <v>-8.18</v>
      </c>
      <c r="AW5821" s="106">
        <v>-8.2349999999999994</v>
      </c>
      <c r="DP5821" s="74">
        <v>-16.055</v>
      </c>
      <c r="HD5821" s="92">
        <v>-8.34</v>
      </c>
      <c r="HF5821" s="92">
        <v>-8.65</v>
      </c>
      <c r="HN5821" s="115">
        <v>-8.1999999999999993</v>
      </c>
    </row>
    <row r="5822" spans="1:235" x14ac:dyDescent="0.25">
      <c r="A5822" s="127">
        <v>45969</v>
      </c>
      <c r="B5822" s="24" t="s">
        <v>12</v>
      </c>
      <c r="C5822" s="21">
        <f t="shared" si="98"/>
        <v>-155.9</v>
      </c>
      <c r="J5822" s="110">
        <v>-155.9</v>
      </c>
    </row>
    <row r="5823" spans="1:235" x14ac:dyDescent="0.25">
      <c r="A5823" s="127">
        <v>45969</v>
      </c>
      <c r="B5823" s="24" t="s">
        <v>79</v>
      </c>
      <c r="C5823" s="21">
        <f t="shared" si="98"/>
        <v>-9.1</v>
      </c>
      <c r="CG5823" s="106">
        <v>-9.1</v>
      </c>
    </row>
    <row r="5824" spans="1:235" x14ac:dyDescent="0.25">
      <c r="A5824" s="127">
        <v>45971</v>
      </c>
      <c r="B5824" s="24" t="s">
        <v>213</v>
      </c>
      <c r="C5824" s="21">
        <f t="shared" si="98"/>
        <v>-8.17</v>
      </c>
      <c r="AC5824" s="106">
        <v>-8.17</v>
      </c>
    </row>
    <row r="5825" spans="1:191" x14ac:dyDescent="0.25">
      <c r="A5825" s="127">
        <v>45971</v>
      </c>
      <c r="B5825" s="24" t="s">
        <v>184</v>
      </c>
      <c r="C5825" s="21">
        <f t="shared" si="98"/>
        <v>-102.375</v>
      </c>
      <c r="DU5825" s="106">
        <v>-85.27</v>
      </c>
      <c r="EA5825" s="74">
        <f>-8.545-8.56</f>
        <v>-17.105</v>
      </c>
    </row>
    <row r="5826" spans="1:191" x14ac:dyDescent="0.25">
      <c r="A5826" s="127">
        <v>45971</v>
      </c>
      <c r="B5826" s="24" t="s">
        <v>152</v>
      </c>
      <c r="C5826" s="21">
        <f t="shared" si="98"/>
        <v>-148.17500000000001</v>
      </c>
      <c r="DP5826" s="74">
        <v>-63.765000000000001</v>
      </c>
      <c r="EM5826" s="150">
        <v>-33.11</v>
      </c>
      <c r="GG5826" s="210">
        <v>-26.05</v>
      </c>
      <c r="GI5826" s="251">
        <v>-25.25</v>
      </c>
    </row>
    <row r="5827" spans="1:191" x14ac:dyDescent="0.25">
      <c r="A5827" s="127">
        <v>45971</v>
      </c>
      <c r="B5827" s="24" t="s">
        <v>197</v>
      </c>
      <c r="C5827" s="21">
        <f t="shared" si="98"/>
        <v>-58.984999999999999</v>
      </c>
      <c r="AW5827" s="106">
        <v>-9.2750000000000004</v>
      </c>
      <c r="BU5827" s="106">
        <v>-16.864999999999998</v>
      </c>
      <c r="CA5827" s="106">
        <v>-16.065000000000001</v>
      </c>
      <c r="CS5827" s="74">
        <v>-16.78</v>
      </c>
    </row>
    <row r="5828" spans="1:191" x14ac:dyDescent="0.25">
      <c r="A5828" s="127">
        <v>45972</v>
      </c>
      <c r="B5828" s="24" t="s">
        <v>233</v>
      </c>
      <c r="C5828" s="21">
        <f t="shared" si="98"/>
        <v>-75.41</v>
      </c>
      <c r="DW5828" s="126">
        <v>-8.0299999999999994</v>
      </c>
      <c r="EA5828" s="74">
        <v>-59.7</v>
      </c>
      <c r="EI5828" s="150">
        <v>-7.68</v>
      </c>
    </row>
    <row r="5829" spans="1:191" x14ac:dyDescent="0.25">
      <c r="A5829" s="127">
        <v>45972</v>
      </c>
      <c r="B5829" s="24" t="s">
        <v>83</v>
      </c>
      <c r="C5829" s="21">
        <f t="shared" si="98"/>
        <v>-26.56</v>
      </c>
      <c r="V5829" s="74">
        <f>-8.855-8.845-8.86</f>
        <v>-26.56</v>
      </c>
    </row>
    <row r="5830" spans="1:191" x14ac:dyDescent="0.25">
      <c r="A5830" s="127">
        <v>45973</v>
      </c>
      <c r="B5830" s="24" t="s">
        <v>20</v>
      </c>
      <c r="C5830" s="21">
        <f t="shared" ref="C5830:C5844" si="99">SUM(D5830:JT5830)</f>
        <v>-35.064999999999998</v>
      </c>
      <c r="BU5830" s="106">
        <v>-8.375</v>
      </c>
      <c r="CS5830" s="74">
        <v>-8.34</v>
      </c>
      <c r="DK5830" s="106">
        <v>-8.8800000000000008</v>
      </c>
      <c r="DM5830" s="46">
        <v>-9.4700000000000006</v>
      </c>
    </row>
    <row r="5831" spans="1:191" x14ac:dyDescent="0.25">
      <c r="A5831" s="127">
        <v>45974</v>
      </c>
      <c r="B5831" s="24" t="s">
        <v>113</v>
      </c>
      <c r="C5831" s="21">
        <f t="shared" si="99"/>
        <v>611.83000000000004</v>
      </c>
      <c r="BD5831" s="121">
        <v>66.165000000000006</v>
      </c>
      <c r="BI5831" s="106">
        <v>101.185</v>
      </c>
      <c r="BO5831" s="106">
        <v>101.71</v>
      </c>
      <c r="BU5831" s="106">
        <v>79.795000000000002</v>
      </c>
      <c r="CA5831" s="106">
        <v>101.155</v>
      </c>
      <c r="CG5831" s="106">
        <v>98.545000000000002</v>
      </c>
      <c r="CM5831" s="106">
        <v>63.274999999999999</v>
      </c>
    </row>
    <row r="5832" spans="1:191" x14ac:dyDescent="0.25">
      <c r="A5832" s="127">
        <v>45974</v>
      </c>
      <c r="B5832" s="24" t="s">
        <v>213</v>
      </c>
      <c r="C5832" s="21">
        <f t="shared" si="99"/>
        <v>-265.85500000000002</v>
      </c>
      <c r="AW5832" s="106">
        <v>-8.2349999999999994</v>
      </c>
      <c r="BI5832" s="106">
        <v>-26.344999999999999</v>
      </c>
      <c r="BO5832" s="106">
        <v>-34.034999999999997</v>
      </c>
      <c r="BU5832" s="106">
        <v>-31.875</v>
      </c>
      <c r="CA5832" s="106">
        <v>-33.17</v>
      </c>
      <c r="CG5832" s="106">
        <v>-16.545000000000002</v>
      </c>
      <c r="CM5832" s="106">
        <v>-16.05</v>
      </c>
      <c r="CS5832" s="74">
        <v>-33.274999999999999</v>
      </c>
      <c r="CY5832" s="106">
        <v>-17.204999999999998</v>
      </c>
      <c r="DA5832" s="126">
        <f>-8.56-7.96</f>
        <v>-16.52</v>
      </c>
      <c r="DE5832" s="74">
        <v>-32.6</v>
      </c>
    </row>
    <row r="5833" spans="1:191" x14ac:dyDescent="0.25">
      <c r="A5833" s="127">
        <v>45974</v>
      </c>
      <c r="B5833" s="24" t="s">
        <v>235</v>
      </c>
      <c r="C5833" s="21">
        <f t="shared" si="99"/>
        <v>-73.040000000000006</v>
      </c>
      <c r="BD5833" s="121">
        <v>-24.515000000000001</v>
      </c>
      <c r="BI5833" s="106">
        <v>-24.49</v>
      </c>
      <c r="BU5833" s="106">
        <v>-24.035</v>
      </c>
    </row>
    <row r="5834" spans="1:191" x14ac:dyDescent="0.25">
      <c r="A5834" s="127">
        <v>45974</v>
      </c>
      <c r="B5834" s="24" t="s">
        <v>75</v>
      </c>
      <c r="C5834" s="21">
        <f t="shared" si="99"/>
        <v>-8.35</v>
      </c>
      <c r="BD5834" s="121">
        <v>-8.35</v>
      </c>
    </row>
    <row r="5835" spans="1:191" x14ac:dyDescent="0.25">
      <c r="A5835" s="127">
        <v>45974</v>
      </c>
      <c r="B5835" s="24" t="s">
        <v>138</v>
      </c>
      <c r="C5835" s="21">
        <f t="shared" si="99"/>
        <v>-41.29</v>
      </c>
      <c r="AW5835" s="106">
        <v>-7.98</v>
      </c>
      <c r="BD5835" s="121">
        <v>-16.46</v>
      </c>
      <c r="BO5835" s="106">
        <v>-16.850000000000001</v>
      </c>
    </row>
    <row r="5836" spans="1:191" x14ac:dyDescent="0.25">
      <c r="A5836" s="127">
        <v>45974</v>
      </c>
      <c r="B5836" s="24" t="s">
        <v>20</v>
      </c>
      <c r="C5836" s="21">
        <f t="shared" si="99"/>
        <v>-32.825000000000003</v>
      </c>
      <c r="BI5836" s="106">
        <v>-8.3849999999999998</v>
      </c>
      <c r="BO5836" s="106">
        <v>-8.4949999999999992</v>
      </c>
      <c r="CG5836" s="106">
        <v>-7.9</v>
      </c>
      <c r="CM5836" s="106">
        <v>-8.0449999999999999</v>
      </c>
    </row>
    <row r="5837" spans="1:191" x14ac:dyDescent="0.25">
      <c r="A5837" s="127">
        <v>45974</v>
      </c>
      <c r="B5837" s="24" t="s">
        <v>139</v>
      </c>
      <c r="C5837" s="21">
        <f t="shared" si="99"/>
        <v>-24.765000000000001</v>
      </c>
      <c r="BO5837" s="106">
        <v>-8.4700000000000006</v>
      </c>
      <c r="BU5837" s="106">
        <v>-7.95</v>
      </c>
      <c r="CA5837" s="106">
        <v>-8.3450000000000006</v>
      </c>
    </row>
    <row r="5838" spans="1:191" x14ac:dyDescent="0.25">
      <c r="A5838" s="127">
        <v>45974</v>
      </c>
      <c r="B5838" s="24" t="s">
        <v>197</v>
      </c>
      <c r="C5838" s="21">
        <f t="shared" si="99"/>
        <v>-41.87</v>
      </c>
      <c r="BD5838" s="121">
        <v>-7.9649999999999999</v>
      </c>
      <c r="BO5838" s="106">
        <v>-8.5</v>
      </c>
      <c r="CG5838" s="106">
        <v>-17.355</v>
      </c>
      <c r="CM5838" s="106">
        <v>-8.0500000000000007</v>
      </c>
    </row>
    <row r="5839" spans="1:191" x14ac:dyDescent="0.25">
      <c r="A5839" s="127">
        <v>45974</v>
      </c>
      <c r="B5839" s="24" t="s">
        <v>39</v>
      </c>
      <c r="C5839" s="21">
        <f t="shared" si="99"/>
        <v>-33.229999999999997</v>
      </c>
      <c r="AN5839" s="106">
        <v>-7.665</v>
      </c>
      <c r="BD5839" s="121">
        <v>-8.875</v>
      </c>
      <c r="BI5839" s="106">
        <v>-8.35</v>
      </c>
      <c r="CA5839" s="106">
        <v>-8.34</v>
      </c>
    </row>
    <row r="5840" spans="1:191" x14ac:dyDescent="0.25">
      <c r="A5840" s="127">
        <v>45974</v>
      </c>
      <c r="B5840" s="24" t="s">
        <v>218</v>
      </c>
      <c r="C5840" s="21">
        <f t="shared" si="99"/>
        <v>-54.545000000000002</v>
      </c>
      <c r="BO5840" s="106">
        <v>-8.42</v>
      </c>
      <c r="CA5840" s="106">
        <v>-8.2850000000000001</v>
      </c>
      <c r="CY5840" s="106">
        <v>-16.09</v>
      </c>
      <c r="DE5840" s="74">
        <v>-21.75</v>
      </c>
    </row>
    <row r="5841" spans="1:226" x14ac:dyDescent="0.25">
      <c r="A5841" s="127">
        <v>45974</v>
      </c>
      <c r="B5841" s="24" t="s">
        <v>48</v>
      </c>
      <c r="C5841" s="21">
        <f t="shared" si="99"/>
        <v>-17.905000000000001</v>
      </c>
      <c r="HJ5841" s="79">
        <v>-17.905000000000001</v>
      </c>
    </row>
    <row r="5842" spans="1:226" x14ac:dyDescent="0.25">
      <c r="A5842" s="127">
        <v>45974</v>
      </c>
      <c r="B5842" s="24" t="s">
        <v>236</v>
      </c>
      <c r="C5842" s="21">
        <f t="shared" si="99"/>
        <v>-34.06</v>
      </c>
      <c r="HR5842" s="92">
        <v>-34.06</v>
      </c>
    </row>
    <row r="5843" spans="1:226" x14ac:dyDescent="0.25">
      <c r="A5843" s="127">
        <v>45974</v>
      </c>
      <c r="B5843" s="24" t="s">
        <v>151</v>
      </c>
      <c r="C5843" s="21">
        <f t="shared" si="99"/>
        <v>-24.565000000000001</v>
      </c>
      <c r="CG5843" s="106">
        <v>-24.565000000000001</v>
      </c>
    </row>
    <row r="5844" spans="1:226" x14ac:dyDescent="0.25">
      <c r="A5844" s="127">
        <v>45975</v>
      </c>
      <c r="B5844" s="24" t="s">
        <v>33</v>
      </c>
      <c r="C5844" s="21">
        <f t="shared" si="99"/>
        <v>-8.4700000000000006</v>
      </c>
      <c r="BO5844" s="106">
        <v>-8.4700000000000006</v>
      </c>
    </row>
    <row r="5845" spans="1:226" x14ac:dyDescent="0.25">
      <c r="A5845" s="127">
        <v>45976</v>
      </c>
      <c r="B5845" s="24" t="s">
        <v>152</v>
      </c>
      <c r="C5845" s="21">
        <f t="shared" ref="C5845:C5859" si="100">SUM(D5845:JT5845)</f>
        <v>-72.747</v>
      </c>
      <c r="ET5845" s="106">
        <v>-29.56</v>
      </c>
      <c r="GK5845" s="79">
        <v>-21.161999999999999</v>
      </c>
      <c r="GO5845" s="110">
        <v>-22.024999999999999</v>
      </c>
    </row>
    <row r="5846" spans="1:226" x14ac:dyDescent="0.25">
      <c r="A5846" s="127">
        <v>45979</v>
      </c>
      <c r="B5846" s="24" t="s">
        <v>138</v>
      </c>
      <c r="C5846" s="21">
        <f t="shared" si="100"/>
        <v>-8.3800000000000008</v>
      </c>
      <c r="AR5846" s="106">
        <v>-8.3800000000000008</v>
      </c>
    </row>
    <row r="5847" spans="1:226" x14ac:dyDescent="0.25">
      <c r="A5847" s="127">
        <v>45979</v>
      </c>
      <c r="B5847" s="24" t="s">
        <v>50</v>
      </c>
      <c r="C5847" s="21">
        <f t="shared" si="100"/>
        <v>-66.25</v>
      </c>
      <c r="HD5847" s="92">
        <v>-66.25</v>
      </c>
    </row>
    <row r="5848" spans="1:226" x14ac:dyDescent="0.25">
      <c r="A5848" s="127">
        <v>45979</v>
      </c>
      <c r="B5848" s="24" t="s">
        <v>24</v>
      </c>
      <c r="C5848" s="21">
        <f t="shared" si="100"/>
        <v>-48.534999999999997</v>
      </c>
      <c r="BU5848" s="106">
        <v>-15.935</v>
      </c>
      <c r="CA5848" s="106">
        <v>-16.32</v>
      </c>
      <c r="CG5848" s="106">
        <v>-16.28</v>
      </c>
    </row>
    <row r="5849" spans="1:226" x14ac:dyDescent="0.25">
      <c r="A5849" s="127">
        <v>45979</v>
      </c>
      <c r="B5849" s="24" t="s">
        <v>171</v>
      </c>
      <c r="C5849" s="21">
        <f t="shared" si="100"/>
        <v>-42.75</v>
      </c>
      <c r="DK5849" s="106">
        <v>-42.75</v>
      </c>
    </row>
    <row r="5850" spans="1:226" x14ac:dyDescent="0.25">
      <c r="A5850" s="127">
        <v>45980</v>
      </c>
      <c r="B5850" s="24" t="s">
        <v>25</v>
      </c>
      <c r="C5850" s="21">
        <f t="shared" si="100"/>
        <v>-33.244999999999997</v>
      </c>
      <c r="AN5850" s="106">
        <v>-8.41</v>
      </c>
      <c r="BI5850" s="106">
        <v>-8.4</v>
      </c>
      <c r="CS5850" s="74">
        <v>-8.3949999999999996</v>
      </c>
      <c r="CY5850" s="106">
        <v>-8.0399999999999991</v>
      </c>
    </row>
    <row r="5851" spans="1:226" x14ac:dyDescent="0.25">
      <c r="A5851" s="127">
        <v>45980</v>
      </c>
      <c r="B5851" s="24" t="s">
        <v>113</v>
      </c>
      <c r="C5851" s="21">
        <f t="shared" si="100"/>
        <v>741.87</v>
      </c>
      <c r="AW5851" s="106">
        <v>68.19</v>
      </c>
      <c r="BC5851" s="106">
        <v>64.67</v>
      </c>
      <c r="BI5851" s="106">
        <v>68.995000000000005</v>
      </c>
      <c r="BO5851" s="106">
        <v>67.98</v>
      </c>
      <c r="BU5851" s="106">
        <f>35.72+34.475</f>
        <v>70.194999999999993</v>
      </c>
      <c r="CA5851" s="106">
        <v>67.364999999999995</v>
      </c>
      <c r="CG5851" s="106">
        <v>69.525000000000006</v>
      </c>
      <c r="DE5851" s="74">
        <v>68.965000000000003</v>
      </c>
      <c r="EA5851" s="74">
        <f>37.665+25.075</f>
        <v>62.74</v>
      </c>
      <c r="GQ5851" s="92">
        <v>133.245</v>
      </c>
    </row>
    <row r="5852" spans="1:226" x14ac:dyDescent="0.25">
      <c r="A5852" s="127">
        <v>45980</v>
      </c>
      <c r="B5852" s="24" t="s">
        <v>225</v>
      </c>
      <c r="C5852" s="21">
        <f t="shared" si="100"/>
        <v>-74.984999999999999</v>
      </c>
      <c r="BI5852" s="106">
        <v>-16.815000000000001</v>
      </c>
      <c r="BO5852" s="106">
        <v>-16.864999999999998</v>
      </c>
      <c r="BU5852" s="106">
        <v>-8.6150000000000002</v>
      </c>
      <c r="CA5852" s="106">
        <v>-16.684999999999999</v>
      </c>
      <c r="CG5852" s="106">
        <v>-7.9450000000000003</v>
      </c>
      <c r="CM5852" s="106">
        <v>-8.06</v>
      </c>
    </row>
    <row r="5853" spans="1:226" x14ac:dyDescent="0.25">
      <c r="A5853" s="127">
        <v>45980</v>
      </c>
      <c r="B5853" s="24" t="s">
        <v>184</v>
      </c>
      <c r="C5853" s="21">
        <f t="shared" si="100"/>
        <v>-269.89</v>
      </c>
      <c r="AN5853" s="106">
        <v>-16.850000000000001</v>
      </c>
      <c r="AR5853" s="106">
        <v>-8.375</v>
      </c>
      <c r="AW5853" s="106">
        <v>-17.254999999999999</v>
      </c>
      <c r="BC5853" s="106">
        <v>-23.98</v>
      </c>
      <c r="BI5853" s="106">
        <v>-34.555</v>
      </c>
      <c r="BO5853" s="106">
        <v>-34.115000000000002</v>
      </c>
      <c r="BU5853" s="106">
        <v>-34.435000000000002</v>
      </c>
      <c r="CA5853" s="106">
        <v>-34.414999999999999</v>
      </c>
      <c r="CG5853" s="106">
        <v>-34.744999999999997</v>
      </c>
      <c r="CM5853" s="106">
        <v>-15.02</v>
      </c>
      <c r="CS5853" s="74">
        <v>-16.145</v>
      </c>
    </row>
    <row r="5854" spans="1:226" x14ac:dyDescent="0.25">
      <c r="A5854" s="127">
        <v>45980</v>
      </c>
      <c r="B5854" s="24" t="s">
        <v>17</v>
      </c>
      <c r="C5854" s="21">
        <f t="shared" si="100"/>
        <v>-35.26</v>
      </c>
      <c r="BC5854" s="106">
        <v>-8.2050000000000001</v>
      </c>
      <c r="BO5854" s="106">
        <v>-17.62</v>
      </c>
      <c r="BU5854" s="106">
        <v>-9.4350000000000005</v>
      </c>
    </row>
    <row r="5855" spans="1:226" x14ac:dyDescent="0.25">
      <c r="A5855" s="127">
        <v>45980</v>
      </c>
      <c r="B5855" s="24" t="s">
        <v>44</v>
      </c>
      <c r="C5855" s="21">
        <f t="shared" si="100"/>
        <v>-137.72999999999999</v>
      </c>
      <c r="GK5855" s="79">
        <v>-4.4850000000000003</v>
      </c>
      <c r="GQ5855" s="92">
        <v>-133.245</v>
      </c>
    </row>
    <row r="5856" spans="1:226" x14ac:dyDescent="0.25">
      <c r="A5856" s="127">
        <v>45980</v>
      </c>
      <c r="B5856" s="24" t="s">
        <v>20</v>
      </c>
      <c r="C5856" s="21">
        <f t="shared" si="100"/>
        <v>-8.25</v>
      </c>
      <c r="BC5856" s="106">
        <v>-8.25</v>
      </c>
    </row>
    <row r="5857" spans="1:208" x14ac:dyDescent="0.25">
      <c r="A5857" s="127">
        <v>45980</v>
      </c>
      <c r="B5857" s="24" t="s">
        <v>192</v>
      </c>
      <c r="C5857" s="21">
        <f t="shared" si="100"/>
        <v>-8.3650000000000002</v>
      </c>
      <c r="BC5857" s="106">
        <v>-8.3650000000000002</v>
      </c>
    </row>
    <row r="5858" spans="1:208" x14ac:dyDescent="0.25">
      <c r="A5858" s="127">
        <v>45981</v>
      </c>
      <c r="B5858" s="24" t="s">
        <v>224</v>
      </c>
      <c r="C5858" s="21">
        <f t="shared" si="100"/>
        <v>-16.97</v>
      </c>
      <c r="AG5858" s="106">
        <v>-8.65</v>
      </c>
      <c r="AR5858" s="106">
        <v>-8.32</v>
      </c>
    </row>
    <row r="5859" spans="1:208" x14ac:dyDescent="0.25">
      <c r="A5859" s="127">
        <v>45981</v>
      </c>
      <c r="B5859" s="24" t="s">
        <v>174</v>
      </c>
      <c r="C5859" s="21">
        <f t="shared" si="100"/>
        <v>-16.094999999999999</v>
      </c>
      <c r="CM5859" s="106">
        <v>-16.094999999999999</v>
      </c>
    </row>
    <row r="5860" spans="1:208" x14ac:dyDescent="0.25">
      <c r="A5860" s="127">
        <v>45981</v>
      </c>
      <c r="B5860" s="24" t="s">
        <v>48</v>
      </c>
      <c r="C5860" s="21">
        <f t="shared" ref="C5860:C5866" si="101">SUM(D5860:JT5860)</f>
        <v>-31.92</v>
      </c>
      <c r="AC5860" s="106">
        <v>-14.994999999999999</v>
      </c>
      <c r="AN5860" s="106">
        <v>-8.31</v>
      </c>
      <c r="BU5860" s="106">
        <v>-8.6150000000000002</v>
      </c>
    </row>
    <row r="5861" spans="1:208" x14ac:dyDescent="0.25">
      <c r="A5861" s="127">
        <v>45981</v>
      </c>
      <c r="B5861" s="24" t="s">
        <v>197</v>
      </c>
      <c r="C5861" s="21">
        <f t="shared" si="101"/>
        <v>-48.85</v>
      </c>
      <c r="DA5861" s="126">
        <v>-15.03</v>
      </c>
      <c r="DE5861" s="74">
        <v>-17.260000000000002</v>
      </c>
      <c r="DM5861" s="46">
        <v>-16.559999999999999</v>
      </c>
    </row>
    <row r="5862" spans="1:208" x14ac:dyDescent="0.25">
      <c r="A5862" s="127">
        <v>45982</v>
      </c>
      <c r="B5862" s="24" t="s">
        <v>218</v>
      </c>
      <c r="C5862" s="21">
        <f t="shared" si="101"/>
        <v>-116.92</v>
      </c>
      <c r="V5862" s="74">
        <f>-8.85-8.87</f>
        <v>-17.72</v>
      </c>
      <c r="AG5862" s="106">
        <v>-15.244999999999999</v>
      </c>
      <c r="BI5862" s="106">
        <f>-8.64-8.62-8.695-8.4</f>
        <v>-34.354999999999997</v>
      </c>
      <c r="CA5862" s="106">
        <v>-32.950000000000003</v>
      </c>
      <c r="CG5862" s="106">
        <f>-8.695-7.955</f>
        <v>-16.649999999999999</v>
      </c>
    </row>
    <row r="5863" spans="1:208" x14ac:dyDescent="0.25">
      <c r="A5863" s="127">
        <v>45982</v>
      </c>
      <c r="B5863" s="24" t="s">
        <v>213</v>
      </c>
      <c r="C5863" s="21">
        <f t="shared" si="101"/>
        <v>-49.865000000000002</v>
      </c>
      <c r="AC5863" s="106">
        <v>-8.4</v>
      </c>
      <c r="AG5863" s="106">
        <v>-8.65</v>
      </c>
      <c r="BC5863" s="106">
        <v>-15.87</v>
      </c>
      <c r="BO5863" s="106">
        <v>-16.945</v>
      </c>
    </row>
    <row r="5864" spans="1:208" x14ac:dyDescent="0.25">
      <c r="A5864" s="127">
        <v>45982</v>
      </c>
      <c r="B5864" s="24" t="s">
        <v>202</v>
      </c>
      <c r="C5864" s="21">
        <f t="shared" si="101"/>
        <v>-16.945</v>
      </c>
      <c r="E5864" s="386">
        <v>-16.945</v>
      </c>
    </row>
    <row r="5865" spans="1:208" x14ac:dyDescent="0.25">
      <c r="A5865" s="127">
        <v>45982</v>
      </c>
      <c r="B5865" s="24" t="s">
        <v>182</v>
      </c>
      <c r="C5865" s="21">
        <f t="shared" si="101"/>
        <v>-101.595</v>
      </c>
      <c r="GZ5865" s="106">
        <f>-32.36-34.405-34.83</f>
        <v>-101.595</v>
      </c>
    </row>
    <row r="5866" spans="1:208" x14ac:dyDescent="0.25">
      <c r="A5866" s="127">
        <v>45982</v>
      </c>
      <c r="B5866" s="24" t="s">
        <v>48</v>
      </c>
      <c r="C5866" s="21">
        <f t="shared" si="101"/>
        <v>-7.5149999999999997</v>
      </c>
      <c r="EA5866" s="74">
        <v>-7.5149999999999997</v>
      </c>
    </row>
    <row r="5867" spans="1:208" x14ac:dyDescent="0.25">
      <c r="A5867" s="127">
        <v>45983</v>
      </c>
      <c r="B5867" s="24" t="s">
        <v>33</v>
      </c>
      <c r="C5867" s="21">
        <f t="shared" ref="C5867:C5870" si="102">SUM(D5867:JT5867)</f>
        <v>-8.4849999999999994</v>
      </c>
      <c r="BI5867" s="106">
        <v>-8.4849999999999994</v>
      </c>
    </row>
    <row r="5868" spans="1:208" x14ac:dyDescent="0.25">
      <c r="A5868" s="127">
        <v>45983</v>
      </c>
      <c r="B5868" s="24" t="s">
        <v>113</v>
      </c>
      <c r="C5868" s="21">
        <f t="shared" si="102"/>
        <v>833.69500000000005</v>
      </c>
      <c r="AG5868" s="106">
        <v>72.204999999999998</v>
      </c>
      <c r="AN5868" s="106">
        <v>32.130000000000003</v>
      </c>
      <c r="AR5868" s="106">
        <v>31.45</v>
      </c>
      <c r="AW5868" s="106">
        <v>33.909999999999997</v>
      </c>
      <c r="BC5868" s="106">
        <v>68.234999999999999</v>
      </c>
      <c r="BI5868" s="106">
        <v>103.295</v>
      </c>
      <c r="BO5868" s="106">
        <v>101.24</v>
      </c>
      <c r="BU5868" s="106">
        <v>68.66</v>
      </c>
      <c r="CA5868" s="106">
        <v>69.555000000000007</v>
      </c>
      <c r="CG5868" s="106">
        <v>69.405000000000001</v>
      </c>
      <c r="CM5868" s="106">
        <v>83.534999999999997</v>
      </c>
      <c r="CS5868" s="74">
        <v>67.275000000000006</v>
      </c>
      <c r="CY5868" s="106">
        <v>32.799999999999997</v>
      </c>
    </row>
    <row r="5869" spans="1:208" x14ac:dyDescent="0.25">
      <c r="A5869" s="127">
        <v>45983</v>
      </c>
      <c r="B5869" s="24" t="s">
        <v>184</v>
      </c>
      <c r="C5869" s="21">
        <f t="shared" si="102"/>
        <v>-101.32</v>
      </c>
      <c r="CG5869" s="106">
        <v>-17.38</v>
      </c>
      <c r="CM5869" s="106">
        <v>-16.829999999999998</v>
      </c>
      <c r="DU5869" s="106">
        <v>-42.115000000000002</v>
      </c>
      <c r="EA5869" s="74">
        <v>-24.995000000000001</v>
      </c>
    </row>
    <row r="5870" spans="1:208" x14ac:dyDescent="0.25">
      <c r="A5870" s="127">
        <v>45983</v>
      </c>
      <c r="B5870" s="24" t="s">
        <v>188</v>
      </c>
      <c r="C5870" s="21">
        <f t="shared" si="102"/>
        <v>-25.61</v>
      </c>
      <c r="AN5870" s="106">
        <v>-8.4250000000000007</v>
      </c>
      <c r="BI5870" s="106">
        <v>-8.6649999999999991</v>
      </c>
      <c r="BO5870" s="106">
        <v>-8.52</v>
      </c>
    </row>
    <row r="5871" spans="1:208" x14ac:dyDescent="0.25">
      <c r="A5871" s="127">
        <v>45983</v>
      </c>
      <c r="B5871" s="24" t="s">
        <v>197</v>
      </c>
      <c r="C5871" s="21">
        <f t="shared" ref="C5871:C5883" si="103">SUM(D5871:JT5871)</f>
        <v>-84.76</v>
      </c>
      <c r="BU5871" s="106">
        <v>-17.2</v>
      </c>
      <c r="CA5871" s="106">
        <v>-17.375</v>
      </c>
      <c r="CG5871" s="106">
        <v>-17.375</v>
      </c>
      <c r="CM5871" s="106">
        <v>-16.114999999999998</v>
      </c>
      <c r="CS5871" s="74">
        <v>-16.695</v>
      </c>
    </row>
    <row r="5872" spans="1:208" x14ac:dyDescent="0.25">
      <c r="A5872" s="127">
        <v>45985</v>
      </c>
      <c r="B5872" s="24" t="s">
        <v>20</v>
      </c>
      <c r="C5872" s="21">
        <f t="shared" si="103"/>
        <v>-25.835000000000001</v>
      </c>
      <c r="Z5872" s="79">
        <v>-9.01</v>
      </c>
      <c r="BI5872" s="106">
        <v>-8.1199999999999992</v>
      </c>
      <c r="CA5872" s="106">
        <v>-8.7050000000000001</v>
      </c>
    </row>
    <row r="5873" spans="1:249" x14ac:dyDescent="0.25">
      <c r="A5873" s="127">
        <v>45985</v>
      </c>
      <c r="B5873" s="24" t="s">
        <v>237</v>
      </c>
      <c r="C5873" s="21">
        <f t="shared" si="103"/>
        <v>-42.69</v>
      </c>
      <c r="AC5873" s="106">
        <v>-3.71</v>
      </c>
      <c r="AG5873" s="106">
        <v>-3.67</v>
      </c>
      <c r="AN5873" s="106">
        <v>-5.69</v>
      </c>
      <c r="AR5873" s="106">
        <v>-4.01</v>
      </c>
      <c r="AW5873" s="106">
        <v>-4.41</v>
      </c>
      <c r="BC5873" s="106">
        <v>-4</v>
      </c>
      <c r="BI5873" s="106">
        <v>-4.3499999999999996</v>
      </c>
      <c r="BO5873" s="106">
        <v>-4.1500000000000004</v>
      </c>
      <c r="BU5873" s="106">
        <v>-4.2699999999999996</v>
      </c>
      <c r="CA5873" s="106">
        <v>-4.43</v>
      </c>
    </row>
    <row r="5874" spans="1:249" x14ac:dyDescent="0.25">
      <c r="A5874" s="127">
        <v>45986</v>
      </c>
      <c r="B5874" s="24" t="s">
        <v>138</v>
      </c>
      <c r="C5874" s="21">
        <f t="shared" si="103"/>
        <v>-34.25</v>
      </c>
      <c r="AR5874" s="106">
        <v>-8.1</v>
      </c>
      <c r="AW5874" s="106">
        <v>-8.5749999999999993</v>
      </c>
      <c r="BC5874" s="106">
        <v>-8.9700000000000006</v>
      </c>
      <c r="BU5874" s="106">
        <v>-8.6050000000000004</v>
      </c>
    </row>
    <row r="5875" spans="1:249" x14ac:dyDescent="0.25">
      <c r="A5875" s="127">
        <v>45986</v>
      </c>
      <c r="B5875" s="24" t="s">
        <v>218</v>
      </c>
      <c r="C5875" s="21">
        <f t="shared" si="103"/>
        <v>-51.585000000000001</v>
      </c>
      <c r="BC5875" s="106">
        <f>-9.035-9.345-8.12</f>
        <v>-26.5</v>
      </c>
      <c r="BO5875" s="106">
        <f>-8.19-8.5-8.395</f>
        <v>-25.085000000000001</v>
      </c>
    </row>
    <row r="5876" spans="1:249" x14ac:dyDescent="0.25">
      <c r="A5876" s="127">
        <v>45988</v>
      </c>
      <c r="B5876" s="24" t="s">
        <v>162</v>
      </c>
      <c r="C5876" s="21">
        <f t="shared" si="103"/>
        <v>-8.875</v>
      </c>
      <c r="M5876" s="92">
        <v>-8.875</v>
      </c>
    </row>
    <row r="5877" spans="1:249" x14ac:dyDescent="0.25">
      <c r="A5877" s="127">
        <v>45988</v>
      </c>
      <c r="B5877" s="24" t="s">
        <v>192</v>
      </c>
      <c r="C5877" s="21">
        <f t="shared" si="103"/>
        <v>-17.375</v>
      </c>
      <c r="CA5877" s="106">
        <v>-8.68</v>
      </c>
      <c r="CG5877" s="106">
        <v>-8.6950000000000003</v>
      </c>
    </row>
    <row r="5878" spans="1:249" x14ac:dyDescent="0.25">
      <c r="A5878" s="127">
        <v>45988</v>
      </c>
      <c r="B5878" s="24" t="s">
        <v>113</v>
      </c>
      <c r="C5878" s="21">
        <f t="shared" si="103"/>
        <v>661.87</v>
      </c>
      <c r="AN5878" s="106">
        <v>31.574999999999999</v>
      </c>
      <c r="AR5878" s="106">
        <v>32.115000000000002</v>
      </c>
      <c r="BO5878" s="106">
        <v>34.015000000000001</v>
      </c>
      <c r="BU5878" s="106">
        <v>31.914999999999999</v>
      </c>
      <c r="CA5878" s="106">
        <v>34.46</v>
      </c>
      <c r="CM5878" s="106">
        <v>99.6</v>
      </c>
      <c r="CS5878" s="74">
        <v>68.795000000000002</v>
      </c>
      <c r="CY5878" s="106">
        <v>32.770000000000003</v>
      </c>
      <c r="DE5878" s="74">
        <v>34.380000000000003</v>
      </c>
      <c r="DK5878" s="106">
        <v>68.954999999999998</v>
      </c>
      <c r="DU5878" s="106">
        <v>161.185</v>
      </c>
      <c r="EA5878" s="74">
        <v>32.104999999999997</v>
      </c>
    </row>
    <row r="5879" spans="1:249" x14ac:dyDescent="0.25">
      <c r="A5879" s="127">
        <v>45988</v>
      </c>
      <c r="B5879" s="24" t="s">
        <v>113</v>
      </c>
      <c r="C5879" s="21">
        <f t="shared" si="103"/>
        <v>539.26</v>
      </c>
      <c r="AN5879" s="106">
        <v>32.17</v>
      </c>
      <c r="BI5879" s="106">
        <v>34.54</v>
      </c>
      <c r="BO5879" s="106">
        <v>32.984999999999999</v>
      </c>
      <c r="BU5879" s="106">
        <v>68.754999999999995</v>
      </c>
      <c r="CA5879" s="106">
        <v>34.795000000000002</v>
      </c>
      <c r="CG5879" s="106">
        <v>69.790000000000006</v>
      </c>
      <c r="CM5879" s="106">
        <v>96.825000000000003</v>
      </c>
      <c r="DE5879" s="74">
        <v>34.704999999999998</v>
      </c>
      <c r="EA5879" s="74">
        <v>134.69499999999999</v>
      </c>
    </row>
    <row r="5880" spans="1:249" x14ac:dyDescent="0.25">
      <c r="A5880" s="127">
        <v>45988</v>
      </c>
      <c r="B5880" s="24" t="s">
        <v>115</v>
      </c>
      <c r="C5880" s="21">
        <f t="shared" si="103"/>
        <v>550.12</v>
      </c>
      <c r="D5880" s="386">
        <v>32.75</v>
      </c>
      <c r="E5880" s="386">
        <v>37.58</v>
      </c>
      <c r="IO5880" s="182">
        <v>479.79</v>
      </c>
    </row>
    <row r="5881" spans="1:249" x14ac:dyDescent="0.25">
      <c r="A5881" s="127">
        <v>45988</v>
      </c>
      <c r="B5881" s="24" t="s">
        <v>20</v>
      </c>
      <c r="C5881" s="21">
        <f t="shared" si="103"/>
        <v>-34.534999999999997</v>
      </c>
      <c r="BO5881" s="106">
        <v>-8.57</v>
      </c>
      <c r="BU5881" s="106">
        <v>-8.58</v>
      </c>
      <c r="CA5881" s="106">
        <v>-8.6950000000000003</v>
      </c>
      <c r="CG5881" s="106">
        <v>-8.69</v>
      </c>
    </row>
    <row r="5882" spans="1:249" x14ac:dyDescent="0.25">
      <c r="A5882" s="127">
        <v>45988</v>
      </c>
      <c r="B5882" s="24" t="s">
        <v>152</v>
      </c>
      <c r="C5882" s="21">
        <f t="shared" si="103"/>
        <v>-539.26</v>
      </c>
      <c r="AN5882" s="106">
        <v>-32.17</v>
      </c>
      <c r="BI5882" s="106">
        <v>-34.54</v>
      </c>
      <c r="BO5882" s="106">
        <v>-32.984999999999999</v>
      </c>
      <c r="BU5882" s="106">
        <v>-68.754999999999995</v>
      </c>
      <c r="CA5882" s="106">
        <v>-34.795000000000002</v>
      </c>
      <c r="CG5882" s="106">
        <v>-69.790000000000006</v>
      </c>
      <c r="CM5882" s="106">
        <v>-96.825000000000003</v>
      </c>
      <c r="DE5882" s="74">
        <v>-34.704999999999998</v>
      </c>
      <c r="EA5882" s="74">
        <v>-134.69499999999999</v>
      </c>
    </row>
    <row r="5883" spans="1:249" x14ac:dyDescent="0.25">
      <c r="A5883" s="127">
        <v>45988</v>
      </c>
      <c r="B5883" s="24" t="s">
        <v>184</v>
      </c>
      <c r="C5883" s="21">
        <f t="shared" si="103"/>
        <v>-633.26499999999999</v>
      </c>
      <c r="BI5883" s="106">
        <v>-34.6</v>
      </c>
      <c r="BO5883" s="106">
        <v>-34.015000000000001</v>
      </c>
      <c r="BU5883" s="106">
        <v>-31.914999999999999</v>
      </c>
      <c r="CA5883" s="106">
        <v>-34.46</v>
      </c>
      <c r="CG5883" s="106">
        <v>-34.604999999999997</v>
      </c>
      <c r="CM5883" s="106">
        <v>-33.78</v>
      </c>
      <c r="CS5883" s="74">
        <v>-34.380000000000003</v>
      </c>
      <c r="CY5883" s="106">
        <v>-32.770000000000003</v>
      </c>
      <c r="DE5883" s="74">
        <v>-34.380000000000003</v>
      </c>
      <c r="DK5883" s="106">
        <v>-34.314999999999998</v>
      </c>
      <c r="DP5883" s="74">
        <v>-64.465000000000003</v>
      </c>
      <c r="DU5883" s="106">
        <v>-96.6</v>
      </c>
      <c r="EA5883" s="74">
        <v>-32.104999999999997</v>
      </c>
      <c r="EG5883" s="74">
        <v>-24.774999999999999</v>
      </c>
      <c r="EI5883" s="150">
        <v>-76.099999999999994</v>
      </c>
    </row>
    <row r="5884" spans="1:249" x14ac:dyDescent="0.25">
      <c r="A5884" s="127">
        <v>45989</v>
      </c>
      <c r="B5884" s="24" t="s">
        <v>184</v>
      </c>
      <c r="C5884" s="21">
        <f t="shared" ref="C5884:C5896" si="104">SUM(D5884:JT5884)</f>
        <v>-136.16499999999999</v>
      </c>
      <c r="P5884" s="106">
        <v>-8</v>
      </c>
      <c r="Z5884" s="79">
        <f>-8.935-35.935</f>
        <v>-44.87</v>
      </c>
      <c r="CM5884" s="106">
        <v>-16.86</v>
      </c>
      <c r="CS5884" s="74">
        <v>-34.414999999999999</v>
      </c>
      <c r="DU5884" s="106">
        <v>-32.020000000000003</v>
      </c>
    </row>
    <row r="5885" spans="1:249" x14ac:dyDescent="0.25">
      <c r="A5885" s="127">
        <v>45989</v>
      </c>
      <c r="B5885" s="24" t="s">
        <v>140</v>
      </c>
      <c r="C5885" s="21">
        <f t="shared" si="104"/>
        <v>-61.814999999999998</v>
      </c>
      <c r="D5885" s="386">
        <v>-32.75</v>
      </c>
      <c r="E5885" s="386">
        <v>-29.065000000000001</v>
      </c>
    </row>
    <row r="5886" spans="1:249" x14ac:dyDescent="0.25">
      <c r="A5886" s="127">
        <v>45989</v>
      </c>
      <c r="B5886" s="24" t="s">
        <v>225</v>
      </c>
      <c r="C5886" s="21">
        <f t="shared" si="104"/>
        <v>-27.79</v>
      </c>
      <c r="AC5886" s="106">
        <v>-3.85</v>
      </c>
      <c r="AG5886" s="106">
        <v>-3.49</v>
      </c>
      <c r="AR5886" s="106">
        <v>-4.08</v>
      </c>
      <c r="AW5886" s="106">
        <v>-3.83</v>
      </c>
      <c r="BC5886" s="106">
        <v>-4.0999999999999996</v>
      </c>
      <c r="BO5886" s="106">
        <v>-4.24</v>
      </c>
      <c r="BU5886" s="106">
        <v>-4.2</v>
      </c>
    </row>
    <row r="5887" spans="1:249" x14ac:dyDescent="0.25">
      <c r="A5887" s="127">
        <v>45989</v>
      </c>
      <c r="B5887" s="24" t="s">
        <v>213</v>
      </c>
      <c r="C5887" s="21">
        <f t="shared" si="104"/>
        <v>-30.355</v>
      </c>
      <c r="BI5887" s="106">
        <f>-4.3-8.645-8.665</f>
        <v>-21.61</v>
      </c>
      <c r="CG5887" s="106">
        <v>-8.7449999999999992</v>
      </c>
    </row>
    <row r="5888" spans="1:249" x14ac:dyDescent="0.25">
      <c r="A5888" s="127">
        <v>45989</v>
      </c>
      <c r="B5888" s="24" t="s">
        <v>213</v>
      </c>
      <c r="C5888" s="21">
        <f t="shared" si="104"/>
        <v>-64.364999999999995</v>
      </c>
      <c r="BO5888" s="106">
        <v>-25.32</v>
      </c>
      <c r="CA5888" s="106">
        <v>-39.045000000000002</v>
      </c>
    </row>
    <row r="5889" spans="1:222" x14ac:dyDescent="0.25">
      <c r="A5889" s="127">
        <v>45989</v>
      </c>
      <c r="B5889" s="24" t="s">
        <v>193</v>
      </c>
      <c r="C5889" s="21">
        <f t="shared" si="104"/>
        <v>-8.3049999999999997</v>
      </c>
      <c r="CS5889" s="74">
        <v>-8.3049999999999997</v>
      </c>
    </row>
    <row r="5890" spans="1:222" x14ac:dyDescent="0.25">
      <c r="A5890" s="127">
        <v>45989</v>
      </c>
      <c r="B5890" s="24" t="s">
        <v>171</v>
      </c>
      <c r="C5890" s="21">
        <f t="shared" si="104"/>
        <v>-16.93</v>
      </c>
      <c r="AR5890" s="106">
        <v>-8.23</v>
      </c>
      <c r="AW5890" s="106">
        <v>-8.6999999999999993</v>
      </c>
    </row>
    <row r="5891" spans="1:222" x14ac:dyDescent="0.25">
      <c r="A5891" s="127">
        <v>45990</v>
      </c>
      <c r="B5891" s="24" t="s">
        <v>224</v>
      </c>
      <c r="C5891" s="21">
        <f t="shared" si="104"/>
        <v>-17.204999999999998</v>
      </c>
      <c r="BI5891" s="106">
        <v>-8.5749999999999993</v>
      </c>
      <c r="BU5891" s="106">
        <v>-8.6300000000000008</v>
      </c>
    </row>
    <row r="5892" spans="1:222" x14ac:dyDescent="0.25">
      <c r="A5892" s="127">
        <v>45990</v>
      </c>
      <c r="B5892" s="24" t="s">
        <v>197</v>
      </c>
      <c r="C5892" s="21">
        <f t="shared" si="104"/>
        <v>-24.95</v>
      </c>
      <c r="AN5892" s="106">
        <v>-8.0850000000000009</v>
      </c>
      <c r="CM5892" s="106">
        <v>-16.864999999999998</v>
      </c>
    </row>
    <row r="5893" spans="1:222" x14ac:dyDescent="0.25">
      <c r="A5893" s="127">
        <v>45990</v>
      </c>
      <c r="B5893" s="24" t="s">
        <v>213</v>
      </c>
      <c r="C5893" s="21">
        <f t="shared" si="104"/>
        <v>-58.92</v>
      </c>
      <c r="AC5893" s="106">
        <v>-8.6</v>
      </c>
      <c r="DE5893" s="74">
        <f>-8.64-8.62</f>
        <v>-17.260000000000002</v>
      </c>
      <c r="DK5893" s="106">
        <f>-8.38-8.625</f>
        <v>-17.004999999999999</v>
      </c>
      <c r="DP5893" s="74">
        <f>-8.025-8.03</f>
        <v>-16.055</v>
      </c>
    </row>
    <row r="5894" spans="1:222" x14ac:dyDescent="0.25">
      <c r="A5894" s="127">
        <v>45990</v>
      </c>
      <c r="B5894" s="24" t="s">
        <v>25</v>
      </c>
      <c r="C5894" s="21">
        <f t="shared" si="104"/>
        <v>-42.744999999999997</v>
      </c>
      <c r="BU5894" s="106">
        <v>-17.18</v>
      </c>
      <c r="CA5894" s="106">
        <v>-8.68</v>
      </c>
      <c r="CM5894" s="106">
        <v>-16.885000000000002</v>
      </c>
    </row>
    <row r="5895" spans="1:222" x14ac:dyDescent="0.25">
      <c r="A5895" s="127">
        <v>45992</v>
      </c>
      <c r="B5895" s="24" t="s">
        <v>24</v>
      </c>
      <c r="C5895" s="21">
        <f t="shared" si="104"/>
        <v>-58.46</v>
      </c>
      <c r="AR5895" s="106">
        <v>-7.2149999999999999</v>
      </c>
      <c r="AW5895" s="106">
        <v>-8.6549999999999994</v>
      </c>
      <c r="BC5895" s="106">
        <v>-8.2449999999999992</v>
      </c>
      <c r="BI5895" s="106">
        <f>-8.665-8.66</f>
        <v>-17.324999999999999</v>
      </c>
      <c r="BO5895" s="106">
        <f>-8.53-8.49</f>
        <v>-17.02</v>
      </c>
    </row>
    <row r="5896" spans="1:222" x14ac:dyDescent="0.25">
      <c r="A5896" s="127">
        <v>45992</v>
      </c>
      <c r="B5896" s="24" t="s">
        <v>48</v>
      </c>
      <c r="C5896" s="21">
        <f t="shared" si="104"/>
        <v>-52.914999999999999</v>
      </c>
      <c r="AN5896" s="106">
        <v>-8.44</v>
      </c>
      <c r="CS5896" s="74">
        <f>-8.3-8.3</f>
        <v>-16.600000000000001</v>
      </c>
      <c r="CY5896" s="106">
        <v>-8.2050000000000001</v>
      </c>
      <c r="FG5896" s="74">
        <v>-19.670000000000002</v>
      </c>
    </row>
    <row r="5897" spans="1:222" x14ac:dyDescent="0.25">
      <c r="A5897" s="127">
        <v>45992</v>
      </c>
      <c r="B5897" s="24" t="s">
        <v>20</v>
      </c>
      <c r="C5897" s="21">
        <f t="shared" ref="C5897:C5935" si="105">SUM(D5897:JT5897)</f>
        <v>-25.695</v>
      </c>
      <c r="CM5897" s="106">
        <v>-8.41</v>
      </c>
      <c r="CS5897" s="74">
        <v>-9.0850000000000009</v>
      </c>
      <c r="CY5897" s="106">
        <v>-8.1999999999999993</v>
      </c>
    </row>
    <row r="5898" spans="1:222" x14ac:dyDescent="0.25">
      <c r="A5898" s="127">
        <v>45993</v>
      </c>
      <c r="B5898" s="24" t="s">
        <v>115</v>
      </c>
      <c r="C5898" s="21">
        <f t="shared" si="105"/>
        <v>27.51</v>
      </c>
      <c r="HN5898" s="115">
        <v>27.51</v>
      </c>
    </row>
    <row r="5899" spans="1:222" x14ac:dyDescent="0.25">
      <c r="A5899" s="127">
        <v>45993</v>
      </c>
      <c r="B5899" s="24" t="s">
        <v>48</v>
      </c>
      <c r="C5899" s="21">
        <f t="shared" si="105"/>
        <v>-24.84</v>
      </c>
      <c r="DP5899" s="74">
        <v>-8.0350000000000001</v>
      </c>
      <c r="DU5899" s="106">
        <v>-16.805</v>
      </c>
    </row>
    <row r="5900" spans="1:222" x14ac:dyDescent="0.25">
      <c r="A5900" s="127">
        <v>45994</v>
      </c>
      <c r="B5900" s="24" t="s">
        <v>82</v>
      </c>
      <c r="C5900" s="21">
        <f t="shared" si="105"/>
        <v>-53.29</v>
      </c>
      <c r="HM5900" s="106">
        <v>-0.94</v>
      </c>
      <c r="HN5900" s="115">
        <v>-52.35</v>
      </c>
    </row>
    <row r="5901" spans="1:222" x14ac:dyDescent="0.25">
      <c r="A5901" s="127">
        <v>45994</v>
      </c>
      <c r="B5901" s="24" t="s">
        <v>20</v>
      </c>
      <c r="C5901" s="21">
        <f t="shared" si="105"/>
        <v>-6.21</v>
      </c>
      <c r="M5901" s="92">
        <v>-6.21</v>
      </c>
    </row>
    <row r="5902" spans="1:222" x14ac:dyDescent="0.25">
      <c r="A5902" s="127">
        <v>45994</v>
      </c>
      <c r="B5902" s="24" t="s">
        <v>79</v>
      </c>
      <c r="C5902" s="21">
        <f t="shared" si="105"/>
        <v>-6.48</v>
      </c>
      <c r="P5902" s="106">
        <v>-6.48</v>
      </c>
    </row>
    <row r="5903" spans="1:222" x14ac:dyDescent="0.25">
      <c r="A5903" s="127">
        <v>45994</v>
      </c>
      <c r="B5903" s="24" t="s">
        <v>48</v>
      </c>
      <c r="C5903" s="21">
        <f t="shared" si="105"/>
        <v>-8.73</v>
      </c>
      <c r="P5903" s="106">
        <v>-8.73</v>
      </c>
    </row>
    <row r="5904" spans="1:222" x14ac:dyDescent="0.25">
      <c r="A5904" s="127">
        <v>45994</v>
      </c>
      <c r="B5904" s="24" t="s">
        <v>113</v>
      </c>
      <c r="C5904" s="21">
        <f t="shared" si="105"/>
        <v>933.92</v>
      </c>
      <c r="AG5904" s="106">
        <v>29.774999999999999</v>
      </c>
      <c r="AW5904" s="106">
        <v>79.599999999999994</v>
      </c>
      <c r="BC5904" s="106">
        <v>156.54</v>
      </c>
      <c r="BI5904" s="106">
        <v>110.375</v>
      </c>
      <c r="CS5904" s="74">
        <f>25.855+41.27</f>
        <v>67.125</v>
      </c>
      <c r="CY5904" s="106">
        <v>63.18</v>
      </c>
      <c r="DE5904" s="74">
        <v>68.984999999999999</v>
      </c>
      <c r="DU5904" s="106">
        <v>162.78</v>
      </c>
      <c r="EG5904" s="74">
        <v>68.45</v>
      </c>
      <c r="GQ5904" s="92">
        <v>127.11</v>
      </c>
    </row>
    <row r="5905" spans="1:199" x14ac:dyDescent="0.25">
      <c r="A5905" s="127">
        <v>45994</v>
      </c>
      <c r="B5905" s="24" t="s">
        <v>113</v>
      </c>
      <c r="C5905" s="21">
        <f t="shared" si="105"/>
        <v>415.15</v>
      </c>
      <c r="BO5905" s="106">
        <v>96.435000000000002</v>
      </c>
      <c r="BU5905" s="106">
        <v>98.1</v>
      </c>
      <c r="CA5905" s="106">
        <v>108.95</v>
      </c>
      <c r="CM5905" s="106">
        <v>111.66500000000001</v>
      </c>
    </row>
    <row r="5906" spans="1:199" x14ac:dyDescent="0.25">
      <c r="A5906" s="127">
        <v>45994</v>
      </c>
      <c r="B5906" s="24" t="s">
        <v>44</v>
      </c>
      <c r="C5906" s="21">
        <f t="shared" si="105"/>
        <v>-127.11</v>
      </c>
      <c r="GQ5906" s="92">
        <v>-127.11</v>
      </c>
    </row>
    <row r="5907" spans="1:199" x14ac:dyDescent="0.25">
      <c r="A5907" s="127">
        <v>45994</v>
      </c>
      <c r="B5907" s="24" t="s">
        <v>152</v>
      </c>
      <c r="C5907" s="21">
        <f t="shared" si="105"/>
        <v>-785.64</v>
      </c>
      <c r="BC5907" s="106">
        <v>-93.64</v>
      </c>
      <c r="BI5907" s="106">
        <v>-94.635000000000005</v>
      </c>
      <c r="BO5907" s="106">
        <v>-96.435000000000002</v>
      </c>
      <c r="BU5907" s="106">
        <v>-98.1</v>
      </c>
      <c r="CA5907" s="106">
        <v>-108.95</v>
      </c>
      <c r="CM5907" s="106">
        <v>-94.59</v>
      </c>
      <c r="CS5907" s="74">
        <v>-67.125</v>
      </c>
      <c r="CY5907" s="106">
        <v>-63.18</v>
      </c>
      <c r="DE5907" s="74">
        <v>-68.984999999999999</v>
      </c>
    </row>
    <row r="5908" spans="1:199" x14ac:dyDescent="0.25">
      <c r="A5908" s="127">
        <v>45994</v>
      </c>
      <c r="B5908" s="24" t="s">
        <v>184</v>
      </c>
      <c r="C5908" s="21">
        <f t="shared" si="105"/>
        <v>-50.08</v>
      </c>
      <c r="M5908" s="92">
        <v>-8.81</v>
      </c>
      <c r="AC5908" s="106">
        <v>-8.5850000000000009</v>
      </c>
      <c r="CY5908" s="106">
        <v>-8.2100000000000009</v>
      </c>
      <c r="DU5908" s="106">
        <v>-8.3800000000000008</v>
      </c>
      <c r="EA5908" s="74">
        <v>-16.094999999999999</v>
      </c>
    </row>
    <row r="5909" spans="1:199" x14ac:dyDescent="0.25">
      <c r="A5909" s="127">
        <v>45994</v>
      </c>
      <c r="B5909" s="24" t="s">
        <v>218</v>
      </c>
      <c r="C5909" s="21">
        <f t="shared" si="105"/>
        <v>-39.164999999999999</v>
      </c>
      <c r="AG5909" s="106">
        <v>-6.7</v>
      </c>
      <c r="AN5909" s="106">
        <v>-7.96</v>
      </c>
      <c r="AR5909" s="106">
        <v>-8.0950000000000006</v>
      </c>
      <c r="BC5909" s="106">
        <v>-16.41</v>
      </c>
    </row>
    <row r="5910" spans="1:199" x14ac:dyDescent="0.25">
      <c r="A5910" s="127">
        <v>45995</v>
      </c>
      <c r="B5910" s="24" t="s">
        <v>213</v>
      </c>
      <c r="C5910" s="21">
        <f t="shared" si="105"/>
        <v>-68.83</v>
      </c>
      <c r="BI5910" s="106">
        <v>-8.8550000000000004</v>
      </c>
      <c r="DE5910" s="74">
        <v>-17.190000000000001</v>
      </c>
      <c r="DK5910" s="106">
        <v>-34.83</v>
      </c>
      <c r="DP5910" s="74">
        <v>-7.9550000000000001</v>
      </c>
    </row>
    <row r="5911" spans="1:199" x14ac:dyDescent="0.25">
      <c r="A5911" s="127">
        <v>45995</v>
      </c>
      <c r="B5911" s="24" t="s">
        <v>138</v>
      </c>
      <c r="C5911" s="21">
        <f t="shared" si="105"/>
        <v>-15.85</v>
      </c>
      <c r="AN5911" s="106">
        <v>-7.8150000000000004</v>
      </c>
      <c r="AR5911" s="106">
        <v>-8.0350000000000001</v>
      </c>
    </row>
    <row r="5912" spans="1:199" x14ac:dyDescent="0.25">
      <c r="A5912" s="127">
        <v>45995</v>
      </c>
      <c r="B5912" s="24" t="s">
        <v>169</v>
      </c>
      <c r="C5912" s="21">
        <f t="shared" si="105"/>
        <v>-44.524999999999999</v>
      </c>
      <c r="E5912" s="386">
        <v>-8.5150000000000006</v>
      </c>
      <c r="F5912" s="145">
        <v>-36.01</v>
      </c>
    </row>
    <row r="5913" spans="1:199" x14ac:dyDescent="0.25">
      <c r="A5913" s="127">
        <v>45996</v>
      </c>
      <c r="B5913" s="24" t="s">
        <v>224</v>
      </c>
      <c r="C5913" s="21">
        <f t="shared" si="105"/>
        <v>-34.784999999999997</v>
      </c>
      <c r="CY5913" s="106">
        <v>-8.1850000000000005</v>
      </c>
      <c r="DA5913" s="126">
        <v>-8.57</v>
      </c>
      <c r="DE5913" s="74">
        <v>-8.6300000000000008</v>
      </c>
      <c r="DM5913" s="46">
        <v>-9.4</v>
      </c>
    </row>
    <row r="5914" spans="1:199" x14ac:dyDescent="0.25">
      <c r="A5914" s="127">
        <v>45999</v>
      </c>
      <c r="B5914" s="24" t="s">
        <v>171</v>
      </c>
      <c r="C5914" s="21">
        <f t="shared" si="105"/>
        <v>-14.765000000000001</v>
      </c>
      <c r="BC5914" s="106">
        <v>-7.88</v>
      </c>
      <c r="BI5914" s="106">
        <v>-6.8849999999999998</v>
      </c>
    </row>
    <row r="5915" spans="1:199" x14ac:dyDescent="0.25">
      <c r="A5915" s="127">
        <v>46000</v>
      </c>
      <c r="B5915" s="24" t="s">
        <v>138</v>
      </c>
      <c r="C5915" s="21">
        <f t="shared" si="105"/>
        <v>-8.7149999999999999</v>
      </c>
      <c r="DK5915" s="106">
        <v>-8.7149999999999999</v>
      </c>
    </row>
    <row r="5916" spans="1:199" x14ac:dyDescent="0.25">
      <c r="A5916" s="127">
        <v>46000</v>
      </c>
      <c r="B5916" s="24" t="s">
        <v>212</v>
      </c>
      <c r="C5916" s="21">
        <f t="shared" si="105"/>
        <v>-9.0500000000000007</v>
      </c>
      <c r="Z5916" s="79">
        <v>-9.0500000000000007</v>
      </c>
    </row>
    <row r="5917" spans="1:199" x14ac:dyDescent="0.25">
      <c r="A5917" s="127">
        <v>46000</v>
      </c>
      <c r="B5917" s="24" t="s">
        <v>75</v>
      </c>
      <c r="C5917" s="21">
        <f t="shared" si="105"/>
        <v>-7.8949999999999996</v>
      </c>
      <c r="BC5917" s="106">
        <v>-7.8949999999999996</v>
      </c>
    </row>
    <row r="5918" spans="1:199" x14ac:dyDescent="0.25">
      <c r="A5918" s="127">
        <v>46000</v>
      </c>
      <c r="B5918" s="24" t="s">
        <v>113</v>
      </c>
      <c r="C5918" s="21">
        <f t="shared" si="105"/>
        <v>795.36</v>
      </c>
      <c r="BI5918" s="106">
        <v>70.13</v>
      </c>
      <c r="BO5918" s="106">
        <v>97.364999999999995</v>
      </c>
      <c r="BU5918" s="106">
        <v>64.444999999999993</v>
      </c>
      <c r="CA5918" s="106">
        <v>97.165000000000006</v>
      </c>
      <c r="CG5918" s="106">
        <v>172.97</v>
      </c>
      <c r="CS5918" s="74">
        <v>34.54</v>
      </c>
      <c r="CY5918" s="106">
        <v>34.65</v>
      </c>
      <c r="DE5918" s="74">
        <v>34.46</v>
      </c>
      <c r="DP5918" s="74">
        <v>32.055</v>
      </c>
      <c r="EA5918" s="74">
        <v>157.58000000000001</v>
      </c>
    </row>
    <row r="5919" spans="1:199" x14ac:dyDescent="0.25">
      <c r="A5919" s="127">
        <v>46000</v>
      </c>
      <c r="B5919" s="24" t="s">
        <v>152</v>
      </c>
      <c r="C5919" s="21">
        <f t="shared" si="105"/>
        <v>-365.27</v>
      </c>
      <c r="CG5919" s="106">
        <v>-104.04</v>
      </c>
      <c r="CS5919" s="74">
        <v>-34.54</v>
      </c>
      <c r="CY5919" s="106">
        <v>-34.65</v>
      </c>
      <c r="DE5919" s="74">
        <v>-34.46</v>
      </c>
      <c r="EA5919" s="74">
        <v>-157.58000000000001</v>
      </c>
    </row>
    <row r="5920" spans="1:199" x14ac:dyDescent="0.25">
      <c r="A5920" s="127">
        <v>46000</v>
      </c>
      <c r="B5920" s="24" t="s">
        <v>218</v>
      </c>
      <c r="C5920" s="21">
        <f t="shared" si="105"/>
        <v>-75.665000000000006</v>
      </c>
      <c r="BC5920" s="106">
        <v>-8.01</v>
      </c>
      <c r="BO5920" s="106">
        <f>-8.59-8.605-8.59</f>
        <v>-25.785</v>
      </c>
      <c r="CA5920" s="106">
        <f>-8.14-8.185-8.18</f>
        <v>-24.504999999999999</v>
      </c>
      <c r="CG5920" s="106">
        <f>-8.69-8.675</f>
        <v>-17.364999999999998</v>
      </c>
    </row>
    <row r="5921" spans="1:182" x14ac:dyDescent="0.25">
      <c r="A5921" s="127">
        <v>46001</v>
      </c>
      <c r="B5921" s="24" t="s">
        <v>138</v>
      </c>
      <c r="C5921" s="21">
        <f t="shared" si="105"/>
        <v>-9.0850000000000009</v>
      </c>
      <c r="BI5921" s="106">
        <v>-9.0850000000000009</v>
      </c>
    </row>
    <row r="5922" spans="1:182" x14ac:dyDescent="0.25">
      <c r="A5922" s="127">
        <v>46001</v>
      </c>
      <c r="B5922" s="24" t="s">
        <v>75</v>
      </c>
      <c r="C5922" s="21">
        <f t="shared" si="105"/>
        <v>-8.8949999999999996</v>
      </c>
      <c r="BI5922" s="106">
        <v>-8.8949999999999996</v>
      </c>
    </row>
    <row r="5923" spans="1:182" x14ac:dyDescent="0.25">
      <c r="A5923" s="127">
        <v>46001</v>
      </c>
      <c r="B5923" s="24" t="s">
        <v>212</v>
      </c>
      <c r="C5923" s="21">
        <f t="shared" si="105"/>
        <v>-8.8699999999999992</v>
      </c>
      <c r="V5923" s="74">
        <v>-8.8699999999999992</v>
      </c>
    </row>
    <row r="5924" spans="1:182" x14ac:dyDescent="0.25">
      <c r="A5924" s="127">
        <v>46001</v>
      </c>
      <c r="B5924" s="24" t="s">
        <v>184</v>
      </c>
      <c r="C5924" s="21">
        <f t="shared" si="105"/>
        <v>-123.14</v>
      </c>
      <c r="AN5924" s="106">
        <v>-16.125</v>
      </c>
      <c r="AR5924" s="106">
        <v>-15.51</v>
      </c>
      <c r="AW5924" s="106">
        <v>-8.6300000000000008</v>
      </c>
      <c r="BC5924" s="106">
        <v>-7.87</v>
      </c>
      <c r="BI5924" s="106">
        <v>-16.675000000000001</v>
      </c>
      <c r="BO5924" s="106">
        <v>-17.364999999999998</v>
      </c>
      <c r="BU5924" s="106">
        <v>-16.07</v>
      </c>
      <c r="CA5924" s="106">
        <v>-16.36</v>
      </c>
      <c r="CM5924" s="106">
        <v>-8.5350000000000001</v>
      </c>
    </row>
    <row r="5925" spans="1:182" x14ac:dyDescent="0.25">
      <c r="A5925" s="127">
        <v>46001</v>
      </c>
      <c r="B5925" s="24" t="s">
        <v>183</v>
      </c>
      <c r="C5925" s="21">
        <f t="shared" si="105"/>
        <v>-24.71</v>
      </c>
      <c r="DA5925" s="126">
        <v>-8.09</v>
      </c>
      <c r="DK5925" s="106">
        <v>-16.62</v>
      </c>
    </row>
    <row r="5926" spans="1:182" x14ac:dyDescent="0.25">
      <c r="A5926" s="127">
        <v>46002</v>
      </c>
      <c r="B5926" s="24" t="s">
        <v>115</v>
      </c>
      <c r="C5926" s="21">
        <f t="shared" si="105"/>
        <v>-111.54</v>
      </c>
      <c r="FY5926" s="126">
        <v>-46.15</v>
      </c>
      <c r="FZ5926" s="115">
        <v>-65.39</v>
      </c>
    </row>
    <row r="5927" spans="1:182" x14ac:dyDescent="0.25">
      <c r="A5927" s="127">
        <v>46002</v>
      </c>
      <c r="B5927" s="24" t="s">
        <v>24</v>
      </c>
      <c r="C5927" s="21">
        <f t="shared" si="105"/>
        <v>-16.82</v>
      </c>
      <c r="AW5927" s="106">
        <v>-8.7750000000000004</v>
      </c>
      <c r="BC5927" s="106">
        <v>-8.0449999999999999</v>
      </c>
    </row>
    <row r="5928" spans="1:182" x14ac:dyDescent="0.25">
      <c r="A5928" s="127">
        <v>46002</v>
      </c>
      <c r="B5928" s="24" t="s">
        <v>197</v>
      </c>
      <c r="C5928" s="21">
        <f t="shared" si="105"/>
        <v>-49.625</v>
      </c>
      <c r="BU5928" s="106">
        <v>-15.83</v>
      </c>
      <c r="CG5928" s="106">
        <v>-17.164999999999999</v>
      </c>
      <c r="CS5928" s="74">
        <v>-16.63</v>
      </c>
    </row>
    <row r="5929" spans="1:182" x14ac:dyDescent="0.25">
      <c r="A5929" s="127">
        <v>46002</v>
      </c>
      <c r="B5929" s="24" t="s">
        <v>213</v>
      </c>
      <c r="C5929" s="21">
        <f t="shared" si="105"/>
        <v>-34.4</v>
      </c>
      <c r="CG5929" s="106">
        <v>-34.4</v>
      </c>
    </row>
    <row r="5930" spans="1:182" x14ac:dyDescent="0.25">
      <c r="A5930" s="127">
        <v>46002</v>
      </c>
      <c r="B5930" s="24" t="s">
        <v>213</v>
      </c>
      <c r="C5930" s="21">
        <f t="shared" si="105"/>
        <v>-62.34</v>
      </c>
      <c r="BC5930" s="106">
        <v>-7.81</v>
      </c>
      <c r="BI5930" s="106">
        <v>-8.75</v>
      </c>
      <c r="BO5930" s="106">
        <f>-8.68-7.215</f>
        <v>-15.895</v>
      </c>
      <c r="BU5930" s="106">
        <f>-8.165-7.95</f>
        <v>-16.114999999999998</v>
      </c>
      <c r="CA5930" s="106">
        <f>-7.185-6.585</f>
        <v>-13.77</v>
      </c>
    </row>
    <row r="5931" spans="1:182" x14ac:dyDescent="0.25">
      <c r="A5931" s="127">
        <v>46003</v>
      </c>
      <c r="B5931" s="24" t="s">
        <v>138</v>
      </c>
      <c r="C5931" s="21">
        <f t="shared" si="105"/>
        <v>-25.52</v>
      </c>
      <c r="BO5931" s="106">
        <v>-17.285</v>
      </c>
      <c r="BU5931" s="106">
        <v>-8.2349999999999994</v>
      </c>
    </row>
    <row r="5932" spans="1:182" x14ac:dyDescent="0.25">
      <c r="A5932" s="127">
        <v>46003</v>
      </c>
      <c r="B5932" s="24" t="s">
        <v>25</v>
      </c>
      <c r="C5932" s="21">
        <f t="shared" si="105"/>
        <v>-50.414999999999999</v>
      </c>
      <c r="CM5932" s="106">
        <v>-33.76</v>
      </c>
      <c r="CS5932" s="74">
        <v>-16.655000000000001</v>
      </c>
    </row>
    <row r="5933" spans="1:182" x14ac:dyDescent="0.25">
      <c r="A5933" s="127">
        <v>46003</v>
      </c>
      <c r="B5933" s="24" t="s">
        <v>212</v>
      </c>
      <c r="C5933" s="21">
        <f t="shared" si="105"/>
        <v>-7</v>
      </c>
      <c r="BO5933" s="106">
        <v>-7</v>
      </c>
    </row>
    <row r="5934" spans="1:182" x14ac:dyDescent="0.25">
      <c r="A5934" s="127">
        <v>46006</v>
      </c>
      <c r="B5934" s="24" t="s">
        <v>113</v>
      </c>
      <c r="C5934" s="21">
        <f t="shared" si="105"/>
        <v>506.77</v>
      </c>
      <c r="BU5934" s="106">
        <v>63.045000000000002</v>
      </c>
      <c r="EA5934" s="74">
        <v>443.72500000000002</v>
      </c>
    </row>
    <row r="5935" spans="1:182" x14ac:dyDescent="0.25">
      <c r="A5935" s="127">
        <v>46006</v>
      </c>
      <c r="B5935" s="24" t="s">
        <v>64</v>
      </c>
      <c r="C5935" s="21">
        <f t="shared" si="105"/>
        <v>0</v>
      </c>
      <c r="AW5935" s="106">
        <v>-8.68</v>
      </c>
      <c r="AY5935" s="126">
        <v>8.68</v>
      </c>
      <c r="BU5935" s="106">
        <v>-63.045000000000002</v>
      </c>
      <c r="BW5935" s="126">
        <v>63.045000000000002</v>
      </c>
      <c r="EA5935" s="74">
        <v>-8.01</v>
      </c>
      <c r="EC5935" s="126">
        <v>8.01</v>
      </c>
    </row>
    <row r="5936" spans="1:182" x14ac:dyDescent="0.25">
      <c r="A5936" s="127">
        <v>46007</v>
      </c>
      <c r="B5936" s="24" t="s">
        <v>20</v>
      </c>
      <c r="C5936" s="21">
        <f t="shared" ref="C5936:C5972" si="106">SUM(D5936:JT5936)</f>
        <v>-57.015000000000001</v>
      </c>
      <c r="AW5936" s="106">
        <v>-7.99</v>
      </c>
      <c r="BC5936" s="106">
        <v>-7.8849999999999998</v>
      </c>
      <c r="BI5936" s="106">
        <v>-8.91</v>
      </c>
      <c r="BO5936" s="106">
        <v>-6.81</v>
      </c>
      <c r="BU5936" s="106">
        <v>-8.1950000000000003</v>
      </c>
      <c r="CA5936" s="106">
        <v>-8.6850000000000005</v>
      </c>
      <c r="CM5936" s="106">
        <v>-8.5399999999999991</v>
      </c>
    </row>
    <row r="5937" spans="1:248" x14ac:dyDescent="0.25">
      <c r="A5937" s="127">
        <v>46007</v>
      </c>
      <c r="B5937" s="24" t="s">
        <v>205</v>
      </c>
      <c r="C5937" s="21">
        <f t="shared" si="106"/>
        <v>-134.42500000000001</v>
      </c>
      <c r="DU5937" s="106">
        <f>-32.535-32.625</f>
        <v>-65.16</v>
      </c>
      <c r="EA5937" s="74">
        <v>-69.265000000000001</v>
      </c>
    </row>
    <row r="5938" spans="1:248" x14ac:dyDescent="0.25">
      <c r="A5938" s="127">
        <v>46007</v>
      </c>
      <c r="B5938" s="24" t="s">
        <v>48</v>
      </c>
      <c r="C5938" s="21">
        <f t="shared" si="106"/>
        <v>26.67</v>
      </c>
      <c r="AW5938" s="106">
        <v>-34.284999999999997</v>
      </c>
      <c r="CF5938" s="69">
        <v>33.880000000000003</v>
      </c>
      <c r="CR5938" s="69">
        <v>34.204999999999998</v>
      </c>
      <c r="CX5938" s="69">
        <v>25.355</v>
      </c>
      <c r="DU5938" s="106">
        <v>-32.484999999999999</v>
      </c>
    </row>
    <row r="5939" spans="1:248" x14ac:dyDescent="0.25">
      <c r="A5939" s="127">
        <v>46007</v>
      </c>
      <c r="B5939" s="24" t="s">
        <v>44</v>
      </c>
      <c r="C5939" s="21">
        <f t="shared" si="106"/>
        <v>-64.319999999999993</v>
      </c>
      <c r="GU5939" s="110">
        <v>-3.04</v>
      </c>
      <c r="HR5939" s="92">
        <v>-3.18</v>
      </c>
      <c r="IN5939" s="42">
        <f>-25.1-33</f>
        <v>-58.1</v>
      </c>
    </row>
    <row r="5940" spans="1:248" x14ac:dyDescent="0.25">
      <c r="A5940" s="127">
        <v>46007</v>
      </c>
      <c r="B5940" s="24" t="s">
        <v>115</v>
      </c>
      <c r="C5940" s="21">
        <f t="shared" ref="C5940:C5949" si="107">SUM(D5940:JT5940)</f>
        <v>84.915000000000006</v>
      </c>
      <c r="E5940" s="386">
        <v>58.344999999999999</v>
      </c>
      <c r="HI5940" s="182">
        <v>26.57</v>
      </c>
    </row>
    <row r="5941" spans="1:248" x14ac:dyDescent="0.25">
      <c r="A5941" s="127">
        <v>46007</v>
      </c>
      <c r="B5941" s="24" t="s">
        <v>48</v>
      </c>
      <c r="C5941" s="21">
        <f t="shared" si="107"/>
        <v>-16.84</v>
      </c>
      <c r="AR5941" s="106">
        <v>-16.84</v>
      </c>
    </row>
    <row r="5942" spans="1:248" x14ac:dyDescent="0.25">
      <c r="A5942" s="127">
        <v>46008</v>
      </c>
      <c r="B5942" s="24" t="s">
        <v>169</v>
      </c>
      <c r="C5942" s="21">
        <f t="shared" si="107"/>
        <v>-33.715000000000003</v>
      </c>
      <c r="E5942" s="386">
        <v>-33.715000000000003</v>
      </c>
    </row>
    <row r="5943" spans="1:248" x14ac:dyDescent="0.25">
      <c r="A5943" s="127">
        <v>46008</v>
      </c>
      <c r="B5943" s="24" t="s">
        <v>48</v>
      </c>
      <c r="C5943" s="21">
        <f t="shared" si="107"/>
        <v>-13.25</v>
      </c>
      <c r="HI5943" s="182">
        <v>-13.25</v>
      </c>
    </row>
    <row r="5944" spans="1:248" x14ac:dyDescent="0.25">
      <c r="A5944" s="127">
        <v>46008</v>
      </c>
      <c r="B5944" s="24" t="s">
        <v>138</v>
      </c>
      <c r="C5944" s="21">
        <f t="shared" si="107"/>
        <v>-25.27</v>
      </c>
      <c r="BI5944" s="106">
        <v>-8.9</v>
      </c>
      <c r="BW5944" s="126">
        <v>-7.03</v>
      </c>
      <c r="CA5944" s="106">
        <v>-9.34</v>
      </c>
    </row>
    <row r="5945" spans="1:248" x14ac:dyDescent="0.25">
      <c r="A5945" s="127">
        <v>46008</v>
      </c>
      <c r="B5945" s="24" t="s">
        <v>224</v>
      </c>
      <c r="C5945" s="21">
        <f t="shared" si="107"/>
        <v>-25.335000000000001</v>
      </c>
      <c r="CM5945" s="106">
        <v>-8.4350000000000005</v>
      </c>
      <c r="CX5945" s="69">
        <v>-16.899999999999999</v>
      </c>
    </row>
    <row r="5946" spans="1:248" x14ac:dyDescent="0.25">
      <c r="A5946" s="127">
        <v>46008</v>
      </c>
      <c r="B5946" s="24" t="s">
        <v>193</v>
      </c>
      <c r="C5946" s="21">
        <f t="shared" si="107"/>
        <v>-29.68</v>
      </c>
      <c r="BW5946" s="126">
        <v>-6.3</v>
      </c>
      <c r="CA5946" s="106">
        <v>-8.1349999999999998</v>
      </c>
      <c r="CF5946" s="69">
        <v>-8.4849999999999994</v>
      </c>
      <c r="CM5946" s="106">
        <v>-6.76</v>
      </c>
    </row>
    <row r="5947" spans="1:248" x14ac:dyDescent="0.25">
      <c r="A5947" s="127">
        <v>46008</v>
      </c>
      <c r="B5947" s="24" t="s">
        <v>39</v>
      </c>
      <c r="C5947" s="21">
        <f t="shared" si="107"/>
        <v>-67.105000000000004</v>
      </c>
      <c r="AC5947" s="106">
        <v>-7.665</v>
      </c>
      <c r="BI5947" s="106">
        <v>-8.9149999999999991</v>
      </c>
      <c r="BO5947" s="106">
        <v>-8.4949999999999992</v>
      </c>
      <c r="CA5947" s="106">
        <v>-8.1999999999999993</v>
      </c>
      <c r="CF5947" s="69">
        <f>-8.495-8.445-8.455</f>
        <v>-25.395</v>
      </c>
      <c r="CM5947" s="106">
        <v>-8.4350000000000005</v>
      </c>
    </row>
    <row r="5948" spans="1:248" x14ac:dyDescent="0.25">
      <c r="A5948" s="127">
        <v>46008</v>
      </c>
      <c r="B5948" s="24" t="s">
        <v>184</v>
      </c>
      <c r="C5948" s="21">
        <f t="shared" si="107"/>
        <v>-31.75</v>
      </c>
      <c r="BW5948" s="126">
        <v>-6.06</v>
      </c>
      <c r="EA5948" s="74">
        <v>-25.69</v>
      </c>
    </row>
    <row r="5949" spans="1:248" x14ac:dyDescent="0.25">
      <c r="A5949" s="127">
        <v>46009</v>
      </c>
      <c r="B5949" s="24" t="s">
        <v>115</v>
      </c>
      <c r="C5949" s="21">
        <f t="shared" si="107"/>
        <v>28.52</v>
      </c>
      <c r="D5949" s="386">
        <v>28.52</v>
      </c>
    </row>
    <row r="5950" spans="1:248" x14ac:dyDescent="0.25">
      <c r="A5950" s="127">
        <v>46010</v>
      </c>
      <c r="B5950" s="24" t="s">
        <v>113</v>
      </c>
      <c r="C5950" s="21">
        <f t="shared" si="106"/>
        <v>438.58600000000001</v>
      </c>
      <c r="AR5950" s="106">
        <v>28.36</v>
      </c>
      <c r="BC5950" s="106">
        <v>31.91</v>
      </c>
      <c r="BI5950" s="106">
        <v>32.81</v>
      </c>
      <c r="BO5950" s="106">
        <v>34.305</v>
      </c>
      <c r="CA5950" s="106">
        <v>33.68</v>
      </c>
      <c r="CG5950" s="106">
        <v>34.19</v>
      </c>
      <c r="CM5950" s="106">
        <v>62.445</v>
      </c>
      <c r="CY5950" s="106">
        <v>29.664999999999999</v>
      </c>
      <c r="DE5950" s="74">
        <v>37.29</v>
      </c>
      <c r="GK5950" s="79">
        <v>27.045999999999999</v>
      </c>
      <c r="GQ5950" s="92">
        <v>86.885000000000005</v>
      </c>
    </row>
    <row r="5951" spans="1:248" x14ac:dyDescent="0.25">
      <c r="A5951" s="127">
        <v>46010</v>
      </c>
      <c r="B5951" s="24" t="s">
        <v>202</v>
      </c>
      <c r="C5951" s="21">
        <f t="shared" si="106"/>
        <v>-22.62</v>
      </c>
      <c r="D5951" s="386">
        <v>-16.399999999999999</v>
      </c>
      <c r="E5951" s="386">
        <v>-6.22</v>
      </c>
    </row>
    <row r="5952" spans="1:248" x14ac:dyDescent="0.25">
      <c r="A5952" s="127">
        <v>46010</v>
      </c>
      <c r="B5952" s="24" t="s">
        <v>184</v>
      </c>
      <c r="C5952" s="21">
        <f t="shared" si="106"/>
        <v>-49.755000000000003</v>
      </c>
      <c r="CX5952" s="69">
        <v>-8.4550000000000001</v>
      </c>
      <c r="DU5952" s="106">
        <v>-24.274999999999999</v>
      </c>
      <c r="EA5952" s="74">
        <v>-17.024999999999999</v>
      </c>
    </row>
    <row r="5953" spans="1:199" x14ac:dyDescent="0.25">
      <c r="A5953" s="127">
        <v>46010</v>
      </c>
      <c r="B5953" s="24" t="s">
        <v>184</v>
      </c>
      <c r="C5953" s="21">
        <f t="shared" si="106"/>
        <v>-131.56</v>
      </c>
      <c r="DU5953" s="106">
        <v>-49.29</v>
      </c>
      <c r="EA5953" s="74">
        <v>-82.27</v>
      </c>
    </row>
    <row r="5954" spans="1:199" x14ac:dyDescent="0.25">
      <c r="A5954" s="127">
        <v>46010</v>
      </c>
      <c r="B5954" s="24" t="s">
        <v>39</v>
      </c>
      <c r="C5954" s="21">
        <f t="shared" si="106"/>
        <v>-15.36</v>
      </c>
      <c r="CM5954" s="106">
        <v>-15.36</v>
      </c>
    </row>
    <row r="5955" spans="1:199" x14ac:dyDescent="0.25">
      <c r="A5955" s="127">
        <v>46010</v>
      </c>
      <c r="B5955" s="24" t="s">
        <v>20</v>
      </c>
      <c r="C5955" s="21">
        <f t="shared" si="106"/>
        <v>-31.885000000000002</v>
      </c>
      <c r="CG5955" s="106">
        <v>-8.5500000000000007</v>
      </c>
      <c r="CM5955" s="106">
        <v>-7.1150000000000002</v>
      </c>
      <c r="CR5955" s="69">
        <v>-8.5749999999999993</v>
      </c>
      <c r="CY5955" s="106">
        <v>-7.6449999999999996</v>
      </c>
    </row>
    <row r="5956" spans="1:199" x14ac:dyDescent="0.25">
      <c r="A5956" s="127">
        <v>46010</v>
      </c>
      <c r="B5956" s="24" t="s">
        <v>44</v>
      </c>
      <c r="C5956" s="21">
        <f t="shared" si="106"/>
        <v>-113.931</v>
      </c>
      <c r="GK5956" s="79">
        <v>-27.045999999999999</v>
      </c>
      <c r="GQ5956" s="92">
        <v>-86.885000000000005</v>
      </c>
    </row>
    <row r="5957" spans="1:199" x14ac:dyDescent="0.25">
      <c r="A5957" s="127">
        <v>46011</v>
      </c>
      <c r="B5957" s="24" t="s">
        <v>75</v>
      </c>
      <c r="C5957" s="21">
        <f t="shared" si="106"/>
        <v>-30.855</v>
      </c>
      <c r="BC5957" s="106">
        <v>-7.9850000000000003</v>
      </c>
      <c r="BI5957" s="106">
        <v>-7.7750000000000004</v>
      </c>
      <c r="BW5957" s="126">
        <v>-6.65</v>
      </c>
      <c r="CA5957" s="106">
        <v>-8.4450000000000003</v>
      </c>
    </row>
    <row r="5958" spans="1:199" x14ac:dyDescent="0.25">
      <c r="A5958" s="127">
        <v>46011</v>
      </c>
      <c r="B5958" s="24" t="s">
        <v>79</v>
      </c>
      <c r="C5958" s="21">
        <f t="shared" si="106"/>
        <v>-24.47</v>
      </c>
      <c r="BW5958" s="126">
        <v>-15.89</v>
      </c>
      <c r="CG5958" s="106">
        <v>-8.58</v>
      </c>
    </row>
    <row r="5959" spans="1:199" x14ac:dyDescent="0.25">
      <c r="A5959" s="127">
        <v>46011</v>
      </c>
      <c r="B5959" s="24" t="s">
        <v>213</v>
      </c>
      <c r="C5959" s="21">
        <f t="shared" si="106"/>
        <v>-154.72</v>
      </c>
      <c r="AR5959" s="106">
        <v>-8.09</v>
      </c>
      <c r="AW5959" s="106">
        <v>-25.355</v>
      </c>
      <c r="BC5959" s="106">
        <v>-16.035</v>
      </c>
      <c r="BI5959" s="106">
        <v>-25.035</v>
      </c>
      <c r="BO5959" s="106">
        <v>-34.305</v>
      </c>
      <c r="BW5959" s="126">
        <v>-21.01</v>
      </c>
      <c r="CA5959" s="106">
        <v>-16.844999999999999</v>
      </c>
      <c r="CM5959" s="106">
        <v>-8.0449999999999999</v>
      </c>
    </row>
    <row r="5960" spans="1:199" x14ac:dyDescent="0.25">
      <c r="A5960" s="127">
        <v>46011</v>
      </c>
      <c r="B5960" s="24" t="s">
        <v>162</v>
      </c>
      <c r="C5960" s="21">
        <f t="shared" si="106"/>
        <v>-17.059999999999999</v>
      </c>
      <c r="CG5960" s="106">
        <v>-17.059999999999999</v>
      </c>
    </row>
    <row r="5961" spans="1:199" x14ac:dyDescent="0.25">
      <c r="A5961" s="127">
        <v>46011</v>
      </c>
      <c r="B5961" s="24" t="s">
        <v>20</v>
      </c>
      <c r="C5961" s="21">
        <f t="shared" si="106"/>
        <v>-14.305</v>
      </c>
      <c r="AN5961" s="106">
        <v>-7.7149999999999999</v>
      </c>
      <c r="AR5961" s="106">
        <v>-6.59</v>
      </c>
    </row>
    <row r="5962" spans="1:199" x14ac:dyDescent="0.25">
      <c r="A5962" s="127">
        <v>46011</v>
      </c>
      <c r="B5962" s="24" t="s">
        <v>218</v>
      </c>
      <c r="C5962" s="21">
        <f t="shared" si="106"/>
        <v>-24.45</v>
      </c>
      <c r="BC5962" s="106">
        <v>-7.89</v>
      </c>
      <c r="CA5962" s="106">
        <f>-8.17-8.39</f>
        <v>-16.559999999999999</v>
      </c>
    </row>
    <row r="5963" spans="1:199" x14ac:dyDescent="0.25">
      <c r="A5963" s="127">
        <v>46013</v>
      </c>
      <c r="B5963" s="24" t="s">
        <v>48</v>
      </c>
      <c r="C5963" s="21">
        <f t="shared" si="106"/>
        <v>-18.399999999999999</v>
      </c>
      <c r="DE5963" s="74">
        <v>-18.399999999999999</v>
      </c>
    </row>
    <row r="5964" spans="1:199" x14ac:dyDescent="0.25">
      <c r="A5964" s="127">
        <v>46013</v>
      </c>
      <c r="B5964" s="24" t="s">
        <v>224</v>
      </c>
      <c r="C5964" s="21">
        <f t="shared" si="106"/>
        <v>-32.700000000000003</v>
      </c>
      <c r="DP5964" s="74">
        <v>-8.2100000000000009</v>
      </c>
      <c r="DU5964" s="106">
        <v>-24.49</v>
      </c>
    </row>
    <row r="5965" spans="1:199" x14ac:dyDescent="0.25">
      <c r="A5965" s="127">
        <v>46013</v>
      </c>
      <c r="B5965" s="24" t="s">
        <v>17</v>
      </c>
      <c r="C5965" s="21">
        <f t="shared" si="106"/>
        <v>-8</v>
      </c>
      <c r="M5965" s="92">
        <v>-8</v>
      </c>
    </row>
    <row r="5966" spans="1:199" x14ac:dyDescent="0.25">
      <c r="A5966" s="127">
        <v>46014</v>
      </c>
      <c r="B5966" s="24" t="s">
        <v>218</v>
      </c>
      <c r="C5966" s="21">
        <f t="shared" si="106"/>
        <v>-1008.215</v>
      </c>
      <c r="EA5966" s="74">
        <v>-57.164999999999999</v>
      </c>
      <c r="EG5966" s="74">
        <v>-33.75</v>
      </c>
      <c r="EI5966" s="150">
        <v>-66.84</v>
      </c>
      <c r="EM5966" s="150">
        <v>-100.4</v>
      </c>
      <c r="EQ5966" s="46">
        <v>-303.39999999999998</v>
      </c>
      <c r="EU5966" s="126">
        <v>-306.56</v>
      </c>
      <c r="FO5966" s="210">
        <v>-24.6</v>
      </c>
      <c r="GH5966" s="106">
        <v>-65.849999999999994</v>
      </c>
      <c r="GI5966" s="251">
        <v>-49.65</v>
      </c>
    </row>
    <row r="5967" spans="1:199" x14ac:dyDescent="0.25">
      <c r="A5967" s="127">
        <v>46014</v>
      </c>
      <c r="B5967" s="24" t="s">
        <v>48</v>
      </c>
      <c r="C5967" s="21">
        <f t="shared" si="106"/>
        <v>-16.515000000000001</v>
      </c>
      <c r="AC5967" s="106">
        <v>-8.6300000000000008</v>
      </c>
      <c r="DP5967" s="74">
        <v>-7.8849999999999998</v>
      </c>
    </row>
    <row r="5968" spans="1:199" x14ac:dyDescent="0.25">
      <c r="A5968" s="127">
        <v>46014</v>
      </c>
      <c r="B5968" s="24" t="s">
        <v>197</v>
      </c>
      <c r="C5968" s="21">
        <f t="shared" si="106"/>
        <v>-25.1</v>
      </c>
      <c r="CM5968" s="106">
        <v>-16.614999999999998</v>
      </c>
      <c r="CR5968" s="69">
        <v>-8.4849999999999994</v>
      </c>
    </row>
    <row r="5969" spans="1:253" x14ac:dyDescent="0.25">
      <c r="A5969" s="127">
        <v>46015</v>
      </c>
      <c r="B5969" s="24" t="s">
        <v>138</v>
      </c>
      <c r="C5969" s="21">
        <f t="shared" si="106"/>
        <v>-15.664999999999999</v>
      </c>
      <c r="AW5969" s="106">
        <v>-8.16</v>
      </c>
      <c r="BC5969" s="106">
        <v>-7.5049999999999999</v>
      </c>
    </row>
    <row r="5970" spans="1:253" x14ac:dyDescent="0.25">
      <c r="A5970" s="127">
        <v>46015</v>
      </c>
      <c r="B5970" s="24" t="s">
        <v>48</v>
      </c>
      <c r="C5970" s="21">
        <f t="shared" si="106"/>
        <v>-61.64</v>
      </c>
      <c r="AC5970" s="106">
        <v>-6.5650000000000004</v>
      </c>
      <c r="AG5970" s="106">
        <v>-7.1550000000000002</v>
      </c>
      <c r="AN5970" s="106">
        <v>-8.3949999999999996</v>
      </c>
      <c r="AW5970" s="106">
        <v>-5.12</v>
      </c>
      <c r="CR5970" s="69">
        <v>-8.57</v>
      </c>
      <c r="CY5970" s="106">
        <v>-7.82</v>
      </c>
      <c r="DE5970" s="74">
        <v>-9.5</v>
      </c>
      <c r="DK5970" s="106">
        <v>-8.5150000000000006</v>
      </c>
    </row>
    <row r="5971" spans="1:253" x14ac:dyDescent="0.25">
      <c r="A5971" s="127">
        <v>46015</v>
      </c>
      <c r="B5971" s="24" t="s">
        <v>218</v>
      </c>
      <c r="C5971" s="21">
        <f t="shared" si="106"/>
        <v>-25.75</v>
      </c>
      <c r="FH5971" s="46">
        <v>-25.75</v>
      </c>
    </row>
    <row r="5972" spans="1:253" x14ac:dyDescent="0.25">
      <c r="A5972" s="127">
        <v>46015</v>
      </c>
      <c r="B5972" s="24" t="s">
        <v>113</v>
      </c>
      <c r="C5972" s="21">
        <f t="shared" si="106"/>
        <v>1118.32</v>
      </c>
      <c r="AN5972" s="106">
        <v>35.17</v>
      </c>
      <c r="AR5972" s="106">
        <v>26.274999999999999</v>
      </c>
      <c r="AW5972" s="106">
        <v>31.54</v>
      </c>
      <c r="BC5972" s="106">
        <f>106.135+40.08</f>
        <v>146.215</v>
      </c>
      <c r="BI5972" s="106">
        <f>71.84+70.6</f>
        <v>142.44</v>
      </c>
      <c r="BO5972" s="106">
        <v>68.709999999999994</v>
      </c>
      <c r="BU5972" s="106">
        <v>63.63</v>
      </c>
      <c r="CA5972" s="106">
        <v>100.645</v>
      </c>
      <c r="CG5972" s="106">
        <v>69.290000000000006</v>
      </c>
      <c r="CM5972" s="106">
        <f>127.17</f>
        <v>127.17</v>
      </c>
      <c r="CS5972" s="74">
        <v>33.655000000000001</v>
      </c>
      <c r="CY5972" s="106">
        <f>76.265+38.735</f>
        <v>115</v>
      </c>
      <c r="DE5972" s="74">
        <v>34.744999999999997</v>
      </c>
      <c r="DK5972" s="106">
        <v>33.83</v>
      </c>
      <c r="DP5972" s="74">
        <v>32.015000000000001</v>
      </c>
      <c r="GQ5972" s="92">
        <v>57.99</v>
      </c>
    </row>
    <row r="5973" spans="1:253" x14ac:dyDescent="0.25">
      <c r="A5973" s="127">
        <v>46015</v>
      </c>
      <c r="B5973" s="24" t="s">
        <v>138</v>
      </c>
      <c r="C5973" s="21">
        <f t="shared" ref="C5973" si="108">SUM(D5973:JT5973)</f>
        <v>-41.914999999999999</v>
      </c>
      <c r="CS5973" s="74">
        <v>-8.5749999999999993</v>
      </c>
      <c r="CY5973" s="106">
        <v>-8.6449999999999996</v>
      </c>
      <c r="DE5973" s="74">
        <v>-17.425000000000001</v>
      </c>
      <c r="DK5973" s="106">
        <v>-7.27</v>
      </c>
    </row>
    <row r="5974" spans="1:253" x14ac:dyDescent="0.25">
      <c r="A5974" s="127">
        <v>46015</v>
      </c>
      <c r="B5974" s="24" t="s">
        <v>138</v>
      </c>
      <c r="C5974" s="21">
        <f t="shared" ref="C5974:C5980" si="109">SUM(D5974:JT5974)</f>
        <v>-24.49</v>
      </c>
      <c r="CR5974" s="69">
        <v>-8.5749999999999993</v>
      </c>
      <c r="CY5974" s="106">
        <v>-8.6449999999999996</v>
      </c>
      <c r="DK5974" s="106">
        <v>-7.27</v>
      </c>
    </row>
    <row r="5975" spans="1:253" x14ac:dyDescent="0.25">
      <c r="A5975" s="127">
        <v>46016</v>
      </c>
      <c r="B5975" s="24" t="s">
        <v>152</v>
      </c>
      <c r="C5975" s="21">
        <f t="shared" si="109"/>
        <v>-581.69000000000005</v>
      </c>
      <c r="AC5975" s="106">
        <v>-34.484999999999999</v>
      </c>
      <c r="AG5975" s="106">
        <v>-30.184999999999999</v>
      </c>
      <c r="AN5975" s="106">
        <v>-35.17</v>
      </c>
      <c r="AR5975" s="106">
        <v>-26.274999999999999</v>
      </c>
      <c r="BC5975" s="106">
        <f>-31.915-31.945</f>
        <v>-63.86</v>
      </c>
      <c r="BI5975" s="106">
        <f>-31.395-31.255</f>
        <v>-62.65</v>
      </c>
      <c r="BU5975" s="106">
        <f>-31.905-31.725</f>
        <v>-63.63</v>
      </c>
      <c r="CA5975" s="106">
        <f>-33.465-33.525</f>
        <v>-66.989999999999995</v>
      </c>
      <c r="CG5975" s="106">
        <f>-34.555-34.735</f>
        <v>-69.290000000000006</v>
      </c>
      <c r="CM5975" s="106">
        <f>-32.245-31.07</f>
        <v>-63.314999999999998</v>
      </c>
      <c r="EA5975" s="74">
        <v>-65.84</v>
      </c>
    </row>
    <row r="5976" spans="1:253" x14ac:dyDescent="0.25">
      <c r="A5976" s="127">
        <v>46016</v>
      </c>
      <c r="B5976" s="24" t="s">
        <v>184</v>
      </c>
      <c r="C5976" s="21">
        <f t="shared" si="109"/>
        <v>-72.94</v>
      </c>
      <c r="V5976" s="74">
        <v>-8.8000000000000007</v>
      </c>
      <c r="AN5976" s="106">
        <v>-8.0250000000000004</v>
      </c>
      <c r="AR5976" s="106">
        <v>-13.68</v>
      </c>
      <c r="AW5976" s="106">
        <v>-8.52</v>
      </c>
      <c r="BC5976" s="106">
        <v>-8.4700000000000006</v>
      </c>
      <c r="CM5976" s="106">
        <v>-8.5299999999999994</v>
      </c>
      <c r="CS5976" s="74">
        <v>-8.86</v>
      </c>
      <c r="CU5976" s="126">
        <v>-8.0549999999999997</v>
      </c>
    </row>
    <row r="5977" spans="1:253" x14ac:dyDescent="0.25">
      <c r="A5977" s="127">
        <v>46016</v>
      </c>
      <c r="B5977" s="24" t="s">
        <v>133</v>
      </c>
      <c r="C5977" s="21">
        <f t="shared" si="109"/>
        <v>-166.465</v>
      </c>
      <c r="BC5977" s="106">
        <v>-32.65</v>
      </c>
      <c r="BI5977" s="106">
        <v>-32.86</v>
      </c>
      <c r="BO5977" s="106">
        <v>-34.35</v>
      </c>
      <c r="CM5977" s="106">
        <v>-32.984999999999999</v>
      </c>
      <c r="CS5977" s="74">
        <v>-16.3</v>
      </c>
      <c r="DE5977" s="74">
        <v>-17.32</v>
      </c>
    </row>
    <row r="5978" spans="1:253" x14ac:dyDescent="0.25">
      <c r="A5978" s="127">
        <v>46016</v>
      </c>
      <c r="B5978" s="24" t="s">
        <v>193</v>
      </c>
      <c r="C5978" s="21">
        <f t="shared" si="109"/>
        <v>-8.5</v>
      </c>
      <c r="CY5978" s="106">
        <v>-8.5</v>
      </c>
    </row>
    <row r="5979" spans="1:253" x14ac:dyDescent="0.25">
      <c r="A5979" s="127">
        <v>46016</v>
      </c>
      <c r="B5979" s="24" t="s">
        <v>44</v>
      </c>
      <c r="C5979" s="21">
        <f t="shared" si="109"/>
        <v>-57.99</v>
      </c>
      <c r="GQ5979" s="92">
        <v>-57.99</v>
      </c>
    </row>
    <row r="5980" spans="1:253" x14ac:dyDescent="0.25">
      <c r="A5980" s="127">
        <v>46016</v>
      </c>
      <c r="B5980" s="24" t="s">
        <v>213</v>
      </c>
      <c r="C5980" s="21">
        <f t="shared" si="109"/>
        <v>-65.27</v>
      </c>
      <c r="BI5980" s="106">
        <v>-31.31</v>
      </c>
      <c r="BO5980" s="106">
        <v>-17.164999999999999</v>
      </c>
      <c r="CA5980" s="106">
        <v>-16.795000000000002</v>
      </c>
    </row>
    <row r="5981" spans="1:253" x14ac:dyDescent="0.25">
      <c r="A5981" s="127">
        <v>46015</v>
      </c>
      <c r="B5981" s="29" t="s">
        <v>20</v>
      </c>
      <c r="C5981" s="21">
        <f t="shared" ref="C5981:C5988" si="110">SUM(D5981:JT5981)</f>
        <v>-5.96</v>
      </c>
      <c r="IQ5981" s="262">
        <v>-1.7</v>
      </c>
      <c r="IR5981" s="262">
        <v>-1.95</v>
      </c>
      <c r="IS5981" s="262">
        <v>-2.31</v>
      </c>
    </row>
    <row r="5982" spans="1:253" x14ac:dyDescent="0.25">
      <c r="A5982" s="127">
        <v>46016</v>
      </c>
      <c r="B5982" s="24" t="s">
        <v>218</v>
      </c>
      <c r="C5982" s="21">
        <f t="shared" si="110"/>
        <v>35.164999999999999</v>
      </c>
      <c r="CU5982" s="126">
        <f>9.2+8.055</f>
        <v>17.254999999999999</v>
      </c>
      <c r="DG5982" s="126">
        <f>9.36+8.55</f>
        <v>17.91</v>
      </c>
    </row>
    <row r="5983" spans="1:253" x14ac:dyDescent="0.25">
      <c r="A5983" s="127">
        <v>46017</v>
      </c>
      <c r="B5983" s="24" t="s">
        <v>184</v>
      </c>
      <c r="C5983" s="21">
        <f t="shared" si="110"/>
        <v>-62.884999999999998</v>
      </c>
      <c r="AW5983" s="106">
        <v>-15.645</v>
      </c>
      <c r="BC5983" s="106">
        <v>-16.05</v>
      </c>
      <c r="CY5983" s="106">
        <v>-15.055</v>
      </c>
      <c r="DP5983" s="74">
        <v>-16.135000000000002</v>
      </c>
    </row>
    <row r="5984" spans="1:253" x14ac:dyDescent="0.25">
      <c r="A5984" s="127">
        <v>46017</v>
      </c>
      <c r="B5984" s="24" t="s">
        <v>20</v>
      </c>
      <c r="C5984" s="21">
        <f t="shared" si="110"/>
        <v>-13.68</v>
      </c>
      <c r="AC5984" s="106">
        <v>-5.22</v>
      </c>
      <c r="CA5984" s="106">
        <v>-8.4600000000000009</v>
      </c>
    </row>
    <row r="5985" spans="1:246" x14ac:dyDescent="0.25">
      <c r="A5985" s="127">
        <v>46017</v>
      </c>
      <c r="B5985" s="24" t="s">
        <v>212</v>
      </c>
      <c r="C5985" s="21">
        <f t="shared" si="110"/>
        <v>-7.2249999999999996</v>
      </c>
      <c r="BO5985" s="106">
        <v>-7.2249999999999996</v>
      </c>
    </row>
    <row r="5986" spans="1:246" x14ac:dyDescent="0.25">
      <c r="A5986" s="127">
        <v>46017</v>
      </c>
      <c r="B5986" s="24" t="s">
        <v>225</v>
      </c>
      <c r="C5986" s="21">
        <f t="shared" si="110"/>
        <v>-89.954999999999998</v>
      </c>
      <c r="M5986" s="92">
        <v>-3.7</v>
      </c>
      <c r="P5986" s="106">
        <v>-6.62</v>
      </c>
      <c r="AG5986" s="106">
        <v>-8.77</v>
      </c>
      <c r="AN5986" s="106">
        <v>-7.89</v>
      </c>
      <c r="AW5986" s="106">
        <v>-5.68</v>
      </c>
      <c r="BC5986" s="106">
        <v>-7.58</v>
      </c>
      <c r="BI5986" s="106">
        <v>-7.7</v>
      </c>
      <c r="BO5986" s="106">
        <v>-8.61</v>
      </c>
      <c r="CA5986" s="106">
        <v>-8.4</v>
      </c>
      <c r="CM5986" s="106">
        <v>-7.83</v>
      </c>
      <c r="CY5986" s="106">
        <v>-8.625</v>
      </c>
      <c r="DG5986" s="126">
        <v>-8.5500000000000007</v>
      </c>
    </row>
    <row r="5987" spans="1:246" x14ac:dyDescent="0.25">
      <c r="A5987" s="127">
        <v>46020</v>
      </c>
      <c r="B5987" s="24" t="s">
        <v>25</v>
      </c>
      <c r="C5987" s="21">
        <f t="shared" si="110"/>
        <v>-48.744999999999997</v>
      </c>
      <c r="AG5987" s="106">
        <v>-6.72</v>
      </c>
      <c r="AW5987" s="106">
        <v>-7.9950000000000001</v>
      </c>
      <c r="BC5987" s="106">
        <v>-17.605</v>
      </c>
      <c r="BI5987" s="106">
        <v>-7.84</v>
      </c>
      <c r="BO5987" s="106">
        <v>-8.5850000000000009</v>
      </c>
    </row>
    <row r="5988" spans="1:246" x14ac:dyDescent="0.25">
      <c r="A5988" s="127">
        <v>46020</v>
      </c>
      <c r="B5988" s="29" t="s">
        <v>99</v>
      </c>
      <c r="C5988" s="21">
        <f t="shared" si="110"/>
        <v>9.34</v>
      </c>
      <c r="F5988" s="145">
        <v>24.71</v>
      </c>
      <c r="H5988" s="84">
        <v>-5.65</v>
      </c>
      <c r="M5988" s="92">
        <v>-2.2400000000000002</v>
      </c>
      <c r="S5988" s="74">
        <v>-4.33</v>
      </c>
      <c r="AG5988" s="106">
        <v>1.4999999999999999E-2</v>
      </c>
      <c r="CM5988" s="106">
        <v>0.45</v>
      </c>
      <c r="CY5988" s="106">
        <v>0.86499999999999999</v>
      </c>
      <c r="DK5988" s="106">
        <v>-1.075</v>
      </c>
      <c r="DM5988" s="46">
        <v>-0.1</v>
      </c>
      <c r="EA5988" s="74">
        <v>-16.555</v>
      </c>
      <c r="EC5988" s="126">
        <v>16.600000000000001</v>
      </c>
      <c r="EG5988" s="74">
        <v>8.6999999999999993</v>
      </c>
      <c r="EI5988" s="150">
        <v>0.08</v>
      </c>
      <c r="EM5988" s="150">
        <v>-7.62</v>
      </c>
      <c r="EO5988" s="69">
        <v>-1.25</v>
      </c>
      <c r="EP5988" s="74">
        <v>1.25</v>
      </c>
      <c r="EQ5988" s="46">
        <v>8.01</v>
      </c>
      <c r="EU5988" s="126">
        <v>-0.06</v>
      </c>
      <c r="GZ5988" s="106">
        <v>-10.1</v>
      </c>
      <c r="II5988" s="283">
        <v>-2.25</v>
      </c>
      <c r="IJ5988" s="268">
        <v>-0.12</v>
      </c>
      <c r="IK5988" s="262">
        <v>0.02</v>
      </c>
      <c r="IL5988" s="262">
        <v>-0.01</v>
      </c>
    </row>
    <row r="5989" spans="1:246" x14ac:dyDescent="0.25">
      <c r="A5989" s="127">
        <v>46020</v>
      </c>
      <c r="B5989" s="24" t="s">
        <v>17</v>
      </c>
      <c r="C5989" s="21">
        <f t="shared" ref="C5989:C6053" si="111">SUM(D5989:JT5989)</f>
        <v>-19.93</v>
      </c>
      <c r="FA5989" s="42">
        <v>-6.53</v>
      </c>
      <c r="FD5989" s="126">
        <v>-13.4</v>
      </c>
    </row>
    <row r="5990" spans="1:246" x14ac:dyDescent="0.25">
      <c r="A5990" s="127">
        <v>46020</v>
      </c>
      <c r="B5990" s="24" t="s">
        <v>50</v>
      </c>
      <c r="C5990" s="21">
        <f t="shared" si="111"/>
        <v>-113.01</v>
      </c>
      <c r="EA5990" s="74">
        <v>-53.59</v>
      </c>
      <c r="GZ5990" s="106">
        <v>-59.42</v>
      </c>
    </row>
    <row r="5991" spans="1:246" x14ac:dyDescent="0.25">
      <c r="A5991" s="127">
        <v>46021</v>
      </c>
      <c r="B5991" s="24" t="s">
        <v>113</v>
      </c>
      <c r="C5991" s="21">
        <f t="shared" si="111"/>
        <v>898.54</v>
      </c>
      <c r="V5991" s="74">
        <v>32.835000000000001</v>
      </c>
      <c r="AG5991" s="106">
        <v>35.784999999999997</v>
      </c>
      <c r="AN5991" s="106">
        <v>70.33</v>
      </c>
      <c r="AW5991" s="106">
        <v>64.474999999999994</v>
      </c>
      <c r="BC5991" s="106">
        <v>62.92</v>
      </c>
      <c r="BO5991" s="106">
        <v>86.84</v>
      </c>
      <c r="BU5991" s="106">
        <v>67.81</v>
      </c>
      <c r="CA5991" s="106">
        <v>83.644999999999996</v>
      </c>
      <c r="CM5991" s="106">
        <v>67.88</v>
      </c>
      <c r="CS5991" s="74">
        <v>69.83</v>
      </c>
      <c r="DE5991" s="74">
        <v>65.754999999999995</v>
      </c>
      <c r="DP5991" s="74">
        <v>35.005000000000003</v>
      </c>
      <c r="DU5991" s="106">
        <v>32.034999999999997</v>
      </c>
      <c r="EA5991" s="74">
        <v>31.63</v>
      </c>
      <c r="GQ5991" s="92">
        <v>57.91</v>
      </c>
      <c r="HF5991" s="92">
        <v>33.854999999999997</v>
      </c>
    </row>
    <row r="5992" spans="1:246" x14ac:dyDescent="0.25">
      <c r="A5992" s="127">
        <v>46021</v>
      </c>
      <c r="B5992" s="24" t="s">
        <v>226</v>
      </c>
      <c r="C5992" s="21">
        <f t="shared" si="111"/>
        <v>-64.62</v>
      </c>
      <c r="EA5992" s="74">
        <v>-64.62</v>
      </c>
    </row>
    <row r="5993" spans="1:246" x14ac:dyDescent="0.25">
      <c r="A5993" s="127">
        <v>46021</v>
      </c>
      <c r="B5993" s="24" t="s">
        <v>133</v>
      </c>
      <c r="C5993" s="21">
        <f t="shared" si="111"/>
        <v>-204.14</v>
      </c>
      <c r="AG5993" s="106">
        <v>-35.784999999999997</v>
      </c>
      <c r="AN5993" s="106">
        <v>-35.15</v>
      </c>
      <c r="AQ5993" s="69">
        <v>8.3949999999999996</v>
      </c>
      <c r="AW5993" s="106">
        <v>-17.254999999999999</v>
      </c>
      <c r="BU5993" s="106">
        <v>-25.04</v>
      </c>
      <c r="CA5993" s="106">
        <v>-16.754999999999999</v>
      </c>
      <c r="CM5993" s="106">
        <v>-17.16</v>
      </c>
      <c r="CS5993" s="74">
        <v>-17.18</v>
      </c>
      <c r="DE5993" s="74">
        <v>-48.21</v>
      </c>
    </row>
    <row r="5994" spans="1:246" x14ac:dyDescent="0.25">
      <c r="A5994" s="127">
        <v>46021</v>
      </c>
      <c r="B5994" s="24" t="s">
        <v>184</v>
      </c>
      <c r="C5994" s="21">
        <f t="shared" si="111"/>
        <v>-237.4</v>
      </c>
      <c r="AN5994" s="106">
        <v>-17.605</v>
      </c>
      <c r="AW5994" s="106">
        <v>-24.175000000000001</v>
      </c>
      <c r="BC5994" s="106">
        <v>-31.78</v>
      </c>
      <c r="BO5994" s="106">
        <v>-18.145</v>
      </c>
      <c r="CA5994" s="106">
        <v>-16.734999999999999</v>
      </c>
      <c r="CS5994" s="74">
        <v>-17</v>
      </c>
      <c r="CY5994" s="106">
        <v>-16.850000000000001</v>
      </c>
      <c r="DE5994" s="74">
        <v>-17.545000000000002</v>
      </c>
      <c r="DU5994" s="106">
        <v>-40.274999999999999</v>
      </c>
      <c r="EA5994" s="74">
        <v>-28.58</v>
      </c>
      <c r="EC5994" s="126">
        <v>-8.7100000000000009</v>
      </c>
    </row>
    <row r="5995" spans="1:246" x14ac:dyDescent="0.25">
      <c r="A5995" s="127">
        <v>46021</v>
      </c>
      <c r="B5995" s="24" t="s">
        <v>213</v>
      </c>
      <c r="C5995" s="21">
        <f t="shared" si="111"/>
        <v>-31.14</v>
      </c>
      <c r="BC5995" s="106">
        <v>-31.14</v>
      </c>
    </row>
    <row r="5996" spans="1:246" x14ac:dyDescent="0.25">
      <c r="A5996" s="127">
        <v>46021</v>
      </c>
      <c r="B5996" s="24" t="s">
        <v>213</v>
      </c>
      <c r="C5996" s="21">
        <f t="shared" si="111"/>
        <v>-103.47499999999999</v>
      </c>
      <c r="AN5996" s="106">
        <v>-17.574999999999999</v>
      </c>
      <c r="AQ5996" s="69">
        <v>-8.3949999999999996</v>
      </c>
      <c r="BO5996" s="106">
        <v>-17.204999999999998</v>
      </c>
      <c r="BU5996" s="106">
        <v>-25.92</v>
      </c>
      <c r="CA5996" s="106">
        <v>-17.375</v>
      </c>
      <c r="CS5996" s="74">
        <v>-17.004999999999999</v>
      </c>
    </row>
    <row r="5997" spans="1:246" x14ac:dyDescent="0.25">
      <c r="A5997" s="127">
        <v>46021</v>
      </c>
      <c r="B5997" s="24" t="s">
        <v>218</v>
      </c>
      <c r="C5997" s="21">
        <f t="shared" si="111"/>
        <v>-33.93</v>
      </c>
      <c r="BO5997" s="106">
        <f>-8.585-8.555</f>
        <v>-17.14</v>
      </c>
      <c r="CA5997" s="106">
        <f>-8.415-8.375</f>
        <v>-16.79</v>
      </c>
    </row>
    <row r="5998" spans="1:246" x14ac:dyDescent="0.25">
      <c r="A5998" s="127">
        <v>46022</v>
      </c>
      <c r="B5998" s="24" t="s">
        <v>25</v>
      </c>
      <c r="C5998" s="21">
        <f t="shared" si="111"/>
        <v>-33.15</v>
      </c>
      <c r="BO5998" s="106">
        <v>-17.16</v>
      </c>
      <c r="CA5998" s="106">
        <v>-15.99</v>
      </c>
    </row>
    <row r="5999" spans="1:246" x14ac:dyDescent="0.25">
      <c r="A5999" s="127">
        <v>46022</v>
      </c>
      <c r="B5999" s="24" t="s">
        <v>213</v>
      </c>
      <c r="C5999" s="21">
        <f t="shared" si="111"/>
        <v>-31.27</v>
      </c>
      <c r="DU5999" s="106">
        <v>-15.37</v>
      </c>
      <c r="EC5999" s="126">
        <v>-15.9</v>
      </c>
    </row>
    <row r="6000" spans="1:246" x14ac:dyDescent="0.25">
      <c r="A6000" s="127">
        <v>46024</v>
      </c>
      <c r="B6000" s="24" t="s">
        <v>225</v>
      </c>
      <c r="C6000" s="21">
        <f t="shared" si="111"/>
        <v>-14.865</v>
      </c>
      <c r="I6000" s="84">
        <v>-3.14</v>
      </c>
      <c r="V6000" s="74">
        <v>-3.28</v>
      </c>
      <c r="BU6000" s="106">
        <v>-8.4450000000000003</v>
      </c>
    </row>
    <row r="6001" spans="1:214" x14ac:dyDescent="0.25">
      <c r="A6001" s="127">
        <v>46024</v>
      </c>
      <c r="B6001" s="24" t="s">
        <v>24</v>
      </c>
      <c r="C6001" s="21">
        <f t="shared" si="111"/>
        <v>-8.59</v>
      </c>
      <c r="BO6001" s="106">
        <v>-8.59</v>
      </c>
    </row>
    <row r="6002" spans="1:214" x14ac:dyDescent="0.25">
      <c r="A6002" s="127">
        <v>46024</v>
      </c>
      <c r="B6002" s="24" t="s">
        <v>20</v>
      </c>
      <c r="C6002" s="21">
        <f t="shared" si="111"/>
        <v>-25.655000000000001</v>
      </c>
      <c r="BO6002" s="106">
        <v>-8.6</v>
      </c>
      <c r="BU6002" s="106">
        <v>-8.4049999999999994</v>
      </c>
      <c r="CM6002" s="106">
        <v>-8.65</v>
      </c>
    </row>
    <row r="6003" spans="1:214" x14ac:dyDescent="0.25">
      <c r="A6003" s="127">
        <v>46024</v>
      </c>
      <c r="B6003" s="24" t="s">
        <v>24</v>
      </c>
      <c r="C6003" s="21">
        <f t="shared" si="111"/>
        <v>-9.36</v>
      </c>
      <c r="DG6003" s="126">
        <v>-9.36</v>
      </c>
    </row>
    <row r="6004" spans="1:214" x14ac:dyDescent="0.25">
      <c r="A6004" s="127">
        <v>46027</v>
      </c>
      <c r="B6004" s="24" t="s">
        <v>218</v>
      </c>
      <c r="C6004" s="21">
        <f t="shared" si="111"/>
        <v>51.75</v>
      </c>
      <c r="DR6004" s="46">
        <v>8.31</v>
      </c>
      <c r="DW6004" s="126">
        <f>8.11+9+8.61</f>
        <v>25.72</v>
      </c>
      <c r="EC6004" s="126">
        <f>9.1+8.62</f>
        <v>17.72</v>
      </c>
    </row>
    <row r="6005" spans="1:214" x14ac:dyDescent="0.25">
      <c r="A6005" s="127">
        <v>46027</v>
      </c>
      <c r="B6005" s="24" t="s">
        <v>48</v>
      </c>
      <c r="C6005" s="21">
        <f t="shared" si="111"/>
        <v>-8.59</v>
      </c>
      <c r="EU6005" s="126">
        <v>-8.59</v>
      </c>
    </row>
    <row r="6006" spans="1:214" x14ac:dyDescent="0.25">
      <c r="A6006" s="127">
        <v>46028</v>
      </c>
      <c r="B6006" s="24" t="s">
        <v>146</v>
      </c>
      <c r="C6006" s="21">
        <f t="shared" si="111"/>
        <v>470.77499999999998</v>
      </c>
      <c r="AM6006" s="69">
        <v>33.784999999999997</v>
      </c>
      <c r="AQ6006" s="69">
        <v>33.734999999999999</v>
      </c>
      <c r="BB6006" s="69">
        <v>68</v>
      </c>
      <c r="BH6006" s="69">
        <v>100.27500000000001</v>
      </c>
      <c r="BN6006" s="69">
        <v>102.45</v>
      </c>
      <c r="BT6006" s="69">
        <v>31.17</v>
      </c>
      <c r="CF6006" s="69">
        <v>101.36</v>
      </c>
    </row>
    <row r="6007" spans="1:214" x14ac:dyDescent="0.25">
      <c r="A6007" s="127">
        <v>46028</v>
      </c>
      <c r="B6007" s="24" t="s">
        <v>20</v>
      </c>
      <c r="C6007" s="21">
        <f t="shared" si="111"/>
        <v>-31.42</v>
      </c>
      <c r="AW6007" s="106">
        <v>-7.95</v>
      </c>
      <c r="BH6007" s="69">
        <v>-8.4849999999999994</v>
      </c>
      <c r="BT6007" s="69">
        <v>-6.66</v>
      </c>
      <c r="CF6007" s="69">
        <v>-8.3249999999999993</v>
      </c>
    </row>
    <row r="6008" spans="1:214" x14ac:dyDescent="0.25">
      <c r="A6008" s="127">
        <v>46028</v>
      </c>
      <c r="B6008" s="24" t="s">
        <v>197</v>
      </c>
      <c r="C6008" s="21">
        <f t="shared" si="111"/>
        <v>-67.905000000000001</v>
      </c>
      <c r="BB6008" s="69">
        <v>-8.51</v>
      </c>
      <c r="BH6008" s="69">
        <v>-16.855</v>
      </c>
      <c r="BT6008" s="69">
        <v>-17.024999999999999</v>
      </c>
      <c r="CF6008" s="69">
        <v>-16.895</v>
      </c>
      <c r="CM6008" s="106">
        <v>-8.6199999999999992</v>
      </c>
    </row>
    <row r="6009" spans="1:214" x14ac:dyDescent="0.25">
      <c r="A6009" s="127">
        <v>46028</v>
      </c>
      <c r="B6009" s="24" t="s">
        <v>138</v>
      </c>
      <c r="C6009" s="21">
        <f t="shared" si="111"/>
        <v>-15.2</v>
      </c>
      <c r="CF6009" s="69">
        <v>-8.42</v>
      </c>
      <c r="CM6009" s="106">
        <v>-6.78</v>
      </c>
    </row>
    <row r="6010" spans="1:214" x14ac:dyDescent="0.25">
      <c r="A6010" s="127">
        <v>46028</v>
      </c>
      <c r="B6010" s="24" t="s">
        <v>225</v>
      </c>
      <c r="C6010" s="21">
        <f t="shared" si="111"/>
        <v>-16.95</v>
      </c>
      <c r="AQ6010" s="69">
        <v>-8.44</v>
      </c>
      <c r="CF6010" s="69">
        <v>-8.51</v>
      </c>
    </row>
    <row r="6011" spans="1:214" x14ac:dyDescent="0.25">
      <c r="A6011" s="127">
        <v>46028</v>
      </c>
      <c r="B6011" s="24" t="s">
        <v>75</v>
      </c>
      <c r="C6011" s="21">
        <f t="shared" ref="C6011:C6017" si="112">SUM(D6011:JT6011)</f>
        <v>-31.59</v>
      </c>
      <c r="AG6011" s="106">
        <v>-7.13</v>
      </c>
      <c r="BB6011" s="69">
        <v>-8.51</v>
      </c>
      <c r="BH6011" s="69">
        <v>-8.4649999999999999</v>
      </c>
      <c r="BT6011" s="69">
        <v>-7.4850000000000003</v>
      </c>
    </row>
    <row r="6012" spans="1:214" x14ac:dyDescent="0.25">
      <c r="A6012" s="127">
        <v>46028</v>
      </c>
      <c r="B6012" s="24" t="s">
        <v>138</v>
      </c>
      <c r="C6012" s="21">
        <f t="shared" si="112"/>
        <v>-16.05</v>
      </c>
      <c r="AW6012" s="106">
        <v>-7.59</v>
      </c>
      <c r="BH6012" s="69">
        <v>-8.4600000000000009</v>
      </c>
    </row>
    <row r="6013" spans="1:214" x14ac:dyDescent="0.25">
      <c r="A6013" s="127">
        <v>46028</v>
      </c>
      <c r="B6013" s="24" t="s">
        <v>133</v>
      </c>
      <c r="C6013" s="21">
        <f t="shared" si="112"/>
        <v>-24.3</v>
      </c>
      <c r="GI6013" s="251">
        <v>-24.3</v>
      </c>
    </row>
    <row r="6014" spans="1:214" x14ac:dyDescent="0.25">
      <c r="A6014" s="127">
        <v>46029</v>
      </c>
      <c r="B6014" s="24" t="s">
        <v>113</v>
      </c>
      <c r="C6014" s="21">
        <f t="shared" si="112"/>
        <v>892.51499999999999</v>
      </c>
      <c r="V6014" s="74">
        <v>49.58</v>
      </c>
      <c r="AW6014" s="106">
        <v>64.010000000000005</v>
      </c>
      <c r="BC6014" s="106">
        <v>60.86</v>
      </c>
      <c r="BU6014" s="106">
        <v>211.815</v>
      </c>
      <c r="CM6014" s="106">
        <v>100.15</v>
      </c>
      <c r="CS6014" s="74">
        <v>72.78</v>
      </c>
      <c r="CY6014" s="106">
        <v>31.14</v>
      </c>
      <c r="DE6014" s="74">
        <v>34.07</v>
      </c>
      <c r="DP6014" s="74">
        <v>35.164999999999999</v>
      </c>
      <c r="DU6014" s="106">
        <v>48.335000000000001</v>
      </c>
      <c r="EA6014" s="74">
        <v>102.3</v>
      </c>
      <c r="GK6014" s="79">
        <v>49.134999999999998</v>
      </c>
      <c r="HF6014" s="92">
        <v>33.174999999999997</v>
      </c>
    </row>
    <row r="6015" spans="1:214" x14ac:dyDescent="0.25">
      <c r="A6015" s="127">
        <v>46029</v>
      </c>
      <c r="B6015" s="24" t="s">
        <v>48</v>
      </c>
      <c r="C6015" s="21">
        <f t="shared" si="112"/>
        <v>-33.164999999999999</v>
      </c>
      <c r="BH6015" s="69">
        <v>-16.885000000000002</v>
      </c>
      <c r="BN6015" s="69">
        <v>-16.28</v>
      </c>
    </row>
    <row r="6016" spans="1:214" x14ac:dyDescent="0.25">
      <c r="A6016" s="127">
        <v>46029</v>
      </c>
      <c r="B6016" s="24" t="s">
        <v>24</v>
      </c>
      <c r="C6016" s="21">
        <f t="shared" si="112"/>
        <v>-41.45</v>
      </c>
      <c r="BB6016" s="69">
        <v>-8.5150000000000006</v>
      </c>
      <c r="BH6016" s="69">
        <v>-8.375</v>
      </c>
      <c r="BU6016" s="106">
        <v>-16.170000000000002</v>
      </c>
      <c r="CF6016" s="69">
        <v>-8.39</v>
      </c>
    </row>
    <row r="6017" spans="1:247" x14ac:dyDescent="0.25">
      <c r="A6017" s="127">
        <v>46029</v>
      </c>
      <c r="B6017" s="24" t="s">
        <v>188</v>
      </c>
      <c r="C6017" s="21">
        <f t="shared" si="112"/>
        <v>-32.185000000000002</v>
      </c>
      <c r="AW6017" s="106">
        <v>-7.5049999999999999</v>
      </c>
      <c r="BB6017" s="69">
        <v>-8.4649999999999999</v>
      </c>
      <c r="CF6017" s="69">
        <v>-8.4849999999999994</v>
      </c>
      <c r="CM6017" s="106">
        <v>-7.73</v>
      </c>
    </row>
    <row r="6018" spans="1:247" x14ac:dyDescent="0.25">
      <c r="A6018" s="127">
        <v>46029</v>
      </c>
      <c r="B6018" s="24" t="s">
        <v>152</v>
      </c>
      <c r="C6018" s="21">
        <f t="shared" si="111"/>
        <v>-202.64500000000001</v>
      </c>
      <c r="AW6018" s="106">
        <v>-31.934999999999999</v>
      </c>
      <c r="DK6018" s="106">
        <v>-35.265000000000001</v>
      </c>
      <c r="DP6018" s="74">
        <v>-35.164999999999999</v>
      </c>
      <c r="DU6018" s="106">
        <v>-31.675000000000001</v>
      </c>
      <c r="EA6018" s="74">
        <v>-68.605000000000004</v>
      </c>
    </row>
    <row r="6019" spans="1:247" x14ac:dyDescent="0.25">
      <c r="A6019" s="127">
        <v>46029</v>
      </c>
      <c r="B6019" s="24" t="s">
        <v>133</v>
      </c>
      <c r="C6019" s="21">
        <f t="shared" si="111"/>
        <v>-116.48</v>
      </c>
      <c r="AW6019" s="106">
        <v>-17.239999999999998</v>
      </c>
      <c r="BC6019" s="106">
        <v>-15.22</v>
      </c>
      <c r="BU6019" s="106">
        <v>-32.619999999999997</v>
      </c>
      <c r="CM6019" s="106">
        <v>-33.06</v>
      </c>
      <c r="CS6019" s="74">
        <v>-18.34</v>
      </c>
    </row>
    <row r="6020" spans="1:247" x14ac:dyDescent="0.25">
      <c r="A6020" s="127">
        <v>46029</v>
      </c>
      <c r="B6020" s="24" t="s">
        <v>184</v>
      </c>
      <c r="C6020" s="21">
        <f t="shared" si="111"/>
        <v>-466.41</v>
      </c>
      <c r="V6020" s="74">
        <v>-7.4749999999999996</v>
      </c>
      <c r="AG6020" s="106">
        <v>-7.165</v>
      </c>
      <c r="AQ6020" s="69">
        <v>-8.44</v>
      </c>
      <c r="AW6020" s="106">
        <v>-32.075000000000003</v>
      </c>
      <c r="BC6020" s="106">
        <v>-30.234999999999999</v>
      </c>
      <c r="BN6020" s="69">
        <v>-51.225000000000001</v>
      </c>
      <c r="BU6020" s="106">
        <v>-67.209999999999994</v>
      </c>
      <c r="CF6020" s="69">
        <v>-33.884999999999998</v>
      </c>
      <c r="CM6020" s="106">
        <v>-32.645000000000003</v>
      </c>
      <c r="CS6020" s="74">
        <v>-35.844999999999999</v>
      </c>
      <c r="CY6020" s="106">
        <v>-15.11</v>
      </c>
      <c r="DE6020" s="74">
        <v>-34.07</v>
      </c>
      <c r="DP6020" s="74">
        <v>-35.005000000000003</v>
      </c>
      <c r="DU6020" s="106">
        <v>-16.66</v>
      </c>
      <c r="EA6020" s="74">
        <v>-33.695</v>
      </c>
      <c r="EN6020" s="42">
        <v>-17.66</v>
      </c>
      <c r="EQ6020" s="46">
        <v>-8.01</v>
      </c>
    </row>
    <row r="6021" spans="1:247" x14ac:dyDescent="0.25">
      <c r="A6021" s="127">
        <v>46029</v>
      </c>
      <c r="B6021" s="24" t="s">
        <v>213</v>
      </c>
      <c r="C6021" s="21">
        <f t="shared" si="111"/>
        <v>-24.64</v>
      </c>
      <c r="AQ6021" s="69">
        <v>-8.4350000000000005</v>
      </c>
      <c r="BC6021" s="106">
        <v>-7.7649999999999997</v>
      </c>
      <c r="BH6021" s="69">
        <v>-8.44</v>
      </c>
    </row>
    <row r="6022" spans="1:247" x14ac:dyDescent="0.25">
      <c r="A6022" s="127">
        <v>46029</v>
      </c>
      <c r="B6022" s="24" t="s">
        <v>213</v>
      </c>
      <c r="C6022" s="21">
        <f t="shared" si="111"/>
        <v>-42.405000000000001</v>
      </c>
      <c r="BC6022" s="106">
        <v>-7.64</v>
      </c>
      <c r="BU6022" s="106">
        <v>-16.170000000000002</v>
      </c>
      <c r="CS6022" s="74">
        <v>-18.594999999999999</v>
      </c>
    </row>
    <row r="6023" spans="1:247" x14ac:dyDescent="0.25">
      <c r="A6023" s="127">
        <v>46030</v>
      </c>
      <c r="B6023" s="24" t="s">
        <v>218</v>
      </c>
      <c r="C6023" s="21">
        <f t="shared" si="111"/>
        <v>-68.504999999999995</v>
      </c>
      <c r="AM6023" s="69">
        <v>-8.4550000000000001</v>
      </c>
      <c r="BB6023" s="69">
        <f>-8.505-8.51</f>
        <v>-17.015000000000001</v>
      </c>
      <c r="BH6023" s="69">
        <v>-8.4849999999999994</v>
      </c>
      <c r="BN6023" s="69">
        <f>-8.54-8.535</f>
        <v>-17.074999999999999</v>
      </c>
      <c r="BU6023" s="106">
        <f>-9.035-8.44</f>
        <v>-17.475000000000001</v>
      </c>
    </row>
    <row r="6024" spans="1:247" x14ac:dyDescent="0.25">
      <c r="A6024" s="127">
        <v>46031</v>
      </c>
      <c r="B6024" s="24" t="s">
        <v>44</v>
      </c>
      <c r="C6024" s="21">
        <f t="shared" si="111"/>
        <v>-161.71</v>
      </c>
      <c r="GQ6024" s="92">
        <f>-28.965-28.945</f>
        <v>-57.91</v>
      </c>
      <c r="IM6024" s="50">
        <f>-23.5-21.5-27.6-31.2</f>
        <v>-103.8</v>
      </c>
    </row>
    <row r="6025" spans="1:247" x14ac:dyDescent="0.25">
      <c r="A6025" s="127">
        <v>46031</v>
      </c>
      <c r="B6025" s="24" t="s">
        <v>192</v>
      </c>
      <c r="C6025" s="21">
        <f t="shared" si="111"/>
        <v>-8.3949999999999996</v>
      </c>
      <c r="BH6025" s="69">
        <v>-8.3949999999999996</v>
      </c>
    </row>
    <row r="6026" spans="1:247" x14ac:dyDescent="0.25">
      <c r="A6026" s="127">
        <v>46031</v>
      </c>
      <c r="B6026" s="24" t="s">
        <v>184</v>
      </c>
      <c r="C6026" s="21">
        <f t="shared" si="111"/>
        <v>-7.9</v>
      </c>
      <c r="EU6026" s="126">
        <v>-7.9</v>
      </c>
    </row>
    <row r="6027" spans="1:247" x14ac:dyDescent="0.25">
      <c r="A6027" s="127">
        <v>46034</v>
      </c>
      <c r="B6027" s="24" t="s">
        <v>171</v>
      </c>
      <c r="C6027" s="21">
        <f t="shared" si="111"/>
        <v>-9.1999999999999993</v>
      </c>
      <c r="CU6027" s="126">
        <v>-9.1999999999999993</v>
      </c>
    </row>
    <row r="6028" spans="1:247" x14ac:dyDescent="0.25">
      <c r="A6028" s="127">
        <v>46034</v>
      </c>
      <c r="B6028" s="24" t="s">
        <v>133</v>
      </c>
      <c r="C6028" s="21">
        <f t="shared" si="111"/>
        <v>-91.81</v>
      </c>
      <c r="AW6028" s="106">
        <v>-7.9</v>
      </c>
      <c r="AY6028" s="126">
        <v>-8.68</v>
      </c>
      <c r="BB6028" s="69">
        <v>-16.984999999999999</v>
      </c>
      <c r="BN6028" s="69">
        <v>-8.5350000000000001</v>
      </c>
      <c r="BU6028" s="106">
        <v>-31.065000000000001</v>
      </c>
      <c r="CS6028" s="74">
        <f>-9.18-9.465</f>
        <v>-18.645</v>
      </c>
    </row>
    <row r="6029" spans="1:247" x14ac:dyDescent="0.25">
      <c r="A6029" s="127">
        <v>46034</v>
      </c>
      <c r="B6029" s="24" t="s">
        <v>58</v>
      </c>
      <c r="C6029" s="21">
        <f t="shared" si="111"/>
        <v>-28.975000000000001</v>
      </c>
      <c r="CM6029" s="106">
        <v>-8.5050000000000008</v>
      </c>
      <c r="FO6029" s="210">
        <v>-20.47</v>
      </c>
    </row>
    <row r="6030" spans="1:247" x14ac:dyDescent="0.25">
      <c r="A6030" s="127">
        <v>46035</v>
      </c>
      <c r="B6030" s="24" t="s">
        <v>113</v>
      </c>
      <c r="C6030" s="21">
        <f t="shared" si="111"/>
        <v>634.048</v>
      </c>
      <c r="V6030" s="74">
        <v>51.064999999999998</v>
      </c>
      <c r="AR6030" s="106">
        <v>26.98</v>
      </c>
      <c r="AW6030" s="106">
        <v>32.795000000000002</v>
      </c>
      <c r="BC6030" s="106">
        <f>38.005+23.06</f>
        <v>61.064999999999998</v>
      </c>
      <c r="CS6030" s="74">
        <f>44.55+61.63</f>
        <v>106.18</v>
      </c>
      <c r="CY6030" s="106">
        <v>62.204999999999998</v>
      </c>
      <c r="DP6030" s="74">
        <f>39.01+40.41</f>
        <v>79.42</v>
      </c>
      <c r="DU6030" s="106">
        <v>33.384999999999998</v>
      </c>
      <c r="EA6030" s="74">
        <f>51.15+68.325</f>
        <v>119.47499999999999</v>
      </c>
      <c r="GK6030" s="79">
        <v>27.568000000000001</v>
      </c>
      <c r="HF6030" s="92">
        <v>33.909999999999997</v>
      </c>
    </row>
    <row r="6031" spans="1:247" x14ac:dyDescent="0.25">
      <c r="A6031" s="127">
        <v>46035</v>
      </c>
      <c r="B6031" s="24" t="s">
        <v>113</v>
      </c>
      <c r="C6031" s="21">
        <f t="shared" si="111"/>
        <v>1699.28</v>
      </c>
      <c r="AR6031" s="106">
        <v>29.2</v>
      </c>
      <c r="AW6031" s="106">
        <v>108.86499999999999</v>
      </c>
      <c r="BC6031" s="106">
        <v>108.325</v>
      </c>
      <c r="BI6031" s="106">
        <v>162.745</v>
      </c>
      <c r="BO6031" s="106">
        <v>174.39500000000001</v>
      </c>
      <c r="BU6031" s="106">
        <v>179.13</v>
      </c>
      <c r="CA6031" s="106">
        <v>165.72499999999999</v>
      </c>
      <c r="CG6031" s="106">
        <v>178.61500000000001</v>
      </c>
      <c r="CM6031" s="106">
        <v>167.61</v>
      </c>
      <c r="CY6031" s="106">
        <v>69.83</v>
      </c>
      <c r="DK6031" s="106">
        <v>135.31</v>
      </c>
      <c r="DP6031" s="74">
        <v>70.284999999999997</v>
      </c>
      <c r="DU6031" s="106">
        <v>149.245</v>
      </c>
    </row>
    <row r="6032" spans="1:247" x14ac:dyDescent="0.25">
      <c r="A6032" s="127">
        <v>46035</v>
      </c>
      <c r="B6032" s="24" t="s">
        <v>205</v>
      </c>
      <c r="C6032" s="21">
        <f t="shared" si="111"/>
        <v>-1719.4849999999999</v>
      </c>
      <c r="AR6032" s="106">
        <v>-56.18</v>
      </c>
      <c r="AW6032" s="106">
        <v>-92.52</v>
      </c>
      <c r="BC6032" s="106">
        <v>-108.325</v>
      </c>
      <c r="BI6032" s="106">
        <v>-162.745</v>
      </c>
      <c r="BO6032" s="106">
        <v>-174.39500000000001</v>
      </c>
      <c r="BU6032" s="106">
        <v>-62.185000000000002</v>
      </c>
      <c r="CA6032" s="106">
        <v>-132.595</v>
      </c>
      <c r="CG6032" s="106">
        <v>-129.85</v>
      </c>
      <c r="CM6032" s="106">
        <v>-132.92500000000001</v>
      </c>
      <c r="CS6032" s="74">
        <v>-106.18</v>
      </c>
      <c r="CY6032" s="106">
        <v>-132.035</v>
      </c>
      <c r="DK6032" s="106">
        <v>-135.31</v>
      </c>
      <c r="DP6032" s="74">
        <v>-70.284999999999997</v>
      </c>
      <c r="DU6032" s="106">
        <v>-120.58</v>
      </c>
      <c r="EA6032" s="74">
        <v>-68.674999999999997</v>
      </c>
      <c r="EG6032" s="74">
        <v>-34.700000000000003</v>
      </c>
    </row>
    <row r="6033" spans="1:131" x14ac:dyDescent="0.25">
      <c r="A6033" s="127">
        <v>46035</v>
      </c>
      <c r="B6033" s="24" t="s">
        <v>152</v>
      </c>
      <c r="C6033" s="21">
        <f t="shared" si="111"/>
        <v>-132.46</v>
      </c>
      <c r="AW6033" s="106">
        <v>-32.795000000000002</v>
      </c>
      <c r="CG6033" s="106">
        <v>-32.11</v>
      </c>
      <c r="DU6033" s="106">
        <v>-33.384999999999998</v>
      </c>
      <c r="EA6033" s="74">
        <v>-34.17</v>
      </c>
    </row>
    <row r="6034" spans="1:131" x14ac:dyDescent="0.25">
      <c r="A6034" s="127">
        <v>46035</v>
      </c>
      <c r="B6034" s="24" t="s">
        <v>133</v>
      </c>
      <c r="C6034" s="21">
        <f t="shared" si="111"/>
        <v>-63.15</v>
      </c>
      <c r="BC6034" s="106">
        <v>-30.02</v>
      </c>
      <c r="CA6034" s="106">
        <v>-33.130000000000003</v>
      </c>
    </row>
    <row r="6035" spans="1:131" x14ac:dyDescent="0.25">
      <c r="A6035" s="127">
        <v>46035</v>
      </c>
      <c r="B6035" s="24" t="s">
        <v>184</v>
      </c>
      <c r="C6035" s="21">
        <f t="shared" si="111"/>
        <v>-95.21</v>
      </c>
      <c r="BU6035" s="106">
        <v>-31.62</v>
      </c>
      <c r="DP6035" s="74">
        <v>-34.924999999999997</v>
      </c>
      <c r="DU6035" s="106">
        <v>-28.664999999999999</v>
      </c>
    </row>
    <row r="6036" spans="1:131" x14ac:dyDescent="0.25">
      <c r="A6036" s="127">
        <v>46035</v>
      </c>
      <c r="B6036" s="24" t="s">
        <v>225</v>
      </c>
      <c r="C6036" s="21">
        <f t="shared" si="111"/>
        <v>-8.49</v>
      </c>
      <c r="V6036" s="74">
        <v>-8.49</v>
      </c>
    </row>
    <row r="6037" spans="1:131" x14ac:dyDescent="0.25">
      <c r="A6037" s="127">
        <v>46035</v>
      </c>
      <c r="B6037" s="24" t="s">
        <v>192</v>
      </c>
      <c r="C6037" s="21">
        <f t="shared" si="111"/>
        <v>-8.5399999999999991</v>
      </c>
      <c r="BN6037" s="69">
        <v>-8.5399999999999991</v>
      </c>
    </row>
    <row r="6038" spans="1:131" x14ac:dyDescent="0.25">
      <c r="A6038" s="127">
        <v>46035</v>
      </c>
      <c r="B6038" s="24" t="s">
        <v>184</v>
      </c>
      <c r="C6038" s="21">
        <f t="shared" si="111"/>
        <v>-32.04</v>
      </c>
      <c r="BC6038" s="106">
        <v>-15.41</v>
      </c>
      <c r="EA6038" s="74">
        <v>-16.63</v>
      </c>
    </row>
    <row r="6039" spans="1:131" x14ac:dyDescent="0.25">
      <c r="A6039" s="127">
        <v>46036</v>
      </c>
      <c r="B6039" s="24" t="s">
        <v>20</v>
      </c>
      <c r="C6039" s="21">
        <f t="shared" si="111"/>
        <v>-15.12</v>
      </c>
      <c r="BC6039" s="106">
        <v>-7.69</v>
      </c>
      <c r="BH6039" s="69">
        <v>-7.43</v>
      </c>
    </row>
    <row r="6040" spans="1:131" x14ac:dyDescent="0.25">
      <c r="A6040" s="127">
        <v>46036</v>
      </c>
      <c r="B6040" s="24" t="s">
        <v>68</v>
      </c>
      <c r="C6040" s="21">
        <f t="shared" si="111"/>
        <v>-33.19</v>
      </c>
      <c r="AM6040" s="69">
        <v>-8.43</v>
      </c>
      <c r="AQ6040" s="69">
        <v>-8.42</v>
      </c>
      <c r="AW6040" s="106">
        <v>-8.3949999999999996</v>
      </c>
      <c r="BC6040" s="106">
        <v>-7.9450000000000003</v>
      </c>
    </row>
    <row r="6041" spans="1:131" x14ac:dyDescent="0.25">
      <c r="A6041" s="127">
        <v>46036</v>
      </c>
      <c r="B6041" s="24" t="s">
        <v>17</v>
      </c>
      <c r="C6041" s="21">
        <f t="shared" si="111"/>
        <v>-32.215000000000003</v>
      </c>
      <c r="AW6041" s="106">
        <v>-7.95</v>
      </c>
      <c r="BU6041" s="106">
        <v>-15.95</v>
      </c>
      <c r="CG6041" s="106">
        <v>-8.3149999999999995</v>
      </c>
    </row>
    <row r="6042" spans="1:131" x14ac:dyDescent="0.25">
      <c r="A6042" s="127">
        <v>46036</v>
      </c>
      <c r="B6042" s="24" t="s">
        <v>218</v>
      </c>
      <c r="C6042" s="21">
        <f t="shared" si="111"/>
        <v>-48.125</v>
      </c>
      <c r="AM6042" s="69">
        <v>-8.4499999999999993</v>
      </c>
      <c r="BU6042" s="106">
        <f>-7.305-7.89</f>
        <v>-15.195</v>
      </c>
      <c r="CF6042" s="69">
        <v>-8.4499999999999993</v>
      </c>
      <c r="CY6042" s="106">
        <f>-7.79-8.24</f>
        <v>-16.03</v>
      </c>
    </row>
    <row r="6043" spans="1:131" x14ac:dyDescent="0.25">
      <c r="A6043" s="127">
        <v>46036</v>
      </c>
      <c r="B6043" s="24" t="s">
        <v>171</v>
      </c>
      <c r="C6043" s="21">
        <f t="shared" si="111"/>
        <v>-8.57</v>
      </c>
      <c r="CM6043" s="106">
        <v>-8.57</v>
      </c>
    </row>
    <row r="6044" spans="1:131" x14ac:dyDescent="0.25">
      <c r="A6044" s="127">
        <v>46037</v>
      </c>
      <c r="B6044" s="24" t="s">
        <v>24</v>
      </c>
      <c r="C6044" s="21">
        <f t="shared" si="111"/>
        <v>-17.75</v>
      </c>
      <c r="BU6044" s="106">
        <v>-9.76</v>
      </c>
      <c r="CY6044" s="106">
        <v>-7.99</v>
      </c>
    </row>
    <row r="6045" spans="1:131" x14ac:dyDescent="0.25">
      <c r="A6045" s="127">
        <v>46037</v>
      </c>
      <c r="B6045" s="24" t="s">
        <v>48</v>
      </c>
      <c r="C6045" s="21">
        <f t="shared" si="111"/>
        <v>-0.185</v>
      </c>
      <c r="BU6045" s="106">
        <v>-8.125</v>
      </c>
      <c r="BZ6045" s="69">
        <v>16.829999999999998</v>
      </c>
      <c r="DM6045" s="46">
        <v>-8.89</v>
      </c>
    </row>
    <row r="6046" spans="1:131" x14ac:dyDescent="0.25">
      <c r="A6046" s="127">
        <v>46038</v>
      </c>
      <c r="B6046" s="24" t="s">
        <v>138</v>
      </c>
      <c r="C6046" s="21">
        <f t="shared" si="111"/>
        <v>-25.265000000000001</v>
      </c>
      <c r="BU6046" s="106">
        <v>-8.4350000000000005</v>
      </c>
      <c r="BZ6046" s="69">
        <v>-16.829999999999998</v>
      </c>
    </row>
    <row r="6047" spans="1:131" x14ac:dyDescent="0.25">
      <c r="A6047" s="127">
        <v>46038</v>
      </c>
      <c r="B6047" s="24" t="s">
        <v>171</v>
      </c>
      <c r="C6047" s="21">
        <f t="shared" si="111"/>
        <v>-9.23</v>
      </c>
      <c r="BU6047" s="106">
        <v>-9.23</v>
      </c>
    </row>
    <row r="6048" spans="1:131" x14ac:dyDescent="0.25">
      <c r="A6048" s="127">
        <v>46041</v>
      </c>
      <c r="B6048" s="24" t="s">
        <v>133</v>
      </c>
      <c r="C6048" s="21">
        <f t="shared" si="111"/>
        <v>-130.905</v>
      </c>
      <c r="DP6048" s="74">
        <v>-62.51</v>
      </c>
      <c r="DU6048" s="106">
        <v>-68.394999999999996</v>
      </c>
    </row>
    <row r="6049" spans="1:208" x14ac:dyDescent="0.25">
      <c r="A6049" s="127">
        <v>46041</v>
      </c>
      <c r="B6049" s="24" t="s">
        <v>133</v>
      </c>
      <c r="C6049" s="21">
        <f t="shared" si="111"/>
        <v>-25.72</v>
      </c>
      <c r="DW6049" s="126">
        <v>-25.72</v>
      </c>
    </row>
    <row r="6050" spans="1:208" x14ac:dyDescent="0.25">
      <c r="A6050" s="127">
        <v>46042</v>
      </c>
      <c r="B6050" s="24" t="s">
        <v>113</v>
      </c>
      <c r="C6050" s="21">
        <f t="shared" si="111"/>
        <v>496.94499999999999</v>
      </c>
      <c r="AN6050" s="106">
        <v>32.159999999999997</v>
      </c>
      <c r="AR6050" s="106">
        <v>35.61</v>
      </c>
      <c r="AW6050" s="106">
        <v>33.555</v>
      </c>
      <c r="BI6050" s="106">
        <v>98.29</v>
      </c>
      <c r="BO6050" s="106">
        <v>67.825000000000003</v>
      </c>
      <c r="BU6050" s="106">
        <v>32.375</v>
      </c>
      <c r="CA6050" s="106">
        <v>97.99</v>
      </c>
      <c r="CG6050" s="106">
        <v>64.62</v>
      </c>
      <c r="CS6050" s="74">
        <v>34.520000000000003</v>
      </c>
    </row>
    <row r="6051" spans="1:208" x14ac:dyDescent="0.25">
      <c r="A6051" s="127">
        <v>46042</v>
      </c>
      <c r="B6051" s="24" t="s">
        <v>113</v>
      </c>
      <c r="C6051" s="21">
        <f t="shared" si="111"/>
        <v>110.145</v>
      </c>
      <c r="BC6051" s="106">
        <v>41.75</v>
      </c>
      <c r="DU6051" s="106">
        <v>68.394999999999996</v>
      </c>
    </row>
    <row r="6052" spans="1:208" x14ac:dyDescent="0.25">
      <c r="A6052" s="127">
        <v>46042</v>
      </c>
      <c r="B6052" s="24" t="s">
        <v>238</v>
      </c>
      <c r="C6052" s="21">
        <f t="shared" si="111"/>
        <v>-19.684999999999999</v>
      </c>
      <c r="GZ6052" s="106">
        <v>-19.684999999999999</v>
      </c>
    </row>
    <row r="6053" spans="1:208" x14ac:dyDescent="0.25">
      <c r="A6053" s="127">
        <v>46042</v>
      </c>
      <c r="B6053" s="24" t="s">
        <v>184</v>
      </c>
      <c r="C6053" s="21">
        <f t="shared" si="111"/>
        <v>-8.89</v>
      </c>
      <c r="AR6053" s="106">
        <v>-8.89</v>
      </c>
    </row>
    <row r="6054" spans="1:208" x14ac:dyDescent="0.25">
      <c r="A6054" s="127">
        <v>46042</v>
      </c>
      <c r="B6054" s="24" t="s">
        <v>188</v>
      </c>
      <c r="C6054" s="21">
        <f t="shared" ref="C6054:C6120" si="113">SUM(D6054:JT6054)</f>
        <v>-25.17</v>
      </c>
      <c r="BO6054" s="106">
        <v>-8.6150000000000002</v>
      </c>
      <c r="BU6054" s="106">
        <v>-8.1549999999999994</v>
      </c>
      <c r="CA6054" s="106">
        <v>-8.4</v>
      </c>
    </row>
    <row r="6055" spans="1:208" x14ac:dyDescent="0.25">
      <c r="A6055" s="127">
        <v>46042</v>
      </c>
      <c r="B6055" s="24" t="s">
        <v>138</v>
      </c>
      <c r="C6055" s="21">
        <f t="shared" si="113"/>
        <v>-23.065000000000001</v>
      </c>
      <c r="BC6055" s="106">
        <v>-6.8049999999999997</v>
      </c>
      <c r="BI6055" s="106">
        <v>-8.2149999999999999</v>
      </c>
      <c r="CA6055" s="106">
        <v>-8.0449999999999999</v>
      </c>
    </row>
    <row r="6056" spans="1:208" x14ac:dyDescent="0.25">
      <c r="A6056" s="127">
        <v>46042</v>
      </c>
      <c r="B6056" s="24" t="s">
        <v>224</v>
      </c>
      <c r="C6056" s="21">
        <f t="shared" si="113"/>
        <v>-16.254999999999999</v>
      </c>
      <c r="AW6056" s="106">
        <v>-9.4450000000000003</v>
      </c>
      <c r="BC6056" s="106">
        <v>-6.81</v>
      </c>
    </row>
    <row r="6057" spans="1:208" x14ac:dyDescent="0.25">
      <c r="A6057" s="127">
        <v>46042</v>
      </c>
      <c r="B6057" s="24" t="s">
        <v>17</v>
      </c>
      <c r="C6057" s="21">
        <f t="shared" si="113"/>
        <v>-31.905000000000001</v>
      </c>
      <c r="AN6057" s="106">
        <v>-8.2200000000000006</v>
      </c>
      <c r="AR6057" s="106">
        <v>-8.85</v>
      </c>
      <c r="AW6057" s="106">
        <v>-8.0399999999999991</v>
      </c>
      <c r="BC6057" s="106">
        <v>-6.7949999999999999</v>
      </c>
    </row>
    <row r="6058" spans="1:208" x14ac:dyDescent="0.25">
      <c r="A6058" s="127">
        <v>46042</v>
      </c>
      <c r="B6058" s="24" t="s">
        <v>20</v>
      </c>
      <c r="C6058" s="21">
        <f t="shared" si="113"/>
        <v>-25.42</v>
      </c>
      <c r="AR6058" s="106">
        <v>-0.5</v>
      </c>
      <c r="BI6058" s="106">
        <v>-8.2050000000000001</v>
      </c>
      <c r="BO6058" s="106">
        <v>-8.68</v>
      </c>
      <c r="CA6058" s="106">
        <v>-8.0350000000000001</v>
      </c>
    </row>
    <row r="6059" spans="1:208" x14ac:dyDescent="0.25">
      <c r="A6059" s="127">
        <v>46042</v>
      </c>
      <c r="B6059" s="24" t="s">
        <v>39</v>
      </c>
      <c r="C6059" s="21">
        <f t="shared" si="113"/>
        <v>-32.200000000000003</v>
      </c>
      <c r="AW6059" s="106">
        <v>-8.08</v>
      </c>
      <c r="BC6059" s="106">
        <v>-7.7450000000000001</v>
      </c>
      <c r="BI6059" s="106">
        <v>-8.2249999999999996</v>
      </c>
      <c r="BU6059" s="106">
        <v>-8.15</v>
      </c>
    </row>
    <row r="6060" spans="1:208" x14ac:dyDescent="0.25">
      <c r="A6060" s="127">
        <v>46042</v>
      </c>
      <c r="B6060" s="24" t="s">
        <v>133</v>
      </c>
      <c r="C6060" s="21">
        <f t="shared" si="113"/>
        <v>-123.08499999999999</v>
      </c>
      <c r="BI6060" s="106">
        <v>-32.594999999999999</v>
      </c>
      <c r="BO6060" s="106">
        <v>-24.15</v>
      </c>
      <c r="BU6060" s="106">
        <v>-8.17</v>
      </c>
      <c r="CG6060" s="106">
        <v>-32.25</v>
      </c>
      <c r="CS6060" s="74">
        <v>-25.92</v>
      </c>
    </row>
    <row r="6061" spans="1:208" x14ac:dyDescent="0.25">
      <c r="A6061" s="127">
        <v>46042</v>
      </c>
      <c r="B6061" s="24" t="s">
        <v>213</v>
      </c>
      <c r="C6061" s="21">
        <f t="shared" si="113"/>
        <v>-99.415000000000006</v>
      </c>
      <c r="AN6061" s="106">
        <v>-6.7649999999999997</v>
      </c>
      <c r="AW6061" s="106">
        <v>-7.99</v>
      </c>
      <c r="BO6061" s="106">
        <v>-17.75</v>
      </c>
      <c r="CG6061" s="106">
        <v>-32.369999999999997</v>
      </c>
      <c r="CM6061" s="106">
        <v>-25.94</v>
      </c>
      <c r="CS6061" s="74">
        <v>-8.6</v>
      </c>
    </row>
    <row r="6062" spans="1:208" x14ac:dyDescent="0.25">
      <c r="A6062" s="127">
        <v>46042</v>
      </c>
      <c r="B6062" s="24" t="s">
        <v>213</v>
      </c>
      <c r="C6062" s="21">
        <f t="shared" si="113"/>
        <v>-65.064999999999998</v>
      </c>
      <c r="BI6062" s="106">
        <v>-32.844999999999999</v>
      </c>
      <c r="CA6062" s="106">
        <v>-32.22</v>
      </c>
    </row>
    <row r="6063" spans="1:208" x14ac:dyDescent="0.25">
      <c r="A6063" s="127">
        <v>46042</v>
      </c>
      <c r="B6063" s="24" t="s">
        <v>184</v>
      </c>
      <c r="C6063" s="21">
        <f t="shared" si="113"/>
        <v>-32.69</v>
      </c>
      <c r="AR6063" s="106">
        <v>-17.87</v>
      </c>
      <c r="BC6063" s="106">
        <v>-6.79</v>
      </c>
      <c r="CA6063" s="106">
        <v>-8.0299999999999994</v>
      </c>
    </row>
    <row r="6064" spans="1:208" x14ac:dyDescent="0.25">
      <c r="A6064" s="127">
        <v>46042</v>
      </c>
      <c r="B6064" s="24" t="s">
        <v>193</v>
      </c>
      <c r="C6064" s="21">
        <f t="shared" si="113"/>
        <v>-8.7449999999999992</v>
      </c>
      <c r="CM6064" s="106">
        <v>-8.7449999999999992</v>
      </c>
    </row>
    <row r="6065" spans="1:248" x14ac:dyDescent="0.25">
      <c r="A6065" s="127">
        <v>46042</v>
      </c>
      <c r="B6065" s="24" t="s">
        <v>68</v>
      </c>
      <c r="C6065" s="21">
        <f t="shared" si="113"/>
        <v>-31.71</v>
      </c>
      <c r="BC6065" s="106">
        <v>-6.8049999999999997</v>
      </c>
      <c r="BI6065" s="106">
        <v>-8.2050000000000001</v>
      </c>
      <c r="BO6065" s="106">
        <v>-8.6300000000000008</v>
      </c>
      <c r="CA6065" s="106">
        <v>-8.07</v>
      </c>
    </row>
    <row r="6066" spans="1:248" x14ac:dyDescent="0.25">
      <c r="A6066" s="127">
        <v>46043</v>
      </c>
      <c r="B6066" s="24" t="s">
        <v>218</v>
      </c>
      <c r="C6066" s="21">
        <f t="shared" si="113"/>
        <v>-15.67</v>
      </c>
      <c r="CA6066" s="106">
        <v>-8.4149999999999991</v>
      </c>
      <c r="CM6066" s="106">
        <v>-7.2549999999999999</v>
      </c>
    </row>
    <row r="6067" spans="1:248" x14ac:dyDescent="0.25">
      <c r="A6067" s="127">
        <v>46043</v>
      </c>
      <c r="B6067" s="24" t="s">
        <v>127</v>
      </c>
      <c r="C6067" s="21">
        <f t="shared" si="113"/>
        <v>-14.61</v>
      </c>
      <c r="AG6067" s="106">
        <v>-6.71</v>
      </c>
      <c r="BU6067" s="106">
        <v>-7.9</v>
      </c>
    </row>
    <row r="6068" spans="1:248" x14ac:dyDescent="0.25">
      <c r="A6068" s="127">
        <v>46043</v>
      </c>
      <c r="B6068" s="24" t="s">
        <v>48</v>
      </c>
      <c r="C6068" s="21">
        <f t="shared" si="113"/>
        <v>-13.65</v>
      </c>
      <c r="FH6068" s="46">
        <v>-13.65</v>
      </c>
    </row>
    <row r="6069" spans="1:248" x14ac:dyDescent="0.25">
      <c r="A6069" s="127">
        <v>46043</v>
      </c>
      <c r="B6069" s="24" t="s">
        <v>44</v>
      </c>
      <c r="C6069" s="21">
        <f t="shared" si="113"/>
        <v>-250.16</v>
      </c>
      <c r="M6069" s="92">
        <v>-47.78</v>
      </c>
      <c r="GO6069" s="110">
        <f>-81.64-29.39</f>
        <v>-111.03</v>
      </c>
      <c r="IN6069" s="42">
        <v>-91.35</v>
      </c>
    </row>
    <row r="6070" spans="1:248" x14ac:dyDescent="0.25">
      <c r="A6070" s="127">
        <v>46044</v>
      </c>
      <c r="B6070" s="24" t="s">
        <v>127</v>
      </c>
      <c r="C6070" s="21">
        <f t="shared" si="113"/>
        <v>-8.2550000000000008</v>
      </c>
      <c r="V6070" s="74">
        <v>-8.2550000000000008</v>
      </c>
    </row>
    <row r="6071" spans="1:248" x14ac:dyDescent="0.25">
      <c r="A6071" s="127">
        <v>46044</v>
      </c>
      <c r="B6071" s="24" t="s">
        <v>197</v>
      </c>
      <c r="C6071" s="21">
        <f t="shared" si="113"/>
        <v>-32.869999999999997</v>
      </c>
      <c r="BU6071" s="106">
        <v>-15.78</v>
      </c>
      <c r="CA6071" s="106">
        <v>-8.75</v>
      </c>
      <c r="CG6071" s="106">
        <v>-8.34</v>
      </c>
    </row>
    <row r="6072" spans="1:248" x14ac:dyDescent="0.25">
      <c r="A6072" s="127">
        <v>46044</v>
      </c>
      <c r="B6072" s="24" t="s">
        <v>225</v>
      </c>
      <c r="C6072" s="21">
        <f t="shared" si="113"/>
        <v>-33.58</v>
      </c>
      <c r="V6072" s="74">
        <v>-8.8550000000000004</v>
      </c>
      <c r="BU6072" s="106">
        <v>-16.350000000000001</v>
      </c>
      <c r="CA6072" s="106">
        <v>-8.375</v>
      </c>
    </row>
    <row r="6073" spans="1:248" x14ac:dyDescent="0.25">
      <c r="A6073" s="127">
        <v>46046</v>
      </c>
      <c r="B6073" s="24" t="s">
        <v>113</v>
      </c>
      <c r="C6073" s="21">
        <f t="shared" si="113"/>
        <v>898.07</v>
      </c>
      <c r="AR6073" s="106">
        <v>68.334999999999994</v>
      </c>
      <c r="AW6073" s="106">
        <f>31.705+32.74</f>
        <v>64.444999999999993</v>
      </c>
      <c r="BC6073" s="106">
        <v>112.47</v>
      </c>
      <c r="BI6073" s="106">
        <v>65.665000000000006</v>
      </c>
      <c r="BO6073" s="106">
        <v>104.30500000000001</v>
      </c>
      <c r="BU6073" s="106">
        <v>65.674999999999997</v>
      </c>
      <c r="CA6073" s="106">
        <v>79.444999999999993</v>
      </c>
      <c r="CG6073" s="106">
        <v>96.875</v>
      </c>
      <c r="CS6073" s="74">
        <v>32.39</v>
      </c>
      <c r="CY6073" s="106">
        <v>35.119999999999997</v>
      </c>
      <c r="DE6073" s="74">
        <v>35.585000000000001</v>
      </c>
      <c r="DK6073" s="106">
        <v>34.520000000000003</v>
      </c>
      <c r="EA6073" s="74">
        <v>70.040000000000006</v>
      </c>
      <c r="GQ6073" s="92">
        <v>33.200000000000003</v>
      </c>
    </row>
    <row r="6074" spans="1:248" x14ac:dyDescent="0.25">
      <c r="A6074" s="127">
        <v>46046</v>
      </c>
      <c r="B6074" s="24" t="s">
        <v>113</v>
      </c>
      <c r="C6074" s="21">
        <f t="shared" si="113"/>
        <v>81.41</v>
      </c>
      <c r="BU6074" s="106">
        <v>81.41</v>
      </c>
    </row>
    <row r="6075" spans="1:248" x14ac:dyDescent="0.25">
      <c r="A6075" s="127">
        <v>46046</v>
      </c>
      <c r="B6075" s="24" t="s">
        <v>183</v>
      </c>
      <c r="C6075" s="21">
        <f t="shared" si="113"/>
        <v>-73.06</v>
      </c>
      <c r="CS6075" s="74">
        <v>-17.305</v>
      </c>
      <c r="CY6075" s="106">
        <v>-55.755000000000003</v>
      </c>
    </row>
    <row r="6076" spans="1:248" x14ac:dyDescent="0.25">
      <c r="A6076" s="127">
        <v>46046</v>
      </c>
      <c r="B6076" s="24" t="s">
        <v>192</v>
      </c>
      <c r="C6076" s="21">
        <f t="shared" si="113"/>
        <v>-16.3</v>
      </c>
      <c r="BU6076" s="106">
        <v>-16.3</v>
      </c>
    </row>
    <row r="6077" spans="1:248" x14ac:dyDescent="0.25">
      <c r="A6077" s="127">
        <v>46048</v>
      </c>
      <c r="B6077" s="24" t="s">
        <v>239</v>
      </c>
      <c r="C6077" s="21">
        <f t="shared" si="113"/>
        <v>287.19</v>
      </c>
      <c r="BR6077" s="182">
        <f>80.045+53.4+20.255+133.49</f>
        <v>287.19</v>
      </c>
    </row>
    <row r="6078" spans="1:248" x14ac:dyDescent="0.25">
      <c r="A6078" s="127">
        <v>46048</v>
      </c>
      <c r="B6078" s="24" t="s">
        <v>202</v>
      </c>
      <c r="C6078" s="21">
        <f t="shared" si="113"/>
        <v>-18.41</v>
      </c>
      <c r="E6078" s="386">
        <v>-18.41</v>
      </c>
    </row>
    <row r="6079" spans="1:248" x14ac:dyDescent="0.25">
      <c r="A6079" s="127">
        <v>46048</v>
      </c>
      <c r="B6079" s="24" t="s">
        <v>44</v>
      </c>
      <c r="C6079" s="21">
        <f t="shared" si="113"/>
        <v>-82.71</v>
      </c>
      <c r="M6079" s="92">
        <v>-0.15</v>
      </c>
      <c r="BU6079" s="106">
        <v>-49.36</v>
      </c>
      <c r="GQ6079" s="92">
        <v>-33.200000000000003</v>
      </c>
    </row>
    <row r="6080" spans="1:248" x14ac:dyDescent="0.25">
      <c r="A6080" s="127">
        <v>46048</v>
      </c>
      <c r="B6080" s="24" t="s">
        <v>184</v>
      </c>
      <c r="C6080" s="21">
        <f t="shared" si="113"/>
        <v>-457.185</v>
      </c>
      <c r="AR6080" s="106">
        <v>-34.585000000000001</v>
      </c>
      <c r="AW6080" s="106">
        <v>-31.725000000000001</v>
      </c>
      <c r="BC6080" s="106">
        <v>-48.15</v>
      </c>
      <c r="BI6080" s="106">
        <v>-32.799999999999997</v>
      </c>
      <c r="BO6080" s="106">
        <v>-25.96</v>
      </c>
      <c r="CA6080" s="106">
        <v>-63.314999999999998</v>
      </c>
      <c r="CG6080" s="106">
        <v>-64.644999999999996</v>
      </c>
      <c r="CM6080" s="106">
        <v>-33.450000000000003</v>
      </c>
      <c r="CS6080" s="74">
        <v>-8.58</v>
      </c>
      <c r="CY6080" s="106">
        <v>-26.405000000000001</v>
      </c>
      <c r="DE6080" s="74">
        <v>-35.085000000000001</v>
      </c>
      <c r="DK6080" s="106">
        <v>-17.254999999999999</v>
      </c>
      <c r="EA6080" s="74">
        <v>-35.229999999999997</v>
      </c>
    </row>
    <row r="6081" spans="1:137" x14ac:dyDescent="0.25">
      <c r="A6081" s="127">
        <v>46048</v>
      </c>
      <c r="B6081" s="24" t="s">
        <v>184</v>
      </c>
      <c r="C6081" s="21">
        <f t="shared" si="113"/>
        <v>-80.045000000000002</v>
      </c>
      <c r="BR6081" s="182">
        <v>-80.045000000000002</v>
      </c>
    </row>
    <row r="6082" spans="1:137" x14ac:dyDescent="0.25">
      <c r="A6082" s="127">
        <v>46048</v>
      </c>
      <c r="B6082" s="24" t="s">
        <v>133</v>
      </c>
      <c r="C6082" s="21">
        <f t="shared" si="113"/>
        <v>-53.4</v>
      </c>
      <c r="BR6082" s="182">
        <v>-53.4</v>
      </c>
    </row>
    <row r="6083" spans="1:137" x14ac:dyDescent="0.25">
      <c r="A6083" s="127">
        <v>46048</v>
      </c>
      <c r="B6083" s="24" t="s">
        <v>225</v>
      </c>
      <c r="C6083" s="21">
        <f t="shared" si="113"/>
        <v>-66.825000000000003</v>
      </c>
      <c r="AW6083" s="106">
        <v>-16.7</v>
      </c>
      <c r="BC6083" s="106">
        <v>-16.425000000000001</v>
      </c>
      <c r="BI6083" s="106">
        <v>-16.43</v>
      </c>
      <c r="BO6083" s="106">
        <v>-17.27</v>
      </c>
    </row>
    <row r="6084" spans="1:137" x14ac:dyDescent="0.25">
      <c r="A6084" s="127">
        <v>46048</v>
      </c>
      <c r="B6084" s="24" t="s">
        <v>197</v>
      </c>
      <c r="C6084" s="21">
        <f t="shared" si="113"/>
        <v>-39.625</v>
      </c>
      <c r="BI6084" s="106">
        <v>-16.434999999999999</v>
      </c>
      <c r="BO6084" s="106">
        <v>-8.65</v>
      </c>
      <c r="CG6084" s="106">
        <v>-8.0350000000000001</v>
      </c>
      <c r="CS6084" s="74">
        <v>-6.5049999999999999</v>
      </c>
    </row>
    <row r="6085" spans="1:137" x14ac:dyDescent="0.25">
      <c r="A6085" s="127">
        <v>46048</v>
      </c>
      <c r="B6085" s="24" t="s">
        <v>192</v>
      </c>
      <c r="C6085" s="21">
        <f t="shared" si="113"/>
        <v>-8.0449999999999999</v>
      </c>
      <c r="CA6085" s="106">
        <v>-8.0449999999999999</v>
      </c>
    </row>
    <row r="6086" spans="1:137" x14ac:dyDescent="0.25">
      <c r="A6086" s="127">
        <v>46048</v>
      </c>
      <c r="B6086" s="24" t="s">
        <v>133</v>
      </c>
      <c r="C6086" s="21">
        <f t="shared" si="113"/>
        <v>-99.27</v>
      </c>
      <c r="AW6086" s="106">
        <v>-16.02</v>
      </c>
      <c r="BC6086" s="106">
        <v>-16.215</v>
      </c>
      <c r="BU6086" s="106">
        <v>-16.335000000000001</v>
      </c>
      <c r="CG6086" s="106">
        <v>-16.11</v>
      </c>
      <c r="CM6086" s="106">
        <v>-25.875</v>
      </c>
      <c r="CY6086" s="106">
        <v>-8.7149999999999999</v>
      </c>
    </row>
    <row r="6087" spans="1:137" x14ac:dyDescent="0.25">
      <c r="A6087" s="127">
        <v>46048</v>
      </c>
      <c r="B6087" s="24" t="s">
        <v>213</v>
      </c>
      <c r="C6087" s="21">
        <f t="shared" si="113"/>
        <v>-34.29</v>
      </c>
      <c r="BO6087" s="106">
        <v>-17.975000000000001</v>
      </c>
      <c r="BU6087" s="106">
        <v>-16.315000000000001</v>
      </c>
    </row>
    <row r="6088" spans="1:137" x14ac:dyDescent="0.25">
      <c r="A6088" s="127">
        <v>46048</v>
      </c>
      <c r="B6088" s="24" t="s">
        <v>218</v>
      </c>
      <c r="C6088" s="21">
        <f t="shared" si="113"/>
        <v>-61.305</v>
      </c>
      <c r="AM6088" s="69">
        <v>-8.4499999999999993</v>
      </c>
      <c r="AN6088" s="106">
        <v>-9.0449999999999999</v>
      </c>
      <c r="AR6088" s="106">
        <f>-6.455-9.225</f>
        <v>-15.68</v>
      </c>
      <c r="BC6088" s="106">
        <v>-7.875</v>
      </c>
      <c r="BR6088" s="182">
        <f>-6.845-6.7-6.71</f>
        <v>-20.254999999999999</v>
      </c>
    </row>
    <row r="6089" spans="1:137" x14ac:dyDescent="0.25">
      <c r="A6089" s="127">
        <v>46048</v>
      </c>
      <c r="B6089" s="24" t="s">
        <v>50</v>
      </c>
      <c r="C6089" s="21">
        <f t="shared" si="113"/>
        <v>-16.649999999999999</v>
      </c>
      <c r="DP6089" s="74">
        <v>-8.34</v>
      </c>
      <c r="DR6089" s="46">
        <v>-8.31</v>
      </c>
    </row>
    <row r="6090" spans="1:137" x14ac:dyDescent="0.25">
      <c r="A6090" s="127">
        <v>46049</v>
      </c>
      <c r="B6090" s="24" t="s">
        <v>20</v>
      </c>
      <c r="C6090" s="21">
        <f t="shared" si="113"/>
        <v>-16.114999999999998</v>
      </c>
      <c r="BC6090" s="106">
        <v>-7.9349999999999996</v>
      </c>
      <c r="BU6090" s="106">
        <v>-8.18</v>
      </c>
    </row>
    <row r="6091" spans="1:137" x14ac:dyDescent="0.25">
      <c r="A6091" s="127">
        <v>46049</v>
      </c>
      <c r="B6091" s="24" t="s">
        <v>138</v>
      </c>
      <c r="C6091" s="21">
        <f t="shared" si="113"/>
        <v>-8.0850000000000009</v>
      </c>
      <c r="CG6091" s="106">
        <v>-8.0850000000000009</v>
      </c>
    </row>
    <row r="6092" spans="1:137" x14ac:dyDescent="0.25">
      <c r="A6092" s="127">
        <v>46050</v>
      </c>
      <c r="B6092" s="24" t="s">
        <v>113</v>
      </c>
      <c r="C6092" s="21">
        <f t="shared" si="113"/>
        <v>874.12</v>
      </c>
      <c r="AN6092" s="106">
        <v>99.47</v>
      </c>
      <c r="AR6092" s="106">
        <v>139.625</v>
      </c>
      <c r="AW6092" s="106">
        <v>65.03</v>
      </c>
      <c r="BC6092" s="106">
        <v>95.394999999999996</v>
      </c>
      <c r="CM6092" s="106">
        <v>98.515000000000001</v>
      </c>
      <c r="CS6092" s="74">
        <v>34.6</v>
      </c>
      <c r="CY6092" s="106">
        <v>35.375</v>
      </c>
      <c r="DE6092" s="74">
        <v>69.56</v>
      </c>
      <c r="DP6092" s="74">
        <v>35.6</v>
      </c>
      <c r="DU6092" s="106">
        <v>68.454999999999998</v>
      </c>
      <c r="EA6092" s="74">
        <f>106.64+25.855</f>
        <v>132.495</v>
      </c>
    </row>
    <row r="6093" spans="1:137" x14ac:dyDescent="0.25">
      <c r="A6093" s="127">
        <v>46050</v>
      </c>
      <c r="B6093" s="24" t="s">
        <v>113</v>
      </c>
      <c r="C6093" s="21">
        <f t="shared" si="113"/>
        <v>390.71499999999997</v>
      </c>
      <c r="EG6093" s="74">
        <v>390.71499999999997</v>
      </c>
    </row>
    <row r="6094" spans="1:137" x14ac:dyDescent="0.25">
      <c r="A6094" s="127">
        <v>46050</v>
      </c>
      <c r="B6094" s="24" t="s">
        <v>205</v>
      </c>
      <c r="C6094" s="21">
        <f t="shared" si="113"/>
        <v>-597.66</v>
      </c>
      <c r="V6094" s="74">
        <v>-34.32</v>
      </c>
      <c r="AN6094" s="106">
        <v>-99.47</v>
      </c>
      <c r="AR6094" s="106">
        <v>-103.96</v>
      </c>
      <c r="BC6094" s="106">
        <v>-62.79</v>
      </c>
      <c r="BO6094" s="106">
        <v>-17.295000000000002</v>
      </c>
      <c r="BR6094" s="182">
        <v>-120.12</v>
      </c>
      <c r="CS6094" s="74">
        <v>-25.95</v>
      </c>
      <c r="CY6094" s="106">
        <v>-35.375</v>
      </c>
      <c r="EG6094" s="74">
        <v>-98.38</v>
      </c>
    </row>
    <row r="6095" spans="1:137" x14ac:dyDescent="0.25">
      <c r="A6095" s="127">
        <v>46050</v>
      </c>
      <c r="B6095" s="24" t="s">
        <v>225</v>
      </c>
      <c r="C6095" s="21">
        <f t="shared" si="113"/>
        <v>-16.895</v>
      </c>
      <c r="CM6095" s="106">
        <v>-8.2449999999999992</v>
      </c>
      <c r="CS6095" s="74">
        <v>-8.65</v>
      </c>
    </row>
    <row r="6096" spans="1:137" x14ac:dyDescent="0.25">
      <c r="A6096" s="127">
        <v>46050</v>
      </c>
      <c r="B6096" s="24" t="s">
        <v>152</v>
      </c>
      <c r="C6096" s="21">
        <f t="shared" si="113"/>
        <v>-536.995</v>
      </c>
      <c r="AR6096" s="106">
        <v>-35.664999999999999</v>
      </c>
      <c r="AW6096" s="106">
        <v>-32.604999999999997</v>
      </c>
      <c r="BC6096" s="106">
        <v>-32.604999999999997</v>
      </c>
      <c r="BU6096" s="106">
        <v>-32.484999999999999</v>
      </c>
      <c r="CM6096" s="106">
        <v>-65.819999999999993</v>
      </c>
      <c r="DE6096" s="74">
        <v>-69.56</v>
      </c>
      <c r="DU6096" s="106">
        <v>-68.454999999999998</v>
      </c>
      <c r="EA6096" s="74">
        <v>-167.30500000000001</v>
      </c>
      <c r="EG6096" s="74">
        <v>-32.494999999999997</v>
      </c>
    </row>
    <row r="6097" spans="1:163" x14ac:dyDescent="0.25">
      <c r="A6097" s="127">
        <v>46050</v>
      </c>
      <c r="B6097" s="24" t="s">
        <v>33</v>
      </c>
      <c r="C6097" s="21">
        <f t="shared" si="113"/>
        <v>-22.805</v>
      </c>
      <c r="BU6097" s="106">
        <v>-9.2349999999999994</v>
      </c>
      <c r="CA6097" s="106">
        <v>-8.0850000000000009</v>
      </c>
      <c r="DP6097" s="74">
        <v>-5.4850000000000003</v>
      </c>
    </row>
    <row r="6098" spans="1:163" x14ac:dyDescent="0.25">
      <c r="A6098" s="127">
        <v>46050</v>
      </c>
      <c r="B6098" s="24" t="s">
        <v>20</v>
      </c>
      <c r="C6098" s="21">
        <f t="shared" si="113"/>
        <v>-8.15</v>
      </c>
      <c r="AW6098" s="106">
        <v>-8.15</v>
      </c>
    </row>
    <row r="6099" spans="1:163" x14ac:dyDescent="0.25">
      <c r="A6099" s="127">
        <v>46050</v>
      </c>
      <c r="B6099" s="24" t="s">
        <v>50</v>
      </c>
      <c r="C6099" s="21">
        <f t="shared" ref="C6099:C6105" si="114">SUM(D6099:JT6099)</f>
        <v>-35.6</v>
      </c>
      <c r="DP6099" s="74">
        <v>-35.6</v>
      </c>
    </row>
    <row r="6100" spans="1:163" x14ac:dyDescent="0.25">
      <c r="A6100" s="127">
        <v>46050</v>
      </c>
      <c r="B6100" s="24" t="s">
        <v>212</v>
      </c>
      <c r="C6100" s="21">
        <f t="shared" si="114"/>
        <v>-21.78</v>
      </c>
      <c r="BR6100" s="182">
        <v>-13.37</v>
      </c>
      <c r="BU6100" s="106">
        <v>-8.41</v>
      </c>
    </row>
    <row r="6101" spans="1:163" x14ac:dyDescent="0.25">
      <c r="A6101" s="127">
        <v>46050</v>
      </c>
      <c r="B6101" s="24" t="s">
        <v>213</v>
      </c>
      <c r="C6101" s="21">
        <f t="shared" si="114"/>
        <v>-26.19</v>
      </c>
      <c r="AR6101" s="106">
        <v>-9.4499999999999993</v>
      </c>
      <c r="BO6101" s="106">
        <v>-8.6300000000000008</v>
      </c>
      <c r="BU6101" s="106">
        <v>-8.11</v>
      </c>
    </row>
    <row r="6102" spans="1:163" x14ac:dyDescent="0.25">
      <c r="A6102" s="127">
        <v>46051</v>
      </c>
      <c r="B6102" s="24" t="s">
        <v>212</v>
      </c>
      <c r="C6102" s="21">
        <f t="shared" si="114"/>
        <v>-8.1199999999999992</v>
      </c>
      <c r="AW6102" s="106">
        <v>-8.1199999999999992</v>
      </c>
    </row>
    <row r="6103" spans="1:163" x14ac:dyDescent="0.25">
      <c r="A6103" s="127">
        <v>46051</v>
      </c>
      <c r="B6103" s="24" t="s">
        <v>169</v>
      </c>
      <c r="C6103" s="21">
        <f t="shared" si="114"/>
        <v>-32.880000000000003</v>
      </c>
      <c r="D6103" s="386">
        <v>-8.17</v>
      </c>
      <c r="F6103" s="145">
        <v>-24.71</v>
      </c>
    </row>
    <row r="6104" spans="1:163" x14ac:dyDescent="0.25">
      <c r="A6104" s="127">
        <v>46051</v>
      </c>
      <c r="B6104" s="24" t="s">
        <v>133</v>
      </c>
      <c r="C6104" s="21">
        <f t="shared" si="114"/>
        <v>-24.42</v>
      </c>
      <c r="FG6104" s="74">
        <v>-24.42</v>
      </c>
    </row>
    <row r="6105" spans="1:163" x14ac:dyDescent="0.25">
      <c r="A6105" s="127">
        <v>46052</v>
      </c>
      <c r="B6105" s="24" t="s">
        <v>138</v>
      </c>
      <c r="C6105" s="21">
        <f t="shared" si="114"/>
        <v>-8.25</v>
      </c>
      <c r="CM6105" s="106">
        <v>-8.25</v>
      </c>
    </row>
    <row r="6106" spans="1:163" x14ac:dyDescent="0.25">
      <c r="A6106" s="127">
        <v>46053</v>
      </c>
      <c r="B6106" s="24" t="s">
        <v>113</v>
      </c>
      <c r="C6106" s="21">
        <f t="shared" si="113"/>
        <v>485.245</v>
      </c>
      <c r="AN6106" s="106">
        <v>33.14</v>
      </c>
      <c r="AW6106" s="106">
        <v>94.86</v>
      </c>
      <c r="CM6106" s="106">
        <v>82.42</v>
      </c>
      <c r="CS6106" s="74">
        <v>68.05</v>
      </c>
      <c r="CY6106" s="106">
        <v>35.33</v>
      </c>
      <c r="DE6106" s="74">
        <v>34.869999999999997</v>
      </c>
      <c r="DK6106" s="106">
        <v>34.555</v>
      </c>
      <c r="DP6106" s="74">
        <v>35.335000000000001</v>
      </c>
      <c r="EA6106" s="74">
        <v>66.685000000000002</v>
      </c>
    </row>
    <row r="6107" spans="1:163" x14ac:dyDescent="0.25">
      <c r="A6107" s="127">
        <v>46053</v>
      </c>
      <c r="B6107" s="24" t="s">
        <v>192</v>
      </c>
      <c r="C6107" s="21">
        <f t="shared" si="113"/>
        <v>-16.05</v>
      </c>
      <c r="AW6107" s="106">
        <v>-8.0950000000000006</v>
      </c>
      <c r="BC6107" s="106">
        <v>-7.9550000000000001</v>
      </c>
    </row>
    <row r="6108" spans="1:163" x14ac:dyDescent="0.25">
      <c r="A6108" s="127">
        <v>46053</v>
      </c>
      <c r="B6108" s="24" t="s">
        <v>197</v>
      </c>
      <c r="C6108" s="21">
        <f t="shared" si="113"/>
        <v>-93</v>
      </c>
      <c r="AN6108" s="106">
        <v>-7.915</v>
      </c>
      <c r="AR6108" s="106">
        <v>-8.6199999999999992</v>
      </c>
      <c r="AW6108" s="106">
        <f>-8.045-8.145</f>
        <v>-16.190000000000001</v>
      </c>
      <c r="BC6108" s="106">
        <v>-7.915</v>
      </c>
      <c r="CS6108" s="74">
        <f>-8.645-8.67</f>
        <v>-17.315000000000001</v>
      </c>
      <c r="CY6108" s="106">
        <f>-8.8-8.805</f>
        <v>-17.605</v>
      </c>
      <c r="DE6108" s="74">
        <f>-8.785-8.655</f>
        <v>-17.440000000000001</v>
      </c>
    </row>
    <row r="6109" spans="1:163" x14ac:dyDescent="0.25">
      <c r="A6109" s="127">
        <v>46055</v>
      </c>
      <c r="B6109" s="24" t="s">
        <v>184</v>
      </c>
      <c r="C6109" s="21">
        <f t="shared" si="113"/>
        <v>-134.77000000000001</v>
      </c>
      <c r="AN6109" s="106">
        <v>-7.91</v>
      </c>
      <c r="CM6109" s="106">
        <f>-8.245-8.245-8.245</f>
        <v>-24.734999999999999</v>
      </c>
      <c r="CS6109" s="74">
        <v>-8.6649999999999991</v>
      </c>
      <c r="CY6109" s="106">
        <f>-8.86-8.865</f>
        <v>-17.725000000000001</v>
      </c>
      <c r="DE6109" s="74">
        <f>-8.715-8.715</f>
        <v>-17.43</v>
      </c>
      <c r="EA6109" s="74">
        <f>-33.235-8.36-8.325-8.385</f>
        <v>-58.305</v>
      </c>
    </row>
    <row r="6110" spans="1:163" x14ac:dyDescent="0.25">
      <c r="A6110" s="127">
        <v>46055</v>
      </c>
      <c r="B6110" s="24" t="s">
        <v>193</v>
      </c>
      <c r="C6110" s="21">
        <f t="shared" si="113"/>
        <v>-7.4050000000000002</v>
      </c>
      <c r="CS6110" s="74">
        <v>-7.4050000000000002</v>
      </c>
    </row>
    <row r="6111" spans="1:163" x14ac:dyDescent="0.25">
      <c r="A6111" s="127">
        <v>46056</v>
      </c>
      <c r="B6111" s="24" t="s">
        <v>17</v>
      </c>
      <c r="C6111" s="21">
        <f t="shared" si="113"/>
        <v>-8.5050000000000008</v>
      </c>
      <c r="BO6111" s="106">
        <v>-8.5050000000000008</v>
      </c>
    </row>
    <row r="6112" spans="1:163" x14ac:dyDescent="0.25">
      <c r="A6112" s="127">
        <v>46057</v>
      </c>
      <c r="B6112" s="24" t="s">
        <v>218</v>
      </c>
      <c r="C6112" s="21">
        <f t="shared" si="113"/>
        <v>-25.08</v>
      </c>
      <c r="AN6112" s="106">
        <v>-8.64</v>
      </c>
      <c r="AW6112" s="106">
        <v>-8.1850000000000005</v>
      </c>
      <c r="CM6112" s="106">
        <v>-8.2550000000000008</v>
      </c>
    </row>
    <row r="6113" spans="1:249" x14ac:dyDescent="0.25">
      <c r="A6113" s="127">
        <v>46058</v>
      </c>
      <c r="B6113" s="24" t="s">
        <v>25</v>
      </c>
      <c r="C6113" s="21">
        <f t="shared" si="113"/>
        <v>-16.350000000000001</v>
      </c>
      <c r="AW6113" s="106">
        <v>-8.1150000000000002</v>
      </c>
      <c r="CM6113" s="106">
        <v>-8.2349999999999994</v>
      </c>
    </row>
    <row r="6114" spans="1:249" x14ac:dyDescent="0.25">
      <c r="A6114" s="127">
        <v>46059</v>
      </c>
      <c r="B6114" s="24" t="s">
        <v>20</v>
      </c>
      <c r="C6114" s="21">
        <f t="shared" si="113"/>
        <v>-5.64</v>
      </c>
      <c r="AW6114" s="106">
        <v>-5.64</v>
      </c>
    </row>
    <row r="6115" spans="1:249" x14ac:dyDescent="0.25">
      <c r="A6115" s="127">
        <v>46059</v>
      </c>
      <c r="B6115" s="24" t="s">
        <v>48</v>
      </c>
      <c r="C6115" s="21">
        <f t="shared" si="113"/>
        <v>-8.7949999999999999</v>
      </c>
      <c r="DP6115" s="74">
        <v>-8.7949999999999999</v>
      </c>
    </row>
    <row r="6116" spans="1:249" x14ac:dyDescent="0.25">
      <c r="A6116" s="127">
        <v>46059</v>
      </c>
      <c r="B6116" s="24" t="s">
        <v>171</v>
      </c>
      <c r="C6116" s="21">
        <f t="shared" si="113"/>
        <v>-8.64</v>
      </c>
      <c r="CS6116" s="74">
        <v>-8.64</v>
      </c>
    </row>
    <row r="6117" spans="1:249" x14ac:dyDescent="0.25">
      <c r="A6117" s="127">
        <v>46062</v>
      </c>
      <c r="B6117" s="24" t="s">
        <v>184</v>
      </c>
      <c r="C6117" s="21">
        <f t="shared" si="113"/>
        <v>-60.05</v>
      </c>
      <c r="DK6117" s="106">
        <v>-17.265000000000001</v>
      </c>
      <c r="DP6117" s="74">
        <v>-17.734999999999999</v>
      </c>
      <c r="FN6117" s="150">
        <v>-25.05</v>
      </c>
    </row>
    <row r="6118" spans="1:249" x14ac:dyDescent="0.25">
      <c r="A6118" s="127">
        <v>46063</v>
      </c>
      <c r="B6118" s="24" t="s">
        <v>127</v>
      </c>
      <c r="C6118" s="21">
        <f t="shared" si="113"/>
        <v>-7.64</v>
      </c>
      <c r="AO6118" s="46">
        <v>-7.64</v>
      </c>
    </row>
    <row r="6119" spans="1:249" x14ac:dyDescent="0.25">
      <c r="A6119" s="127">
        <v>46063</v>
      </c>
      <c r="B6119" s="24" t="s">
        <v>48</v>
      </c>
      <c r="C6119" s="21">
        <f t="shared" si="113"/>
        <v>-13.75</v>
      </c>
      <c r="FH6119" s="46">
        <v>-13.75</v>
      </c>
    </row>
    <row r="6120" spans="1:249" x14ac:dyDescent="0.25">
      <c r="A6120" s="127">
        <v>46063</v>
      </c>
      <c r="B6120" s="24" t="s">
        <v>48</v>
      </c>
      <c r="C6120" s="21">
        <f t="shared" si="113"/>
        <v>-15.815</v>
      </c>
      <c r="AG6120" s="106">
        <v>-7.14</v>
      </c>
      <c r="AN6120" s="106">
        <v>-8.6750000000000007</v>
      </c>
    </row>
    <row r="6121" spans="1:249" x14ac:dyDescent="0.25">
      <c r="A6121" s="127">
        <v>46064</v>
      </c>
      <c r="B6121" s="24" t="s">
        <v>115</v>
      </c>
      <c r="C6121" s="21">
        <f t="shared" ref="C6121:C6188" si="115">SUM(D6121:JT6121)</f>
        <v>265.5</v>
      </c>
      <c r="BL6121" s="182">
        <v>32.494999999999997</v>
      </c>
      <c r="BR6121" s="182">
        <v>33.57</v>
      </c>
      <c r="BX6121" s="182">
        <v>66.63</v>
      </c>
      <c r="CD6121" s="182">
        <v>66.385000000000005</v>
      </c>
      <c r="CJ6121" s="182">
        <v>66.42</v>
      </c>
    </row>
    <row r="6122" spans="1:249" x14ac:dyDescent="0.25">
      <c r="A6122" s="127">
        <v>46064</v>
      </c>
      <c r="B6122" s="24" t="s">
        <v>197</v>
      </c>
      <c r="C6122" s="21">
        <f t="shared" si="115"/>
        <v>-66.290000000000006</v>
      </c>
      <c r="BX6122" s="182">
        <v>-16.62</v>
      </c>
      <c r="CD6122" s="182">
        <v>-16.635000000000002</v>
      </c>
      <c r="CJ6122" s="182">
        <v>-16.59</v>
      </c>
      <c r="CM6122" s="106">
        <v>-16.445</v>
      </c>
    </row>
    <row r="6123" spans="1:249" x14ac:dyDescent="0.25">
      <c r="A6123" s="127">
        <v>46064</v>
      </c>
      <c r="B6123" s="24" t="s">
        <v>225</v>
      </c>
      <c r="C6123" s="21">
        <f t="shared" si="115"/>
        <v>-83.245000000000005</v>
      </c>
      <c r="V6123" s="74">
        <v>-8.2100000000000009</v>
      </c>
      <c r="BX6123" s="182">
        <v>-16.670000000000002</v>
      </c>
      <c r="CD6123" s="182">
        <v>-16.594999999999999</v>
      </c>
      <c r="CJ6123" s="182">
        <v>-16.63</v>
      </c>
      <c r="CM6123" s="106">
        <v>-16.495000000000001</v>
      </c>
      <c r="CS6123" s="74">
        <v>-8.6449999999999996</v>
      </c>
    </row>
    <row r="6124" spans="1:249" x14ac:dyDescent="0.25">
      <c r="A6124" s="127">
        <v>46064</v>
      </c>
      <c r="B6124" s="24" t="s">
        <v>39</v>
      </c>
      <c r="C6124" s="21">
        <f t="shared" si="115"/>
        <v>-41.244999999999997</v>
      </c>
      <c r="AW6124" s="106">
        <v>-8.0850000000000009</v>
      </c>
      <c r="BL6124" s="182">
        <v>-8.1150000000000002</v>
      </c>
      <c r="BR6124" s="182">
        <v>-8.3800000000000008</v>
      </c>
      <c r="BX6124" s="182">
        <v>-8.36</v>
      </c>
      <c r="CD6124" s="182">
        <v>-8.3049999999999997</v>
      </c>
    </row>
    <row r="6125" spans="1:249" x14ac:dyDescent="0.25">
      <c r="A6125" s="127">
        <v>46064</v>
      </c>
      <c r="B6125" s="24" t="s">
        <v>44</v>
      </c>
      <c r="C6125" s="21">
        <f t="shared" si="115"/>
        <v>-201.45</v>
      </c>
      <c r="HF6125" s="92">
        <v>-33.909999999999997</v>
      </c>
      <c r="IM6125" s="50">
        <v>-62.9</v>
      </c>
      <c r="IN6125" s="42">
        <f>-24.05-33.2-24.8</f>
        <v>-82.05</v>
      </c>
      <c r="IO6125" s="182">
        <v>-22.59</v>
      </c>
    </row>
    <row r="6126" spans="1:249" x14ac:dyDescent="0.25">
      <c r="A6126" s="127">
        <v>46064</v>
      </c>
      <c r="B6126" s="24" t="s">
        <v>213</v>
      </c>
      <c r="C6126" s="21">
        <f t="shared" si="115"/>
        <v>-73.05</v>
      </c>
      <c r="AG6126" s="106">
        <v>-7.16</v>
      </c>
      <c r="AN6126" s="106">
        <v>-8.1300000000000008</v>
      </c>
      <c r="AW6126" s="106">
        <v>-8.0749999999999993</v>
      </c>
      <c r="BL6126" s="182">
        <v>-8.125</v>
      </c>
      <c r="BR6126" s="182">
        <v>-8.36</v>
      </c>
      <c r="CJ6126" s="182">
        <v>-33.200000000000003</v>
      </c>
    </row>
    <row r="6127" spans="1:249" x14ac:dyDescent="0.25">
      <c r="A6127" s="127">
        <v>46065</v>
      </c>
      <c r="B6127" s="24" t="s">
        <v>138</v>
      </c>
      <c r="C6127" s="21">
        <f t="shared" si="115"/>
        <v>-16.414999999999999</v>
      </c>
      <c r="BL6127" s="182">
        <v>-8.1150000000000002</v>
      </c>
      <c r="BX6127" s="182">
        <v>-8.3000000000000007</v>
      </c>
    </row>
    <row r="6128" spans="1:249" x14ac:dyDescent="0.25">
      <c r="A6128" s="127">
        <v>46065</v>
      </c>
      <c r="B6128" s="24" t="s">
        <v>224</v>
      </c>
      <c r="C6128" s="21">
        <f t="shared" si="115"/>
        <v>-16.78</v>
      </c>
      <c r="BR6128" s="182">
        <v>-8.41</v>
      </c>
      <c r="BX6128" s="182">
        <v>-8.3699999999999992</v>
      </c>
    </row>
    <row r="6129" spans="1:133" x14ac:dyDescent="0.25">
      <c r="A6129" s="127">
        <v>46065</v>
      </c>
      <c r="B6129" s="24" t="s">
        <v>33</v>
      </c>
      <c r="C6129" s="21">
        <f t="shared" si="115"/>
        <v>-8.42</v>
      </c>
      <c r="BR6129" s="182">
        <v>-8.42</v>
      </c>
    </row>
    <row r="6130" spans="1:133" x14ac:dyDescent="0.25">
      <c r="A6130" s="127">
        <v>46070</v>
      </c>
      <c r="B6130" s="24" t="s">
        <v>113</v>
      </c>
      <c r="C6130" s="21">
        <f t="shared" si="115"/>
        <v>812.55</v>
      </c>
      <c r="AN6130" s="106">
        <v>117.02500000000001</v>
      </c>
      <c r="CS6130" s="74">
        <v>172.69</v>
      </c>
      <c r="CY6130" s="106">
        <v>105.545</v>
      </c>
      <c r="DE6130" s="74">
        <v>139.38499999999999</v>
      </c>
      <c r="DK6130" s="106">
        <v>69.03</v>
      </c>
      <c r="DP6130" s="74">
        <v>141.35499999999999</v>
      </c>
      <c r="EA6130" s="74">
        <v>67.52</v>
      </c>
    </row>
    <row r="6131" spans="1:133" x14ac:dyDescent="0.25">
      <c r="A6131" s="127">
        <v>46070</v>
      </c>
      <c r="B6131" s="24" t="s">
        <v>113</v>
      </c>
      <c r="C6131" s="21">
        <f t="shared" si="115"/>
        <v>615.49</v>
      </c>
      <c r="Z6131" s="79">
        <v>34.015000000000001</v>
      </c>
      <c r="AC6131" s="106">
        <v>34</v>
      </c>
      <c r="AR6131" s="106">
        <v>31.4</v>
      </c>
      <c r="AW6131" s="106">
        <v>33.435000000000002</v>
      </c>
      <c r="BC6131" s="106">
        <v>69.155000000000001</v>
      </c>
      <c r="BI6131" s="106">
        <v>68.924999999999997</v>
      </c>
      <c r="BO6131" s="106">
        <f>34.63+35.215</f>
        <v>69.844999999999999</v>
      </c>
      <c r="BU6131" s="106">
        <v>68.69</v>
      </c>
      <c r="CA6131" s="106">
        <v>66.745000000000005</v>
      </c>
      <c r="CG6131" s="106">
        <v>69.745000000000005</v>
      </c>
      <c r="CM6131" s="106">
        <v>69.534999999999997</v>
      </c>
    </row>
    <row r="6132" spans="1:133" x14ac:dyDescent="0.25">
      <c r="A6132" s="127">
        <v>46070</v>
      </c>
      <c r="B6132" s="24" t="s">
        <v>113</v>
      </c>
      <c r="C6132" s="21">
        <f t="shared" si="115"/>
        <v>34.96</v>
      </c>
      <c r="DP6132" s="74">
        <v>34.96</v>
      </c>
    </row>
    <row r="6133" spans="1:133" x14ac:dyDescent="0.25">
      <c r="A6133" s="127">
        <v>46070</v>
      </c>
      <c r="B6133" s="24" t="s">
        <v>218</v>
      </c>
      <c r="C6133" s="21">
        <f t="shared" si="115"/>
        <v>-67.62</v>
      </c>
      <c r="AN6133" s="106">
        <v>-8.5350000000000001</v>
      </c>
      <c r="AW6133" s="106">
        <f>-8.51-7.93</f>
        <v>-16.440000000000001</v>
      </c>
      <c r="BC6133" s="106">
        <v>-8.58</v>
      </c>
      <c r="BI6133" s="106">
        <f>-8.62-8.595</f>
        <v>-17.215</v>
      </c>
      <c r="BO6133" s="106">
        <v>-8.58</v>
      </c>
      <c r="CD6133" s="182">
        <v>-8.27</v>
      </c>
    </row>
    <row r="6134" spans="1:133" x14ac:dyDescent="0.25">
      <c r="A6134" s="127">
        <v>46070</v>
      </c>
      <c r="B6134" s="24" t="s">
        <v>213</v>
      </c>
      <c r="C6134" s="21">
        <f t="shared" si="115"/>
        <v>-68.959999999999994</v>
      </c>
      <c r="BO6134" s="106">
        <f>-8.595-8.625</f>
        <v>-17.22</v>
      </c>
      <c r="BU6134" s="106">
        <f>-8.495-9.035</f>
        <v>-17.53</v>
      </c>
      <c r="CA6134" s="106">
        <f>-9.155-8.1</f>
        <v>-17.254999999999999</v>
      </c>
      <c r="CG6134" s="106">
        <v>-8.7100000000000009</v>
      </c>
      <c r="CM6134" s="106">
        <v>-8.2449999999999992</v>
      </c>
    </row>
    <row r="6135" spans="1:133" x14ac:dyDescent="0.25">
      <c r="A6135" s="127">
        <v>46070</v>
      </c>
      <c r="B6135" s="24" t="s">
        <v>192</v>
      </c>
      <c r="C6135" s="21">
        <f t="shared" si="115"/>
        <v>-17.72</v>
      </c>
      <c r="EC6135" s="126">
        <v>-17.72</v>
      </c>
    </row>
    <row r="6136" spans="1:133" x14ac:dyDescent="0.25">
      <c r="A6136" s="127">
        <v>46070</v>
      </c>
      <c r="B6136" s="24" t="s">
        <v>138</v>
      </c>
      <c r="C6136" s="21">
        <f t="shared" si="115"/>
        <v>-16.91</v>
      </c>
      <c r="AW6136" s="106">
        <v>-8.19</v>
      </c>
      <c r="BC6136" s="106">
        <v>-8.7200000000000006</v>
      </c>
    </row>
    <row r="6137" spans="1:133" x14ac:dyDescent="0.25">
      <c r="A6137" s="127">
        <v>46070</v>
      </c>
      <c r="B6137" s="24" t="s">
        <v>212</v>
      </c>
      <c r="C6137" s="21">
        <f t="shared" si="115"/>
        <v>-34.024999999999999</v>
      </c>
      <c r="AW6137" s="106">
        <v>-16.995000000000001</v>
      </c>
      <c r="BO6137" s="106">
        <v>-8.4949999999999992</v>
      </c>
      <c r="BU6137" s="106">
        <v>-8.5350000000000001</v>
      </c>
    </row>
    <row r="6138" spans="1:133" x14ac:dyDescent="0.25">
      <c r="A6138" s="127">
        <v>46070</v>
      </c>
      <c r="B6138" s="24" t="s">
        <v>75</v>
      </c>
      <c r="C6138" s="21">
        <f t="shared" si="115"/>
        <v>-33.445</v>
      </c>
      <c r="AN6138" s="106">
        <v>-8.5350000000000001</v>
      </c>
      <c r="AW6138" s="106">
        <v>-8.11</v>
      </c>
      <c r="BC6138" s="106">
        <v>-8.66</v>
      </c>
      <c r="BL6138" s="182">
        <v>-8.14</v>
      </c>
    </row>
    <row r="6139" spans="1:133" x14ac:dyDescent="0.25">
      <c r="A6139" s="127">
        <v>46070</v>
      </c>
      <c r="B6139" s="24" t="s">
        <v>184</v>
      </c>
      <c r="C6139" s="21">
        <f t="shared" si="115"/>
        <v>-175.83</v>
      </c>
      <c r="CA6139" s="106">
        <v>-16.96</v>
      </c>
      <c r="DP6139" s="74">
        <v>-158.87</v>
      </c>
    </row>
    <row r="6140" spans="1:133" x14ac:dyDescent="0.25">
      <c r="A6140" s="127">
        <v>46071</v>
      </c>
      <c r="B6140" s="24" t="s">
        <v>133</v>
      </c>
      <c r="C6140" s="21">
        <f t="shared" si="115"/>
        <v>-130.005</v>
      </c>
      <c r="BI6140" s="106">
        <v>-25.844999999999999</v>
      </c>
      <c r="CG6140" s="106">
        <v>-34.884999999999998</v>
      </c>
      <c r="CM6140" s="106">
        <v>-34.795000000000002</v>
      </c>
      <c r="CS6140" s="74">
        <v>-17.035</v>
      </c>
      <c r="DP6140" s="74">
        <v>-17.445</v>
      </c>
    </row>
    <row r="6141" spans="1:133" x14ac:dyDescent="0.25">
      <c r="A6141" s="127">
        <v>46071</v>
      </c>
      <c r="B6141" s="24" t="s">
        <v>184</v>
      </c>
      <c r="C6141" s="21">
        <f t="shared" si="115"/>
        <v>-58.55</v>
      </c>
      <c r="AN6141" s="106">
        <v>-8.5399999999999991</v>
      </c>
      <c r="CA6141" s="106">
        <v>-15.065</v>
      </c>
      <c r="CY6141" s="106">
        <v>-34.945</v>
      </c>
    </row>
    <row r="6142" spans="1:133" x14ac:dyDescent="0.25">
      <c r="A6142" s="127">
        <v>46071</v>
      </c>
      <c r="B6142" s="24" t="s">
        <v>193</v>
      </c>
      <c r="C6142" s="21">
        <f t="shared" si="115"/>
        <v>-26.315000000000001</v>
      </c>
      <c r="CG6142" s="106">
        <v>-8.7449999999999992</v>
      </c>
      <c r="CY6142" s="106">
        <v>-8.82</v>
      </c>
      <c r="DE6142" s="74">
        <v>-8.75</v>
      </c>
    </row>
    <row r="6143" spans="1:133" x14ac:dyDescent="0.25">
      <c r="A6143" s="127">
        <v>46071</v>
      </c>
      <c r="B6143" s="24" t="s">
        <v>213</v>
      </c>
      <c r="C6143" s="21">
        <f>SUM(D6143:JT6143)</f>
        <v>-16.739999999999998</v>
      </c>
      <c r="Z6143" s="79">
        <f>-4.2-4.34</f>
        <v>-8.5399999999999991</v>
      </c>
      <c r="AC6143" s="106">
        <f>-4.12-4.08</f>
        <v>-8.1999999999999993</v>
      </c>
    </row>
    <row r="6144" spans="1:133" x14ac:dyDescent="0.25">
      <c r="A6144" s="127">
        <v>46071</v>
      </c>
      <c r="B6144" s="24" t="s">
        <v>19</v>
      </c>
      <c r="C6144" s="21">
        <f>SUM(D6144:JT6144)</f>
        <v>-35.71</v>
      </c>
      <c r="S6144" s="74">
        <v>-35.71</v>
      </c>
    </row>
    <row r="6145" spans="1:230" x14ac:dyDescent="0.25">
      <c r="A6145" s="127">
        <v>46072</v>
      </c>
      <c r="B6145" s="24" t="s">
        <v>127</v>
      </c>
      <c r="C6145" s="21">
        <f>SUM(D6145:JT6145)</f>
        <v>-17.375</v>
      </c>
      <c r="CS6145" s="74">
        <f>-8.745-8.63</f>
        <v>-17.375</v>
      </c>
    </row>
    <row r="6146" spans="1:230" x14ac:dyDescent="0.25">
      <c r="A6146" s="127">
        <v>46073</v>
      </c>
      <c r="B6146" s="24" t="s">
        <v>24</v>
      </c>
      <c r="C6146" s="21">
        <f>SUM(D6146:JT6146)</f>
        <v>-7.88</v>
      </c>
      <c r="AR6146" s="106">
        <v>-7.88</v>
      </c>
    </row>
    <row r="6147" spans="1:230" x14ac:dyDescent="0.25">
      <c r="A6147" s="127">
        <v>46073</v>
      </c>
      <c r="B6147" s="24" t="s">
        <v>24</v>
      </c>
      <c r="C6147" s="21">
        <f t="shared" si="115"/>
        <v>-16.8</v>
      </c>
      <c r="BU6147" s="106">
        <v>-8.49</v>
      </c>
      <c r="BX6147" s="182">
        <v>-8.31</v>
      </c>
    </row>
    <row r="6148" spans="1:230" x14ac:dyDescent="0.25">
      <c r="A6148" s="127">
        <v>46072</v>
      </c>
      <c r="B6148" s="24" t="s">
        <v>213</v>
      </c>
      <c r="C6148" s="21">
        <f t="shared" si="115"/>
        <v>-70.944999999999993</v>
      </c>
      <c r="BC6148" s="106">
        <v>-8.57</v>
      </c>
      <c r="BO6148" s="106">
        <v>-9.85</v>
      </c>
      <c r="CG6148" s="106">
        <v>-17.405000000000001</v>
      </c>
      <c r="CM6148" s="106">
        <v>-17.38</v>
      </c>
      <c r="CY6148" s="106">
        <v>-17.739999999999998</v>
      </c>
    </row>
    <row r="6149" spans="1:230" x14ac:dyDescent="0.25">
      <c r="A6149" s="127">
        <v>46073</v>
      </c>
      <c r="B6149" s="24" t="s">
        <v>197</v>
      </c>
      <c r="C6149" s="21">
        <f t="shared" si="115"/>
        <v>-61.005000000000003</v>
      </c>
      <c r="CS6149" s="74">
        <v>-25.92</v>
      </c>
      <c r="CY6149" s="106">
        <v>-26.44</v>
      </c>
      <c r="DK6149" s="106">
        <v>-8.6449999999999996</v>
      </c>
    </row>
    <row r="6150" spans="1:230" x14ac:dyDescent="0.25">
      <c r="A6150" s="127">
        <v>46073</v>
      </c>
      <c r="B6150" s="24" t="s">
        <v>39</v>
      </c>
      <c r="C6150" s="21">
        <f t="shared" si="115"/>
        <v>-32.545000000000002</v>
      </c>
      <c r="AR6150" s="106">
        <v>-7.87</v>
      </c>
      <c r="AW6150" s="106">
        <v>-8.09</v>
      </c>
      <c r="BC6150" s="106">
        <v>-8.6850000000000005</v>
      </c>
      <c r="CA6150" s="106">
        <v>-7.9</v>
      </c>
    </row>
    <row r="6151" spans="1:230" x14ac:dyDescent="0.25">
      <c r="A6151" s="127">
        <v>46074</v>
      </c>
      <c r="B6151" s="24" t="s">
        <v>48</v>
      </c>
      <c r="C6151" s="21">
        <f t="shared" si="115"/>
        <v>-7.23</v>
      </c>
      <c r="HV6151" s="92">
        <v>-7.23</v>
      </c>
    </row>
    <row r="6152" spans="1:230" x14ac:dyDescent="0.25">
      <c r="A6152" s="127">
        <v>46076</v>
      </c>
      <c r="B6152" s="24" t="s">
        <v>188</v>
      </c>
      <c r="C6152" s="21">
        <f t="shared" si="115"/>
        <v>-8.5850000000000009</v>
      </c>
      <c r="Z6152" s="79">
        <v>-8.5850000000000009</v>
      </c>
    </row>
    <row r="6153" spans="1:230" x14ac:dyDescent="0.25">
      <c r="A6153" s="127">
        <v>46077</v>
      </c>
      <c r="B6153" s="24" t="s">
        <v>138</v>
      </c>
      <c r="C6153" s="21">
        <f t="shared" si="115"/>
        <v>-25.83</v>
      </c>
      <c r="BI6153" s="106">
        <v>-8.625</v>
      </c>
      <c r="BO6153" s="106">
        <v>-8.52</v>
      </c>
      <c r="CM6153" s="106">
        <v>-8.6850000000000005</v>
      </c>
    </row>
    <row r="6154" spans="1:230" x14ac:dyDescent="0.25">
      <c r="A6154" s="127">
        <v>46077</v>
      </c>
      <c r="B6154" s="24" t="s">
        <v>20</v>
      </c>
      <c r="C6154" s="21">
        <f t="shared" si="115"/>
        <v>-24.785</v>
      </c>
      <c r="AR6154" s="106">
        <v>-7.82</v>
      </c>
      <c r="BI6154" s="106">
        <v>-8.6150000000000002</v>
      </c>
      <c r="BO6154" s="106">
        <v>-8.35</v>
      </c>
    </row>
    <row r="6155" spans="1:230" x14ac:dyDescent="0.25">
      <c r="A6155" s="127">
        <v>46077</v>
      </c>
      <c r="B6155" s="24" t="s">
        <v>230</v>
      </c>
      <c r="C6155" s="21">
        <f t="shared" si="115"/>
        <v>-7.24</v>
      </c>
      <c r="D6155" s="386">
        <v>-7.24</v>
      </c>
    </row>
    <row r="6156" spans="1:230" x14ac:dyDescent="0.25">
      <c r="A6156" s="127">
        <v>46077</v>
      </c>
      <c r="B6156" s="24" t="s">
        <v>113</v>
      </c>
      <c r="C6156" s="21">
        <f t="shared" si="115"/>
        <v>393.20499999999998</v>
      </c>
      <c r="EG6156" s="74">
        <v>393.20499999999998</v>
      </c>
    </row>
    <row r="6157" spans="1:230" x14ac:dyDescent="0.25">
      <c r="A6157" s="127">
        <v>46077</v>
      </c>
      <c r="B6157" s="24" t="s">
        <v>113</v>
      </c>
      <c r="C6157" s="21">
        <f t="shared" si="115"/>
        <v>103.25</v>
      </c>
      <c r="BI6157" s="106">
        <v>34.42</v>
      </c>
      <c r="BO6157" s="106">
        <v>33.869999999999997</v>
      </c>
      <c r="CG6157" s="106">
        <v>34.96</v>
      </c>
    </row>
    <row r="6158" spans="1:230" x14ac:dyDescent="0.25">
      <c r="A6158" s="127">
        <v>46078</v>
      </c>
      <c r="B6158" s="24" t="s">
        <v>113</v>
      </c>
      <c r="C6158" s="21">
        <f t="shared" si="115"/>
        <v>367.52</v>
      </c>
      <c r="AR6158" s="106">
        <v>31.48</v>
      </c>
      <c r="AW6158" s="106">
        <v>33.685000000000002</v>
      </c>
      <c r="BC6158" s="106">
        <v>31.385000000000002</v>
      </c>
      <c r="BI6158" s="106">
        <v>34.56</v>
      </c>
      <c r="CA6158" s="106">
        <v>135.16499999999999</v>
      </c>
      <c r="CM6158" s="106">
        <v>34.909999999999997</v>
      </c>
      <c r="CY6158" s="106">
        <v>34.15</v>
      </c>
      <c r="DU6158" s="106">
        <v>32.185000000000002</v>
      </c>
    </row>
    <row r="6159" spans="1:230" x14ac:dyDescent="0.25">
      <c r="A6159" s="127">
        <v>46078</v>
      </c>
      <c r="B6159" s="24" t="s">
        <v>184</v>
      </c>
      <c r="C6159" s="21">
        <f t="shared" si="115"/>
        <v>-456.59</v>
      </c>
      <c r="AR6159" s="106">
        <v>-15.715</v>
      </c>
      <c r="AW6159" s="106">
        <v>-33.685000000000002</v>
      </c>
      <c r="BC6159" s="106">
        <v>-31.385000000000002</v>
      </c>
      <c r="BI6159" s="106">
        <v>-34.56</v>
      </c>
      <c r="CA6159" s="106">
        <v>-101.47499999999999</v>
      </c>
      <c r="CM6159" s="106">
        <v>-34.909999999999997</v>
      </c>
      <c r="CS6159" s="74">
        <v>-34.615000000000002</v>
      </c>
      <c r="CY6159" s="106">
        <v>-34.15</v>
      </c>
      <c r="DE6159" s="74">
        <v>-34.880000000000003</v>
      </c>
      <c r="DK6159" s="106">
        <v>-69.03</v>
      </c>
      <c r="DU6159" s="106">
        <v>-32.185000000000002</v>
      </c>
    </row>
    <row r="6160" spans="1:230" x14ac:dyDescent="0.25">
      <c r="A6160" s="127">
        <v>46078</v>
      </c>
      <c r="B6160" s="24" t="s">
        <v>184</v>
      </c>
      <c r="C6160" s="21">
        <f t="shared" si="115"/>
        <v>-15.765000000000001</v>
      </c>
      <c r="AR6160" s="106">
        <v>-15.765000000000001</v>
      </c>
    </row>
    <row r="6161" spans="1:131" x14ac:dyDescent="0.25">
      <c r="A6161" s="127">
        <v>46078</v>
      </c>
      <c r="B6161" s="24" t="s">
        <v>218</v>
      </c>
      <c r="C6161" s="21">
        <f t="shared" si="115"/>
        <v>-43.14</v>
      </c>
      <c r="AN6161" s="106">
        <v>-8.5250000000000004</v>
      </c>
      <c r="BI6161" s="106">
        <v>-8.61</v>
      </c>
      <c r="BO6161" s="106">
        <v>-8.48</v>
      </c>
      <c r="CG6161" s="106">
        <v>-8.77</v>
      </c>
      <c r="CS6161" s="74">
        <v>-8.7550000000000008</v>
      </c>
    </row>
    <row r="6162" spans="1:131" x14ac:dyDescent="0.25">
      <c r="A6162" s="127">
        <v>46079</v>
      </c>
      <c r="B6162" s="24" t="s">
        <v>192</v>
      </c>
      <c r="C6162" s="21">
        <f t="shared" si="115"/>
        <v>-8.625</v>
      </c>
      <c r="BI6162" s="106">
        <v>-8.625</v>
      </c>
    </row>
    <row r="6163" spans="1:131" x14ac:dyDescent="0.25">
      <c r="A6163" s="127">
        <v>46079</v>
      </c>
      <c r="B6163" s="24" t="s">
        <v>48</v>
      </c>
      <c r="C6163" s="21">
        <f t="shared" si="115"/>
        <v>17.274999999999999</v>
      </c>
      <c r="O6163" s="375">
        <f>8.66+8.615</f>
        <v>17.274999999999999</v>
      </c>
    </row>
    <row r="6164" spans="1:131" x14ac:dyDescent="0.25">
      <c r="A6164" s="127">
        <v>46080</v>
      </c>
      <c r="B6164" s="24" t="s">
        <v>48</v>
      </c>
      <c r="C6164" s="21">
        <f t="shared" si="115"/>
        <v>-16.93</v>
      </c>
      <c r="AN6164" s="106">
        <v>-16.93</v>
      </c>
    </row>
    <row r="6165" spans="1:131" x14ac:dyDescent="0.25">
      <c r="A6165" s="127">
        <v>46080</v>
      </c>
      <c r="B6165" s="24" t="s">
        <v>184</v>
      </c>
      <c r="C6165" s="21">
        <f t="shared" si="115"/>
        <v>-112.515</v>
      </c>
      <c r="CY6165" s="106">
        <v>-8.8049999999999997</v>
      </c>
      <c r="DE6165" s="74">
        <v>-35.075000000000003</v>
      </c>
      <c r="DK6165" s="106">
        <v>-25.91</v>
      </c>
      <c r="DM6165" s="46">
        <v>-8.9</v>
      </c>
      <c r="EA6165" s="74">
        <v>-33.825000000000003</v>
      </c>
    </row>
    <row r="6166" spans="1:131" x14ac:dyDescent="0.25">
      <c r="A6166" s="127">
        <v>46080</v>
      </c>
      <c r="B6166" s="24" t="s">
        <v>213</v>
      </c>
      <c r="C6166" s="21">
        <f t="shared" si="115"/>
        <v>-41.44</v>
      </c>
      <c r="O6166" s="375">
        <v>-7.68</v>
      </c>
      <c r="BI6166" s="106">
        <v>-8.6</v>
      </c>
      <c r="BU6166" s="106">
        <v>-8.5</v>
      </c>
      <c r="CG6166" s="106">
        <v>-8.7050000000000001</v>
      </c>
      <c r="CM6166" s="106">
        <v>-7.9550000000000001</v>
      </c>
    </row>
    <row r="6167" spans="1:131" x14ac:dyDescent="0.25">
      <c r="A6167" s="127">
        <v>46080</v>
      </c>
      <c r="B6167" s="24" t="s">
        <v>184</v>
      </c>
      <c r="C6167" s="21">
        <f t="shared" si="115"/>
        <v>-65.795000000000002</v>
      </c>
      <c r="S6167" s="74">
        <v>-13.62</v>
      </c>
      <c r="AN6167" s="106">
        <v>-16.55</v>
      </c>
      <c r="BO6167" s="106">
        <v>-8.42</v>
      </c>
      <c r="CA6167" s="106">
        <v>-9.5649999999999995</v>
      </c>
      <c r="CG6167" s="106">
        <v>-8.7750000000000004</v>
      </c>
      <c r="DE6167" s="74">
        <v>-8.8650000000000002</v>
      </c>
    </row>
    <row r="6168" spans="1:131" x14ac:dyDescent="0.25">
      <c r="A6168" s="127">
        <v>46080</v>
      </c>
      <c r="B6168" s="24" t="s">
        <v>301</v>
      </c>
      <c r="C6168" s="21">
        <f t="shared" si="115"/>
        <v>-0.98</v>
      </c>
      <c r="O6168" s="375">
        <v>-0.98</v>
      </c>
    </row>
    <row r="6169" spans="1:131" x14ac:dyDescent="0.25">
      <c r="A6169" s="127">
        <v>46080</v>
      </c>
      <c r="B6169" s="24" t="s">
        <v>224</v>
      </c>
      <c r="C6169" s="21">
        <f t="shared" si="115"/>
        <v>-17.335000000000001</v>
      </c>
      <c r="BU6169" s="106">
        <v>-8.89</v>
      </c>
      <c r="CA6169" s="106">
        <v>-8.4450000000000003</v>
      </c>
    </row>
    <row r="6170" spans="1:131" x14ac:dyDescent="0.25">
      <c r="A6170" s="127">
        <v>46081</v>
      </c>
      <c r="B6170" s="24" t="s">
        <v>302</v>
      </c>
      <c r="C6170" s="21">
        <f t="shared" si="115"/>
        <v>-126.38500000000001</v>
      </c>
      <c r="AW6170" s="106">
        <v>-8.07</v>
      </c>
      <c r="BC6170" s="106">
        <v>-8.6</v>
      </c>
      <c r="BI6170" s="106">
        <v>-17.21</v>
      </c>
      <c r="BO6170" s="106">
        <v>-16.97</v>
      </c>
      <c r="BU6170" s="106">
        <v>-16.745000000000001</v>
      </c>
      <c r="CA6170" s="106">
        <v>-25.245000000000001</v>
      </c>
      <c r="CD6170" s="182">
        <v>-16.579999999999998</v>
      </c>
      <c r="CG6170" s="106">
        <v>-8.7100000000000009</v>
      </c>
      <c r="CM6170" s="106">
        <v>-8.2550000000000008</v>
      </c>
    </row>
    <row r="6171" spans="1:131" x14ac:dyDescent="0.25">
      <c r="A6171" s="127">
        <v>46083</v>
      </c>
      <c r="B6171" s="24" t="s">
        <v>303</v>
      </c>
      <c r="C6171" s="21">
        <f t="shared" si="115"/>
        <v>-33.945</v>
      </c>
      <c r="AR6171" s="106">
        <v>-7.83</v>
      </c>
      <c r="BC6171" s="106">
        <v>-8.61</v>
      </c>
      <c r="BO6171" s="106">
        <v>-8.83</v>
      </c>
      <c r="CM6171" s="106">
        <v>-8.6750000000000007</v>
      </c>
    </row>
    <row r="6172" spans="1:131" x14ac:dyDescent="0.25">
      <c r="A6172" s="127">
        <v>46084</v>
      </c>
      <c r="B6172" s="24" t="s">
        <v>138</v>
      </c>
      <c r="C6172" s="21">
        <f t="shared" si="115"/>
        <v>-17.260000000000002</v>
      </c>
      <c r="CS6172" s="74">
        <v>-17.260000000000002</v>
      </c>
    </row>
    <row r="6173" spans="1:131" x14ac:dyDescent="0.25">
      <c r="A6173" s="127">
        <v>46087</v>
      </c>
      <c r="B6173" s="24" t="s">
        <v>138</v>
      </c>
      <c r="C6173" s="21">
        <f t="shared" si="115"/>
        <v>-8.1300000000000008</v>
      </c>
      <c r="AW6173" s="106">
        <v>-8.1300000000000008</v>
      </c>
    </row>
    <row r="6174" spans="1:131" x14ac:dyDescent="0.25">
      <c r="A6174" s="127">
        <v>46087</v>
      </c>
      <c r="B6174" s="24" t="s">
        <v>225</v>
      </c>
      <c r="C6174" s="21">
        <f t="shared" si="115"/>
        <v>-8.5350000000000001</v>
      </c>
      <c r="Z6174" s="79">
        <v>-8.5350000000000001</v>
      </c>
    </row>
    <row r="6175" spans="1:131" x14ac:dyDescent="0.25">
      <c r="A6175" s="127">
        <v>46087</v>
      </c>
      <c r="B6175" s="24" t="s">
        <v>184</v>
      </c>
      <c r="C6175" s="21">
        <f t="shared" si="115"/>
        <v>-32.465000000000003</v>
      </c>
      <c r="AN6175" s="106">
        <v>-32.465000000000003</v>
      </c>
    </row>
    <row r="6176" spans="1:131" x14ac:dyDescent="0.25">
      <c r="A6176" s="127">
        <v>46087</v>
      </c>
      <c r="B6176" s="24" t="s">
        <v>224</v>
      </c>
      <c r="C6176" s="21">
        <f t="shared" si="115"/>
        <v>-17.28</v>
      </c>
      <c r="AC6176" s="106">
        <v>-8.5500000000000007</v>
      </c>
      <c r="BC6176" s="106">
        <v>-8.73</v>
      </c>
    </row>
    <row r="6177" spans="1:256" x14ac:dyDescent="0.25">
      <c r="A6177" s="127">
        <v>46087</v>
      </c>
      <c r="B6177" s="24" t="s">
        <v>17</v>
      </c>
      <c r="C6177" s="21">
        <f t="shared" si="115"/>
        <v>-50.67</v>
      </c>
      <c r="CY6177" s="106">
        <v>-8.7949999999999999</v>
      </c>
      <c r="DE6177" s="74">
        <v>-17.324999999999999</v>
      </c>
      <c r="DM6177" s="46">
        <v>-24.55</v>
      </c>
    </row>
    <row r="6178" spans="1:256" x14ac:dyDescent="0.25">
      <c r="A6178" s="127">
        <v>46090</v>
      </c>
      <c r="B6178" s="24" t="s">
        <v>48</v>
      </c>
      <c r="C6178" s="21">
        <f t="shared" si="115"/>
        <v>-5.08</v>
      </c>
      <c r="S6178" s="74">
        <v>-5.08</v>
      </c>
    </row>
    <row r="6179" spans="1:256" x14ac:dyDescent="0.25">
      <c r="A6179" s="127">
        <v>46090</v>
      </c>
      <c r="B6179" s="24" t="s">
        <v>115</v>
      </c>
      <c r="C6179" s="21">
        <f t="shared" si="115"/>
        <v>60.664999999999999</v>
      </c>
      <c r="D6179" s="386">
        <v>34.064999999999998</v>
      </c>
      <c r="E6179" s="386">
        <v>26.6</v>
      </c>
    </row>
    <row r="6180" spans="1:256" x14ac:dyDescent="0.25">
      <c r="A6180" s="127">
        <v>46091</v>
      </c>
      <c r="B6180" s="24" t="s">
        <v>202</v>
      </c>
      <c r="C6180" s="21">
        <f t="shared" si="115"/>
        <v>-26.6</v>
      </c>
      <c r="E6180" s="386">
        <v>-26.6</v>
      </c>
    </row>
    <row r="6181" spans="1:256" x14ac:dyDescent="0.25">
      <c r="A6181" s="127">
        <v>46091</v>
      </c>
      <c r="B6181" s="24" t="s">
        <v>115</v>
      </c>
      <c r="C6181" s="21">
        <f t="shared" si="115"/>
        <v>41.86</v>
      </c>
      <c r="E6181" s="386">
        <v>41.86</v>
      </c>
    </row>
    <row r="6182" spans="1:256" x14ac:dyDescent="0.25">
      <c r="A6182" s="127">
        <v>46093</v>
      </c>
      <c r="B6182" s="24" t="s">
        <v>184</v>
      </c>
      <c r="C6182" s="21">
        <f t="shared" si="115"/>
        <v>-64.48</v>
      </c>
      <c r="IV6182" s="378">
        <v>-64.48</v>
      </c>
    </row>
    <row r="6183" spans="1:256" x14ac:dyDescent="0.25">
      <c r="A6183" s="127">
        <v>46094</v>
      </c>
      <c r="B6183" s="24" t="s">
        <v>184</v>
      </c>
      <c r="C6183" s="21">
        <f t="shared" si="115"/>
        <v>-25.745000000000001</v>
      </c>
      <c r="AC6183" s="106">
        <v>-17.22</v>
      </c>
      <c r="AN6183" s="106">
        <v>-8.5250000000000004</v>
      </c>
    </row>
    <row r="6184" spans="1:256" x14ac:dyDescent="0.25">
      <c r="A6184" s="127">
        <v>46094</v>
      </c>
      <c r="B6184" s="24" t="s">
        <v>146</v>
      </c>
      <c r="C6184" s="21">
        <f t="shared" si="115"/>
        <v>101.395</v>
      </c>
      <c r="DO6184" s="375">
        <v>67.569999999999993</v>
      </c>
      <c r="DT6184" s="69">
        <v>33.825000000000003</v>
      </c>
    </row>
    <row r="6185" spans="1:256" x14ac:dyDescent="0.25">
      <c r="A6185" s="127">
        <v>46094</v>
      </c>
      <c r="B6185" s="24" t="s">
        <v>197</v>
      </c>
      <c r="C6185" s="21">
        <f t="shared" si="115"/>
        <v>-118.075</v>
      </c>
      <c r="DO6185" s="375">
        <v>-50.555</v>
      </c>
      <c r="DT6185" s="69">
        <v>-33.825000000000003</v>
      </c>
      <c r="EA6185" s="74">
        <f>-8.29-8.83-8.26-8.315</f>
        <v>-33.695</v>
      </c>
    </row>
    <row r="6186" spans="1:256" x14ac:dyDescent="0.25">
      <c r="A6186" s="127">
        <v>46095</v>
      </c>
      <c r="B6186" s="24" t="s">
        <v>127</v>
      </c>
      <c r="C6186" s="21">
        <f t="shared" si="115"/>
        <v>-17.274999999999999</v>
      </c>
      <c r="CS6186" s="74">
        <v>-17.274999999999999</v>
      </c>
    </row>
    <row r="6187" spans="1:256" x14ac:dyDescent="0.25">
      <c r="A6187" s="127">
        <v>46097</v>
      </c>
      <c r="B6187" s="24" t="s">
        <v>162</v>
      </c>
      <c r="C6187" s="21">
        <f t="shared" si="115"/>
        <v>-8.42</v>
      </c>
      <c r="AN6187" s="106">
        <v>-8.42</v>
      </c>
    </row>
    <row r="6188" spans="1:256" x14ac:dyDescent="0.25">
      <c r="A6188" s="127">
        <v>46097</v>
      </c>
      <c r="B6188" s="24" t="s">
        <v>48</v>
      </c>
      <c r="C6188" s="21">
        <f t="shared" si="115"/>
        <v>-8.49</v>
      </c>
      <c r="DO6188" s="375">
        <v>-8.49</v>
      </c>
    </row>
    <row r="6189" spans="1:256" x14ac:dyDescent="0.25">
      <c r="A6189" s="127">
        <v>46097</v>
      </c>
      <c r="B6189" s="24" t="s">
        <v>48</v>
      </c>
      <c r="C6189" s="21">
        <f t="shared" ref="C6189:C6254" si="116">SUM(D6189:JT6189)</f>
        <v>288.435</v>
      </c>
      <c r="AV6189" s="69">
        <v>16.86</v>
      </c>
      <c r="BB6189" s="69">
        <v>33.744999999999997</v>
      </c>
      <c r="BH6189" s="69">
        <v>50.835000000000001</v>
      </c>
      <c r="BN6189" s="69">
        <v>33.76</v>
      </c>
      <c r="BT6189" s="69">
        <v>34.33</v>
      </c>
      <c r="BZ6189" s="69">
        <v>51</v>
      </c>
      <c r="CF6189" s="69">
        <v>33.784999999999997</v>
      </c>
      <c r="CL6189" s="69">
        <v>17.28</v>
      </c>
      <c r="CR6189" s="69">
        <v>16.84</v>
      </c>
    </row>
    <row r="6190" spans="1:256" x14ac:dyDescent="0.25">
      <c r="A6190" s="127">
        <v>46097</v>
      </c>
      <c r="B6190" s="24" t="s">
        <v>17</v>
      </c>
      <c r="C6190" s="21">
        <f t="shared" si="116"/>
        <v>-42.695</v>
      </c>
      <c r="BH6190" s="69">
        <v>-8.49</v>
      </c>
      <c r="BT6190" s="69">
        <v>-8.59</v>
      </c>
      <c r="BZ6190" s="69">
        <v>-8.5399999999999991</v>
      </c>
      <c r="CF6190" s="69">
        <v>-8.44</v>
      </c>
      <c r="CL6190" s="69">
        <v>-8.6349999999999998</v>
      </c>
    </row>
    <row r="6191" spans="1:256" x14ac:dyDescent="0.25">
      <c r="A6191" s="127">
        <v>46097</v>
      </c>
      <c r="B6191" s="24" t="s">
        <v>213</v>
      </c>
      <c r="C6191" s="21">
        <f t="shared" si="116"/>
        <v>-68.290000000000006</v>
      </c>
      <c r="BT6191" s="69">
        <v>-17.170000000000002</v>
      </c>
      <c r="BZ6191" s="69">
        <v>-34.215000000000003</v>
      </c>
      <c r="CF6191" s="69">
        <v>-16.905000000000001</v>
      </c>
    </row>
    <row r="6192" spans="1:256" x14ac:dyDescent="0.25">
      <c r="A6192" s="127">
        <v>46097</v>
      </c>
      <c r="B6192" s="24" t="s">
        <v>213</v>
      </c>
      <c r="C6192" s="21">
        <f>SUM(D6192:JT6192)</f>
        <v>-67.599999999999994</v>
      </c>
      <c r="BB6192" s="69">
        <v>-33.744999999999997</v>
      </c>
      <c r="BH6192" s="69">
        <v>-33.854999999999997</v>
      </c>
    </row>
    <row r="6193" spans="1:224" x14ac:dyDescent="0.25">
      <c r="A6193" s="127">
        <v>46097</v>
      </c>
      <c r="B6193" s="24" t="s">
        <v>218</v>
      </c>
      <c r="C6193" s="21">
        <f>SUM(D6193:JT6193)</f>
        <v>-33.835000000000001</v>
      </c>
      <c r="AV6193" s="69">
        <v>-8.4149999999999991</v>
      </c>
      <c r="BZ6193" s="69">
        <v>-8.2449999999999992</v>
      </c>
      <c r="CR6193" s="69">
        <v>-8.42</v>
      </c>
      <c r="DE6193" s="74">
        <v>-8.7550000000000008</v>
      </c>
    </row>
    <row r="6194" spans="1:224" x14ac:dyDescent="0.25">
      <c r="A6194" s="127">
        <v>46098</v>
      </c>
      <c r="B6194" s="24" t="s">
        <v>33</v>
      </c>
      <c r="C6194" s="21">
        <f>SUM(D6194:JT6194)</f>
        <v>-17.035</v>
      </c>
      <c r="BN6194" s="69">
        <v>-8.4649999999999999</v>
      </c>
      <c r="BT6194" s="69">
        <v>-8.57</v>
      </c>
    </row>
    <row r="6195" spans="1:224" x14ac:dyDescent="0.25">
      <c r="A6195" s="127">
        <v>46098</v>
      </c>
      <c r="B6195" s="24" t="s">
        <v>224</v>
      </c>
      <c r="C6195" s="21">
        <f>SUM(D6195:JT6195)</f>
        <v>-25.375</v>
      </c>
      <c r="AV6195" s="69">
        <v>-8.4450000000000003</v>
      </c>
      <c r="BH6195" s="69">
        <v>-8.49</v>
      </c>
      <c r="CF6195" s="69">
        <v>-8.44</v>
      </c>
    </row>
    <row r="6196" spans="1:224" x14ac:dyDescent="0.25">
      <c r="A6196" s="127">
        <v>46099</v>
      </c>
      <c r="B6196" s="24" t="s">
        <v>75</v>
      </c>
      <c r="C6196" s="21">
        <f t="shared" ref="C6196:C6197" si="117">SUM(D6196:JT6196)</f>
        <v>-8.4250000000000007</v>
      </c>
      <c r="BN6196" s="69">
        <v>-8.4250000000000007</v>
      </c>
    </row>
    <row r="6197" spans="1:224" x14ac:dyDescent="0.25">
      <c r="A6197" s="127">
        <v>46099</v>
      </c>
      <c r="B6197" s="24" t="s">
        <v>225</v>
      </c>
      <c r="C6197" s="21">
        <f t="shared" si="117"/>
        <v>-16.87</v>
      </c>
      <c r="BN6197" s="69">
        <v>-16.87</v>
      </c>
    </row>
    <row r="6198" spans="1:224" x14ac:dyDescent="0.25">
      <c r="A6198" s="127">
        <v>46105</v>
      </c>
      <c r="B6198" s="24" t="s">
        <v>115</v>
      </c>
      <c r="C6198" s="21">
        <f t="shared" si="116"/>
        <v>-281.01499999999999</v>
      </c>
      <c r="EG6198" s="74">
        <v>-281.01499999999999</v>
      </c>
    </row>
    <row r="6199" spans="1:224" x14ac:dyDescent="0.25">
      <c r="A6199" s="127">
        <v>46105</v>
      </c>
      <c r="B6199" s="24" t="s">
        <v>115</v>
      </c>
      <c r="C6199" s="21">
        <f t="shared" si="116"/>
        <v>443.34500000000003</v>
      </c>
      <c r="AZ6199" s="182">
        <v>33.86</v>
      </c>
      <c r="BF6199" s="182">
        <v>34.534999999999997</v>
      </c>
      <c r="BL6199" s="182">
        <v>69.34</v>
      </c>
      <c r="BR6199" s="182">
        <v>68.204999999999998</v>
      </c>
      <c r="BX6199" s="182">
        <v>69.844999999999999</v>
      </c>
      <c r="CD6199" s="182">
        <v>66.625</v>
      </c>
      <c r="CJ6199" s="182">
        <v>67.444999999999993</v>
      </c>
      <c r="CP6199" s="182">
        <v>33.49</v>
      </c>
    </row>
    <row r="6200" spans="1:224" x14ac:dyDescent="0.25">
      <c r="A6200" s="127">
        <v>46106</v>
      </c>
      <c r="B6200" s="24" t="s">
        <v>202</v>
      </c>
      <c r="C6200" s="21">
        <f t="shared" si="116"/>
        <v>-25.23</v>
      </c>
      <c r="D6200" s="386">
        <v>-8.39</v>
      </c>
      <c r="E6200" s="386">
        <v>-16.84</v>
      </c>
    </row>
    <row r="6201" spans="1:224" x14ac:dyDescent="0.25">
      <c r="A6201" s="127">
        <v>46106</v>
      </c>
      <c r="B6201" s="24" t="s">
        <v>169</v>
      </c>
      <c r="C6201" s="21">
        <f t="shared" si="116"/>
        <v>-25.02</v>
      </c>
      <c r="E6201" s="386">
        <v>-25.02</v>
      </c>
    </row>
    <row r="6202" spans="1:224" x14ac:dyDescent="0.25">
      <c r="A6202" s="127">
        <v>46106</v>
      </c>
      <c r="B6202" s="24" t="s">
        <v>37</v>
      </c>
      <c r="C6202" s="21">
        <f t="shared" si="116"/>
        <v>-109.995</v>
      </c>
      <c r="HF6202" s="92">
        <v>-58.564999999999998</v>
      </c>
      <c r="HP6202" s="92">
        <v>-51.43</v>
      </c>
    </row>
    <row r="6203" spans="1:224" x14ac:dyDescent="0.25">
      <c r="A6203" s="127">
        <v>46106</v>
      </c>
      <c r="B6203" s="24" t="s">
        <v>138</v>
      </c>
      <c r="C6203" s="21">
        <f t="shared" si="116"/>
        <v>-34.380000000000003</v>
      </c>
      <c r="BL6203" s="182">
        <v>-8.6950000000000003</v>
      </c>
      <c r="BR6203" s="182">
        <v>-8.6</v>
      </c>
      <c r="BX6203" s="182">
        <v>-8.44</v>
      </c>
      <c r="CS6203" s="74">
        <v>-8.6449999999999996</v>
      </c>
    </row>
    <row r="6204" spans="1:224" x14ac:dyDescent="0.25">
      <c r="A6204" s="127">
        <v>46106</v>
      </c>
      <c r="B6204" s="24" t="s">
        <v>224</v>
      </c>
      <c r="C6204" s="21">
        <f t="shared" si="116"/>
        <v>-33.994999999999997</v>
      </c>
      <c r="AZ6204" s="182">
        <v>-8.4149999999999991</v>
      </c>
      <c r="BF6204" s="182">
        <v>-8.5950000000000006</v>
      </c>
      <c r="CD6204" s="182">
        <v>-8.34</v>
      </c>
      <c r="CS6204" s="74">
        <v>-8.6449999999999996</v>
      </c>
    </row>
    <row r="6205" spans="1:224" x14ac:dyDescent="0.25">
      <c r="A6205" s="127">
        <v>46106</v>
      </c>
      <c r="B6205" s="24" t="s">
        <v>33</v>
      </c>
      <c r="C6205" s="21">
        <f t="shared" si="116"/>
        <v>-17.2</v>
      </c>
      <c r="AZ6205" s="182">
        <v>-8.4450000000000003</v>
      </c>
      <c r="BF6205" s="182">
        <v>-8.7550000000000008</v>
      </c>
    </row>
    <row r="6206" spans="1:224" x14ac:dyDescent="0.25">
      <c r="A6206" s="127">
        <v>46106</v>
      </c>
      <c r="B6206" s="24" t="s">
        <v>225</v>
      </c>
      <c r="C6206" s="21">
        <f t="shared" si="116"/>
        <v>-25.57</v>
      </c>
      <c r="BF6206" s="182">
        <v>-8.6199999999999992</v>
      </c>
      <c r="BL6206" s="182">
        <v>-8.6850000000000005</v>
      </c>
      <c r="BX6206" s="182">
        <v>-8.2650000000000006</v>
      </c>
    </row>
    <row r="6207" spans="1:224" x14ac:dyDescent="0.25">
      <c r="A6207" s="127">
        <v>46106</v>
      </c>
      <c r="B6207" s="24" t="s">
        <v>197</v>
      </c>
      <c r="C6207" s="21">
        <f t="shared" si="116"/>
        <v>-84.48</v>
      </c>
      <c r="BL6207" s="182">
        <v>-17.274999999999999</v>
      </c>
      <c r="BR6207" s="182">
        <v>-16.86</v>
      </c>
      <c r="CD6207" s="182">
        <v>-8.31</v>
      </c>
      <c r="CJ6207" s="182">
        <v>-16.824999999999999</v>
      </c>
      <c r="CP6207" s="182">
        <v>-16.79</v>
      </c>
      <c r="CR6207" s="69">
        <v>-8.42</v>
      </c>
    </row>
    <row r="6208" spans="1:224" x14ac:dyDescent="0.25">
      <c r="A6208" s="127">
        <v>46107</v>
      </c>
      <c r="B6208" s="24" t="s">
        <v>48</v>
      </c>
      <c r="C6208" s="21">
        <f t="shared" si="116"/>
        <v>-8.4649999999999999</v>
      </c>
      <c r="HF6208" s="92">
        <v>-8.4649999999999999</v>
      </c>
    </row>
    <row r="6209" spans="1:137" x14ac:dyDescent="0.25">
      <c r="A6209" s="127">
        <v>46107</v>
      </c>
      <c r="B6209" s="24" t="s">
        <v>192</v>
      </c>
      <c r="C6209" s="21">
        <f t="shared" si="116"/>
        <v>-2.4</v>
      </c>
      <c r="EG6209" s="74">
        <v>-2.4</v>
      </c>
    </row>
    <row r="6210" spans="1:137" x14ac:dyDescent="0.25">
      <c r="C6210" s="21">
        <f t="shared" si="116"/>
        <v>0</v>
      </c>
    </row>
    <row r="6211" spans="1:137" x14ac:dyDescent="0.25">
      <c r="C6211" s="21">
        <f t="shared" si="116"/>
        <v>0</v>
      </c>
    </row>
    <row r="6212" spans="1:137" x14ac:dyDescent="0.25">
      <c r="C6212" s="21">
        <f t="shared" si="116"/>
        <v>0</v>
      </c>
    </row>
    <row r="6213" spans="1:137" x14ac:dyDescent="0.25">
      <c r="C6213" s="21">
        <f t="shared" si="116"/>
        <v>0</v>
      </c>
    </row>
    <row r="6214" spans="1:137" x14ac:dyDescent="0.25">
      <c r="C6214" s="21">
        <f t="shared" si="116"/>
        <v>0</v>
      </c>
    </row>
    <row r="6215" spans="1:137" x14ac:dyDescent="0.25">
      <c r="C6215" s="21">
        <f t="shared" si="116"/>
        <v>0</v>
      </c>
    </row>
    <row r="6216" spans="1:137" x14ac:dyDescent="0.25">
      <c r="C6216" s="21">
        <f t="shared" si="116"/>
        <v>0</v>
      </c>
    </row>
    <row r="6217" spans="1:137" x14ac:dyDescent="0.25">
      <c r="C6217" s="21">
        <f t="shared" si="116"/>
        <v>0</v>
      </c>
    </row>
    <row r="6218" spans="1:137" x14ac:dyDescent="0.25">
      <c r="C6218" s="21">
        <f t="shared" si="116"/>
        <v>0</v>
      </c>
    </row>
    <row r="6219" spans="1:137" x14ac:dyDescent="0.25">
      <c r="C6219" s="21">
        <f t="shared" si="116"/>
        <v>0</v>
      </c>
    </row>
    <row r="6220" spans="1:137" x14ac:dyDescent="0.25">
      <c r="C6220" s="21">
        <f t="shared" si="116"/>
        <v>0</v>
      </c>
    </row>
    <row r="6221" spans="1:137" x14ac:dyDescent="0.25">
      <c r="C6221" s="21">
        <f t="shared" si="116"/>
        <v>0</v>
      </c>
    </row>
    <row r="6222" spans="1:137" x14ac:dyDescent="0.25">
      <c r="C6222" s="21">
        <f t="shared" si="116"/>
        <v>0</v>
      </c>
    </row>
    <row r="6223" spans="1:137" x14ac:dyDescent="0.25">
      <c r="C6223" s="21">
        <f t="shared" si="116"/>
        <v>0</v>
      </c>
    </row>
    <row r="6224" spans="1:137" x14ac:dyDescent="0.25">
      <c r="C6224" s="21">
        <f t="shared" si="116"/>
        <v>0</v>
      </c>
    </row>
    <row r="6225" spans="3:3" x14ac:dyDescent="0.25">
      <c r="C6225" s="21">
        <f t="shared" si="116"/>
        <v>0</v>
      </c>
    </row>
    <row r="6226" spans="3:3" x14ac:dyDescent="0.25">
      <c r="C6226" s="21">
        <f t="shared" si="116"/>
        <v>0</v>
      </c>
    </row>
    <row r="6227" spans="3:3" x14ac:dyDescent="0.25">
      <c r="C6227" s="21">
        <f t="shared" si="116"/>
        <v>0</v>
      </c>
    </row>
    <row r="6228" spans="3:3" x14ac:dyDescent="0.25">
      <c r="C6228" s="21">
        <f t="shared" si="116"/>
        <v>0</v>
      </c>
    </row>
    <row r="6229" spans="3:3" x14ac:dyDescent="0.25">
      <c r="C6229" s="21">
        <f t="shared" si="116"/>
        <v>0</v>
      </c>
    </row>
    <row r="6230" spans="3:3" x14ac:dyDescent="0.25">
      <c r="C6230" s="21">
        <f t="shared" si="116"/>
        <v>0</v>
      </c>
    </row>
    <row r="6231" spans="3:3" x14ac:dyDescent="0.25">
      <c r="C6231" s="21">
        <f t="shared" si="116"/>
        <v>0</v>
      </c>
    </row>
    <row r="6232" spans="3:3" x14ac:dyDescent="0.25">
      <c r="C6232" s="21">
        <f t="shared" si="116"/>
        <v>0</v>
      </c>
    </row>
    <row r="6233" spans="3:3" x14ac:dyDescent="0.25">
      <c r="C6233" s="21">
        <f t="shared" si="116"/>
        <v>0</v>
      </c>
    </row>
    <row r="6234" spans="3:3" x14ac:dyDescent="0.25">
      <c r="C6234" s="21">
        <f t="shared" si="116"/>
        <v>0</v>
      </c>
    </row>
    <row r="6235" spans="3:3" x14ac:dyDescent="0.25">
      <c r="C6235" s="21">
        <f t="shared" si="116"/>
        <v>0</v>
      </c>
    </row>
    <row r="6236" spans="3:3" x14ac:dyDescent="0.25">
      <c r="C6236" s="21">
        <f t="shared" si="116"/>
        <v>0</v>
      </c>
    </row>
    <row r="6237" spans="3:3" x14ac:dyDescent="0.25">
      <c r="C6237" s="21">
        <f t="shared" si="116"/>
        <v>0</v>
      </c>
    </row>
    <row r="6238" spans="3:3" x14ac:dyDescent="0.25">
      <c r="C6238" s="21">
        <f t="shared" si="116"/>
        <v>0</v>
      </c>
    </row>
    <row r="6239" spans="3:3" x14ac:dyDescent="0.25">
      <c r="C6239" s="21">
        <f t="shared" si="116"/>
        <v>0</v>
      </c>
    </row>
    <row r="6240" spans="3:3" x14ac:dyDescent="0.25">
      <c r="C6240" s="21">
        <f t="shared" si="116"/>
        <v>0</v>
      </c>
    </row>
    <row r="6241" spans="3:3" x14ac:dyDescent="0.25">
      <c r="C6241" s="21">
        <f t="shared" si="116"/>
        <v>0</v>
      </c>
    </row>
    <row r="6242" spans="3:3" x14ac:dyDescent="0.25">
      <c r="C6242" s="21">
        <f t="shared" si="116"/>
        <v>0</v>
      </c>
    </row>
    <row r="6243" spans="3:3" x14ac:dyDescent="0.25">
      <c r="C6243" s="21">
        <f t="shared" si="116"/>
        <v>0</v>
      </c>
    </row>
    <row r="6244" spans="3:3" x14ac:dyDescent="0.25">
      <c r="C6244" s="21">
        <f t="shared" si="116"/>
        <v>0</v>
      </c>
    </row>
    <row r="6245" spans="3:3" x14ac:dyDescent="0.25">
      <c r="C6245" s="21">
        <f t="shared" si="116"/>
        <v>0</v>
      </c>
    </row>
    <row r="6246" spans="3:3" x14ac:dyDescent="0.25">
      <c r="C6246" s="21">
        <f t="shared" si="116"/>
        <v>0</v>
      </c>
    </row>
    <row r="6247" spans="3:3" x14ac:dyDescent="0.25">
      <c r="C6247" s="21">
        <f t="shared" si="116"/>
        <v>0</v>
      </c>
    </row>
    <row r="6248" spans="3:3" x14ac:dyDescent="0.25">
      <c r="C6248" s="21">
        <f t="shared" si="116"/>
        <v>0</v>
      </c>
    </row>
    <row r="6249" spans="3:3" x14ac:dyDescent="0.25">
      <c r="C6249" s="21">
        <f t="shared" si="116"/>
        <v>0</v>
      </c>
    </row>
    <row r="6250" spans="3:3" x14ac:dyDescent="0.25">
      <c r="C6250" s="21">
        <f t="shared" si="116"/>
        <v>0</v>
      </c>
    </row>
    <row r="6251" spans="3:3" x14ac:dyDescent="0.25">
      <c r="C6251" s="21">
        <f t="shared" si="116"/>
        <v>0</v>
      </c>
    </row>
    <row r="6252" spans="3:3" x14ac:dyDescent="0.25">
      <c r="C6252" s="21">
        <f t="shared" si="116"/>
        <v>0</v>
      </c>
    </row>
    <row r="6253" spans="3:3" x14ac:dyDescent="0.25">
      <c r="C6253" s="21">
        <f t="shared" si="116"/>
        <v>0</v>
      </c>
    </row>
    <row r="6254" spans="3:3" x14ac:dyDescent="0.25">
      <c r="C6254" s="21">
        <f t="shared" si="116"/>
        <v>0</v>
      </c>
    </row>
    <row r="6255" spans="3:3" x14ac:dyDescent="0.25">
      <c r="C6255" s="21">
        <f t="shared" ref="C6255:C6318" si="118">SUM(D6255:JT6255)</f>
        <v>0</v>
      </c>
    </row>
    <row r="6256" spans="3:3" x14ac:dyDescent="0.25">
      <c r="C6256" s="21">
        <f t="shared" si="118"/>
        <v>0</v>
      </c>
    </row>
    <row r="6257" spans="3:3" x14ac:dyDescent="0.25">
      <c r="C6257" s="21">
        <f t="shared" si="118"/>
        <v>0</v>
      </c>
    </row>
    <row r="6258" spans="3:3" x14ac:dyDescent="0.25">
      <c r="C6258" s="21">
        <f t="shared" si="118"/>
        <v>0</v>
      </c>
    </row>
    <row r="6259" spans="3:3" x14ac:dyDescent="0.25">
      <c r="C6259" s="21">
        <f t="shared" si="118"/>
        <v>0</v>
      </c>
    </row>
    <row r="6260" spans="3:3" x14ac:dyDescent="0.25">
      <c r="C6260" s="21">
        <f t="shared" si="118"/>
        <v>0</v>
      </c>
    </row>
    <row r="6261" spans="3:3" x14ac:dyDescent="0.25">
      <c r="C6261" s="21">
        <f t="shared" si="118"/>
        <v>0</v>
      </c>
    </row>
    <row r="6262" spans="3:3" x14ac:dyDescent="0.25">
      <c r="C6262" s="21">
        <f t="shared" si="118"/>
        <v>0</v>
      </c>
    </row>
    <row r="6263" spans="3:3" x14ac:dyDescent="0.25">
      <c r="C6263" s="21">
        <f t="shared" si="118"/>
        <v>0</v>
      </c>
    </row>
    <row r="6264" spans="3:3" x14ac:dyDescent="0.25">
      <c r="C6264" s="21">
        <f t="shared" si="118"/>
        <v>0</v>
      </c>
    </row>
    <row r="6265" spans="3:3" x14ac:dyDescent="0.25">
      <c r="C6265" s="21">
        <f t="shared" si="118"/>
        <v>0</v>
      </c>
    </row>
    <row r="6266" spans="3:3" x14ac:dyDescent="0.25">
      <c r="C6266" s="21">
        <f t="shared" si="118"/>
        <v>0</v>
      </c>
    </row>
    <row r="6267" spans="3:3" x14ac:dyDescent="0.25">
      <c r="C6267" s="21">
        <f t="shared" si="118"/>
        <v>0</v>
      </c>
    </row>
    <row r="6268" spans="3:3" x14ac:dyDescent="0.25">
      <c r="C6268" s="21">
        <f t="shared" si="118"/>
        <v>0</v>
      </c>
    </row>
    <row r="6269" spans="3:3" x14ac:dyDescent="0.25">
      <c r="C6269" s="21">
        <f t="shared" si="118"/>
        <v>0</v>
      </c>
    </row>
    <row r="6270" spans="3:3" x14ac:dyDescent="0.25">
      <c r="C6270" s="21">
        <f t="shared" si="118"/>
        <v>0</v>
      </c>
    </row>
    <row r="6271" spans="3:3" x14ac:dyDescent="0.25">
      <c r="C6271" s="21">
        <f t="shared" si="118"/>
        <v>0</v>
      </c>
    </row>
    <row r="6272" spans="3:3" x14ac:dyDescent="0.25">
      <c r="C6272" s="21">
        <f t="shared" si="118"/>
        <v>0</v>
      </c>
    </row>
    <row r="6273" spans="3:3" x14ac:dyDescent="0.25">
      <c r="C6273" s="21">
        <f t="shared" si="118"/>
        <v>0</v>
      </c>
    </row>
    <row r="6274" spans="3:3" x14ac:dyDescent="0.25">
      <c r="C6274" s="21">
        <f t="shared" si="118"/>
        <v>0</v>
      </c>
    </row>
    <row r="6275" spans="3:3" x14ac:dyDescent="0.25">
      <c r="C6275" s="21">
        <f t="shared" si="118"/>
        <v>0</v>
      </c>
    </row>
    <row r="6276" spans="3:3" x14ac:dyDescent="0.25">
      <c r="C6276" s="21">
        <f t="shared" si="118"/>
        <v>0</v>
      </c>
    </row>
    <row r="6277" spans="3:3" x14ac:dyDescent="0.25">
      <c r="C6277" s="21">
        <f t="shared" si="118"/>
        <v>0</v>
      </c>
    </row>
    <row r="6278" spans="3:3" x14ac:dyDescent="0.25">
      <c r="C6278" s="21">
        <f t="shared" si="118"/>
        <v>0</v>
      </c>
    </row>
    <row r="6279" spans="3:3" x14ac:dyDescent="0.25">
      <c r="C6279" s="21">
        <f t="shared" si="118"/>
        <v>0</v>
      </c>
    </row>
    <row r="6280" spans="3:3" x14ac:dyDescent="0.25">
      <c r="C6280" s="21">
        <f t="shared" si="118"/>
        <v>0</v>
      </c>
    </row>
    <row r="6281" spans="3:3" x14ac:dyDescent="0.25">
      <c r="C6281" s="21">
        <f t="shared" si="118"/>
        <v>0</v>
      </c>
    </row>
    <row r="6282" spans="3:3" x14ac:dyDescent="0.25">
      <c r="C6282" s="21">
        <f t="shared" si="118"/>
        <v>0</v>
      </c>
    </row>
    <row r="6283" spans="3:3" x14ac:dyDescent="0.25">
      <c r="C6283" s="21">
        <f t="shared" si="118"/>
        <v>0</v>
      </c>
    </row>
    <row r="6284" spans="3:3" x14ac:dyDescent="0.25">
      <c r="C6284" s="21">
        <f t="shared" si="118"/>
        <v>0</v>
      </c>
    </row>
    <row r="6285" spans="3:3" x14ac:dyDescent="0.25">
      <c r="C6285" s="21">
        <f t="shared" si="118"/>
        <v>0</v>
      </c>
    </row>
    <row r="6286" spans="3:3" x14ac:dyDescent="0.25">
      <c r="C6286" s="21">
        <f t="shared" si="118"/>
        <v>0</v>
      </c>
    </row>
    <row r="6287" spans="3:3" x14ac:dyDescent="0.25">
      <c r="C6287" s="21">
        <f t="shared" si="118"/>
        <v>0</v>
      </c>
    </row>
    <row r="6288" spans="3:3" x14ac:dyDescent="0.25">
      <c r="C6288" s="21">
        <f t="shared" si="118"/>
        <v>0</v>
      </c>
    </row>
    <row r="6289" spans="3:3" x14ac:dyDescent="0.25">
      <c r="C6289" s="21">
        <f t="shared" si="118"/>
        <v>0</v>
      </c>
    </row>
    <row r="6290" spans="3:3" x14ac:dyDescent="0.25">
      <c r="C6290" s="21">
        <f t="shared" si="118"/>
        <v>0</v>
      </c>
    </row>
    <row r="6291" spans="3:3" x14ac:dyDescent="0.25">
      <c r="C6291" s="21">
        <f t="shared" si="118"/>
        <v>0</v>
      </c>
    </row>
    <row r="6292" spans="3:3" x14ac:dyDescent="0.25">
      <c r="C6292" s="21">
        <f t="shared" si="118"/>
        <v>0</v>
      </c>
    </row>
    <row r="6293" spans="3:3" x14ac:dyDescent="0.25">
      <c r="C6293" s="21">
        <f t="shared" si="118"/>
        <v>0</v>
      </c>
    </row>
    <row r="6294" spans="3:3" x14ac:dyDescent="0.25">
      <c r="C6294" s="21">
        <f t="shared" si="118"/>
        <v>0</v>
      </c>
    </row>
    <row r="6295" spans="3:3" x14ac:dyDescent="0.25">
      <c r="C6295" s="21">
        <f t="shared" si="118"/>
        <v>0</v>
      </c>
    </row>
    <row r="6296" spans="3:3" x14ac:dyDescent="0.25">
      <c r="C6296" s="21">
        <f t="shared" si="118"/>
        <v>0</v>
      </c>
    </row>
    <row r="6297" spans="3:3" x14ac:dyDescent="0.25">
      <c r="C6297" s="21">
        <f t="shared" si="118"/>
        <v>0</v>
      </c>
    </row>
    <row r="6298" spans="3:3" x14ac:dyDescent="0.25">
      <c r="C6298" s="21">
        <f t="shared" si="118"/>
        <v>0</v>
      </c>
    </row>
    <row r="6299" spans="3:3" x14ac:dyDescent="0.25">
      <c r="C6299" s="21">
        <f t="shared" si="118"/>
        <v>0</v>
      </c>
    </row>
    <row r="6300" spans="3:3" x14ac:dyDescent="0.25">
      <c r="C6300" s="21">
        <f t="shared" si="118"/>
        <v>0</v>
      </c>
    </row>
    <row r="6301" spans="3:3" x14ac:dyDescent="0.25">
      <c r="C6301" s="21">
        <f t="shared" si="118"/>
        <v>0</v>
      </c>
    </row>
    <row r="6302" spans="3:3" x14ac:dyDescent="0.25">
      <c r="C6302" s="21">
        <f t="shared" si="118"/>
        <v>0</v>
      </c>
    </row>
    <row r="6303" spans="3:3" x14ac:dyDescent="0.25">
      <c r="C6303" s="21">
        <f t="shared" si="118"/>
        <v>0</v>
      </c>
    </row>
    <row r="6304" spans="3:3" x14ac:dyDescent="0.25">
      <c r="C6304" s="21">
        <f t="shared" si="118"/>
        <v>0</v>
      </c>
    </row>
    <row r="6305" spans="3:3" x14ac:dyDescent="0.25">
      <c r="C6305" s="21">
        <f t="shared" si="118"/>
        <v>0</v>
      </c>
    </row>
    <row r="6306" spans="3:3" x14ac:dyDescent="0.25">
      <c r="C6306" s="21">
        <f t="shared" si="118"/>
        <v>0</v>
      </c>
    </row>
    <row r="6307" spans="3:3" x14ac:dyDescent="0.25">
      <c r="C6307" s="21">
        <f t="shared" si="118"/>
        <v>0</v>
      </c>
    </row>
    <row r="6308" spans="3:3" x14ac:dyDescent="0.25">
      <c r="C6308" s="21">
        <f t="shared" si="118"/>
        <v>0</v>
      </c>
    </row>
    <row r="6309" spans="3:3" x14ac:dyDescent="0.25">
      <c r="C6309" s="21">
        <f t="shared" si="118"/>
        <v>0</v>
      </c>
    </row>
    <row r="6310" spans="3:3" x14ac:dyDescent="0.25">
      <c r="C6310" s="21">
        <f t="shared" si="118"/>
        <v>0</v>
      </c>
    </row>
    <row r="6311" spans="3:3" x14ac:dyDescent="0.25">
      <c r="C6311" s="21">
        <f t="shared" si="118"/>
        <v>0</v>
      </c>
    </row>
    <row r="6312" spans="3:3" x14ac:dyDescent="0.25">
      <c r="C6312" s="21">
        <f t="shared" si="118"/>
        <v>0</v>
      </c>
    </row>
    <row r="6313" spans="3:3" x14ac:dyDescent="0.25">
      <c r="C6313" s="21">
        <f t="shared" si="118"/>
        <v>0</v>
      </c>
    </row>
    <row r="6314" spans="3:3" x14ac:dyDescent="0.25">
      <c r="C6314" s="21">
        <f t="shared" si="118"/>
        <v>0</v>
      </c>
    </row>
    <row r="6315" spans="3:3" x14ac:dyDescent="0.25">
      <c r="C6315" s="21">
        <f t="shared" si="118"/>
        <v>0</v>
      </c>
    </row>
    <row r="6316" spans="3:3" x14ac:dyDescent="0.25">
      <c r="C6316" s="21">
        <f t="shared" si="118"/>
        <v>0</v>
      </c>
    </row>
    <row r="6317" spans="3:3" x14ac:dyDescent="0.25">
      <c r="C6317" s="21">
        <f t="shared" si="118"/>
        <v>0</v>
      </c>
    </row>
    <row r="6318" spans="3:3" x14ac:dyDescent="0.25">
      <c r="C6318" s="21">
        <f t="shared" si="118"/>
        <v>0</v>
      </c>
    </row>
    <row r="6319" spans="3:3" x14ac:dyDescent="0.25">
      <c r="C6319" s="21">
        <f t="shared" ref="C6319:C6382" si="119">SUM(D6319:JT6319)</f>
        <v>0</v>
      </c>
    </row>
    <row r="6320" spans="3:3" x14ac:dyDescent="0.25">
      <c r="C6320" s="21">
        <f t="shared" si="119"/>
        <v>0</v>
      </c>
    </row>
    <row r="6321" spans="3:3" x14ac:dyDescent="0.25">
      <c r="C6321" s="21">
        <f t="shared" si="119"/>
        <v>0</v>
      </c>
    </row>
    <row r="6322" spans="3:3" x14ac:dyDescent="0.25">
      <c r="C6322" s="21">
        <f t="shared" si="119"/>
        <v>0</v>
      </c>
    </row>
    <row r="6323" spans="3:3" x14ac:dyDescent="0.25">
      <c r="C6323" s="21">
        <f t="shared" si="119"/>
        <v>0</v>
      </c>
    </row>
    <row r="6324" spans="3:3" x14ac:dyDescent="0.25">
      <c r="C6324" s="21">
        <f t="shared" si="119"/>
        <v>0</v>
      </c>
    </row>
    <row r="6325" spans="3:3" x14ac:dyDescent="0.25">
      <c r="C6325" s="21">
        <f t="shared" si="119"/>
        <v>0</v>
      </c>
    </row>
    <row r="6326" spans="3:3" x14ac:dyDescent="0.25">
      <c r="C6326" s="21">
        <f t="shared" si="119"/>
        <v>0</v>
      </c>
    </row>
    <row r="6327" spans="3:3" x14ac:dyDescent="0.25">
      <c r="C6327" s="21">
        <f t="shared" si="119"/>
        <v>0</v>
      </c>
    </row>
    <row r="6328" spans="3:3" x14ac:dyDescent="0.25">
      <c r="C6328" s="21">
        <f t="shared" si="119"/>
        <v>0</v>
      </c>
    </row>
    <row r="6329" spans="3:3" x14ac:dyDescent="0.25">
      <c r="C6329" s="21">
        <f t="shared" si="119"/>
        <v>0</v>
      </c>
    </row>
    <row r="6330" spans="3:3" x14ac:dyDescent="0.25">
      <c r="C6330" s="21">
        <f t="shared" si="119"/>
        <v>0</v>
      </c>
    </row>
    <row r="6331" spans="3:3" x14ac:dyDescent="0.25">
      <c r="C6331" s="21">
        <f t="shared" si="119"/>
        <v>0</v>
      </c>
    </row>
    <row r="6332" spans="3:3" x14ac:dyDescent="0.25">
      <c r="C6332" s="21">
        <f t="shared" si="119"/>
        <v>0</v>
      </c>
    </row>
    <row r="6333" spans="3:3" x14ac:dyDescent="0.25">
      <c r="C6333" s="21">
        <f t="shared" si="119"/>
        <v>0</v>
      </c>
    </row>
    <row r="6334" spans="3:3" x14ac:dyDescent="0.25">
      <c r="C6334" s="21">
        <f t="shared" si="119"/>
        <v>0</v>
      </c>
    </row>
    <row r="6335" spans="3:3" x14ac:dyDescent="0.25">
      <c r="C6335" s="21">
        <f t="shared" si="119"/>
        <v>0</v>
      </c>
    </row>
    <row r="6336" spans="3:3" x14ac:dyDescent="0.25">
      <c r="C6336" s="21">
        <f t="shared" si="119"/>
        <v>0</v>
      </c>
    </row>
    <row r="6337" spans="3:3" x14ac:dyDescent="0.25">
      <c r="C6337" s="21">
        <f t="shared" si="119"/>
        <v>0</v>
      </c>
    </row>
    <row r="6338" spans="3:3" x14ac:dyDescent="0.25">
      <c r="C6338" s="21">
        <f t="shared" si="119"/>
        <v>0</v>
      </c>
    </row>
    <row r="6339" spans="3:3" x14ac:dyDescent="0.25">
      <c r="C6339" s="21">
        <f t="shared" si="119"/>
        <v>0</v>
      </c>
    </row>
    <row r="6340" spans="3:3" x14ac:dyDescent="0.25">
      <c r="C6340" s="21">
        <f t="shared" si="119"/>
        <v>0</v>
      </c>
    </row>
    <row r="6341" spans="3:3" x14ac:dyDescent="0.25">
      <c r="C6341" s="21">
        <f t="shared" si="119"/>
        <v>0</v>
      </c>
    </row>
    <row r="6342" spans="3:3" x14ac:dyDescent="0.25">
      <c r="C6342" s="21">
        <f t="shared" si="119"/>
        <v>0</v>
      </c>
    </row>
    <row r="6343" spans="3:3" x14ac:dyDescent="0.25">
      <c r="C6343" s="21">
        <f t="shared" si="119"/>
        <v>0</v>
      </c>
    </row>
    <row r="6344" spans="3:3" x14ac:dyDescent="0.25">
      <c r="C6344" s="21">
        <f t="shared" si="119"/>
        <v>0</v>
      </c>
    </row>
    <row r="6345" spans="3:3" x14ac:dyDescent="0.25">
      <c r="C6345" s="21">
        <f t="shared" si="119"/>
        <v>0</v>
      </c>
    </row>
    <row r="6346" spans="3:3" x14ac:dyDescent="0.25">
      <c r="C6346" s="21">
        <f t="shared" si="119"/>
        <v>0</v>
      </c>
    </row>
    <row r="6347" spans="3:3" x14ac:dyDescent="0.25">
      <c r="C6347" s="21">
        <f t="shared" si="119"/>
        <v>0</v>
      </c>
    </row>
    <row r="6348" spans="3:3" x14ac:dyDescent="0.25">
      <c r="C6348" s="21">
        <f t="shared" si="119"/>
        <v>0</v>
      </c>
    </row>
    <row r="6349" spans="3:3" x14ac:dyDescent="0.25">
      <c r="C6349" s="21">
        <f t="shared" si="119"/>
        <v>0</v>
      </c>
    </row>
    <row r="6350" spans="3:3" x14ac:dyDescent="0.25">
      <c r="C6350" s="21">
        <f t="shared" si="119"/>
        <v>0</v>
      </c>
    </row>
    <row r="6351" spans="3:3" x14ac:dyDescent="0.25">
      <c r="C6351" s="21">
        <f t="shared" si="119"/>
        <v>0</v>
      </c>
    </row>
    <row r="6352" spans="3:3" x14ac:dyDescent="0.25">
      <c r="C6352" s="21">
        <f t="shared" si="119"/>
        <v>0</v>
      </c>
    </row>
    <row r="6353" spans="3:3" x14ac:dyDescent="0.25">
      <c r="C6353" s="21">
        <f t="shared" si="119"/>
        <v>0</v>
      </c>
    </row>
    <row r="6354" spans="3:3" x14ac:dyDescent="0.25">
      <c r="C6354" s="21">
        <f t="shared" si="119"/>
        <v>0</v>
      </c>
    </row>
    <row r="6355" spans="3:3" x14ac:dyDescent="0.25">
      <c r="C6355" s="21">
        <f t="shared" si="119"/>
        <v>0</v>
      </c>
    </row>
    <row r="6356" spans="3:3" x14ac:dyDescent="0.25">
      <c r="C6356" s="21">
        <f t="shared" si="119"/>
        <v>0</v>
      </c>
    </row>
    <row r="6357" spans="3:3" x14ac:dyDescent="0.25">
      <c r="C6357" s="21">
        <f t="shared" si="119"/>
        <v>0</v>
      </c>
    </row>
    <row r="6358" spans="3:3" x14ac:dyDescent="0.25">
      <c r="C6358" s="21">
        <f t="shared" si="119"/>
        <v>0</v>
      </c>
    </row>
    <row r="6359" spans="3:3" x14ac:dyDescent="0.25">
      <c r="C6359" s="21">
        <f t="shared" si="119"/>
        <v>0</v>
      </c>
    </row>
    <row r="6360" spans="3:3" x14ac:dyDescent="0.25">
      <c r="C6360" s="21">
        <f t="shared" si="119"/>
        <v>0</v>
      </c>
    </row>
    <row r="6361" spans="3:3" x14ac:dyDescent="0.25">
      <c r="C6361" s="21">
        <f t="shared" si="119"/>
        <v>0</v>
      </c>
    </row>
    <row r="6362" spans="3:3" x14ac:dyDescent="0.25">
      <c r="C6362" s="21">
        <f t="shared" si="119"/>
        <v>0</v>
      </c>
    </row>
    <row r="6363" spans="3:3" x14ac:dyDescent="0.25">
      <c r="C6363" s="21">
        <f t="shared" si="119"/>
        <v>0</v>
      </c>
    </row>
    <row r="6364" spans="3:3" x14ac:dyDescent="0.25">
      <c r="C6364" s="21">
        <f t="shared" si="119"/>
        <v>0</v>
      </c>
    </row>
    <row r="6365" spans="3:3" x14ac:dyDescent="0.25">
      <c r="C6365" s="21">
        <f t="shared" si="119"/>
        <v>0</v>
      </c>
    </row>
    <row r="6366" spans="3:3" x14ac:dyDescent="0.25">
      <c r="C6366" s="21">
        <f t="shared" si="119"/>
        <v>0</v>
      </c>
    </row>
    <row r="6367" spans="3:3" x14ac:dyDescent="0.25">
      <c r="C6367" s="21">
        <f t="shared" si="119"/>
        <v>0</v>
      </c>
    </row>
    <row r="6368" spans="3:3" x14ac:dyDescent="0.25">
      <c r="C6368" s="21">
        <f t="shared" si="119"/>
        <v>0</v>
      </c>
    </row>
    <row r="6369" spans="3:3" x14ac:dyDescent="0.25">
      <c r="C6369" s="21">
        <f t="shared" si="119"/>
        <v>0</v>
      </c>
    </row>
    <row r="6370" spans="3:3" x14ac:dyDescent="0.25">
      <c r="C6370" s="21">
        <f t="shared" si="119"/>
        <v>0</v>
      </c>
    </row>
    <row r="6371" spans="3:3" x14ac:dyDescent="0.25">
      <c r="C6371" s="21">
        <f t="shared" si="119"/>
        <v>0</v>
      </c>
    </row>
    <row r="6372" spans="3:3" x14ac:dyDescent="0.25">
      <c r="C6372" s="21">
        <f t="shared" si="119"/>
        <v>0</v>
      </c>
    </row>
    <row r="6373" spans="3:3" x14ac:dyDescent="0.25">
      <c r="C6373" s="21">
        <f t="shared" si="119"/>
        <v>0</v>
      </c>
    </row>
    <row r="6374" spans="3:3" x14ac:dyDescent="0.25">
      <c r="C6374" s="21">
        <f t="shared" si="119"/>
        <v>0</v>
      </c>
    </row>
    <row r="6375" spans="3:3" x14ac:dyDescent="0.25">
      <c r="C6375" s="21">
        <f t="shared" si="119"/>
        <v>0</v>
      </c>
    </row>
    <row r="6376" spans="3:3" x14ac:dyDescent="0.25">
      <c r="C6376" s="21">
        <f t="shared" si="119"/>
        <v>0</v>
      </c>
    </row>
    <row r="6377" spans="3:3" x14ac:dyDescent="0.25">
      <c r="C6377" s="21">
        <f t="shared" si="119"/>
        <v>0</v>
      </c>
    </row>
    <row r="6378" spans="3:3" x14ac:dyDescent="0.25">
      <c r="C6378" s="21">
        <f t="shared" si="119"/>
        <v>0</v>
      </c>
    </row>
    <row r="6379" spans="3:3" x14ac:dyDescent="0.25">
      <c r="C6379" s="21">
        <f t="shared" si="119"/>
        <v>0</v>
      </c>
    </row>
    <row r="6380" spans="3:3" x14ac:dyDescent="0.25">
      <c r="C6380" s="21">
        <f t="shared" si="119"/>
        <v>0</v>
      </c>
    </row>
    <row r="6381" spans="3:3" x14ac:dyDescent="0.25">
      <c r="C6381" s="21">
        <f t="shared" si="119"/>
        <v>0</v>
      </c>
    </row>
    <row r="6382" spans="3:3" x14ac:dyDescent="0.25">
      <c r="C6382" s="21">
        <f t="shared" si="119"/>
        <v>0</v>
      </c>
    </row>
    <row r="6383" spans="3:3" x14ac:dyDescent="0.25">
      <c r="C6383" s="21">
        <f t="shared" ref="C6383:C6446" si="120">SUM(D6383:JT6383)</f>
        <v>0</v>
      </c>
    </row>
    <row r="6384" spans="3:3" x14ac:dyDescent="0.25">
      <c r="C6384" s="21">
        <f t="shared" si="120"/>
        <v>0</v>
      </c>
    </row>
    <row r="6385" spans="3:3" x14ac:dyDescent="0.25">
      <c r="C6385" s="21">
        <f t="shared" si="120"/>
        <v>0</v>
      </c>
    </row>
    <row r="6386" spans="3:3" x14ac:dyDescent="0.25">
      <c r="C6386" s="21">
        <f t="shared" si="120"/>
        <v>0</v>
      </c>
    </row>
    <row r="6387" spans="3:3" x14ac:dyDescent="0.25">
      <c r="C6387" s="21">
        <f t="shared" si="120"/>
        <v>0</v>
      </c>
    </row>
    <row r="6388" spans="3:3" x14ac:dyDescent="0.25">
      <c r="C6388" s="21">
        <f t="shared" si="120"/>
        <v>0</v>
      </c>
    </row>
    <row r="6389" spans="3:3" x14ac:dyDescent="0.25">
      <c r="C6389" s="21">
        <f t="shared" si="120"/>
        <v>0</v>
      </c>
    </row>
    <row r="6390" spans="3:3" x14ac:dyDescent="0.25">
      <c r="C6390" s="21">
        <f t="shared" si="120"/>
        <v>0</v>
      </c>
    </row>
    <row r="6391" spans="3:3" x14ac:dyDescent="0.25">
      <c r="C6391" s="21">
        <f t="shared" si="120"/>
        <v>0</v>
      </c>
    </row>
    <row r="6392" spans="3:3" x14ac:dyDescent="0.25">
      <c r="C6392" s="21">
        <f t="shared" si="120"/>
        <v>0</v>
      </c>
    </row>
    <row r="6393" spans="3:3" x14ac:dyDescent="0.25">
      <c r="C6393" s="21">
        <f t="shared" si="120"/>
        <v>0</v>
      </c>
    </row>
    <row r="6394" spans="3:3" x14ac:dyDescent="0.25">
      <c r="C6394" s="21">
        <f t="shared" si="120"/>
        <v>0</v>
      </c>
    </row>
    <row r="6395" spans="3:3" x14ac:dyDescent="0.25">
      <c r="C6395" s="21">
        <f t="shared" si="120"/>
        <v>0</v>
      </c>
    </row>
    <row r="6396" spans="3:3" x14ac:dyDescent="0.25">
      <c r="C6396" s="21">
        <f t="shared" si="120"/>
        <v>0</v>
      </c>
    </row>
    <row r="6397" spans="3:3" x14ac:dyDescent="0.25">
      <c r="C6397" s="21">
        <f t="shared" si="120"/>
        <v>0</v>
      </c>
    </row>
    <row r="6398" spans="3:3" x14ac:dyDescent="0.25">
      <c r="C6398" s="21">
        <f t="shared" si="120"/>
        <v>0</v>
      </c>
    </row>
    <row r="6399" spans="3:3" x14ac:dyDescent="0.25">
      <c r="C6399" s="21">
        <f t="shared" si="120"/>
        <v>0</v>
      </c>
    </row>
    <row r="6400" spans="3:3" x14ac:dyDescent="0.25">
      <c r="C6400" s="21">
        <f t="shared" si="120"/>
        <v>0</v>
      </c>
    </row>
    <row r="6401" spans="3:3" x14ac:dyDescent="0.25">
      <c r="C6401" s="21">
        <f t="shared" si="120"/>
        <v>0</v>
      </c>
    </row>
    <row r="6402" spans="3:3" x14ac:dyDescent="0.25">
      <c r="C6402" s="21">
        <f t="shared" si="120"/>
        <v>0</v>
      </c>
    </row>
    <row r="6403" spans="3:3" x14ac:dyDescent="0.25">
      <c r="C6403" s="21">
        <f t="shared" si="120"/>
        <v>0</v>
      </c>
    </row>
    <row r="6404" spans="3:3" x14ac:dyDescent="0.25">
      <c r="C6404" s="21">
        <f t="shared" si="120"/>
        <v>0</v>
      </c>
    </row>
    <row r="6405" spans="3:3" x14ac:dyDescent="0.25">
      <c r="C6405" s="21">
        <f t="shared" si="120"/>
        <v>0</v>
      </c>
    </row>
    <row r="6406" spans="3:3" x14ac:dyDescent="0.25">
      <c r="C6406" s="21">
        <f t="shared" si="120"/>
        <v>0</v>
      </c>
    </row>
    <row r="6407" spans="3:3" x14ac:dyDescent="0.25">
      <c r="C6407" s="21">
        <f t="shared" si="120"/>
        <v>0</v>
      </c>
    </row>
    <row r="6408" spans="3:3" x14ac:dyDescent="0.25">
      <c r="C6408" s="21">
        <f t="shared" si="120"/>
        <v>0</v>
      </c>
    </row>
    <row r="6409" spans="3:3" x14ac:dyDescent="0.25">
      <c r="C6409" s="21">
        <f t="shared" si="120"/>
        <v>0</v>
      </c>
    </row>
    <row r="6410" spans="3:3" x14ac:dyDescent="0.25">
      <c r="C6410" s="21">
        <f t="shared" si="120"/>
        <v>0</v>
      </c>
    </row>
    <row r="6411" spans="3:3" x14ac:dyDescent="0.25">
      <c r="C6411" s="21">
        <f t="shared" si="120"/>
        <v>0</v>
      </c>
    </row>
    <row r="6412" spans="3:3" x14ac:dyDescent="0.25">
      <c r="C6412" s="21">
        <f t="shared" si="120"/>
        <v>0</v>
      </c>
    </row>
    <row r="6413" spans="3:3" x14ac:dyDescent="0.25">
      <c r="C6413" s="21">
        <f t="shared" si="120"/>
        <v>0</v>
      </c>
    </row>
    <row r="6414" spans="3:3" x14ac:dyDescent="0.25">
      <c r="C6414" s="21">
        <f t="shared" si="120"/>
        <v>0</v>
      </c>
    </row>
    <row r="6415" spans="3:3" x14ac:dyDescent="0.25">
      <c r="C6415" s="21">
        <f t="shared" si="120"/>
        <v>0</v>
      </c>
    </row>
    <row r="6416" spans="3:3" x14ac:dyDescent="0.25">
      <c r="C6416" s="21">
        <f t="shared" si="120"/>
        <v>0</v>
      </c>
    </row>
    <row r="6417" spans="3:3" x14ac:dyDescent="0.25">
      <c r="C6417" s="21">
        <f t="shared" si="120"/>
        <v>0</v>
      </c>
    </row>
    <row r="6418" spans="3:3" x14ac:dyDescent="0.25">
      <c r="C6418" s="21">
        <f t="shared" si="120"/>
        <v>0</v>
      </c>
    </row>
    <row r="6419" spans="3:3" x14ac:dyDescent="0.25">
      <c r="C6419" s="21">
        <f t="shared" si="120"/>
        <v>0</v>
      </c>
    </row>
    <row r="6420" spans="3:3" x14ac:dyDescent="0.25">
      <c r="C6420" s="21">
        <f t="shared" si="120"/>
        <v>0</v>
      </c>
    </row>
    <row r="6421" spans="3:3" x14ac:dyDescent="0.25">
      <c r="C6421" s="21">
        <f t="shared" si="120"/>
        <v>0</v>
      </c>
    </row>
    <row r="6422" spans="3:3" x14ac:dyDescent="0.25">
      <c r="C6422" s="21">
        <f t="shared" si="120"/>
        <v>0</v>
      </c>
    </row>
    <row r="6423" spans="3:3" x14ac:dyDescent="0.25">
      <c r="C6423" s="21">
        <f t="shared" si="120"/>
        <v>0</v>
      </c>
    </row>
    <row r="6424" spans="3:3" x14ac:dyDescent="0.25">
      <c r="C6424" s="21">
        <f t="shared" si="120"/>
        <v>0</v>
      </c>
    </row>
    <row r="6425" spans="3:3" x14ac:dyDescent="0.25">
      <c r="C6425" s="21">
        <f t="shared" si="120"/>
        <v>0</v>
      </c>
    </row>
    <row r="6426" spans="3:3" x14ac:dyDescent="0.25">
      <c r="C6426" s="21">
        <f t="shared" si="120"/>
        <v>0</v>
      </c>
    </row>
    <row r="6427" spans="3:3" x14ac:dyDescent="0.25">
      <c r="C6427" s="21">
        <f t="shared" si="120"/>
        <v>0</v>
      </c>
    </row>
    <row r="6428" spans="3:3" x14ac:dyDescent="0.25">
      <c r="C6428" s="21">
        <f t="shared" si="120"/>
        <v>0</v>
      </c>
    </row>
    <row r="6429" spans="3:3" x14ac:dyDescent="0.25">
      <c r="C6429" s="21">
        <f t="shared" si="120"/>
        <v>0</v>
      </c>
    </row>
    <row r="6430" spans="3:3" x14ac:dyDescent="0.25">
      <c r="C6430" s="21">
        <f t="shared" si="120"/>
        <v>0</v>
      </c>
    </row>
    <row r="6431" spans="3:3" x14ac:dyDescent="0.25">
      <c r="C6431" s="21">
        <f t="shared" si="120"/>
        <v>0</v>
      </c>
    </row>
    <row r="6432" spans="3:3" x14ac:dyDescent="0.25">
      <c r="C6432" s="21">
        <f t="shared" si="120"/>
        <v>0</v>
      </c>
    </row>
    <row r="6433" spans="3:3" x14ac:dyDescent="0.25">
      <c r="C6433" s="21">
        <f t="shared" si="120"/>
        <v>0</v>
      </c>
    </row>
    <row r="6434" spans="3:3" x14ac:dyDescent="0.25">
      <c r="C6434" s="21">
        <f t="shared" si="120"/>
        <v>0</v>
      </c>
    </row>
    <row r="6435" spans="3:3" x14ac:dyDescent="0.25">
      <c r="C6435" s="21">
        <f t="shared" si="120"/>
        <v>0</v>
      </c>
    </row>
    <row r="6436" spans="3:3" x14ac:dyDescent="0.25">
      <c r="C6436" s="21">
        <f t="shared" si="120"/>
        <v>0</v>
      </c>
    </row>
    <row r="6437" spans="3:3" x14ac:dyDescent="0.25">
      <c r="C6437" s="21">
        <f t="shared" si="120"/>
        <v>0</v>
      </c>
    </row>
    <row r="6438" spans="3:3" x14ac:dyDescent="0.25">
      <c r="C6438" s="21">
        <f t="shared" si="120"/>
        <v>0</v>
      </c>
    </row>
    <row r="6439" spans="3:3" x14ac:dyDescent="0.25">
      <c r="C6439" s="21">
        <f t="shared" si="120"/>
        <v>0</v>
      </c>
    </row>
    <row r="6440" spans="3:3" x14ac:dyDescent="0.25">
      <c r="C6440" s="21">
        <f t="shared" si="120"/>
        <v>0</v>
      </c>
    </row>
    <row r="6441" spans="3:3" x14ac:dyDescent="0.25">
      <c r="C6441" s="21">
        <f t="shared" si="120"/>
        <v>0</v>
      </c>
    </row>
    <row r="6442" spans="3:3" x14ac:dyDescent="0.25">
      <c r="C6442" s="21">
        <f t="shared" si="120"/>
        <v>0</v>
      </c>
    </row>
    <row r="6443" spans="3:3" x14ac:dyDescent="0.25">
      <c r="C6443" s="21">
        <f t="shared" si="120"/>
        <v>0</v>
      </c>
    </row>
    <row r="6444" spans="3:3" x14ac:dyDescent="0.25">
      <c r="C6444" s="21">
        <f t="shared" si="120"/>
        <v>0</v>
      </c>
    </row>
    <row r="6445" spans="3:3" x14ac:dyDescent="0.25">
      <c r="C6445" s="21">
        <f t="shared" si="120"/>
        <v>0</v>
      </c>
    </row>
    <row r="6446" spans="3:3" x14ac:dyDescent="0.25">
      <c r="C6446" s="21">
        <f t="shared" si="120"/>
        <v>0</v>
      </c>
    </row>
    <row r="6447" spans="3:3" x14ac:dyDescent="0.25">
      <c r="C6447" s="21">
        <f t="shared" ref="C6447:C6510" si="121">SUM(D6447:JT6447)</f>
        <v>0</v>
      </c>
    </row>
    <row r="6448" spans="3:3" x14ac:dyDescent="0.25">
      <c r="C6448" s="21">
        <f t="shared" si="121"/>
        <v>0</v>
      </c>
    </row>
    <row r="6449" spans="3:3" x14ac:dyDescent="0.25">
      <c r="C6449" s="21">
        <f t="shared" si="121"/>
        <v>0</v>
      </c>
    </row>
    <row r="6450" spans="3:3" x14ac:dyDescent="0.25">
      <c r="C6450" s="21">
        <f t="shared" si="121"/>
        <v>0</v>
      </c>
    </row>
    <row r="6451" spans="3:3" x14ac:dyDescent="0.25">
      <c r="C6451" s="21">
        <f t="shared" si="121"/>
        <v>0</v>
      </c>
    </row>
    <row r="6452" spans="3:3" x14ac:dyDescent="0.25">
      <c r="C6452" s="21">
        <f t="shared" si="121"/>
        <v>0</v>
      </c>
    </row>
    <row r="6453" spans="3:3" x14ac:dyDescent="0.25">
      <c r="C6453" s="21">
        <f t="shared" si="121"/>
        <v>0</v>
      </c>
    </row>
    <row r="6454" spans="3:3" x14ac:dyDescent="0.25">
      <c r="C6454" s="21">
        <f t="shared" si="121"/>
        <v>0</v>
      </c>
    </row>
    <row r="6455" spans="3:3" x14ac:dyDescent="0.25">
      <c r="C6455" s="21">
        <f t="shared" si="121"/>
        <v>0</v>
      </c>
    </row>
    <row r="6456" spans="3:3" x14ac:dyDescent="0.25">
      <c r="C6456" s="21">
        <f t="shared" si="121"/>
        <v>0</v>
      </c>
    </row>
    <row r="6457" spans="3:3" x14ac:dyDescent="0.25">
      <c r="C6457" s="21">
        <f t="shared" si="121"/>
        <v>0</v>
      </c>
    </row>
    <row r="6458" spans="3:3" x14ac:dyDescent="0.25">
      <c r="C6458" s="21">
        <f t="shared" si="121"/>
        <v>0</v>
      </c>
    </row>
    <row r="6459" spans="3:3" x14ac:dyDescent="0.25">
      <c r="C6459" s="21">
        <f t="shared" si="121"/>
        <v>0</v>
      </c>
    </row>
    <row r="6460" spans="3:3" x14ac:dyDescent="0.25">
      <c r="C6460" s="21">
        <f t="shared" si="121"/>
        <v>0</v>
      </c>
    </row>
    <row r="6461" spans="3:3" x14ac:dyDescent="0.25">
      <c r="C6461" s="21">
        <f t="shared" si="121"/>
        <v>0</v>
      </c>
    </row>
    <row r="6462" spans="3:3" x14ac:dyDescent="0.25">
      <c r="C6462" s="21">
        <f t="shared" si="121"/>
        <v>0</v>
      </c>
    </row>
    <row r="6463" spans="3:3" x14ac:dyDescent="0.25">
      <c r="C6463" s="21">
        <f t="shared" si="121"/>
        <v>0</v>
      </c>
    </row>
    <row r="6464" spans="3:3" x14ac:dyDescent="0.25">
      <c r="C6464" s="21">
        <f t="shared" si="121"/>
        <v>0</v>
      </c>
    </row>
    <row r="6465" spans="3:3" x14ac:dyDescent="0.25">
      <c r="C6465" s="21">
        <f t="shared" si="121"/>
        <v>0</v>
      </c>
    </row>
    <row r="6466" spans="3:3" x14ac:dyDescent="0.25">
      <c r="C6466" s="21">
        <f t="shared" si="121"/>
        <v>0</v>
      </c>
    </row>
    <row r="6467" spans="3:3" x14ac:dyDescent="0.25">
      <c r="C6467" s="21">
        <f t="shared" si="121"/>
        <v>0</v>
      </c>
    </row>
    <row r="6468" spans="3:3" x14ac:dyDescent="0.25">
      <c r="C6468" s="21">
        <f t="shared" si="121"/>
        <v>0</v>
      </c>
    </row>
    <row r="6469" spans="3:3" x14ac:dyDescent="0.25">
      <c r="C6469" s="21">
        <f t="shared" si="121"/>
        <v>0</v>
      </c>
    </row>
    <row r="6470" spans="3:3" x14ac:dyDescent="0.25">
      <c r="C6470" s="21">
        <f t="shared" si="121"/>
        <v>0</v>
      </c>
    </row>
    <row r="6471" spans="3:3" x14ac:dyDescent="0.25">
      <c r="C6471" s="21">
        <f t="shared" si="121"/>
        <v>0</v>
      </c>
    </row>
    <row r="6472" spans="3:3" x14ac:dyDescent="0.25">
      <c r="C6472" s="21">
        <f t="shared" si="121"/>
        <v>0</v>
      </c>
    </row>
    <row r="6473" spans="3:3" x14ac:dyDescent="0.25">
      <c r="C6473" s="21">
        <f t="shared" si="121"/>
        <v>0</v>
      </c>
    </row>
    <row r="6474" spans="3:3" x14ac:dyDescent="0.25">
      <c r="C6474" s="21">
        <f t="shared" si="121"/>
        <v>0</v>
      </c>
    </row>
    <row r="6475" spans="3:3" x14ac:dyDescent="0.25">
      <c r="C6475" s="21">
        <f t="shared" si="121"/>
        <v>0</v>
      </c>
    </row>
    <row r="6476" spans="3:3" x14ac:dyDescent="0.25">
      <c r="C6476" s="21">
        <f t="shared" si="121"/>
        <v>0</v>
      </c>
    </row>
    <row r="6477" spans="3:3" x14ac:dyDescent="0.25">
      <c r="C6477" s="21">
        <f t="shared" si="121"/>
        <v>0</v>
      </c>
    </row>
    <row r="6478" spans="3:3" x14ac:dyDescent="0.25">
      <c r="C6478" s="21">
        <f t="shared" si="121"/>
        <v>0</v>
      </c>
    </row>
    <row r="6479" spans="3:3" x14ac:dyDescent="0.25">
      <c r="C6479" s="21">
        <f t="shared" si="121"/>
        <v>0</v>
      </c>
    </row>
    <row r="6480" spans="3:3" x14ac:dyDescent="0.25">
      <c r="C6480" s="21">
        <f t="shared" si="121"/>
        <v>0</v>
      </c>
    </row>
    <row r="6481" spans="3:3" x14ac:dyDescent="0.25">
      <c r="C6481" s="21">
        <f t="shared" si="121"/>
        <v>0</v>
      </c>
    </row>
    <row r="6482" spans="3:3" x14ac:dyDescent="0.25">
      <c r="C6482" s="21">
        <f t="shared" si="121"/>
        <v>0</v>
      </c>
    </row>
    <row r="6483" spans="3:3" x14ac:dyDescent="0.25">
      <c r="C6483" s="21">
        <f t="shared" si="121"/>
        <v>0</v>
      </c>
    </row>
    <row r="6484" spans="3:3" x14ac:dyDescent="0.25">
      <c r="C6484" s="21">
        <f t="shared" si="121"/>
        <v>0</v>
      </c>
    </row>
    <row r="6485" spans="3:3" x14ac:dyDescent="0.25">
      <c r="C6485" s="21">
        <f t="shared" si="121"/>
        <v>0</v>
      </c>
    </row>
    <row r="6486" spans="3:3" x14ac:dyDescent="0.25">
      <c r="C6486" s="21">
        <f t="shared" si="121"/>
        <v>0</v>
      </c>
    </row>
    <row r="6487" spans="3:3" x14ac:dyDescent="0.25">
      <c r="C6487" s="21">
        <f t="shared" si="121"/>
        <v>0</v>
      </c>
    </row>
    <row r="6488" spans="3:3" x14ac:dyDescent="0.25">
      <c r="C6488" s="21">
        <f t="shared" si="121"/>
        <v>0</v>
      </c>
    </row>
    <row r="6489" spans="3:3" x14ac:dyDescent="0.25">
      <c r="C6489" s="21">
        <f t="shared" si="121"/>
        <v>0</v>
      </c>
    </row>
    <row r="6490" spans="3:3" x14ac:dyDescent="0.25">
      <c r="C6490" s="21">
        <f t="shared" si="121"/>
        <v>0</v>
      </c>
    </row>
    <row r="6491" spans="3:3" x14ac:dyDescent="0.25">
      <c r="C6491" s="21">
        <f t="shared" si="121"/>
        <v>0</v>
      </c>
    </row>
    <row r="6492" spans="3:3" x14ac:dyDescent="0.25">
      <c r="C6492" s="21">
        <f t="shared" si="121"/>
        <v>0</v>
      </c>
    </row>
    <row r="6493" spans="3:3" x14ac:dyDescent="0.25">
      <c r="C6493" s="21">
        <f t="shared" si="121"/>
        <v>0</v>
      </c>
    </row>
    <row r="6494" spans="3:3" x14ac:dyDescent="0.25">
      <c r="C6494" s="21">
        <f t="shared" si="121"/>
        <v>0</v>
      </c>
    </row>
    <row r="6495" spans="3:3" x14ac:dyDescent="0.25">
      <c r="C6495" s="21">
        <f t="shared" si="121"/>
        <v>0</v>
      </c>
    </row>
    <row r="6496" spans="3:3" x14ac:dyDescent="0.25">
      <c r="C6496" s="21">
        <f t="shared" si="121"/>
        <v>0</v>
      </c>
    </row>
    <row r="6497" spans="3:3" x14ac:dyDescent="0.25">
      <c r="C6497" s="21">
        <f t="shared" si="121"/>
        <v>0</v>
      </c>
    </row>
    <row r="6498" spans="3:3" x14ac:dyDescent="0.25">
      <c r="C6498" s="21">
        <f t="shared" si="121"/>
        <v>0</v>
      </c>
    </row>
    <row r="6499" spans="3:3" x14ac:dyDescent="0.25">
      <c r="C6499" s="21">
        <f t="shared" si="121"/>
        <v>0</v>
      </c>
    </row>
    <row r="6500" spans="3:3" x14ac:dyDescent="0.25">
      <c r="C6500" s="21">
        <f t="shared" si="121"/>
        <v>0</v>
      </c>
    </row>
    <row r="6501" spans="3:3" x14ac:dyDescent="0.25">
      <c r="C6501" s="21">
        <f t="shared" si="121"/>
        <v>0</v>
      </c>
    </row>
    <row r="6502" spans="3:3" x14ac:dyDescent="0.25">
      <c r="C6502" s="21">
        <f t="shared" si="121"/>
        <v>0</v>
      </c>
    </row>
    <row r="6503" spans="3:3" x14ac:dyDescent="0.25">
      <c r="C6503" s="21">
        <f t="shared" si="121"/>
        <v>0</v>
      </c>
    </row>
    <row r="6504" spans="3:3" x14ac:dyDescent="0.25">
      <c r="C6504" s="21">
        <f t="shared" si="121"/>
        <v>0</v>
      </c>
    </row>
    <row r="6505" spans="3:3" x14ac:dyDescent="0.25">
      <c r="C6505" s="21">
        <f t="shared" si="121"/>
        <v>0</v>
      </c>
    </row>
    <row r="6506" spans="3:3" x14ac:dyDescent="0.25">
      <c r="C6506" s="21">
        <f t="shared" si="121"/>
        <v>0</v>
      </c>
    </row>
    <row r="6507" spans="3:3" x14ac:dyDescent="0.25">
      <c r="C6507" s="21">
        <f t="shared" si="121"/>
        <v>0</v>
      </c>
    </row>
    <row r="6508" spans="3:3" x14ac:dyDescent="0.25">
      <c r="C6508" s="21">
        <f t="shared" si="121"/>
        <v>0</v>
      </c>
    </row>
    <row r="6509" spans="3:3" x14ac:dyDescent="0.25">
      <c r="C6509" s="21">
        <f t="shared" si="121"/>
        <v>0</v>
      </c>
    </row>
    <row r="6510" spans="3:3" x14ac:dyDescent="0.25">
      <c r="C6510" s="21">
        <f t="shared" si="121"/>
        <v>0</v>
      </c>
    </row>
  </sheetData>
  <sortState ref="A6191:IW6194">
    <sortCondition ref="A6191:A6194"/>
  </sortState>
  <mergeCells count="2">
    <mergeCell ref="A896:B896"/>
    <mergeCell ref="A1:B5"/>
  </mergeCells>
  <pageMargins left="0.7" right="0.7" top="0.75" bottom="0.75" header="0.3" footer="0.3"/>
  <pageSetup paperSize="9" orientation="portrait" r:id="rId1"/>
  <ignoredErrors>
    <ignoredError sqref="C89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34998626667073579"/>
    <pageSetUpPr fitToPage="1"/>
  </sheetPr>
  <dimension ref="A1:D17"/>
  <sheetViews>
    <sheetView zoomScaleNormal="100" workbookViewId="0">
      <selection activeCell="C37" sqref="C37"/>
    </sheetView>
  </sheetViews>
  <sheetFormatPr defaultRowHeight="15" x14ac:dyDescent="0.25"/>
  <cols>
    <col min="1" max="1" width="9.140625" style="237"/>
    <col min="2" max="3" width="20.7109375" style="237" customWidth="1"/>
    <col min="4" max="16384" width="9.140625" style="237"/>
  </cols>
  <sheetData>
    <row r="1" spans="1:4" x14ac:dyDescent="0.25">
      <c r="A1" s="245"/>
      <c r="B1" s="245"/>
      <c r="C1" s="245"/>
      <c r="D1" s="245"/>
    </row>
    <row r="2" spans="1:4" x14ac:dyDescent="0.25">
      <c r="A2" s="245"/>
      <c r="B2" s="245"/>
      <c r="C2" s="245"/>
      <c r="D2" s="245"/>
    </row>
    <row r="3" spans="1:4" ht="20.100000000000001" customHeight="1" x14ac:dyDescent="0.25">
      <c r="A3" s="245"/>
      <c r="B3" s="439" t="s">
        <v>10</v>
      </c>
      <c r="C3" s="439"/>
      <c r="D3" s="245"/>
    </row>
    <row r="4" spans="1:4" ht="20.100000000000001" customHeight="1" x14ac:dyDescent="0.25">
      <c r="A4" s="245"/>
      <c r="B4" s="439"/>
      <c r="C4" s="439"/>
      <c r="D4" s="245"/>
    </row>
    <row r="5" spans="1:4" ht="20.100000000000001" customHeight="1" x14ac:dyDescent="0.25">
      <c r="A5" s="245"/>
      <c r="B5" s="254">
        <v>0.3</v>
      </c>
      <c r="C5" s="255">
        <v>3.4</v>
      </c>
      <c r="D5" s="245"/>
    </row>
    <row r="6" spans="1:4" ht="20.100000000000001" customHeight="1" x14ac:dyDescent="0.25">
      <c r="A6" s="245"/>
      <c r="B6" s="254">
        <v>0.5</v>
      </c>
      <c r="C6" s="255">
        <f>21.6+20.86+3.44+17.62</f>
        <v>63.52</v>
      </c>
      <c r="D6" s="245"/>
    </row>
    <row r="7" spans="1:4" ht="20.100000000000001" customHeight="1" x14ac:dyDescent="0.25">
      <c r="A7" s="245"/>
      <c r="B7" s="254">
        <v>0.55000000000000004</v>
      </c>
      <c r="C7" s="255">
        <v>10.46</v>
      </c>
      <c r="D7" s="245"/>
    </row>
    <row r="8" spans="1:4" ht="20.100000000000001" customHeight="1" x14ac:dyDescent="0.25">
      <c r="A8" s="245"/>
      <c r="B8" s="254">
        <v>1</v>
      </c>
      <c r="C8" s="255">
        <v>2.5</v>
      </c>
      <c r="D8" s="245"/>
    </row>
    <row r="9" spans="1:4" ht="20.100000000000001" customHeight="1" x14ac:dyDescent="0.25">
      <c r="A9" s="245"/>
      <c r="B9" s="254">
        <v>1.2</v>
      </c>
      <c r="C9" s="255">
        <v>16.399999999999999</v>
      </c>
      <c r="D9" s="245"/>
    </row>
    <row r="10" spans="1:4" ht="20.100000000000001" customHeight="1" x14ac:dyDescent="0.25">
      <c r="A10" s="245"/>
      <c r="B10" s="254">
        <v>1.3</v>
      </c>
      <c r="C10" s="255">
        <v>4.8</v>
      </c>
      <c r="D10" s="245"/>
    </row>
    <row r="11" spans="1:4" ht="20.100000000000001" customHeight="1" x14ac:dyDescent="0.25">
      <c r="A11" s="245"/>
      <c r="B11" s="254">
        <v>1.4</v>
      </c>
      <c r="C11" s="255">
        <v>9.14</v>
      </c>
      <c r="D11" s="245"/>
    </row>
    <row r="12" spans="1:4" ht="20.100000000000001" customHeight="1" x14ac:dyDescent="0.25">
      <c r="A12" s="245"/>
      <c r="B12" s="254">
        <v>1.6</v>
      </c>
      <c r="C12" s="255">
        <v>9.2200000000000006</v>
      </c>
      <c r="D12" s="245"/>
    </row>
    <row r="13" spans="1:4" ht="20.100000000000001" customHeight="1" x14ac:dyDescent="0.25">
      <c r="A13" s="245"/>
      <c r="B13" s="254">
        <v>1.7</v>
      </c>
      <c r="C13" s="255">
        <v>18.5</v>
      </c>
      <c r="D13" s="245"/>
    </row>
    <row r="14" spans="1:4" ht="20.100000000000001" customHeight="1" x14ac:dyDescent="0.25">
      <c r="A14" s="245"/>
      <c r="B14" s="254">
        <v>1.8</v>
      </c>
      <c r="C14" s="255">
        <v>64.48</v>
      </c>
      <c r="D14" s="245"/>
    </row>
    <row r="15" spans="1:4" ht="20.100000000000001" customHeight="1" x14ac:dyDescent="0.25">
      <c r="A15" s="245"/>
      <c r="B15" s="254">
        <v>3.5</v>
      </c>
      <c r="C15" s="255">
        <v>52.36</v>
      </c>
      <c r="D15" s="245"/>
    </row>
    <row r="16" spans="1:4" x14ac:dyDescent="0.25">
      <c r="A16" s="245"/>
      <c r="B16" s="245"/>
      <c r="C16" s="245"/>
      <c r="D16" s="245"/>
    </row>
    <row r="17" spans="1:4" x14ac:dyDescent="0.25">
      <c r="A17" s="245"/>
      <c r="B17" s="245"/>
      <c r="C17" s="245"/>
      <c r="D17" s="245"/>
    </row>
  </sheetData>
  <sortState ref="B4:C13">
    <sortCondition ref="B4:B13"/>
  </sortState>
  <mergeCells count="1">
    <mergeCell ref="B3:C4"/>
  </mergeCells>
  <pageMargins left="0.19685039370078741" right="0.19685039370078741" top="0.19685039370078741" bottom="0.19685039370078741" header="3.937007874015748E-2" footer="3.937007874015748E-2"/>
  <pageSetup paperSize="9" scale="72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W997"/>
  <sheetViews>
    <sheetView zoomScale="114" zoomScaleNormal="114" zoomScalePageLayoutView="55" workbookViewId="0"/>
  </sheetViews>
  <sheetFormatPr defaultColWidth="9.140625" defaultRowHeight="26.25" x14ac:dyDescent="0.4"/>
  <cols>
    <col min="1" max="2" width="14.7109375" style="165" customWidth="1"/>
    <col min="3" max="3" width="8.7109375" style="165" customWidth="1"/>
    <col min="4" max="10" width="25.7109375" style="165" customWidth="1"/>
    <col min="11" max="16384" width="9.140625" style="165"/>
  </cols>
  <sheetData>
    <row r="1" spans="1:23" ht="21.95" customHeight="1" x14ac:dyDescent="0.4">
      <c r="A1" s="368" t="s">
        <v>240</v>
      </c>
      <c r="B1" s="368" t="s">
        <v>241</v>
      </c>
      <c r="C1" s="368" t="s">
        <v>220</v>
      </c>
      <c r="D1" s="367" t="s">
        <v>2</v>
      </c>
      <c r="E1" s="367" t="s">
        <v>3</v>
      </c>
      <c r="F1" s="367" t="s">
        <v>113</v>
      </c>
      <c r="G1" s="367" t="s">
        <v>5</v>
      </c>
      <c r="H1" s="367" t="s">
        <v>6</v>
      </c>
      <c r="I1" s="367" t="s">
        <v>115</v>
      </c>
      <c r="J1" s="368" t="s">
        <v>4</v>
      </c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</row>
    <row r="2" spans="1:23" s="188" customFormat="1" ht="18" customHeight="1" x14ac:dyDescent="0.35">
      <c r="A2" s="367" t="s">
        <v>242</v>
      </c>
      <c r="B2" s="368" t="s">
        <v>128</v>
      </c>
      <c r="C2" s="369">
        <v>102</v>
      </c>
      <c r="D2" s="308"/>
      <c r="E2" s="308"/>
      <c r="F2" s="308"/>
      <c r="G2" s="308"/>
      <c r="H2" s="308"/>
      <c r="I2" s="308">
        <f>'STOK DETAY'!D6</f>
        <v>25.675000000000001</v>
      </c>
      <c r="J2" s="330">
        <f t="shared" ref="J2:J33" si="0">SUM(D2:I2)</f>
        <v>25.675000000000001</v>
      </c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</row>
    <row r="3" spans="1:23" s="188" customFormat="1" ht="18" customHeight="1" x14ac:dyDescent="0.35">
      <c r="A3" s="367" t="s">
        <v>243</v>
      </c>
      <c r="B3" s="368" t="s">
        <v>128</v>
      </c>
      <c r="C3" s="369">
        <v>102</v>
      </c>
      <c r="D3" s="308"/>
      <c r="E3" s="308"/>
      <c r="F3" s="308"/>
      <c r="G3" s="308"/>
      <c r="H3" s="308"/>
      <c r="I3" s="308">
        <f>'STOK DETAY'!E6</f>
        <v>0</v>
      </c>
      <c r="J3" s="330">
        <f t="shared" si="0"/>
        <v>0</v>
      </c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</row>
    <row r="4" spans="1:23" s="188" customFormat="1" ht="18" customHeight="1" x14ac:dyDescent="0.35">
      <c r="A4" s="367" t="s">
        <v>244</v>
      </c>
      <c r="B4" s="368" t="s">
        <v>128</v>
      </c>
      <c r="C4" s="369">
        <v>102</v>
      </c>
      <c r="D4" s="308"/>
      <c r="E4" s="308"/>
      <c r="F4" s="308"/>
      <c r="G4" s="308"/>
      <c r="H4" s="308"/>
      <c r="I4" s="308">
        <f>'STOK DETAY'!F6</f>
        <v>0</v>
      </c>
      <c r="J4" s="330">
        <f t="shared" si="0"/>
        <v>0</v>
      </c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</row>
    <row r="5" spans="1:23" s="188" customFormat="1" ht="18" customHeight="1" x14ac:dyDescent="0.35">
      <c r="A5" s="367" t="s">
        <v>245</v>
      </c>
      <c r="B5" s="368" t="s">
        <v>128</v>
      </c>
      <c r="C5" s="369"/>
      <c r="D5" s="330"/>
      <c r="E5" s="330"/>
      <c r="F5" s="330"/>
      <c r="G5" s="330"/>
      <c r="H5" s="330"/>
      <c r="I5" s="330">
        <f>'STOK DETAY'!G6</f>
        <v>0</v>
      </c>
      <c r="J5" s="330">
        <f t="shared" si="0"/>
        <v>0</v>
      </c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</row>
    <row r="6" spans="1:23" s="188" customFormat="1" ht="18" customHeight="1" x14ac:dyDescent="0.35">
      <c r="A6" s="367" t="s">
        <v>246</v>
      </c>
      <c r="B6" s="368" t="s">
        <v>55</v>
      </c>
      <c r="C6" s="369">
        <v>312</v>
      </c>
      <c r="D6" s="308"/>
      <c r="E6" s="308"/>
      <c r="F6" s="308">
        <f>'STOK DETAY'!H6</f>
        <v>92.75</v>
      </c>
      <c r="G6" s="308"/>
      <c r="H6" s="308"/>
      <c r="I6" s="308"/>
      <c r="J6" s="330">
        <f t="shared" si="0"/>
        <v>92.75</v>
      </c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</row>
    <row r="7" spans="1:23" s="188" customFormat="1" ht="18" customHeight="1" x14ac:dyDescent="0.35">
      <c r="A7" s="367" t="s">
        <v>247</v>
      </c>
      <c r="B7" s="368" t="s">
        <v>55</v>
      </c>
      <c r="C7" s="369">
        <v>113</v>
      </c>
      <c r="D7" s="330"/>
      <c r="E7" s="330"/>
      <c r="F7" s="330">
        <f>'STOK DETAY'!I6</f>
        <v>38.11</v>
      </c>
      <c r="G7" s="330"/>
      <c r="H7" s="330"/>
      <c r="I7" s="330"/>
      <c r="J7" s="330">
        <f t="shared" si="0"/>
        <v>38.11</v>
      </c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89"/>
    </row>
    <row r="8" spans="1:23" s="188" customFormat="1" ht="18" customHeight="1" x14ac:dyDescent="0.35">
      <c r="A8" s="367" t="s">
        <v>248</v>
      </c>
      <c r="B8" s="368" t="s">
        <v>55</v>
      </c>
      <c r="C8" s="369">
        <v>103</v>
      </c>
      <c r="D8" s="330"/>
      <c r="E8" s="330">
        <f>'STOK DETAY'!L6</f>
        <v>0</v>
      </c>
      <c r="F8" s="330">
        <f>'STOK DETAY'!M6</f>
        <v>0</v>
      </c>
      <c r="G8" s="330"/>
      <c r="H8" s="330"/>
      <c r="I8" s="330"/>
      <c r="J8" s="330">
        <f t="shared" si="0"/>
        <v>0</v>
      </c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</row>
    <row r="9" spans="1:23" s="188" customFormat="1" ht="18" customHeight="1" x14ac:dyDescent="0.35">
      <c r="A9" s="367" t="s">
        <v>249</v>
      </c>
      <c r="B9" s="368" t="s">
        <v>55</v>
      </c>
      <c r="C9" s="369">
        <v>103</v>
      </c>
      <c r="D9" s="330">
        <f>'STOK DETAY'!N6</f>
        <v>0</v>
      </c>
      <c r="E9" s="330">
        <f>'STOK DETAY'!O6</f>
        <v>8.6150000000000002</v>
      </c>
      <c r="F9" s="330">
        <f>'STOK DETAY'!P6</f>
        <v>0</v>
      </c>
      <c r="G9" s="330"/>
      <c r="H9" s="330">
        <f>'STOK DETAY'!Q6</f>
        <v>0</v>
      </c>
      <c r="I9" s="330">
        <f>'STOK DETAY'!R6</f>
        <v>0</v>
      </c>
      <c r="J9" s="330">
        <f t="shared" si="0"/>
        <v>8.6150000000000002</v>
      </c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</row>
    <row r="10" spans="1:23" s="188" customFormat="1" ht="18" customHeight="1" x14ac:dyDescent="0.35">
      <c r="A10" s="367" t="s">
        <v>250</v>
      </c>
      <c r="B10" s="368" t="s">
        <v>143</v>
      </c>
      <c r="C10" s="369"/>
      <c r="D10" s="330"/>
      <c r="E10" s="330"/>
      <c r="F10" s="330">
        <f>'STOK DETAY'!S6</f>
        <v>93.21</v>
      </c>
      <c r="G10" s="330"/>
      <c r="H10" s="330"/>
      <c r="I10" s="330"/>
      <c r="J10" s="330">
        <f t="shared" si="0"/>
        <v>93.21</v>
      </c>
      <c r="K10" s="189"/>
      <c r="L10" s="189"/>
      <c r="M10" s="189"/>
      <c r="N10" s="189"/>
      <c r="O10" s="189"/>
      <c r="P10" s="189"/>
      <c r="Q10" s="189"/>
      <c r="R10" s="189"/>
      <c r="S10" s="189"/>
      <c r="T10" s="189"/>
      <c r="U10" s="189"/>
      <c r="V10" s="189"/>
      <c r="W10" s="189"/>
    </row>
    <row r="11" spans="1:23" s="188" customFormat="1" ht="18" customHeight="1" x14ac:dyDescent="0.35">
      <c r="A11" s="367" t="s">
        <v>251</v>
      </c>
      <c r="B11" s="368" t="s">
        <v>55</v>
      </c>
      <c r="C11" s="369">
        <v>201</v>
      </c>
      <c r="D11" s="330">
        <f>'STOK DETAY'!T6</f>
        <v>0</v>
      </c>
      <c r="E11" s="330">
        <f>'STOK DETAY'!U6</f>
        <v>0</v>
      </c>
      <c r="F11" s="334">
        <f>'STOK DETAY'!V6</f>
        <v>54.594999999999999</v>
      </c>
      <c r="G11" s="330"/>
      <c r="H11" s="330"/>
      <c r="I11" s="330">
        <f>'STOK DETAY'!W6</f>
        <v>0</v>
      </c>
      <c r="J11" s="330">
        <f t="shared" si="0"/>
        <v>54.594999999999999</v>
      </c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89"/>
      <c r="V11" s="189"/>
      <c r="W11" s="189"/>
    </row>
    <row r="12" spans="1:23" s="188" customFormat="1" ht="18" customHeight="1" x14ac:dyDescent="0.35">
      <c r="A12" s="367" t="s">
        <v>252</v>
      </c>
      <c r="B12" s="368" t="s">
        <v>55</v>
      </c>
      <c r="C12" s="369">
        <v>201</v>
      </c>
      <c r="D12" s="330">
        <f>'STOK DETAY'!X6</f>
        <v>0</v>
      </c>
      <c r="E12" s="330">
        <f>'STOK DETAY'!Y6</f>
        <v>0</v>
      </c>
      <c r="F12" s="330">
        <f>'STOK DETAY'!Z6</f>
        <v>8.3550000000000004</v>
      </c>
      <c r="G12" s="330"/>
      <c r="H12" s="330"/>
      <c r="I12" s="330"/>
      <c r="J12" s="330">
        <f t="shared" si="0"/>
        <v>8.3550000000000004</v>
      </c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</row>
    <row r="13" spans="1:23" s="188" customFormat="1" ht="18" customHeight="1" x14ac:dyDescent="0.35">
      <c r="A13" s="367" t="s">
        <v>242</v>
      </c>
      <c r="B13" s="368" t="s">
        <v>55</v>
      </c>
      <c r="C13" s="369">
        <v>202</v>
      </c>
      <c r="D13" s="330">
        <f>'STOK DETAY'!AA6</f>
        <v>0</v>
      </c>
      <c r="E13" s="330">
        <f>'STOK DETAY'!AB6</f>
        <v>0</v>
      </c>
      <c r="F13" s="330">
        <f>'STOK DETAY'!AC6</f>
        <v>0</v>
      </c>
      <c r="G13" s="330"/>
      <c r="H13" s="330"/>
      <c r="I13" s="330">
        <f>'STOK DETAY'!AD6</f>
        <v>0</v>
      </c>
      <c r="J13" s="330">
        <f t="shared" si="0"/>
        <v>0</v>
      </c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89"/>
      <c r="V13" s="189"/>
      <c r="W13" s="189"/>
    </row>
    <row r="14" spans="1:23" s="188" customFormat="1" ht="18" customHeight="1" x14ac:dyDescent="0.35">
      <c r="A14" s="367" t="s">
        <v>253</v>
      </c>
      <c r="B14" s="368" t="s">
        <v>55</v>
      </c>
      <c r="C14" s="369">
        <v>202</v>
      </c>
      <c r="D14" s="330">
        <f>'STOK DETAY'!AE6</f>
        <v>0</v>
      </c>
      <c r="E14" s="330">
        <f>'STOK DETAY'!AF6</f>
        <v>0</v>
      </c>
      <c r="F14" s="330">
        <f>'STOK DETAY'!AG6</f>
        <v>0</v>
      </c>
      <c r="G14" s="330">
        <f>'STOK DETAY'!AH6</f>
        <v>0</v>
      </c>
      <c r="H14" s="330">
        <f>'STOK DETAY'!AI6</f>
        <v>0</v>
      </c>
      <c r="I14" s="330">
        <f>'STOK DETAY'!AJ6</f>
        <v>0</v>
      </c>
      <c r="J14" s="330">
        <f t="shared" si="0"/>
        <v>0</v>
      </c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</row>
    <row r="15" spans="1:23" s="188" customFormat="1" ht="18" customHeight="1" x14ac:dyDescent="0.35">
      <c r="A15" s="367" t="s">
        <v>254</v>
      </c>
      <c r="B15" s="368" t="s">
        <v>55</v>
      </c>
      <c r="C15" s="369"/>
      <c r="D15" s="330"/>
      <c r="E15" s="330"/>
      <c r="F15" s="330">
        <f>'STOK DETAY'!AK6</f>
        <v>24.27</v>
      </c>
      <c r="G15" s="330"/>
      <c r="H15" s="330"/>
      <c r="I15" s="330"/>
      <c r="J15" s="330">
        <f t="shared" si="0"/>
        <v>24.27</v>
      </c>
      <c r="K15" s="189"/>
      <c r="L15" s="189"/>
      <c r="M15" s="189"/>
      <c r="N15" s="189"/>
      <c r="O15" s="189"/>
      <c r="P15" s="189"/>
      <c r="Q15" s="189"/>
      <c r="R15" s="189"/>
      <c r="S15" s="189"/>
      <c r="T15" s="189"/>
      <c r="U15" s="189"/>
      <c r="V15" s="189"/>
      <c r="W15" s="189"/>
    </row>
    <row r="16" spans="1:23" s="188" customFormat="1" ht="18" customHeight="1" x14ac:dyDescent="0.35">
      <c r="A16" s="367" t="s">
        <v>243</v>
      </c>
      <c r="B16" s="368" t="s">
        <v>55</v>
      </c>
      <c r="C16" s="369">
        <v>203</v>
      </c>
      <c r="D16" s="330">
        <f>'STOK DETAY'!AL6</f>
        <v>0</v>
      </c>
      <c r="E16" s="330">
        <f>'STOK DETAY'!AM6</f>
        <v>0</v>
      </c>
      <c r="F16" s="330">
        <f>'STOK DETAY'!AN6</f>
        <v>0</v>
      </c>
      <c r="G16" s="330"/>
      <c r="H16" s="330">
        <f>'STOK DETAY'!AO6</f>
        <v>0</v>
      </c>
      <c r="I16" s="330"/>
      <c r="J16" s="330">
        <f t="shared" si="0"/>
        <v>0</v>
      </c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</row>
    <row r="17" spans="1:23" s="188" customFormat="1" ht="18" customHeight="1" x14ac:dyDescent="0.35">
      <c r="A17" s="367" t="s">
        <v>255</v>
      </c>
      <c r="B17" s="368" t="s">
        <v>55</v>
      </c>
      <c r="C17" s="369">
        <v>203</v>
      </c>
      <c r="D17" s="330">
        <f>'STOK DETAY'!AP6</f>
        <v>0</v>
      </c>
      <c r="E17" s="330">
        <f>'STOK DETAY'!AQ6</f>
        <v>0</v>
      </c>
      <c r="F17" s="330">
        <f>'STOK DETAY'!AR6</f>
        <v>0</v>
      </c>
      <c r="G17" s="330">
        <f>'STOK DETAY'!AS6</f>
        <v>0</v>
      </c>
      <c r="H17" s="330">
        <f>'STOK DETAY'!AT6</f>
        <v>0</v>
      </c>
      <c r="I17" s="330"/>
      <c r="J17" s="330">
        <f t="shared" si="0"/>
        <v>0</v>
      </c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</row>
    <row r="18" spans="1:23" s="188" customFormat="1" ht="18" customHeight="1" x14ac:dyDescent="0.35">
      <c r="A18" s="367" t="s">
        <v>244</v>
      </c>
      <c r="B18" s="368" t="s">
        <v>55</v>
      </c>
      <c r="C18" s="369">
        <v>301</v>
      </c>
      <c r="D18" s="330">
        <f>'STOK DETAY'!AU6</f>
        <v>0</v>
      </c>
      <c r="E18" s="330">
        <f>'STOK DETAY'!AV6</f>
        <v>0</v>
      </c>
      <c r="F18" s="330">
        <f>'STOK DETAY'!AW6</f>
        <v>0</v>
      </c>
      <c r="G18" s="330">
        <f>'STOK DETAY'!AX6</f>
        <v>0</v>
      </c>
      <c r="H18" s="330">
        <f>'STOK DETAY'!AY6</f>
        <v>0</v>
      </c>
      <c r="I18" s="330">
        <f>'STOK DETAY'!AZ6</f>
        <v>17</v>
      </c>
      <c r="J18" s="330">
        <f t="shared" si="0"/>
        <v>17</v>
      </c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</row>
    <row r="19" spans="1:23" s="188" customFormat="1" ht="18" customHeight="1" x14ac:dyDescent="0.35">
      <c r="A19" s="367" t="s">
        <v>256</v>
      </c>
      <c r="B19" s="368" t="s">
        <v>55</v>
      </c>
      <c r="C19" s="369">
        <v>301</v>
      </c>
      <c r="D19" s="330">
        <f>'STOK DETAY'!BA6</f>
        <v>0</v>
      </c>
      <c r="E19" s="330">
        <f>'STOK DETAY'!BB6</f>
        <v>0</v>
      </c>
      <c r="F19" s="330">
        <f>'STOK DETAY'!BC6</f>
        <v>0</v>
      </c>
      <c r="G19" s="330"/>
      <c r="H19" s="330">
        <f>'STOK DETAY'!BE6</f>
        <v>0</v>
      </c>
      <c r="I19" s="330">
        <f>'STOK DETAY'!BF6</f>
        <v>8.5649999999999995</v>
      </c>
      <c r="J19" s="330">
        <f t="shared" si="0"/>
        <v>8.5649999999999995</v>
      </c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</row>
    <row r="20" spans="1:23" s="188" customFormat="1" ht="18" customHeight="1" x14ac:dyDescent="0.35">
      <c r="A20" s="367" t="s">
        <v>257</v>
      </c>
      <c r="B20" s="368" t="s">
        <v>55</v>
      </c>
      <c r="C20" s="369">
        <v>302</v>
      </c>
      <c r="D20" s="330">
        <f>'STOK DETAY'!BG6</f>
        <v>0</v>
      </c>
      <c r="E20" s="330">
        <f>'STOK DETAY'!BH6</f>
        <v>0</v>
      </c>
      <c r="F20" s="330">
        <f>'STOK DETAY'!BI6</f>
        <v>0</v>
      </c>
      <c r="G20" s="330">
        <f>'STOK DETAY'!BJ6</f>
        <v>0</v>
      </c>
      <c r="H20" s="330">
        <f>'STOK DETAY'!BK6</f>
        <v>0</v>
      </c>
      <c r="I20" s="330">
        <f>'STOK DETAY'!BL6</f>
        <v>34.685000000000002</v>
      </c>
      <c r="J20" s="330">
        <f t="shared" si="0"/>
        <v>34.685000000000002</v>
      </c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</row>
    <row r="21" spans="1:23" s="188" customFormat="1" ht="18" customHeight="1" x14ac:dyDescent="0.35">
      <c r="A21" s="367" t="s">
        <v>258</v>
      </c>
      <c r="B21" s="368" t="s">
        <v>55</v>
      </c>
      <c r="C21" s="369">
        <v>302</v>
      </c>
      <c r="D21" s="330">
        <f>'STOK DETAY'!BM6</f>
        <v>0</v>
      </c>
      <c r="E21" s="330">
        <f>'STOK DETAY'!BN6</f>
        <v>0</v>
      </c>
      <c r="F21" s="330">
        <f>'STOK DETAY'!BO6</f>
        <v>0</v>
      </c>
      <c r="G21" s="330">
        <f>'STOK DETAY'!BP6</f>
        <v>0</v>
      </c>
      <c r="H21" s="330">
        <f>'STOK DETAY'!BQ6</f>
        <v>0</v>
      </c>
      <c r="I21" s="330">
        <f>'STOK DETAY'!BR6</f>
        <v>42.744999999999997</v>
      </c>
      <c r="J21" s="330">
        <f t="shared" si="0"/>
        <v>42.744999999999997</v>
      </c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</row>
    <row r="22" spans="1:23" s="188" customFormat="1" ht="18" customHeight="1" x14ac:dyDescent="0.35">
      <c r="A22" s="367" t="s">
        <v>259</v>
      </c>
      <c r="B22" s="368" t="s">
        <v>55</v>
      </c>
      <c r="C22" s="369">
        <v>303</v>
      </c>
      <c r="D22" s="330">
        <f>'STOK DETAY'!BS6</f>
        <v>0</v>
      </c>
      <c r="E22" s="330">
        <f>'STOK DETAY'!BT6</f>
        <v>0</v>
      </c>
      <c r="F22" s="330">
        <f>'STOK DETAY'!BU6</f>
        <v>0</v>
      </c>
      <c r="G22" s="330">
        <f>'STOK DETAY'!BV6</f>
        <v>0</v>
      </c>
      <c r="H22" s="330">
        <f>'STOK DETAY'!BW6</f>
        <v>0</v>
      </c>
      <c r="I22" s="330">
        <f>'STOK DETAY'!BX6</f>
        <v>53.14</v>
      </c>
      <c r="J22" s="330">
        <f t="shared" si="0"/>
        <v>53.14</v>
      </c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</row>
    <row r="23" spans="1:23" s="188" customFormat="1" ht="18" customHeight="1" x14ac:dyDescent="0.35">
      <c r="A23" s="367" t="s">
        <v>260</v>
      </c>
      <c r="B23" s="368" t="s">
        <v>55</v>
      </c>
      <c r="C23" s="369">
        <v>303</v>
      </c>
      <c r="D23" s="330">
        <f>'STOK DETAY'!BY6</f>
        <v>0</v>
      </c>
      <c r="E23" s="330">
        <f>'STOK DETAY'!BZ6</f>
        <v>0</v>
      </c>
      <c r="F23" s="330">
        <f>'STOK DETAY'!CA6</f>
        <v>0</v>
      </c>
      <c r="G23" s="330">
        <f>'STOK DETAY'!CB6</f>
        <v>0</v>
      </c>
      <c r="H23" s="330">
        <f>'STOK DETAY'!CC6</f>
        <v>0</v>
      </c>
      <c r="I23" s="330">
        <f>'STOK DETAY'!CD6</f>
        <v>49.975000000000001</v>
      </c>
      <c r="J23" s="330">
        <f t="shared" si="0"/>
        <v>49.975000000000001</v>
      </c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</row>
    <row r="24" spans="1:23" s="188" customFormat="1" ht="18" customHeight="1" x14ac:dyDescent="0.35">
      <c r="A24" s="367" t="s">
        <v>261</v>
      </c>
      <c r="B24" s="368" t="s">
        <v>55</v>
      </c>
      <c r="C24" s="369">
        <v>401</v>
      </c>
      <c r="D24" s="330">
        <f>'STOK DETAY'!CE6</f>
        <v>0</v>
      </c>
      <c r="E24" s="330">
        <f>'STOK DETAY'!CF6</f>
        <v>0</v>
      </c>
      <c r="F24" s="330">
        <f>'STOK DETAY'!CG6</f>
        <v>0</v>
      </c>
      <c r="G24" s="330">
        <f>'STOK DETAY'!CH6</f>
        <v>0</v>
      </c>
      <c r="H24" s="330">
        <f>'STOK DETAY'!CI6</f>
        <v>0</v>
      </c>
      <c r="I24" s="330">
        <f>'STOK DETAY'!CJ6</f>
        <v>50.62</v>
      </c>
      <c r="J24" s="330">
        <f t="shared" si="0"/>
        <v>50.62</v>
      </c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</row>
    <row r="25" spans="1:23" s="188" customFormat="1" ht="18" customHeight="1" x14ac:dyDescent="0.35">
      <c r="A25" s="367" t="s">
        <v>262</v>
      </c>
      <c r="B25" s="368" t="s">
        <v>55</v>
      </c>
      <c r="C25" s="369">
        <v>401</v>
      </c>
      <c r="D25" s="330">
        <f>'STOK DETAY'!CK6</f>
        <v>0</v>
      </c>
      <c r="E25" s="330">
        <f>'STOK DETAY'!CL6</f>
        <v>8.6449999999999996</v>
      </c>
      <c r="F25" s="330">
        <f>'STOK DETAY'!CM6</f>
        <v>0</v>
      </c>
      <c r="G25" s="330">
        <f>'STOK DETAY'!CN6</f>
        <v>0</v>
      </c>
      <c r="H25" s="330">
        <f>'STOK DETAY'!CO6</f>
        <v>0</v>
      </c>
      <c r="I25" s="330">
        <f>'STOK DETAY'!CP6</f>
        <v>16.7</v>
      </c>
      <c r="J25" s="330">
        <f t="shared" si="0"/>
        <v>25.344999999999999</v>
      </c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</row>
    <row r="26" spans="1:23" s="188" customFormat="1" ht="18" customHeight="1" x14ac:dyDescent="0.35">
      <c r="A26" s="367" t="s">
        <v>263</v>
      </c>
      <c r="B26" s="368" t="s">
        <v>55</v>
      </c>
      <c r="C26" s="369">
        <v>402</v>
      </c>
      <c r="D26" s="330">
        <f>'STOK DETAY'!CQ6</f>
        <v>0</v>
      </c>
      <c r="E26" s="330">
        <f>'STOK DETAY'!CR6</f>
        <v>0</v>
      </c>
      <c r="F26" s="330">
        <f>'STOK DETAY'!CS6</f>
        <v>24.93</v>
      </c>
      <c r="G26" s="330">
        <f>'STOK DETAY'!CT6</f>
        <v>0</v>
      </c>
      <c r="H26" s="330">
        <f>'STOK DETAY'!CU6</f>
        <v>0</v>
      </c>
      <c r="I26" s="330">
        <f>'STOK DETAY'!CV6</f>
        <v>0</v>
      </c>
      <c r="J26" s="330">
        <f t="shared" si="0"/>
        <v>24.93</v>
      </c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</row>
    <row r="27" spans="1:23" s="188" customFormat="1" ht="18" customHeight="1" x14ac:dyDescent="0.35">
      <c r="A27" s="367" t="s">
        <v>264</v>
      </c>
      <c r="B27" s="368" t="s">
        <v>55</v>
      </c>
      <c r="C27" s="369">
        <v>402</v>
      </c>
      <c r="D27" s="330">
        <f>'STOK DETAY'!CW6</f>
        <v>0</v>
      </c>
      <c r="E27" s="330">
        <f>'STOK DETAY'!CX6</f>
        <v>0</v>
      </c>
      <c r="F27" s="330">
        <f>'STOK DETAY'!CY6</f>
        <v>0</v>
      </c>
      <c r="G27" s="330">
        <f>'STOK DETAY'!CZ6</f>
        <v>0</v>
      </c>
      <c r="H27" s="330">
        <f>'STOK DETAY'!DA6</f>
        <v>0</v>
      </c>
      <c r="I27" s="330">
        <f>'STOK DETAY'!DB6</f>
        <v>0</v>
      </c>
      <c r="J27" s="330">
        <f t="shared" si="0"/>
        <v>0</v>
      </c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</row>
    <row r="28" spans="1:23" s="188" customFormat="1" ht="18" customHeight="1" x14ac:dyDescent="0.35">
      <c r="A28" s="367" t="s">
        <v>265</v>
      </c>
      <c r="B28" s="368" t="s">
        <v>55</v>
      </c>
      <c r="C28" s="369">
        <v>403</v>
      </c>
      <c r="D28" s="330">
        <f>'STOK DETAY'!DC6</f>
        <v>0</v>
      </c>
      <c r="E28" s="330">
        <f>'STOK DETAY'!DD6</f>
        <v>0</v>
      </c>
      <c r="F28" s="330">
        <f>'STOK DETAY'!DE6</f>
        <v>25.734999999999999</v>
      </c>
      <c r="G28" s="330">
        <f>'STOK DETAY'!DF6</f>
        <v>0</v>
      </c>
      <c r="H28" s="330">
        <f>'STOK DETAY'!DG6</f>
        <v>0</v>
      </c>
      <c r="I28" s="330"/>
      <c r="J28" s="330">
        <f t="shared" si="0"/>
        <v>25.734999999999999</v>
      </c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</row>
    <row r="29" spans="1:23" s="188" customFormat="1" ht="18" customHeight="1" x14ac:dyDescent="0.35">
      <c r="A29" s="367" t="s">
        <v>266</v>
      </c>
      <c r="B29" s="368" t="s">
        <v>55</v>
      </c>
      <c r="C29" s="369">
        <v>403</v>
      </c>
      <c r="D29" s="330">
        <f>'STOK DETAY'!DI6</f>
        <v>0</v>
      </c>
      <c r="E29" s="330">
        <f>'STOK DETAY'!DJ6</f>
        <v>0</v>
      </c>
      <c r="F29" s="330">
        <f>'STOK DETAY'!DK6</f>
        <v>0</v>
      </c>
      <c r="G29" s="330">
        <f>'STOK DETAY'!DL6</f>
        <v>0</v>
      </c>
      <c r="H29" s="330">
        <f>'STOK DETAY'!DM6</f>
        <v>0</v>
      </c>
      <c r="I29" s="330"/>
      <c r="J29" s="330">
        <f t="shared" si="0"/>
        <v>0</v>
      </c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</row>
    <row r="30" spans="1:23" s="188" customFormat="1" ht="18" customHeight="1" x14ac:dyDescent="0.35">
      <c r="A30" s="367" t="s">
        <v>267</v>
      </c>
      <c r="B30" s="368" t="s">
        <v>55</v>
      </c>
      <c r="C30" s="369">
        <v>501</v>
      </c>
      <c r="D30" s="330">
        <f>'STOK DETAY'!DN6</f>
        <v>0</v>
      </c>
      <c r="E30" s="330">
        <f>'STOK DETAY'!DO6</f>
        <v>8.5250000000000004</v>
      </c>
      <c r="F30" s="330">
        <f>'STOK DETAY'!DP6</f>
        <v>8.8049999999999997</v>
      </c>
      <c r="G30" s="330">
        <f>'STOK DETAY'!DQ6</f>
        <v>0</v>
      </c>
      <c r="H30" s="330">
        <f>'STOK DETAY'!DR6</f>
        <v>0</v>
      </c>
      <c r="I30" s="330"/>
      <c r="J30" s="330">
        <f t="shared" si="0"/>
        <v>17.329999999999998</v>
      </c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</row>
    <row r="31" spans="1:23" s="188" customFormat="1" ht="18" customHeight="1" x14ac:dyDescent="0.35">
      <c r="A31" s="367" t="s">
        <v>268</v>
      </c>
      <c r="B31" s="368" t="s">
        <v>55</v>
      </c>
      <c r="C31" s="369">
        <v>501</v>
      </c>
      <c r="D31" s="330">
        <f>'STOK DETAY'!DS6</f>
        <v>0</v>
      </c>
      <c r="E31" s="330">
        <f>'STOK DETAY'!DT6</f>
        <v>0</v>
      </c>
      <c r="F31" s="330">
        <f>'STOK DETAY'!DU6</f>
        <v>0</v>
      </c>
      <c r="G31" s="330">
        <f>'STOK DETAY'!DV6</f>
        <v>0</v>
      </c>
      <c r="H31" s="330">
        <f>'STOK DETAY'!DW6</f>
        <v>0</v>
      </c>
      <c r="I31" s="330">
        <f>'STOK DETAY'!DX6</f>
        <v>0</v>
      </c>
      <c r="J31" s="330">
        <f t="shared" si="0"/>
        <v>0</v>
      </c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</row>
    <row r="32" spans="1:23" s="188" customFormat="1" ht="18" customHeight="1" x14ac:dyDescent="0.35">
      <c r="A32" s="367" t="s">
        <v>269</v>
      </c>
      <c r="B32" s="368" t="s">
        <v>55</v>
      </c>
      <c r="C32" s="369">
        <v>502</v>
      </c>
      <c r="D32" s="330">
        <f>'STOK DETAY'!DY6</f>
        <v>0</v>
      </c>
      <c r="E32" s="330">
        <f>'STOK DETAY'!DZ6</f>
        <v>0</v>
      </c>
      <c r="F32" s="330">
        <f>'STOK DETAY'!EA6</f>
        <v>8.3800000000000008</v>
      </c>
      <c r="G32" s="330">
        <f>'STOK DETAY'!EB6</f>
        <v>0</v>
      </c>
      <c r="H32" s="330">
        <f>'STOK DETAY'!EC6</f>
        <v>0</v>
      </c>
      <c r="I32" s="330">
        <f>'STOK DETAY'!ED6</f>
        <v>0</v>
      </c>
      <c r="J32" s="330">
        <f t="shared" si="0"/>
        <v>8.3800000000000008</v>
      </c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</row>
    <row r="33" spans="1:23" s="188" customFormat="1" ht="18" customHeight="1" x14ac:dyDescent="0.35">
      <c r="A33" s="367" t="s">
        <v>270</v>
      </c>
      <c r="B33" s="368" t="s">
        <v>55</v>
      </c>
      <c r="C33" s="369">
        <v>502</v>
      </c>
      <c r="D33" s="330">
        <f>'STOK DETAY'!EE6</f>
        <v>0</v>
      </c>
      <c r="E33" s="330">
        <f>'STOK DETAY'!EF6</f>
        <v>0</v>
      </c>
      <c r="F33" s="330">
        <f>'STOK DETAY'!EG6</f>
        <v>378.33</v>
      </c>
      <c r="G33" s="330">
        <f>'STOK DETAY'!EH6</f>
        <v>1.75</v>
      </c>
      <c r="H33" s="330">
        <f>'STOK DETAY'!EI6</f>
        <v>8.44</v>
      </c>
      <c r="I33" s="330"/>
      <c r="J33" s="330">
        <f t="shared" si="0"/>
        <v>388.52</v>
      </c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</row>
    <row r="34" spans="1:23" s="188" customFormat="1" ht="18" customHeight="1" x14ac:dyDescent="0.35">
      <c r="A34" s="367" t="s">
        <v>271</v>
      </c>
      <c r="B34" s="368" t="s">
        <v>55</v>
      </c>
      <c r="C34" s="369">
        <v>503</v>
      </c>
      <c r="D34" s="330">
        <f>'STOK DETAY'!EJ6</f>
        <v>0</v>
      </c>
      <c r="E34" s="330">
        <f>'STOK DETAY'!EK6</f>
        <v>0</v>
      </c>
      <c r="F34" s="330">
        <f>'STOK DETAY'!EL6</f>
        <v>0</v>
      </c>
      <c r="G34" s="330"/>
      <c r="H34" s="330">
        <f>'STOK DETAY'!EM6</f>
        <v>68.8</v>
      </c>
      <c r="I34" s="330"/>
      <c r="J34" s="330">
        <f t="shared" ref="J34:J65" si="1">SUM(D34:I34)</f>
        <v>68.8</v>
      </c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</row>
    <row r="35" spans="1:23" s="188" customFormat="1" ht="18" customHeight="1" x14ac:dyDescent="0.35">
      <c r="A35" s="367" t="s">
        <v>272</v>
      </c>
      <c r="B35" s="368" t="s">
        <v>55</v>
      </c>
      <c r="C35" s="369">
        <v>503</v>
      </c>
      <c r="D35" s="330">
        <f>'STOK DETAY'!EN6</f>
        <v>0</v>
      </c>
      <c r="E35" s="330">
        <f>'STOK DETAY'!EO6</f>
        <v>0</v>
      </c>
      <c r="F35" s="330">
        <f>'STOK DETAY'!EP6</f>
        <v>16.170000000000002</v>
      </c>
      <c r="G35" s="330"/>
      <c r="H35" s="330">
        <f>'STOK DETAY'!EQ6</f>
        <v>0</v>
      </c>
      <c r="I35" s="330"/>
      <c r="J35" s="330">
        <f t="shared" si="1"/>
        <v>16.170000000000002</v>
      </c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</row>
    <row r="36" spans="1:23" s="188" customFormat="1" ht="18" customHeight="1" x14ac:dyDescent="0.35">
      <c r="A36" s="367" t="s">
        <v>273</v>
      </c>
      <c r="B36" s="368" t="s">
        <v>55</v>
      </c>
      <c r="C36" s="369"/>
      <c r="D36" s="330">
        <f>'STOK DETAY'!ER6</f>
        <v>0</v>
      </c>
      <c r="E36" s="330">
        <f>'STOK DETAY'!ES6</f>
        <v>0</v>
      </c>
      <c r="F36" s="330">
        <f>'STOK DETAY'!ET6</f>
        <v>0</v>
      </c>
      <c r="G36" s="330"/>
      <c r="H36" s="330">
        <f>'STOK DETAY'!EU6</f>
        <v>0</v>
      </c>
      <c r="I36" s="330"/>
      <c r="J36" s="330">
        <f t="shared" si="1"/>
        <v>0</v>
      </c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</row>
    <row r="37" spans="1:23" s="188" customFormat="1" ht="18" customHeight="1" x14ac:dyDescent="0.35">
      <c r="A37" s="367" t="s">
        <v>274</v>
      </c>
      <c r="B37" s="368" t="s">
        <v>55</v>
      </c>
      <c r="C37" s="369">
        <v>211</v>
      </c>
      <c r="D37" s="330"/>
      <c r="E37" s="330"/>
      <c r="F37" s="330"/>
      <c r="G37" s="330"/>
      <c r="H37" s="330">
        <f>'STOK DETAY'!EV6</f>
        <v>27.65</v>
      </c>
      <c r="I37" s="330"/>
      <c r="J37" s="330">
        <f t="shared" si="1"/>
        <v>27.65</v>
      </c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</row>
    <row r="38" spans="1:23" s="188" customFormat="1" ht="18" customHeight="1" x14ac:dyDescent="0.35">
      <c r="A38" s="367" t="s">
        <v>275</v>
      </c>
      <c r="B38" s="368" t="s">
        <v>55</v>
      </c>
      <c r="C38" s="369"/>
      <c r="D38" s="330"/>
      <c r="E38" s="330">
        <f>'STOK DETAY'!EW6</f>
        <v>0</v>
      </c>
      <c r="F38" s="330"/>
      <c r="G38" s="330"/>
      <c r="H38" s="330"/>
      <c r="I38" s="330"/>
      <c r="J38" s="330">
        <f t="shared" si="1"/>
        <v>0</v>
      </c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</row>
    <row r="39" spans="1:23" s="188" customFormat="1" ht="18" customHeight="1" x14ac:dyDescent="0.35">
      <c r="A39" s="367" t="s">
        <v>276</v>
      </c>
      <c r="B39" s="368" t="s">
        <v>55</v>
      </c>
      <c r="C39" s="369"/>
      <c r="D39" s="330"/>
      <c r="E39" s="330">
        <f>'STOK DETAY'!EY6</f>
        <v>0</v>
      </c>
      <c r="F39" s="330">
        <f>'STOK DETAY'!EZ6</f>
        <v>0</v>
      </c>
      <c r="G39" s="330"/>
      <c r="H39" s="330"/>
      <c r="I39" s="330"/>
      <c r="J39" s="330">
        <f t="shared" si="1"/>
        <v>0</v>
      </c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</row>
    <row r="40" spans="1:23" s="188" customFormat="1" ht="18" customHeight="1" x14ac:dyDescent="0.35">
      <c r="A40" s="367" t="s">
        <v>277</v>
      </c>
      <c r="B40" s="368" t="s">
        <v>55</v>
      </c>
      <c r="C40" s="369"/>
      <c r="D40" s="330">
        <f>'STOK DETAY'!FA6</f>
        <v>0</v>
      </c>
      <c r="E40" s="330">
        <f>'STOK DETAY'!FB6</f>
        <v>0</v>
      </c>
      <c r="F40" s="330">
        <f>'STOK DETAY'!FC6</f>
        <v>0</v>
      </c>
      <c r="G40" s="330"/>
      <c r="H40" s="330">
        <f>'STOK DETAY'!FD6</f>
        <v>0</v>
      </c>
      <c r="I40" s="330"/>
      <c r="J40" s="330">
        <f t="shared" si="1"/>
        <v>0</v>
      </c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</row>
    <row r="41" spans="1:23" s="188" customFormat="1" ht="18" customHeight="1" x14ac:dyDescent="0.35">
      <c r="A41" s="367" t="s">
        <v>278</v>
      </c>
      <c r="B41" s="368" t="s">
        <v>55</v>
      </c>
      <c r="C41" s="369"/>
      <c r="D41" s="330"/>
      <c r="E41" s="330"/>
      <c r="F41" s="330"/>
      <c r="G41" s="330"/>
      <c r="H41" s="330">
        <f>'STOK DETAY'!FE6</f>
        <v>28</v>
      </c>
      <c r="I41" s="330"/>
      <c r="J41" s="330">
        <f t="shared" si="1"/>
        <v>28</v>
      </c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</row>
    <row r="42" spans="1:23" s="188" customFormat="1" ht="18" customHeight="1" x14ac:dyDescent="0.35">
      <c r="A42" s="367" t="s">
        <v>279</v>
      </c>
      <c r="B42" s="368" t="s">
        <v>55</v>
      </c>
      <c r="C42" s="369"/>
      <c r="D42" s="330"/>
      <c r="E42" s="330">
        <f>'STOK DETAY'!FF6</f>
        <v>0</v>
      </c>
      <c r="F42" s="330">
        <f>'STOK DETAY'!FG6</f>
        <v>103.66500000000001</v>
      </c>
      <c r="G42" s="330"/>
      <c r="H42" s="330">
        <f>'STOK DETAY'!FH6</f>
        <v>0</v>
      </c>
      <c r="I42" s="330"/>
      <c r="J42" s="330">
        <f t="shared" si="1"/>
        <v>103.66500000000001</v>
      </c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</row>
    <row r="43" spans="1:23" s="188" customFormat="1" ht="18" customHeight="1" x14ac:dyDescent="0.35">
      <c r="A43" s="367" t="s">
        <v>280</v>
      </c>
      <c r="B43" s="368" t="s">
        <v>55</v>
      </c>
      <c r="C43" s="369"/>
      <c r="D43" s="330"/>
      <c r="E43" s="330">
        <f>'STOK DETAY'!FJ6</f>
        <v>0</v>
      </c>
      <c r="F43" s="330">
        <f>'STOK DETAY'!FK6</f>
        <v>0</v>
      </c>
      <c r="G43" s="330"/>
      <c r="H43" s="330">
        <f>'STOK DETAY'!FL6</f>
        <v>0</v>
      </c>
      <c r="I43" s="330"/>
      <c r="J43" s="330">
        <f t="shared" si="1"/>
        <v>0</v>
      </c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</row>
    <row r="44" spans="1:23" s="188" customFormat="1" ht="18" customHeight="1" x14ac:dyDescent="0.35">
      <c r="A44" s="367" t="s">
        <v>281</v>
      </c>
      <c r="B44" s="368" t="s">
        <v>55</v>
      </c>
      <c r="C44" s="369"/>
      <c r="D44" s="330">
        <f>'STOK DETAY'!FM6</f>
        <v>0</v>
      </c>
      <c r="E44" s="330"/>
      <c r="F44" s="330"/>
      <c r="G44" s="330"/>
      <c r="H44" s="330">
        <f>'STOK DETAY'!FN6</f>
        <v>45.85</v>
      </c>
      <c r="I44" s="330"/>
      <c r="J44" s="330">
        <f t="shared" si="1"/>
        <v>45.85</v>
      </c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</row>
    <row r="45" spans="1:23" s="188" customFormat="1" ht="18" customHeight="1" x14ac:dyDescent="0.35">
      <c r="A45" s="367" t="s">
        <v>282</v>
      </c>
      <c r="B45" s="368" t="s">
        <v>55</v>
      </c>
      <c r="C45" s="369"/>
      <c r="D45" s="330"/>
      <c r="E45" s="330"/>
      <c r="F45" s="330"/>
      <c r="G45" s="330"/>
      <c r="H45" s="330">
        <f>'STOK DETAY'!FO6</f>
        <v>0</v>
      </c>
      <c r="I45" s="330"/>
      <c r="J45" s="330">
        <f t="shared" si="1"/>
        <v>0</v>
      </c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</row>
    <row r="46" spans="1:23" s="188" customFormat="1" ht="18" customHeight="1" x14ac:dyDescent="0.35">
      <c r="A46" s="367" t="s">
        <v>283</v>
      </c>
      <c r="B46" s="368" t="s">
        <v>55</v>
      </c>
      <c r="C46" s="369"/>
      <c r="D46" s="330"/>
      <c r="E46" s="330"/>
      <c r="F46" s="330"/>
      <c r="G46" s="330"/>
      <c r="H46" s="330">
        <f>'STOK DETAY'!FP6</f>
        <v>0</v>
      </c>
      <c r="I46" s="330"/>
      <c r="J46" s="330">
        <f t="shared" si="1"/>
        <v>0</v>
      </c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</row>
    <row r="47" spans="1:23" s="188" customFormat="1" ht="18" customHeight="1" x14ac:dyDescent="0.35">
      <c r="A47" s="367" t="s">
        <v>284</v>
      </c>
      <c r="B47" s="368" t="s">
        <v>55</v>
      </c>
      <c r="C47" s="369"/>
      <c r="D47" s="330">
        <f>'STOK DETAY'!FQ6</f>
        <v>0</v>
      </c>
      <c r="E47" s="330">
        <f>'STOK DETAY'!FR6</f>
        <v>0</v>
      </c>
      <c r="F47" s="330">
        <f>'STOK DETAY'!FS6</f>
        <v>0</v>
      </c>
      <c r="G47" s="330"/>
      <c r="H47" s="330"/>
      <c r="I47" s="330">
        <f>'STOK DETAY'!FT6</f>
        <v>0</v>
      </c>
      <c r="J47" s="330">
        <f t="shared" si="1"/>
        <v>0</v>
      </c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</row>
    <row r="48" spans="1:23" s="188" customFormat="1" ht="18" customHeight="1" x14ac:dyDescent="0.35">
      <c r="A48" s="367" t="s">
        <v>245</v>
      </c>
      <c r="B48" s="368" t="s">
        <v>55</v>
      </c>
      <c r="C48" s="369"/>
      <c r="D48" s="330"/>
      <c r="E48" s="330">
        <f>'STOK DETAY'!FU6</f>
        <v>0</v>
      </c>
      <c r="F48" s="330">
        <f>'STOK DETAY'!FV6</f>
        <v>0</v>
      </c>
      <c r="G48" s="330"/>
      <c r="H48" s="330">
        <f>'STOK DETAY'!FW6</f>
        <v>45.4</v>
      </c>
      <c r="I48" s="330"/>
      <c r="J48" s="330">
        <f t="shared" si="1"/>
        <v>45.4</v>
      </c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</row>
    <row r="49" spans="1:23" s="188" customFormat="1" ht="18" customHeight="1" x14ac:dyDescent="0.35">
      <c r="A49" s="367" t="s">
        <v>285</v>
      </c>
      <c r="B49" s="368" t="s">
        <v>55</v>
      </c>
      <c r="C49" s="369">
        <v>113</v>
      </c>
      <c r="D49" s="330">
        <f>'STOK DETAY'!FX6</f>
        <v>9.1999999999999993</v>
      </c>
      <c r="E49" s="330"/>
      <c r="F49" s="330"/>
      <c r="G49" s="330"/>
      <c r="H49" s="330">
        <f>'STOK DETAY'!FY6</f>
        <v>0</v>
      </c>
      <c r="I49" s="330">
        <f>'STOK DETAY'!FZ6</f>
        <v>0</v>
      </c>
      <c r="J49" s="330">
        <f t="shared" si="1"/>
        <v>9.1999999999999993</v>
      </c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</row>
    <row r="50" spans="1:23" s="188" customFormat="1" ht="18" customHeight="1" x14ac:dyDescent="0.35">
      <c r="A50" s="367" t="s">
        <v>286</v>
      </c>
      <c r="B50" s="368" t="s">
        <v>55</v>
      </c>
      <c r="C50" s="369"/>
      <c r="D50" s="330"/>
      <c r="E50" s="330">
        <f>'STOK DETAY'!GA6</f>
        <v>0</v>
      </c>
      <c r="F50" s="330">
        <f>'STOK DETAY'!GB6</f>
        <v>0</v>
      </c>
      <c r="G50" s="330"/>
      <c r="H50" s="330">
        <f>'STOK DETAY'!GC6</f>
        <v>89.45</v>
      </c>
      <c r="I50" s="330">
        <f>'STOK DETAY'!GD6</f>
        <v>0</v>
      </c>
      <c r="J50" s="330">
        <f t="shared" si="1"/>
        <v>89.45</v>
      </c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</row>
    <row r="51" spans="1:23" s="188" customFormat="1" ht="18" customHeight="1" x14ac:dyDescent="0.35">
      <c r="A51" s="367" t="s">
        <v>287</v>
      </c>
      <c r="B51" s="368" t="s">
        <v>55</v>
      </c>
      <c r="C51" s="369">
        <v>211</v>
      </c>
      <c r="D51" s="330"/>
      <c r="E51" s="330">
        <f>'STOK DETAY'!GE6</f>
        <v>0</v>
      </c>
      <c r="F51" s="330"/>
      <c r="G51" s="330"/>
      <c r="H51" s="330">
        <f>'STOK DETAY'!GF6</f>
        <v>21.45</v>
      </c>
      <c r="I51" s="330"/>
      <c r="J51" s="330">
        <f t="shared" si="1"/>
        <v>21.45</v>
      </c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</row>
    <row r="52" spans="1:23" s="188" customFormat="1" ht="18" customHeight="1" x14ac:dyDescent="0.35">
      <c r="A52" s="367" t="s">
        <v>288</v>
      </c>
      <c r="B52" s="368" t="s">
        <v>55</v>
      </c>
      <c r="C52" s="369"/>
      <c r="D52" s="330"/>
      <c r="E52" s="330"/>
      <c r="F52" s="330"/>
      <c r="G52" s="330"/>
      <c r="H52" s="330">
        <f>'STOK DETAY'!GG6</f>
        <v>0</v>
      </c>
      <c r="I52" s="330"/>
      <c r="J52" s="330">
        <f t="shared" si="1"/>
        <v>0</v>
      </c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</row>
    <row r="53" spans="1:23" s="188" customFormat="1" ht="18" customHeight="1" x14ac:dyDescent="0.35">
      <c r="A53" s="367" t="s">
        <v>289</v>
      </c>
      <c r="B53" s="368" t="s">
        <v>55</v>
      </c>
      <c r="C53" s="369"/>
      <c r="D53" s="330"/>
      <c r="E53" s="330"/>
      <c r="F53" s="330"/>
      <c r="G53" s="330"/>
      <c r="H53" s="330">
        <f>'STOK DETAY'!GI6</f>
        <v>0</v>
      </c>
      <c r="I53" s="330"/>
      <c r="J53" s="330">
        <f t="shared" si="1"/>
        <v>0</v>
      </c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</row>
    <row r="54" spans="1:23" s="188" customFormat="1" ht="18" customHeight="1" x14ac:dyDescent="0.35">
      <c r="A54" s="367" t="s">
        <v>290</v>
      </c>
      <c r="B54" s="368" t="s">
        <v>30</v>
      </c>
      <c r="C54" s="369">
        <v>611</v>
      </c>
      <c r="D54" s="330">
        <f>'STOK DETAY'!GJ6</f>
        <v>0</v>
      </c>
      <c r="E54" s="330"/>
      <c r="F54" s="330">
        <f>'STOK DETAY'!GK6</f>
        <v>76.703000000000003</v>
      </c>
      <c r="G54" s="330"/>
      <c r="H54" s="330"/>
      <c r="I54" s="330"/>
      <c r="J54" s="330">
        <f t="shared" si="1"/>
        <v>76.703000000000003</v>
      </c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</row>
    <row r="55" spans="1:23" s="188" customFormat="1" ht="18" customHeight="1" x14ac:dyDescent="0.35">
      <c r="A55" s="367" t="s">
        <v>246</v>
      </c>
      <c r="B55" s="332" t="s">
        <v>30</v>
      </c>
      <c r="C55" s="369"/>
      <c r="D55" s="330">
        <f>'STOK DETAY'!GL6</f>
        <v>0</v>
      </c>
      <c r="E55" s="330"/>
      <c r="F55" s="330">
        <f>'STOK DETAY'!GM6</f>
        <v>0</v>
      </c>
      <c r="G55" s="330"/>
      <c r="H55" s="330"/>
      <c r="I55" s="330"/>
      <c r="J55" s="330">
        <f t="shared" si="1"/>
        <v>0</v>
      </c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</row>
    <row r="56" spans="1:23" s="188" customFormat="1" ht="18" customHeight="1" x14ac:dyDescent="0.35">
      <c r="A56" s="367" t="s">
        <v>291</v>
      </c>
      <c r="B56" s="332" t="s">
        <v>30</v>
      </c>
      <c r="C56" s="369">
        <v>601</v>
      </c>
      <c r="D56" s="330"/>
      <c r="E56" s="330"/>
      <c r="F56" s="330">
        <f>'STOK DETAY'!GO6</f>
        <v>0</v>
      </c>
      <c r="G56" s="330"/>
      <c r="H56" s="330"/>
      <c r="I56" s="330"/>
      <c r="J56" s="330">
        <f t="shared" si="1"/>
        <v>0</v>
      </c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</row>
    <row r="57" spans="1:23" s="188" customFormat="1" ht="18" customHeight="1" x14ac:dyDescent="0.35">
      <c r="A57" s="367" t="s">
        <v>292</v>
      </c>
      <c r="B57" s="368" t="s">
        <v>30</v>
      </c>
      <c r="C57" s="369"/>
      <c r="D57" s="330">
        <f>'STOK DETAY'!GP6</f>
        <v>0</v>
      </c>
      <c r="E57" s="330"/>
      <c r="F57" s="330">
        <f>'STOK DETAY'!GQ6</f>
        <v>0</v>
      </c>
      <c r="G57" s="330"/>
      <c r="H57" s="330"/>
      <c r="I57" s="330"/>
      <c r="J57" s="330">
        <f t="shared" si="1"/>
        <v>0</v>
      </c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</row>
    <row r="58" spans="1:23" s="188" customFormat="1" ht="18" customHeight="1" x14ac:dyDescent="0.35">
      <c r="A58" s="367" t="s">
        <v>293</v>
      </c>
      <c r="B58" s="368" t="s">
        <v>30</v>
      </c>
      <c r="C58" s="369"/>
      <c r="D58" s="330">
        <f>'STOK DETAY'!GR6</f>
        <v>0</v>
      </c>
      <c r="E58" s="330"/>
      <c r="F58" s="330">
        <f>'STOK DETAY'!GS6</f>
        <v>0</v>
      </c>
      <c r="G58" s="330"/>
      <c r="H58" s="330"/>
      <c r="I58" s="330"/>
      <c r="J58" s="330">
        <f t="shared" si="1"/>
        <v>0</v>
      </c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</row>
    <row r="59" spans="1:23" s="188" customFormat="1" ht="18" customHeight="1" x14ac:dyDescent="0.35">
      <c r="A59" s="367" t="s">
        <v>294</v>
      </c>
      <c r="B59" s="368" t="s">
        <v>30</v>
      </c>
      <c r="C59" s="369"/>
      <c r="D59" s="330"/>
      <c r="E59" s="330"/>
      <c r="F59" s="330">
        <f>'STOK DETAY'!GU6</f>
        <v>0</v>
      </c>
      <c r="G59" s="330"/>
      <c r="H59" s="330"/>
      <c r="I59" s="330"/>
      <c r="J59" s="330">
        <f t="shared" si="1"/>
        <v>0</v>
      </c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</row>
    <row r="60" spans="1:23" s="188" customFormat="1" ht="18" customHeight="1" x14ac:dyDescent="0.35">
      <c r="A60" s="367" t="s">
        <v>295</v>
      </c>
      <c r="B60" s="368" t="s">
        <v>30</v>
      </c>
      <c r="C60" s="369"/>
      <c r="D60" s="330">
        <f>'STOK DETAY'!GV6</f>
        <v>0</v>
      </c>
      <c r="E60" s="330"/>
      <c r="F60" s="330">
        <f>'STOK DETAY'!GW6</f>
        <v>0</v>
      </c>
      <c r="G60" s="330"/>
      <c r="H60" s="330"/>
      <c r="I60" s="330"/>
      <c r="J60" s="330">
        <f t="shared" si="1"/>
        <v>0</v>
      </c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</row>
    <row r="61" spans="1:23" s="188" customFormat="1" ht="18" customHeight="1" x14ac:dyDescent="0.35">
      <c r="A61" s="367" t="s">
        <v>296</v>
      </c>
      <c r="B61" s="368" t="s">
        <v>30</v>
      </c>
      <c r="C61" s="369"/>
      <c r="D61" s="330"/>
      <c r="E61" s="330"/>
      <c r="F61" s="330">
        <f>'STOK DETAY'!GX6</f>
        <v>0</v>
      </c>
      <c r="G61" s="330"/>
      <c r="H61" s="330"/>
      <c r="I61" s="330"/>
      <c r="J61" s="330">
        <f t="shared" si="1"/>
        <v>0</v>
      </c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</row>
    <row r="62" spans="1:23" s="188" customFormat="1" ht="18" customHeight="1" x14ac:dyDescent="0.35">
      <c r="A62" s="367" t="s">
        <v>248</v>
      </c>
      <c r="B62" s="368" t="s">
        <v>30</v>
      </c>
      <c r="C62" s="369"/>
      <c r="D62" s="330">
        <f>'STOK DETAY'!GY6</f>
        <v>0</v>
      </c>
      <c r="E62" s="330"/>
      <c r="F62" s="330">
        <f>'STOK DETAY'!GZ6</f>
        <v>0</v>
      </c>
      <c r="G62" s="330"/>
      <c r="H62" s="330"/>
      <c r="I62" s="330">
        <f>'STOK DETAY'!HA6</f>
        <v>0</v>
      </c>
      <c r="J62" s="330">
        <f t="shared" si="1"/>
        <v>0</v>
      </c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</row>
    <row r="63" spans="1:23" s="188" customFormat="1" ht="18" customHeight="1" x14ac:dyDescent="0.35">
      <c r="A63" s="367" t="s">
        <v>297</v>
      </c>
      <c r="B63" s="368" t="s">
        <v>30</v>
      </c>
      <c r="C63" s="369"/>
      <c r="D63" s="330">
        <f>'STOK DETAY'!HB6</f>
        <v>0</v>
      </c>
      <c r="E63" s="330"/>
      <c r="F63" s="330"/>
      <c r="G63" s="330"/>
      <c r="H63" s="330"/>
      <c r="I63" s="330"/>
      <c r="J63" s="330">
        <f t="shared" si="1"/>
        <v>0</v>
      </c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</row>
    <row r="64" spans="1:23" s="188" customFormat="1" ht="18" customHeight="1" x14ac:dyDescent="0.35">
      <c r="A64" s="367" t="s">
        <v>249</v>
      </c>
      <c r="B64" s="368" t="s">
        <v>30</v>
      </c>
      <c r="C64" s="369"/>
      <c r="D64" s="330">
        <f>'STOK DETAY'!HC6</f>
        <v>0</v>
      </c>
      <c r="E64" s="330"/>
      <c r="F64" s="330">
        <f>'STOK DETAY'!HD6</f>
        <v>0</v>
      </c>
      <c r="G64" s="330"/>
      <c r="H64" s="330"/>
      <c r="I64" s="330"/>
      <c r="J64" s="330">
        <f t="shared" si="1"/>
        <v>0</v>
      </c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</row>
    <row r="65" spans="1:23" s="188" customFormat="1" ht="18" customHeight="1" x14ac:dyDescent="0.35">
      <c r="A65" s="367" t="s">
        <v>250</v>
      </c>
      <c r="B65" s="368" t="s">
        <v>30</v>
      </c>
      <c r="C65" s="369"/>
      <c r="D65" s="330">
        <f>'STOK DETAY'!HE6</f>
        <v>0</v>
      </c>
      <c r="E65" s="330"/>
      <c r="F65" s="330">
        <f>'STOK DETAY'!HF6</f>
        <v>0</v>
      </c>
      <c r="G65" s="330"/>
      <c r="H65" s="330"/>
      <c r="I65" s="330"/>
      <c r="J65" s="330">
        <f t="shared" si="1"/>
        <v>0</v>
      </c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</row>
    <row r="66" spans="1:23" s="188" customFormat="1" ht="18" customHeight="1" x14ac:dyDescent="0.35">
      <c r="A66" s="367" t="s">
        <v>251</v>
      </c>
      <c r="B66" s="368" t="s">
        <v>30</v>
      </c>
      <c r="C66" s="369"/>
      <c r="D66" s="330">
        <f>'STOK DETAY'!HG6</f>
        <v>0</v>
      </c>
      <c r="E66" s="330"/>
      <c r="F66" s="330">
        <f>'STOK DETAY'!HH6</f>
        <v>0</v>
      </c>
      <c r="G66" s="330"/>
      <c r="H66" s="330"/>
      <c r="I66" s="330">
        <f>'STOK DETAY'!HI6</f>
        <v>13.32</v>
      </c>
      <c r="J66" s="330">
        <f t="shared" ref="J66:J96" si="2">SUM(D66:I66)</f>
        <v>13.32</v>
      </c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</row>
    <row r="67" spans="1:23" s="188" customFormat="1" ht="18" customHeight="1" x14ac:dyDescent="0.35">
      <c r="A67" s="367" t="s">
        <v>298</v>
      </c>
      <c r="B67" s="368" t="s">
        <v>30</v>
      </c>
      <c r="C67" s="369">
        <v>613</v>
      </c>
      <c r="D67" s="330"/>
      <c r="E67" s="330"/>
      <c r="F67" s="330">
        <f>'STOK DETAY'!HJ6</f>
        <v>8.9849999999999994</v>
      </c>
      <c r="G67" s="330"/>
      <c r="H67" s="330"/>
      <c r="I67" s="330"/>
      <c r="J67" s="330">
        <f t="shared" si="2"/>
        <v>8.9849999999999994</v>
      </c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</row>
    <row r="68" spans="1:23" s="188" customFormat="1" ht="18" customHeight="1" x14ac:dyDescent="0.35">
      <c r="A68" s="367" t="s">
        <v>299</v>
      </c>
      <c r="B68" s="368" t="s">
        <v>30</v>
      </c>
      <c r="C68" s="369"/>
      <c r="D68" s="330">
        <f>'STOK DETAY'!HK6</f>
        <v>0</v>
      </c>
      <c r="E68" s="330"/>
      <c r="F68" s="330"/>
      <c r="G68" s="330"/>
      <c r="H68" s="330"/>
      <c r="I68" s="330"/>
      <c r="J68" s="330">
        <f t="shared" si="2"/>
        <v>0</v>
      </c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</row>
    <row r="69" spans="1:23" s="188" customFormat="1" ht="18" customHeight="1" x14ac:dyDescent="0.35">
      <c r="A69" s="367" t="s">
        <v>252</v>
      </c>
      <c r="B69" s="368" t="s">
        <v>30</v>
      </c>
      <c r="C69" s="369"/>
      <c r="D69" s="330">
        <f>'STOK DETAY'!HL6</f>
        <v>0</v>
      </c>
      <c r="E69" s="330"/>
      <c r="F69" s="330">
        <f>'STOK DETAY'!HM6</f>
        <v>0</v>
      </c>
      <c r="G69" s="330"/>
      <c r="H69" s="330"/>
      <c r="I69" s="330">
        <f>'STOK DETAY'!HN6</f>
        <v>0</v>
      </c>
      <c r="J69" s="330">
        <f t="shared" si="2"/>
        <v>0</v>
      </c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</row>
    <row r="70" spans="1:23" s="188" customFormat="1" ht="18" customHeight="1" x14ac:dyDescent="0.35">
      <c r="A70" s="367" t="s">
        <v>300</v>
      </c>
      <c r="B70" s="368" t="s">
        <v>30</v>
      </c>
      <c r="C70" s="369">
        <v>612</v>
      </c>
      <c r="D70" s="330">
        <f>'STOK DETAY'!HO6</f>
        <v>0</v>
      </c>
      <c r="E70" s="330"/>
      <c r="F70" s="330">
        <f>'STOK DETAY'!HP6</f>
        <v>0</v>
      </c>
      <c r="G70" s="330"/>
      <c r="H70" s="330"/>
      <c r="I70" s="330"/>
      <c r="J70" s="330">
        <f t="shared" si="2"/>
        <v>0</v>
      </c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</row>
    <row r="71" spans="1:23" s="188" customFormat="1" ht="18" customHeight="1" x14ac:dyDescent="0.35">
      <c r="A71" s="367" t="s">
        <v>242</v>
      </c>
      <c r="B71" s="368" t="s">
        <v>30</v>
      </c>
      <c r="C71" s="369"/>
      <c r="D71" s="330">
        <f>'STOK DETAY'!HQ6</f>
        <v>0</v>
      </c>
      <c r="E71" s="330"/>
      <c r="F71" s="330">
        <f>'STOK DETAY'!HR6</f>
        <v>0</v>
      </c>
      <c r="G71" s="330"/>
      <c r="H71" s="330"/>
      <c r="I71" s="330"/>
      <c r="J71" s="330">
        <f t="shared" si="2"/>
        <v>0</v>
      </c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</row>
    <row r="72" spans="1:23" s="188" customFormat="1" ht="18" customHeight="1" x14ac:dyDescent="0.35">
      <c r="A72" s="367" t="s">
        <v>253</v>
      </c>
      <c r="B72" s="368" t="s">
        <v>30</v>
      </c>
      <c r="C72" s="369">
        <v>213</v>
      </c>
      <c r="D72" s="330">
        <f>'STOK DETAY'!HS6</f>
        <v>93.39</v>
      </c>
      <c r="E72" s="330"/>
      <c r="F72" s="330"/>
      <c r="G72" s="330"/>
      <c r="H72" s="330"/>
      <c r="I72" s="330"/>
      <c r="J72" s="330">
        <f t="shared" si="2"/>
        <v>93.39</v>
      </c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</row>
    <row r="73" spans="1:23" s="188" customFormat="1" ht="18" customHeight="1" x14ac:dyDescent="0.35">
      <c r="A73" s="367" t="s">
        <v>253</v>
      </c>
      <c r="B73" s="368" t="s">
        <v>129</v>
      </c>
      <c r="C73" s="369">
        <v>213</v>
      </c>
      <c r="D73" s="330"/>
      <c r="E73" s="330"/>
      <c r="F73" s="330">
        <f>'STOK DETAY'!HT6</f>
        <v>31.1</v>
      </c>
      <c r="G73" s="330"/>
      <c r="H73" s="330"/>
      <c r="I73" s="330"/>
      <c r="J73" s="330">
        <f t="shared" si="2"/>
        <v>31.1</v>
      </c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</row>
    <row r="74" spans="1:23" s="188" customFormat="1" ht="18" customHeight="1" x14ac:dyDescent="0.35">
      <c r="A74" s="367" t="s">
        <v>243</v>
      </c>
      <c r="B74" s="368" t="s">
        <v>30</v>
      </c>
      <c r="C74" s="369"/>
      <c r="D74" s="330">
        <f>'STOK DETAY'!HU6</f>
        <v>0</v>
      </c>
      <c r="E74" s="330"/>
      <c r="F74" s="330">
        <f>'STOK DETAY'!HV6</f>
        <v>0</v>
      </c>
      <c r="G74" s="330"/>
      <c r="H74" s="330"/>
      <c r="I74" s="330"/>
      <c r="J74" s="330">
        <f t="shared" si="2"/>
        <v>0</v>
      </c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</row>
    <row r="75" spans="1:23" s="188" customFormat="1" ht="18" customHeight="1" x14ac:dyDescent="0.35">
      <c r="A75" s="367" t="s">
        <v>255</v>
      </c>
      <c r="B75" s="368" t="s">
        <v>30</v>
      </c>
      <c r="C75" s="369"/>
      <c r="D75" s="330">
        <f>'STOK DETAY'!HW6</f>
        <v>0</v>
      </c>
      <c r="E75" s="330"/>
      <c r="F75" s="330">
        <f>'STOK DETAY'!HX6</f>
        <v>0</v>
      </c>
      <c r="G75" s="330"/>
      <c r="H75" s="330"/>
      <c r="I75" s="330"/>
      <c r="J75" s="330">
        <f t="shared" si="2"/>
        <v>0</v>
      </c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</row>
    <row r="76" spans="1:23" s="188" customFormat="1" ht="18" customHeight="1" x14ac:dyDescent="0.35">
      <c r="A76" s="367" t="s">
        <v>244</v>
      </c>
      <c r="B76" s="368" t="s">
        <v>30</v>
      </c>
      <c r="C76" s="369"/>
      <c r="D76" s="330">
        <f>'STOK DETAY'!HY6</f>
        <v>8.94</v>
      </c>
      <c r="E76" s="330"/>
      <c r="F76" s="330"/>
      <c r="G76" s="330"/>
      <c r="H76" s="330"/>
      <c r="I76" s="330"/>
      <c r="J76" s="330">
        <f t="shared" si="2"/>
        <v>8.94</v>
      </c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</row>
    <row r="77" spans="1:23" s="188" customFormat="1" ht="18" customHeight="1" x14ac:dyDescent="0.35">
      <c r="A77" s="367" t="s">
        <v>256</v>
      </c>
      <c r="B77" s="368" t="s">
        <v>30</v>
      </c>
      <c r="C77" s="369">
        <v>411</v>
      </c>
      <c r="D77" s="330"/>
      <c r="E77" s="330"/>
      <c r="F77" s="330">
        <f>'STOK DETAY'!IA6</f>
        <v>83.82</v>
      </c>
      <c r="G77" s="330"/>
      <c r="H77" s="330"/>
      <c r="I77" s="330"/>
      <c r="J77" s="330">
        <f t="shared" si="2"/>
        <v>83.82</v>
      </c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</row>
    <row r="78" spans="1:23" s="188" customFormat="1" ht="18" customHeight="1" x14ac:dyDescent="0.35">
      <c r="A78" s="367" t="s">
        <v>257</v>
      </c>
      <c r="B78" s="368" t="s">
        <v>30</v>
      </c>
      <c r="C78" s="369"/>
      <c r="D78" s="330">
        <f>'STOK DETAY'!IB6</f>
        <v>0</v>
      </c>
      <c r="E78" s="330"/>
      <c r="F78" s="330">
        <f>'STOK DETAY'!IC6</f>
        <v>0</v>
      </c>
      <c r="G78" s="330"/>
      <c r="H78" s="330"/>
      <c r="I78" s="330"/>
      <c r="J78" s="330">
        <f t="shared" si="2"/>
        <v>0</v>
      </c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</row>
    <row r="79" spans="1:23" s="188" customFormat="1" ht="18" customHeight="1" x14ac:dyDescent="0.35">
      <c r="A79" s="367" t="s">
        <v>258</v>
      </c>
      <c r="B79" s="368" t="s">
        <v>30</v>
      </c>
      <c r="C79" s="369"/>
      <c r="D79" s="330">
        <f>'STOK DETAY'!ID6</f>
        <v>0</v>
      </c>
      <c r="E79" s="330"/>
      <c r="F79" s="330">
        <f>'STOK DETAY'!IE6</f>
        <v>2.42</v>
      </c>
      <c r="G79" s="330"/>
      <c r="H79" s="330"/>
      <c r="I79" s="330"/>
      <c r="J79" s="330">
        <f t="shared" si="2"/>
        <v>2.42</v>
      </c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</row>
    <row r="80" spans="1:23" s="188" customFormat="1" ht="18" customHeight="1" x14ac:dyDescent="0.35">
      <c r="A80" s="367" t="s">
        <v>259</v>
      </c>
      <c r="B80" s="368" t="s">
        <v>30</v>
      </c>
      <c r="C80" s="369"/>
      <c r="D80" s="330">
        <f>'STOK DETAY'!IF6</f>
        <v>0</v>
      </c>
      <c r="E80" s="330"/>
      <c r="F80" s="330"/>
      <c r="G80" s="330"/>
      <c r="H80" s="330"/>
      <c r="I80" s="330"/>
      <c r="J80" s="330">
        <f t="shared" si="2"/>
        <v>0</v>
      </c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</row>
    <row r="81" spans="1:23" s="188" customFormat="1" ht="18" customHeight="1" x14ac:dyDescent="0.35">
      <c r="A81" s="367" t="s">
        <v>260</v>
      </c>
      <c r="B81" s="332" t="s">
        <v>30</v>
      </c>
      <c r="C81" s="369">
        <v>611</v>
      </c>
      <c r="D81" s="330">
        <f>'STOK DETAY'!IG6</f>
        <v>127.11</v>
      </c>
      <c r="E81" s="330"/>
      <c r="F81" s="330"/>
      <c r="G81" s="330"/>
      <c r="H81" s="330"/>
      <c r="I81" s="330"/>
      <c r="J81" s="330">
        <f t="shared" si="2"/>
        <v>127.11</v>
      </c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</row>
    <row r="82" spans="1:23" s="188" customFormat="1" ht="18" customHeight="1" x14ac:dyDescent="0.35">
      <c r="A82" s="367" t="s">
        <v>261</v>
      </c>
      <c r="B82" s="368" t="s">
        <v>30</v>
      </c>
      <c r="C82" s="369">
        <v>613</v>
      </c>
      <c r="D82" s="330">
        <f>'STOK DETAY'!IH6</f>
        <v>128.26</v>
      </c>
      <c r="E82" s="330"/>
      <c r="F82" s="330"/>
      <c r="G82" s="330"/>
      <c r="H82" s="330"/>
      <c r="I82" s="330"/>
      <c r="J82" s="330">
        <f t="shared" si="2"/>
        <v>128.26</v>
      </c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</row>
    <row r="83" spans="1:23" s="188" customFormat="1" ht="18" customHeight="1" x14ac:dyDescent="0.35">
      <c r="A83" s="367" t="s">
        <v>262</v>
      </c>
      <c r="B83" s="368" t="s">
        <v>30</v>
      </c>
      <c r="C83" s="369"/>
      <c r="D83" s="330"/>
      <c r="E83" s="330"/>
      <c r="F83" s="330">
        <f>'STOK DETAY'!II6</f>
        <v>29.6</v>
      </c>
      <c r="G83" s="330"/>
      <c r="H83" s="330"/>
      <c r="I83" s="330"/>
      <c r="J83" s="330">
        <f t="shared" si="2"/>
        <v>29.6</v>
      </c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</row>
    <row r="84" spans="1:23" s="188" customFormat="1" ht="18" customHeight="1" x14ac:dyDescent="0.35">
      <c r="A84" s="367" t="s">
        <v>251</v>
      </c>
      <c r="B84" s="368" t="s">
        <v>10</v>
      </c>
      <c r="C84" s="369">
        <v>511</v>
      </c>
      <c r="D84" s="330"/>
      <c r="E84" s="330">
        <f>'STOK DETAY'!IJ6</f>
        <v>3.28</v>
      </c>
      <c r="F84" s="330"/>
      <c r="G84" s="330"/>
      <c r="H84" s="330"/>
      <c r="I84" s="330"/>
      <c r="J84" s="330">
        <f t="shared" si="2"/>
        <v>3.28</v>
      </c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</row>
    <row r="85" spans="1:23" s="188" customFormat="1" ht="18" customHeight="1" x14ac:dyDescent="0.35">
      <c r="A85" s="367" t="s">
        <v>243</v>
      </c>
      <c r="B85" s="368" t="s">
        <v>10</v>
      </c>
      <c r="C85" s="369">
        <v>511</v>
      </c>
      <c r="D85" s="330"/>
      <c r="E85" s="330">
        <f>'STOK DETAY'!IK6</f>
        <v>63.54</v>
      </c>
      <c r="F85" s="330"/>
      <c r="G85" s="330"/>
      <c r="H85" s="330"/>
      <c r="I85" s="330"/>
      <c r="J85" s="330">
        <f t="shared" si="2"/>
        <v>63.54</v>
      </c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</row>
    <row r="86" spans="1:23" s="188" customFormat="1" ht="18" customHeight="1" x14ac:dyDescent="0.35">
      <c r="A86" s="367" t="s">
        <v>255</v>
      </c>
      <c r="B86" s="368" t="s">
        <v>10</v>
      </c>
      <c r="C86" s="369">
        <v>511</v>
      </c>
      <c r="D86" s="330"/>
      <c r="E86" s="330">
        <f>'STOK DETAY'!IL6</f>
        <v>10.45</v>
      </c>
      <c r="F86" s="330"/>
      <c r="G86" s="330"/>
      <c r="H86" s="330"/>
      <c r="I86" s="330"/>
      <c r="J86" s="330">
        <f t="shared" si="2"/>
        <v>10.45</v>
      </c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</row>
    <row r="87" spans="1:23" s="188" customFormat="1" ht="18" customHeight="1" x14ac:dyDescent="0.35">
      <c r="A87" s="367" t="s">
        <v>244</v>
      </c>
      <c r="B87" s="368" t="s">
        <v>10</v>
      </c>
      <c r="C87" s="369">
        <v>101</v>
      </c>
      <c r="D87" s="330">
        <f>'STOK DETAY'!IM6</f>
        <v>0</v>
      </c>
      <c r="E87" s="330"/>
      <c r="F87" s="330"/>
      <c r="G87" s="330"/>
      <c r="H87" s="330"/>
      <c r="I87" s="330"/>
      <c r="J87" s="330">
        <f t="shared" si="2"/>
        <v>0</v>
      </c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</row>
    <row r="88" spans="1:23" s="188" customFormat="1" ht="18" customHeight="1" x14ac:dyDescent="0.35">
      <c r="A88" s="367" t="s">
        <v>257</v>
      </c>
      <c r="B88" s="368" t="s">
        <v>10</v>
      </c>
      <c r="C88" s="369">
        <v>101</v>
      </c>
      <c r="D88" s="330">
        <f>'STOK DETAY'!IN6</f>
        <v>0</v>
      </c>
      <c r="E88" s="330"/>
      <c r="F88" s="330"/>
      <c r="G88" s="330"/>
      <c r="H88" s="330"/>
      <c r="I88" s="330">
        <f>'STOK DETAY'!IO6</f>
        <v>457.2</v>
      </c>
      <c r="J88" s="330">
        <f t="shared" si="2"/>
        <v>457.2</v>
      </c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</row>
    <row r="89" spans="1:23" s="188" customFormat="1" ht="18" customHeight="1" x14ac:dyDescent="0.35">
      <c r="A89" s="367" t="s">
        <v>263</v>
      </c>
      <c r="B89" s="368" t="s">
        <v>10</v>
      </c>
      <c r="C89" s="369">
        <v>511</v>
      </c>
      <c r="D89" s="330"/>
      <c r="E89" s="330">
        <f>'STOK DETAY'!IP6</f>
        <v>2.5</v>
      </c>
      <c r="F89" s="330"/>
      <c r="G89" s="330"/>
      <c r="H89" s="330"/>
      <c r="I89" s="330"/>
      <c r="J89" s="330">
        <f t="shared" si="2"/>
        <v>2.5</v>
      </c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</row>
    <row r="90" spans="1:23" s="188" customFormat="1" ht="18" customHeight="1" x14ac:dyDescent="0.35">
      <c r="A90" s="367" t="s">
        <v>267</v>
      </c>
      <c r="B90" s="368" t="s">
        <v>10</v>
      </c>
      <c r="C90" s="369">
        <v>511</v>
      </c>
      <c r="D90" s="330"/>
      <c r="E90" s="330">
        <f>'STOK DETAY'!IQ6</f>
        <v>14.7</v>
      </c>
      <c r="F90" s="330"/>
      <c r="G90" s="330"/>
      <c r="H90" s="330"/>
      <c r="I90" s="330"/>
      <c r="J90" s="330">
        <f t="shared" si="2"/>
        <v>14.7</v>
      </c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</row>
    <row r="91" spans="1:23" s="188" customFormat="1" ht="18" customHeight="1" x14ac:dyDescent="0.35">
      <c r="A91" s="367" t="s">
        <v>269</v>
      </c>
      <c r="B91" s="368" t="s">
        <v>10</v>
      </c>
      <c r="C91" s="369">
        <v>511</v>
      </c>
      <c r="D91" s="330"/>
      <c r="E91" s="330">
        <f>'STOK DETAY'!IR6</f>
        <v>2.85</v>
      </c>
      <c r="F91" s="330"/>
      <c r="G91" s="330"/>
      <c r="H91" s="330"/>
      <c r="I91" s="330"/>
      <c r="J91" s="330">
        <f t="shared" si="2"/>
        <v>2.85</v>
      </c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</row>
    <row r="92" spans="1:23" s="188" customFormat="1" ht="18" customHeight="1" x14ac:dyDescent="0.35">
      <c r="A92" s="367" t="s">
        <v>271</v>
      </c>
      <c r="B92" s="368" t="s">
        <v>10</v>
      </c>
      <c r="C92" s="369">
        <v>511</v>
      </c>
      <c r="D92" s="330"/>
      <c r="E92" s="330">
        <f>'STOK DETAY'!IS6</f>
        <v>6.83</v>
      </c>
      <c r="F92" s="330"/>
      <c r="G92" s="330"/>
      <c r="H92" s="330"/>
      <c r="I92" s="330"/>
      <c r="J92" s="330">
        <f t="shared" si="2"/>
        <v>6.83</v>
      </c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</row>
    <row r="93" spans="1:23" s="188" customFormat="1" ht="18" customHeight="1" x14ac:dyDescent="0.35">
      <c r="A93" s="367" t="s">
        <v>275</v>
      </c>
      <c r="B93" s="368" t="s">
        <v>10</v>
      </c>
      <c r="C93" s="369">
        <v>511</v>
      </c>
      <c r="D93" s="330"/>
      <c r="E93" s="330">
        <f>'STOK DETAY'!IT6</f>
        <v>9.2200000000000006</v>
      </c>
      <c r="F93" s="330"/>
      <c r="G93" s="330"/>
      <c r="H93" s="330"/>
      <c r="I93" s="330"/>
      <c r="J93" s="330">
        <f t="shared" si="2"/>
        <v>9.2200000000000006</v>
      </c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</row>
    <row r="94" spans="1:23" s="188" customFormat="1" ht="18" customHeight="1" x14ac:dyDescent="0.35">
      <c r="A94" s="367" t="s">
        <v>276</v>
      </c>
      <c r="B94" s="368" t="s">
        <v>10</v>
      </c>
      <c r="C94" s="369">
        <v>511</v>
      </c>
      <c r="D94" s="330"/>
      <c r="E94" s="330">
        <f>'STOK DETAY'!IU6</f>
        <v>18.5</v>
      </c>
      <c r="F94" s="330"/>
      <c r="G94" s="330"/>
      <c r="H94" s="330"/>
      <c r="I94" s="330"/>
      <c r="J94" s="330">
        <f t="shared" si="2"/>
        <v>18.5</v>
      </c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</row>
    <row r="95" spans="1:23" s="188" customFormat="1" ht="18" customHeight="1" x14ac:dyDescent="0.35">
      <c r="A95" s="367" t="s">
        <v>277</v>
      </c>
      <c r="B95" s="368" t="s">
        <v>10</v>
      </c>
      <c r="C95" s="369">
        <v>511</v>
      </c>
      <c r="D95" s="330"/>
      <c r="E95" s="330">
        <f>'STOK DETAY'!IV6</f>
        <v>0</v>
      </c>
      <c r="F95" s="330"/>
      <c r="G95" s="330"/>
      <c r="H95" s="330"/>
      <c r="I95" s="330"/>
      <c r="J95" s="330">
        <f t="shared" si="2"/>
        <v>0</v>
      </c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</row>
    <row r="96" spans="1:23" s="188" customFormat="1" ht="18" customHeight="1" x14ac:dyDescent="0.35">
      <c r="A96" s="367" t="s">
        <v>288</v>
      </c>
      <c r="B96" s="368" t="s">
        <v>10</v>
      </c>
      <c r="C96" s="369">
        <v>511</v>
      </c>
      <c r="D96" s="330"/>
      <c r="E96" s="330">
        <f>'STOK DETAY'!IW6</f>
        <v>52.36</v>
      </c>
      <c r="F96" s="330"/>
      <c r="G96" s="330"/>
      <c r="H96" s="330"/>
      <c r="I96" s="330"/>
      <c r="J96" s="330">
        <f t="shared" si="2"/>
        <v>52.36</v>
      </c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</row>
    <row r="97" spans="1:23" ht="15.75" customHeight="1" x14ac:dyDescent="0.4">
      <c r="A97" s="166"/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</row>
    <row r="98" spans="1:23" ht="15.75" customHeight="1" x14ac:dyDescent="0.4">
      <c r="A98" s="166"/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</row>
    <row r="99" spans="1:23" ht="15.75" customHeight="1" x14ac:dyDescent="0.4">
      <c r="A99" s="166"/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</row>
    <row r="100" spans="1:23" ht="15.75" customHeight="1" x14ac:dyDescent="0.4">
      <c r="A100" s="166"/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</row>
    <row r="101" spans="1:23" ht="15.75" customHeight="1" x14ac:dyDescent="0.4">
      <c r="A101" s="166"/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</row>
    <row r="102" spans="1:23" ht="15.75" customHeight="1" x14ac:dyDescent="0.4">
      <c r="A102" s="166"/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</row>
    <row r="103" spans="1:23" ht="15.75" customHeight="1" x14ac:dyDescent="0.4">
      <c r="A103" s="166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</row>
    <row r="104" spans="1:23" ht="15.75" customHeight="1" x14ac:dyDescent="0.4">
      <c r="A104" s="166"/>
      <c r="B104" s="166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</row>
    <row r="105" spans="1:23" ht="15.75" customHeight="1" x14ac:dyDescent="0.4">
      <c r="A105" s="166"/>
      <c r="B105" s="166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</row>
    <row r="106" spans="1:23" ht="15.75" customHeight="1" x14ac:dyDescent="0.4">
      <c r="A106" s="166"/>
      <c r="B106" s="166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</row>
    <row r="107" spans="1:23" ht="15.75" customHeight="1" x14ac:dyDescent="0.4">
      <c r="A107" s="166"/>
      <c r="B107" s="166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</row>
    <row r="108" spans="1:23" ht="15.75" customHeight="1" x14ac:dyDescent="0.4">
      <c r="A108" s="166"/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</row>
    <row r="109" spans="1:23" ht="15.75" customHeight="1" x14ac:dyDescent="0.4">
      <c r="A109" s="166"/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</row>
    <row r="110" spans="1:23" ht="15.75" customHeight="1" x14ac:dyDescent="0.4">
      <c r="A110" s="166"/>
      <c r="B110" s="166"/>
      <c r="C110" s="166"/>
      <c r="D110" s="166"/>
      <c r="E110" s="166"/>
      <c r="F110" s="166"/>
      <c r="G110" s="167"/>
      <c r="H110" s="167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</row>
    <row r="111" spans="1:23" ht="15.75" customHeight="1" x14ac:dyDescent="0.4">
      <c r="A111" s="166"/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</row>
    <row r="112" spans="1:23" ht="15.75" customHeight="1" x14ac:dyDescent="0.4">
      <c r="A112" s="166"/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</row>
    <row r="113" spans="1:23" ht="15.75" customHeight="1" x14ac:dyDescent="0.4">
      <c r="A113" s="166"/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</row>
    <row r="114" spans="1:23" ht="15.75" customHeight="1" x14ac:dyDescent="0.4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</row>
    <row r="115" spans="1:23" ht="15.75" customHeight="1" x14ac:dyDescent="0.4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</row>
    <row r="116" spans="1:23" ht="15.75" customHeight="1" x14ac:dyDescent="0.4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</row>
    <row r="117" spans="1:23" ht="15.75" customHeight="1" x14ac:dyDescent="0.4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</row>
    <row r="118" spans="1:23" ht="15.75" customHeight="1" x14ac:dyDescent="0.4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</row>
    <row r="119" spans="1:23" ht="15.75" customHeight="1" x14ac:dyDescent="0.4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</row>
    <row r="120" spans="1:23" ht="15.75" customHeight="1" x14ac:dyDescent="0.4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</row>
    <row r="121" spans="1:23" ht="15.75" customHeight="1" x14ac:dyDescent="0.4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</row>
    <row r="122" spans="1:23" ht="15.75" customHeight="1" x14ac:dyDescent="0.4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</row>
    <row r="123" spans="1:23" ht="15.75" customHeight="1" x14ac:dyDescent="0.4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</row>
    <row r="124" spans="1:23" ht="15.75" customHeight="1" x14ac:dyDescent="0.4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</row>
    <row r="125" spans="1:23" ht="15.75" customHeight="1" x14ac:dyDescent="0.4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</row>
    <row r="126" spans="1:23" ht="15.75" customHeight="1" x14ac:dyDescent="0.4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</row>
    <row r="127" spans="1:23" ht="15.75" customHeight="1" x14ac:dyDescent="0.4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</row>
    <row r="128" spans="1:23" ht="15.75" customHeight="1" x14ac:dyDescent="0.4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</row>
    <row r="129" spans="1:23" ht="15.75" customHeight="1" x14ac:dyDescent="0.4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</row>
    <row r="130" spans="1:23" ht="15.75" customHeight="1" x14ac:dyDescent="0.4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</row>
    <row r="131" spans="1:23" ht="15.75" customHeight="1" x14ac:dyDescent="0.4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</row>
    <row r="132" spans="1:23" ht="15.75" customHeight="1" x14ac:dyDescent="0.4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</row>
    <row r="133" spans="1:23" ht="15.75" customHeight="1" x14ac:dyDescent="0.4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</row>
    <row r="134" spans="1:23" ht="15.75" customHeight="1" x14ac:dyDescent="0.4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</row>
    <row r="135" spans="1:23" ht="15.75" customHeight="1" x14ac:dyDescent="0.4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</row>
    <row r="136" spans="1:23" ht="15.75" customHeight="1" x14ac:dyDescent="0.4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</row>
    <row r="137" spans="1:23" ht="15.75" customHeight="1" x14ac:dyDescent="0.4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</row>
    <row r="138" spans="1:23" ht="15.75" customHeight="1" x14ac:dyDescent="0.4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</row>
    <row r="139" spans="1:23" ht="15.75" customHeight="1" x14ac:dyDescent="0.4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</row>
    <row r="140" spans="1:23" ht="15.75" customHeight="1" x14ac:dyDescent="0.4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</row>
    <row r="141" spans="1:23" ht="15.75" customHeight="1" x14ac:dyDescent="0.4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</row>
    <row r="142" spans="1:23" ht="15.75" customHeight="1" x14ac:dyDescent="0.4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</row>
    <row r="143" spans="1:23" ht="15.75" customHeight="1" x14ac:dyDescent="0.4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</row>
    <row r="144" spans="1:23" ht="15.75" customHeight="1" x14ac:dyDescent="0.4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</row>
    <row r="145" spans="1:23" ht="15.75" customHeight="1" x14ac:dyDescent="0.4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</row>
    <row r="146" spans="1:23" ht="15.75" customHeight="1" x14ac:dyDescent="0.4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</row>
    <row r="147" spans="1:23" ht="15.75" customHeight="1" x14ac:dyDescent="0.4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</row>
    <row r="148" spans="1:23" ht="15.75" customHeight="1" x14ac:dyDescent="0.4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</row>
    <row r="149" spans="1:23" ht="15.75" customHeight="1" x14ac:dyDescent="0.4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</row>
    <row r="150" spans="1:23" ht="15.75" customHeight="1" x14ac:dyDescent="0.4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</row>
    <row r="151" spans="1:23" ht="15.75" customHeight="1" x14ac:dyDescent="0.4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</row>
    <row r="152" spans="1:23" ht="15.75" customHeight="1" x14ac:dyDescent="0.4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</row>
    <row r="153" spans="1:23" ht="15.75" customHeight="1" x14ac:dyDescent="0.4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</row>
    <row r="154" spans="1:23" ht="15.75" customHeight="1" x14ac:dyDescent="0.4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</row>
    <row r="155" spans="1:23" ht="15.75" customHeight="1" x14ac:dyDescent="0.4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</row>
    <row r="156" spans="1:23" ht="15.75" customHeight="1" x14ac:dyDescent="0.4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</row>
    <row r="157" spans="1:23" ht="15.75" customHeight="1" x14ac:dyDescent="0.4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</row>
    <row r="158" spans="1:23" ht="15.75" customHeight="1" x14ac:dyDescent="0.4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</row>
    <row r="159" spans="1:23" ht="15.75" customHeight="1" x14ac:dyDescent="0.4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</row>
    <row r="160" spans="1:23" ht="15.75" customHeight="1" x14ac:dyDescent="0.4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</row>
    <row r="161" spans="1:23" ht="15.75" customHeight="1" x14ac:dyDescent="0.4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</row>
    <row r="162" spans="1:23" ht="15.75" customHeight="1" x14ac:dyDescent="0.4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</row>
    <row r="163" spans="1:23" ht="15.75" customHeight="1" x14ac:dyDescent="0.4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</row>
    <row r="164" spans="1:23" ht="15.75" customHeight="1" x14ac:dyDescent="0.4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</row>
    <row r="165" spans="1:23" ht="15.75" customHeight="1" x14ac:dyDescent="0.4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</row>
    <row r="166" spans="1:23" ht="15.75" customHeight="1" x14ac:dyDescent="0.4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</row>
    <row r="167" spans="1:23" ht="15.75" customHeight="1" x14ac:dyDescent="0.4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</row>
    <row r="168" spans="1:23" ht="15.75" customHeight="1" x14ac:dyDescent="0.4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</row>
    <row r="169" spans="1:23" ht="15.75" customHeight="1" x14ac:dyDescent="0.4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</row>
    <row r="170" spans="1:23" ht="15.75" customHeight="1" x14ac:dyDescent="0.4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</row>
    <row r="171" spans="1:23" ht="15.75" customHeight="1" x14ac:dyDescent="0.4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</row>
    <row r="172" spans="1:23" ht="15.75" customHeight="1" x14ac:dyDescent="0.4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</row>
    <row r="173" spans="1:23" ht="15.75" customHeight="1" x14ac:dyDescent="0.4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</row>
    <row r="174" spans="1:23" ht="15.75" customHeight="1" x14ac:dyDescent="0.4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</row>
    <row r="175" spans="1:23" ht="15.75" customHeight="1" x14ac:dyDescent="0.4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</row>
    <row r="176" spans="1:23" ht="15.75" customHeight="1" x14ac:dyDescent="0.4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</row>
    <row r="177" spans="1:23" ht="15.75" customHeight="1" x14ac:dyDescent="0.4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</row>
    <row r="178" spans="1:23" ht="15.75" customHeight="1" x14ac:dyDescent="0.4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</row>
    <row r="179" spans="1:23" ht="15.75" customHeight="1" x14ac:dyDescent="0.4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</row>
    <row r="180" spans="1:23" ht="15.75" customHeight="1" x14ac:dyDescent="0.4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</row>
    <row r="181" spans="1:23" ht="15.75" customHeight="1" x14ac:dyDescent="0.4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</row>
    <row r="182" spans="1:23" ht="15.75" customHeight="1" x14ac:dyDescent="0.4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</row>
    <row r="183" spans="1:23" ht="15.75" customHeight="1" x14ac:dyDescent="0.4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</row>
    <row r="184" spans="1:23" ht="15.75" customHeight="1" x14ac:dyDescent="0.4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</row>
    <row r="185" spans="1:23" ht="15.75" customHeight="1" x14ac:dyDescent="0.4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</row>
    <row r="186" spans="1:23" ht="15.75" customHeight="1" x14ac:dyDescent="0.4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</row>
    <row r="187" spans="1:23" ht="15.75" customHeight="1" x14ac:dyDescent="0.4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</row>
    <row r="188" spans="1:23" ht="15.75" customHeight="1" x14ac:dyDescent="0.4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</row>
    <row r="189" spans="1:23" ht="15.75" customHeight="1" x14ac:dyDescent="0.4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</row>
    <row r="190" spans="1:23" ht="15.75" customHeight="1" x14ac:dyDescent="0.4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</row>
    <row r="191" spans="1:23" ht="15.75" customHeight="1" x14ac:dyDescent="0.4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</row>
    <row r="192" spans="1:23" ht="15.75" customHeight="1" x14ac:dyDescent="0.4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</row>
    <row r="193" spans="1:23" ht="15.75" customHeight="1" x14ac:dyDescent="0.4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</row>
    <row r="194" spans="1:23" ht="15.75" customHeight="1" x14ac:dyDescent="0.4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</row>
    <row r="195" spans="1:23" ht="15.75" customHeight="1" x14ac:dyDescent="0.4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</row>
    <row r="196" spans="1:23" ht="15.75" customHeight="1" x14ac:dyDescent="0.4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</row>
    <row r="197" spans="1:23" ht="15.75" customHeight="1" x14ac:dyDescent="0.4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</row>
    <row r="198" spans="1:23" ht="15.75" customHeight="1" x14ac:dyDescent="0.4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</row>
    <row r="199" spans="1:23" ht="15.75" customHeight="1" x14ac:dyDescent="0.4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</row>
    <row r="200" spans="1:23" ht="15.75" customHeight="1" x14ac:dyDescent="0.4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</row>
    <row r="201" spans="1:23" ht="15.75" customHeight="1" x14ac:dyDescent="0.4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</row>
    <row r="202" spans="1:23" ht="15.75" customHeight="1" x14ac:dyDescent="0.4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</row>
    <row r="203" spans="1:23" ht="15.75" customHeight="1" x14ac:dyDescent="0.4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</row>
    <row r="204" spans="1:23" ht="15.75" customHeight="1" x14ac:dyDescent="0.4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</row>
    <row r="205" spans="1:23" ht="15.75" customHeight="1" x14ac:dyDescent="0.4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</row>
    <row r="206" spans="1:23" ht="15.75" customHeight="1" x14ac:dyDescent="0.4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</row>
    <row r="207" spans="1:23" ht="15.75" customHeight="1" x14ac:dyDescent="0.4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</row>
    <row r="208" spans="1:23" ht="15.75" customHeight="1" x14ac:dyDescent="0.4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</row>
    <row r="209" spans="1:23" ht="15.75" customHeight="1" x14ac:dyDescent="0.4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</row>
    <row r="210" spans="1:23" ht="15.75" customHeight="1" x14ac:dyDescent="0.4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</row>
    <row r="211" spans="1:23" ht="15.75" customHeight="1" x14ac:dyDescent="0.4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</row>
    <row r="212" spans="1:23" ht="15.75" customHeight="1" x14ac:dyDescent="0.4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</row>
    <row r="213" spans="1:23" ht="15.75" customHeight="1" x14ac:dyDescent="0.4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</row>
    <row r="214" spans="1:23" ht="15.75" customHeight="1" x14ac:dyDescent="0.4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</row>
    <row r="215" spans="1:23" ht="15.75" customHeight="1" x14ac:dyDescent="0.4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</row>
    <row r="216" spans="1:23" ht="15.75" customHeight="1" x14ac:dyDescent="0.4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</row>
    <row r="217" spans="1:23" ht="15.75" customHeight="1" x14ac:dyDescent="0.4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</row>
    <row r="218" spans="1:23" ht="15.75" customHeight="1" x14ac:dyDescent="0.4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</row>
    <row r="219" spans="1:23" ht="15.75" customHeight="1" x14ac:dyDescent="0.4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</row>
    <row r="220" spans="1:23" ht="15.75" customHeight="1" x14ac:dyDescent="0.4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</row>
    <row r="221" spans="1:23" ht="15.75" customHeight="1" x14ac:dyDescent="0.4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</row>
    <row r="222" spans="1:23" ht="15.75" customHeight="1" x14ac:dyDescent="0.4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</row>
    <row r="223" spans="1:23" ht="15.75" customHeight="1" x14ac:dyDescent="0.4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</row>
    <row r="224" spans="1:23" ht="15.75" customHeight="1" x14ac:dyDescent="0.4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</row>
    <row r="225" spans="1:23" ht="15.75" customHeight="1" x14ac:dyDescent="0.4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</row>
    <row r="226" spans="1:23" ht="15.75" customHeight="1" x14ac:dyDescent="0.4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</row>
    <row r="227" spans="1:23" ht="15.75" customHeight="1" x14ac:dyDescent="0.4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</row>
    <row r="228" spans="1:23" ht="15.75" customHeight="1" x14ac:dyDescent="0.4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</row>
    <row r="229" spans="1:23" ht="15.75" customHeight="1" x14ac:dyDescent="0.4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</row>
    <row r="230" spans="1:23" ht="15.75" customHeight="1" x14ac:dyDescent="0.4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</row>
    <row r="231" spans="1:23" ht="15.75" customHeight="1" x14ac:dyDescent="0.4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</row>
    <row r="232" spans="1:23" ht="15.75" customHeight="1" x14ac:dyDescent="0.4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</row>
    <row r="233" spans="1:23" ht="15.75" customHeight="1" x14ac:dyDescent="0.4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</row>
    <row r="234" spans="1:23" ht="15.75" customHeight="1" x14ac:dyDescent="0.4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</row>
    <row r="235" spans="1:23" ht="15.75" customHeight="1" x14ac:dyDescent="0.4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</row>
    <row r="236" spans="1:23" ht="15.75" customHeight="1" x14ac:dyDescent="0.4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</row>
    <row r="237" spans="1:23" ht="15.75" customHeight="1" x14ac:dyDescent="0.4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</row>
    <row r="238" spans="1:23" ht="15.75" customHeight="1" x14ac:dyDescent="0.4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</row>
    <row r="239" spans="1:23" ht="15.75" customHeight="1" x14ac:dyDescent="0.4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</row>
    <row r="240" spans="1:23" ht="15.75" customHeight="1" x14ac:dyDescent="0.4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</row>
    <row r="241" spans="1:23" ht="15.75" customHeight="1" x14ac:dyDescent="0.4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</row>
    <row r="242" spans="1:23" ht="15.75" customHeight="1" x14ac:dyDescent="0.4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</row>
    <row r="243" spans="1:23" ht="15.75" customHeight="1" x14ac:dyDescent="0.4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</row>
    <row r="244" spans="1:23" ht="15.75" customHeight="1" x14ac:dyDescent="0.4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</row>
    <row r="245" spans="1:23" ht="15.75" customHeight="1" x14ac:dyDescent="0.4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</row>
    <row r="246" spans="1:23" ht="15.75" customHeight="1" x14ac:dyDescent="0.4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</row>
    <row r="247" spans="1:23" ht="15.75" customHeight="1" x14ac:dyDescent="0.4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</row>
    <row r="248" spans="1:23" ht="15.75" customHeight="1" x14ac:dyDescent="0.4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</row>
    <row r="249" spans="1:23" ht="15.75" customHeight="1" x14ac:dyDescent="0.4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</row>
    <row r="250" spans="1:23" ht="15.75" customHeight="1" x14ac:dyDescent="0.4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</row>
    <row r="251" spans="1:23" ht="15.75" customHeight="1" x14ac:dyDescent="0.4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</row>
    <row r="252" spans="1:23" ht="15.75" customHeight="1" x14ac:dyDescent="0.4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</row>
    <row r="253" spans="1:23" ht="15.75" customHeight="1" x14ac:dyDescent="0.4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</row>
    <row r="254" spans="1:23" ht="15.75" customHeight="1" x14ac:dyDescent="0.4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</row>
    <row r="255" spans="1:23" ht="15.75" customHeight="1" x14ac:dyDescent="0.4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</row>
    <row r="256" spans="1:23" ht="15.75" customHeight="1" x14ac:dyDescent="0.4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</row>
    <row r="257" spans="1:23" ht="15.75" customHeight="1" x14ac:dyDescent="0.4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</row>
    <row r="258" spans="1:23" ht="15.75" customHeight="1" x14ac:dyDescent="0.4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</row>
    <row r="259" spans="1:23" ht="15.75" customHeight="1" x14ac:dyDescent="0.4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</row>
    <row r="260" spans="1:23" ht="15.75" customHeight="1" x14ac:dyDescent="0.4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</row>
    <row r="261" spans="1:23" ht="15.75" customHeight="1" x14ac:dyDescent="0.4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</row>
    <row r="262" spans="1:23" ht="15.75" customHeight="1" x14ac:dyDescent="0.4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</row>
    <row r="263" spans="1:23" ht="15.75" customHeight="1" x14ac:dyDescent="0.4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</row>
    <row r="264" spans="1:23" ht="15.75" customHeight="1" x14ac:dyDescent="0.4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</row>
    <row r="265" spans="1:23" ht="15.75" customHeight="1" x14ac:dyDescent="0.4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</row>
    <row r="266" spans="1:23" ht="15.75" customHeight="1" x14ac:dyDescent="0.4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</row>
    <row r="267" spans="1:23" ht="15.75" customHeight="1" x14ac:dyDescent="0.4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</row>
    <row r="268" spans="1:23" ht="15.75" customHeight="1" x14ac:dyDescent="0.4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</row>
    <row r="269" spans="1:23" ht="15.75" customHeight="1" x14ac:dyDescent="0.4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</row>
    <row r="270" spans="1:23" ht="15.75" customHeight="1" x14ac:dyDescent="0.4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</row>
    <row r="271" spans="1:23" ht="15.75" customHeight="1" x14ac:dyDescent="0.4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</row>
    <row r="272" spans="1:23" ht="15.75" customHeight="1" x14ac:dyDescent="0.4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</row>
    <row r="273" spans="1:23" ht="15.75" customHeight="1" x14ac:dyDescent="0.4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</row>
    <row r="274" spans="1:23" ht="15.75" customHeight="1" x14ac:dyDescent="0.4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</row>
    <row r="275" spans="1:23" ht="15.75" customHeight="1" x14ac:dyDescent="0.4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</row>
    <row r="276" spans="1:23" ht="15.75" customHeight="1" x14ac:dyDescent="0.4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</row>
    <row r="277" spans="1:23" ht="15.75" customHeight="1" x14ac:dyDescent="0.4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</row>
    <row r="278" spans="1:23" ht="15.75" customHeight="1" x14ac:dyDescent="0.4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</row>
    <row r="279" spans="1:23" ht="15.75" customHeight="1" x14ac:dyDescent="0.4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</row>
    <row r="280" spans="1:23" ht="15.75" customHeight="1" x14ac:dyDescent="0.4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</row>
    <row r="281" spans="1:23" ht="15.75" customHeight="1" x14ac:dyDescent="0.4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</row>
    <row r="282" spans="1:23" ht="15.75" customHeight="1" x14ac:dyDescent="0.4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</row>
    <row r="283" spans="1:23" ht="15.75" customHeight="1" x14ac:dyDescent="0.4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</row>
    <row r="284" spans="1:23" ht="15.75" customHeight="1" x14ac:dyDescent="0.4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</row>
    <row r="285" spans="1:23" ht="15.75" customHeight="1" x14ac:dyDescent="0.4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</row>
    <row r="286" spans="1:23" ht="15.75" customHeight="1" x14ac:dyDescent="0.4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</row>
    <row r="287" spans="1:23" ht="15.75" customHeight="1" x14ac:dyDescent="0.4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</row>
    <row r="288" spans="1:23" ht="15.75" customHeight="1" x14ac:dyDescent="0.4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</row>
    <row r="289" spans="1:23" ht="15.75" customHeight="1" x14ac:dyDescent="0.4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</row>
    <row r="290" spans="1:23" ht="15.75" customHeight="1" x14ac:dyDescent="0.4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</row>
    <row r="291" spans="1:23" ht="15.75" customHeight="1" x14ac:dyDescent="0.4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</row>
    <row r="292" spans="1:23" ht="15.75" customHeight="1" x14ac:dyDescent="0.4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</row>
    <row r="293" spans="1:23" ht="15.75" customHeight="1" x14ac:dyDescent="0.4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</row>
    <row r="294" spans="1:23" ht="15.75" customHeight="1" x14ac:dyDescent="0.4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</row>
    <row r="295" spans="1:23" ht="15.75" customHeight="1" x14ac:dyDescent="0.4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</row>
    <row r="296" spans="1:23" ht="15.75" customHeight="1" x14ac:dyDescent="0.4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</row>
    <row r="297" spans="1:23" ht="15.75" customHeight="1" x14ac:dyDescent="0.4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</row>
    <row r="298" spans="1:23" ht="15.75" customHeight="1" x14ac:dyDescent="0.4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</row>
    <row r="299" spans="1:23" ht="15.75" customHeight="1" x14ac:dyDescent="0.4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</row>
    <row r="300" spans="1:23" ht="15.75" customHeight="1" x14ac:dyDescent="0.4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</row>
    <row r="301" spans="1:23" ht="15.75" customHeight="1" x14ac:dyDescent="0.4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</row>
    <row r="302" spans="1:23" ht="15.75" customHeight="1" x14ac:dyDescent="0.4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</row>
    <row r="303" spans="1:23" ht="15.75" customHeight="1" x14ac:dyDescent="0.4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</row>
    <row r="304" spans="1:23" ht="15.75" customHeight="1" x14ac:dyDescent="0.4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</row>
    <row r="305" spans="1:23" ht="15.75" customHeight="1" x14ac:dyDescent="0.4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</row>
    <row r="306" spans="1:23" ht="15.75" customHeight="1" x14ac:dyDescent="0.4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</row>
    <row r="307" spans="1:23" ht="15.75" customHeight="1" x14ac:dyDescent="0.4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</row>
    <row r="308" spans="1:23" ht="15.75" customHeight="1" x14ac:dyDescent="0.4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</row>
    <row r="309" spans="1:23" ht="15.75" customHeight="1" x14ac:dyDescent="0.4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</row>
    <row r="310" spans="1:23" ht="15.75" customHeight="1" x14ac:dyDescent="0.4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</row>
    <row r="311" spans="1:23" ht="15.75" customHeight="1" x14ac:dyDescent="0.4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</row>
    <row r="312" spans="1:23" ht="15.75" customHeight="1" x14ac:dyDescent="0.4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</row>
    <row r="313" spans="1:23" ht="15.75" customHeight="1" x14ac:dyDescent="0.4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</row>
    <row r="314" spans="1:23" ht="15.75" customHeight="1" x14ac:dyDescent="0.4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</row>
    <row r="315" spans="1:23" ht="15.75" customHeight="1" x14ac:dyDescent="0.4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</row>
    <row r="316" spans="1:23" ht="15.75" customHeight="1" x14ac:dyDescent="0.4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</row>
    <row r="317" spans="1:23" ht="15.75" customHeight="1" x14ac:dyDescent="0.4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</row>
    <row r="318" spans="1:23" ht="15.75" customHeight="1" x14ac:dyDescent="0.4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</row>
    <row r="319" spans="1:23" ht="15.75" customHeight="1" x14ac:dyDescent="0.4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</row>
    <row r="320" spans="1:23" ht="15.75" customHeight="1" x14ac:dyDescent="0.4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</row>
    <row r="321" spans="1:23" ht="15.75" customHeight="1" x14ac:dyDescent="0.4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</row>
    <row r="322" spans="1:23" ht="15.75" customHeight="1" x14ac:dyDescent="0.4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</row>
    <row r="323" spans="1:23" ht="15.75" customHeight="1" x14ac:dyDescent="0.4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</row>
    <row r="324" spans="1:23" ht="15.75" customHeight="1" x14ac:dyDescent="0.4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</row>
    <row r="325" spans="1:23" ht="15.75" customHeight="1" x14ac:dyDescent="0.4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</row>
    <row r="326" spans="1:23" ht="15.75" customHeight="1" x14ac:dyDescent="0.4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</row>
    <row r="327" spans="1:23" ht="15.75" customHeight="1" x14ac:dyDescent="0.4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</row>
    <row r="328" spans="1:23" ht="15.75" customHeight="1" x14ac:dyDescent="0.4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</row>
    <row r="329" spans="1:23" ht="15.75" customHeight="1" x14ac:dyDescent="0.4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</row>
    <row r="330" spans="1:23" ht="15.75" customHeight="1" x14ac:dyDescent="0.4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</row>
    <row r="331" spans="1:23" ht="15.75" customHeight="1" x14ac:dyDescent="0.4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</row>
    <row r="332" spans="1:23" ht="15.75" customHeight="1" x14ac:dyDescent="0.4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</row>
    <row r="333" spans="1:23" ht="15.75" customHeight="1" x14ac:dyDescent="0.4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</row>
    <row r="334" spans="1:23" ht="15.75" customHeight="1" x14ac:dyDescent="0.4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</row>
    <row r="335" spans="1:23" ht="15.75" customHeight="1" x14ac:dyDescent="0.4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</row>
    <row r="336" spans="1:23" ht="15.75" customHeight="1" x14ac:dyDescent="0.4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</row>
    <row r="337" spans="1:23" ht="15.75" customHeight="1" x14ac:dyDescent="0.4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</row>
    <row r="338" spans="1:23" ht="15.75" customHeight="1" x14ac:dyDescent="0.4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</row>
    <row r="339" spans="1:23" ht="15.75" customHeight="1" x14ac:dyDescent="0.4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</row>
    <row r="340" spans="1:23" ht="15.75" customHeight="1" x14ac:dyDescent="0.4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</row>
    <row r="341" spans="1:23" ht="15.75" customHeight="1" x14ac:dyDescent="0.4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</row>
    <row r="342" spans="1:23" ht="15.75" customHeight="1" x14ac:dyDescent="0.4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</row>
    <row r="343" spans="1:23" ht="15.75" customHeight="1" x14ac:dyDescent="0.4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</row>
    <row r="344" spans="1:23" ht="15.75" customHeight="1" x14ac:dyDescent="0.4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</row>
    <row r="345" spans="1:23" ht="15.75" customHeight="1" x14ac:dyDescent="0.4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</row>
    <row r="346" spans="1:23" ht="15.75" customHeight="1" x14ac:dyDescent="0.4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</row>
    <row r="347" spans="1:23" ht="15.75" customHeight="1" x14ac:dyDescent="0.4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</row>
    <row r="348" spans="1:23" ht="15.75" customHeight="1" x14ac:dyDescent="0.4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</row>
    <row r="349" spans="1:23" ht="15.75" customHeight="1" x14ac:dyDescent="0.4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</row>
    <row r="350" spans="1:23" ht="15.75" customHeight="1" x14ac:dyDescent="0.4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</row>
    <row r="351" spans="1:23" ht="15.75" customHeight="1" x14ac:dyDescent="0.4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</row>
    <row r="352" spans="1:23" ht="15.75" customHeight="1" x14ac:dyDescent="0.4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</row>
    <row r="353" spans="1:23" ht="15.75" customHeight="1" x14ac:dyDescent="0.4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</row>
    <row r="354" spans="1:23" ht="15.75" customHeight="1" x14ac:dyDescent="0.4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</row>
    <row r="355" spans="1:23" ht="15.75" customHeight="1" x14ac:dyDescent="0.4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</row>
    <row r="356" spans="1:23" ht="15.75" customHeight="1" x14ac:dyDescent="0.4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</row>
    <row r="357" spans="1:23" ht="15.75" customHeight="1" x14ac:dyDescent="0.4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</row>
    <row r="358" spans="1:23" ht="15.75" customHeight="1" x14ac:dyDescent="0.4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</row>
    <row r="359" spans="1:23" ht="15.75" customHeight="1" x14ac:dyDescent="0.4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</row>
    <row r="360" spans="1:23" ht="15.75" customHeight="1" x14ac:dyDescent="0.4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</row>
    <row r="361" spans="1:23" ht="15.75" customHeight="1" x14ac:dyDescent="0.4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</row>
    <row r="362" spans="1:23" ht="15.75" customHeight="1" x14ac:dyDescent="0.4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</row>
    <row r="363" spans="1:23" ht="15.75" customHeight="1" x14ac:dyDescent="0.4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</row>
    <row r="364" spans="1:23" ht="15.75" customHeight="1" x14ac:dyDescent="0.4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</row>
    <row r="365" spans="1:23" ht="15.75" customHeight="1" x14ac:dyDescent="0.4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</row>
    <row r="366" spans="1:23" ht="15.75" customHeight="1" x14ac:dyDescent="0.4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</row>
    <row r="367" spans="1:23" ht="15.75" customHeight="1" x14ac:dyDescent="0.4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</row>
    <row r="368" spans="1:23" ht="15.75" customHeight="1" x14ac:dyDescent="0.4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</row>
    <row r="369" spans="1:23" ht="15.75" customHeight="1" x14ac:dyDescent="0.4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</row>
    <row r="370" spans="1:23" ht="15.75" customHeight="1" x14ac:dyDescent="0.4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</row>
    <row r="371" spans="1:23" ht="15.75" customHeight="1" x14ac:dyDescent="0.4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</row>
    <row r="372" spans="1:23" ht="15.75" customHeight="1" x14ac:dyDescent="0.4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</row>
    <row r="373" spans="1:23" ht="15.75" customHeight="1" x14ac:dyDescent="0.4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</row>
    <row r="374" spans="1:23" ht="15.75" customHeight="1" x14ac:dyDescent="0.4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</row>
    <row r="375" spans="1:23" ht="15.75" customHeight="1" x14ac:dyDescent="0.4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</row>
    <row r="376" spans="1:23" ht="15.75" customHeight="1" x14ac:dyDescent="0.4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</row>
    <row r="377" spans="1:23" ht="15.75" customHeight="1" x14ac:dyDescent="0.4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</row>
    <row r="378" spans="1:23" ht="15.75" customHeight="1" x14ac:dyDescent="0.4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</row>
    <row r="379" spans="1:23" ht="15.75" customHeight="1" x14ac:dyDescent="0.4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</row>
    <row r="380" spans="1:23" ht="15.75" customHeight="1" x14ac:dyDescent="0.4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</row>
    <row r="381" spans="1:23" ht="15.75" customHeight="1" x14ac:dyDescent="0.4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</row>
    <row r="382" spans="1:23" ht="15.75" customHeight="1" x14ac:dyDescent="0.4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</row>
    <row r="383" spans="1:23" ht="15.75" customHeight="1" x14ac:dyDescent="0.4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</row>
    <row r="384" spans="1:23" ht="15.75" customHeight="1" x14ac:dyDescent="0.4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</row>
    <row r="385" spans="1:23" ht="15.75" customHeight="1" x14ac:dyDescent="0.4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</row>
    <row r="386" spans="1:23" ht="15.75" customHeight="1" x14ac:dyDescent="0.4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</row>
    <row r="387" spans="1:23" ht="15.75" customHeight="1" x14ac:dyDescent="0.4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</row>
    <row r="388" spans="1:23" ht="15.75" customHeight="1" x14ac:dyDescent="0.4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</row>
    <row r="389" spans="1:23" ht="15.75" customHeight="1" x14ac:dyDescent="0.4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</row>
    <row r="390" spans="1:23" ht="15.75" customHeight="1" x14ac:dyDescent="0.4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</row>
    <row r="391" spans="1:23" ht="15.75" customHeight="1" x14ac:dyDescent="0.4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</row>
    <row r="392" spans="1:23" ht="15.75" customHeight="1" x14ac:dyDescent="0.4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</row>
    <row r="393" spans="1:23" ht="15.75" customHeight="1" x14ac:dyDescent="0.4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</row>
    <row r="394" spans="1:23" ht="15.75" customHeight="1" x14ac:dyDescent="0.4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</row>
    <row r="395" spans="1:23" ht="15.75" customHeight="1" x14ac:dyDescent="0.4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</row>
    <row r="396" spans="1:23" ht="15.75" customHeight="1" x14ac:dyDescent="0.4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</row>
    <row r="397" spans="1:23" ht="15.75" customHeight="1" x14ac:dyDescent="0.4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</row>
    <row r="398" spans="1:23" ht="15.75" customHeight="1" x14ac:dyDescent="0.4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</row>
    <row r="399" spans="1:23" ht="15.75" customHeight="1" x14ac:dyDescent="0.4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</row>
    <row r="400" spans="1:23" ht="15.75" customHeight="1" x14ac:dyDescent="0.4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</row>
    <row r="401" spans="1:23" ht="15.75" customHeight="1" x14ac:dyDescent="0.4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</row>
    <row r="402" spans="1:23" ht="15.75" customHeight="1" x14ac:dyDescent="0.4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</row>
    <row r="403" spans="1:23" ht="15.75" customHeight="1" x14ac:dyDescent="0.4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</row>
    <row r="404" spans="1:23" ht="15.75" customHeight="1" x14ac:dyDescent="0.4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</row>
    <row r="405" spans="1:23" ht="15.75" customHeight="1" x14ac:dyDescent="0.4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</row>
    <row r="406" spans="1:23" ht="15.75" customHeight="1" x14ac:dyDescent="0.4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</row>
    <row r="407" spans="1:23" ht="15.75" customHeight="1" x14ac:dyDescent="0.4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</row>
    <row r="408" spans="1:23" ht="15.75" customHeight="1" x14ac:dyDescent="0.4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</row>
    <row r="409" spans="1:23" ht="15.75" customHeight="1" x14ac:dyDescent="0.4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</row>
    <row r="410" spans="1:23" ht="15.75" customHeight="1" x14ac:dyDescent="0.4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</row>
    <row r="411" spans="1:23" ht="15.75" customHeight="1" x14ac:dyDescent="0.4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</row>
    <row r="412" spans="1:23" ht="15.75" customHeight="1" x14ac:dyDescent="0.4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</row>
    <row r="413" spans="1:23" ht="15.75" customHeight="1" x14ac:dyDescent="0.4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</row>
    <row r="414" spans="1:23" ht="15.75" customHeight="1" x14ac:dyDescent="0.4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</row>
    <row r="415" spans="1:23" ht="15.75" customHeight="1" x14ac:dyDescent="0.4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</row>
    <row r="416" spans="1:23" ht="15.75" customHeight="1" x14ac:dyDescent="0.4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</row>
    <row r="417" spans="1:23" ht="15.75" customHeight="1" x14ac:dyDescent="0.4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</row>
    <row r="418" spans="1:23" ht="15.75" customHeight="1" x14ac:dyDescent="0.4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</row>
    <row r="419" spans="1:23" ht="15.75" customHeight="1" x14ac:dyDescent="0.4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</row>
    <row r="420" spans="1:23" ht="15.75" customHeight="1" x14ac:dyDescent="0.4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</row>
    <row r="421" spans="1:23" ht="15.75" customHeight="1" x14ac:dyDescent="0.4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</row>
    <row r="422" spans="1:23" ht="15.75" customHeight="1" x14ac:dyDescent="0.4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</row>
    <row r="423" spans="1:23" ht="15.75" customHeight="1" x14ac:dyDescent="0.4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</row>
    <row r="424" spans="1:23" ht="15.75" customHeight="1" x14ac:dyDescent="0.4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</row>
    <row r="425" spans="1:23" ht="15.75" customHeight="1" x14ac:dyDescent="0.4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</row>
    <row r="426" spans="1:23" ht="15.75" customHeight="1" x14ac:dyDescent="0.4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</row>
    <row r="427" spans="1:23" ht="15.75" customHeight="1" x14ac:dyDescent="0.4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</row>
    <row r="428" spans="1:23" ht="15.75" customHeight="1" x14ac:dyDescent="0.4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</row>
    <row r="429" spans="1:23" ht="15.75" customHeight="1" x14ac:dyDescent="0.4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</row>
    <row r="430" spans="1:23" ht="15.75" customHeight="1" x14ac:dyDescent="0.4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</row>
    <row r="431" spans="1:23" ht="15.75" customHeight="1" x14ac:dyDescent="0.4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</row>
    <row r="432" spans="1:23" ht="15.75" customHeight="1" x14ac:dyDescent="0.4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</row>
    <row r="433" spans="1:23" ht="15.75" customHeight="1" x14ac:dyDescent="0.4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</row>
    <row r="434" spans="1:23" ht="15.75" customHeight="1" x14ac:dyDescent="0.4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</row>
    <row r="435" spans="1:23" ht="15.75" customHeight="1" x14ac:dyDescent="0.4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</row>
    <row r="436" spans="1:23" ht="15.75" customHeight="1" x14ac:dyDescent="0.4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</row>
    <row r="437" spans="1:23" ht="15.75" customHeight="1" x14ac:dyDescent="0.4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</row>
    <row r="438" spans="1:23" ht="15.75" customHeight="1" x14ac:dyDescent="0.4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</row>
    <row r="439" spans="1:23" ht="15.75" customHeight="1" x14ac:dyDescent="0.4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</row>
    <row r="440" spans="1:23" ht="15.75" customHeight="1" x14ac:dyDescent="0.4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</row>
    <row r="441" spans="1:23" ht="15.75" customHeight="1" x14ac:dyDescent="0.4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</row>
    <row r="442" spans="1:23" ht="15.75" customHeight="1" x14ac:dyDescent="0.4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</row>
    <row r="443" spans="1:23" ht="15.75" customHeight="1" x14ac:dyDescent="0.4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</row>
    <row r="444" spans="1:23" ht="15.75" customHeight="1" x14ac:dyDescent="0.4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</row>
    <row r="445" spans="1:23" ht="15.75" customHeight="1" x14ac:dyDescent="0.4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</row>
    <row r="446" spans="1:23" ht="15.75" customHeight="1" x14ac:dyDescent="0.4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</row>
    <row r="447" spans="1:23" ht="15.75" customHeight="1" x14ac:dyDescent="0.4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</row>
    <row r="448" spans="1:23" ht="15.75" customHeight="1" x14ac:dyDescent="0.4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</row>
    <row r="449" spans="1:23" ht="15.75" customHeight="1" x14ac:dyDescent="0.4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</row>
    <row r="450" spans="1:23" ht="15.75" customHeight="1" x14ac:dyDescent="0.4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</row>
    <row r="451" spans="1:23" ht="15.75" customHeight="1" x14ac:dyDescent="0.4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</row>
    <row r="452" spans="1:23" ht="15.75" customHeight="1" x14ac:dyDescent="0.4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</row>
    <row r="453" spans="1:23" ht="15.75" customHeight="1" x14ac:dyDescent="0.4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</row>
    <row r="454" spans="1:23" ht="15.75" customHeight="1" x14ac:dyDescent="0.4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</row>
    <row r="455" spans="1:23" ht="15.75" customHeight="1" x14ac:dyDescent="0.4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</row>
    <row r="456" spans="1:23" ht="15.75" customHeight="1" x14ac:dyDescent="0.4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</row>
    <row r="457" spans="1:23" ht="15.75" customHeight="1" x14ac:dyDescent="0.4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</row>
    <row r="458" spans="1:23" ht="15.75" customHeight="1" x14ac:dyDescent="0.4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</row>
    <row r="459" spans="1:23" ht="15.75" customHeight="1" x14ac:dyDescent="0.4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</row>
    <row r="460" spans="1:23" ht="15.75" customHeight="1" x14ac:dyDescent="0.4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</row>
    <row r="461" spans="1:23" ht="15.75" customHeight="1" x14ac:dyDescent="0.4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</row>
    <row r="462" spans="1:23" ht="15.75" customHeight="1" x14ac:dyDescent="0.4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</row>
    <row r="463" spans="1:23" ht="15.75" customHeight="1" x14ac:dyDescent="0.4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</row>
    <row r="464" spans="1:23" ht="15.75" customHeight="1" x14ac:dyDescent="0.4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</row>
    <row r="465" spans="1:23" ht="15.75" customHeight="1" x14ac:dyDescent="0.4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</row>
    <row r="466" spans="1:23" ht="15.75" customHeight="1" x14ac:dyDescent="0.4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</row>
    <row r="467" spans="1:23" ht="15.75" customHeight="1" x14ac:dyDescent="0.4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</row>
    <row r="468" spans="1:23" ht="15.75" customHeight="1" x14ac:dyDescent="0.4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</row>
    <row r="469" spans="1:23" ht="15.75" customHeight="1" x14ac:dyDescent="0.4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</row>
    <row r="470" spans="1:23" ht="15.75" customHeight="1" x14ac:dyDescent="0.4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</row>
    <row r="471" spans="1:23" ht="15.75" customHeight="1" x14ac:dyDescent="0.4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</row>
    <row r="472" spans="1:23" ht="15.75" customHeight="1" x14ac:dyDescent="0.4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</row>
    <row r="473" spans="1:23" ht="15.75" customHeight="1" x14ac:dyDescent="0.4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</row>
    <row r="474" spans="1:23" ht="15.75" customHeight="1" x14ac:dyDescent="0.4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</row>
    <row r="475" spans="1:23" ht="15.75" customHeight="1" x14ac:dyDescent="0.4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</row>
    <row r="476" spans="1:23" ht="15.75" customHeight="1" x14ac:dyDescent="0.4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</row>
    <row r="477" spans="1:23" ht="15.75" customHeight="1" x14ac:dyDescent="0.4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</row>
    <row r="478" spans="1:23" ht="15.75" customHeight="1" x14ac:dyDescent="0.4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</row>
    <row r="479" spans="1:23" ht="15.75" customHeight="1" x14ac:dyDescent="0.4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</row>
    <row r="480" spans="1:23" ht="15.75" customHeight="1" x14ac:dyDescent="0.4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</row>
    <row r="481" spans="1:23" ht="15.75" customHeight="1" x14ac:dyDescent="0.4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</row>
    <row r="482" spans="1:23" ht="15.75" customHeight="1" x14ac:dyDescent="0.4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</row>
    <row r="483" spans="1:23" ht="15.75" customHeight="1" x14ac:dyDescent="0.4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</row>
    <row r="484" spans="1:23" ht="15.75" customHeight="1" x14ac:dyDescent="0.4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</row>
    <row r="485" spans="1:23" ht="15.75" customHeight="1" x14ac:dyDescent="0.4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</row>
    <row r="486" spans="1:23" ht="15.75" customHeight="1" x14ac:dyDescent="0.4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</row>
    <row r="487" spans="1:23" ht="15.75" customHeight="1" x14ac:dyDescent="0.4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</row>
    <row r="488" spans="1:23" ht="15.75" customHeight="1" x14ac:dyDescent="0.4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</row>
    <row r="489" spans="1:23" ht="15.75" customHeight="1" x14ac:dyDescent="0.4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</row>
    <row r="490" spans="1:23" ht="15.75" customHeight="1" x14ac:dyDescent="0.4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</row>
    <row r="491" spans="1:23" ht="15.75" customHeight="1" x14ac:dyDescent="0.4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</row>
    <row r="492" spans="1:23" ht="15.75" customHeight="1" x14ac:dyDescent="0.4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</row>
    <row r="493" spans="1:23" ht="15.75" customHeight="1" x14ac:dyDescent="0.4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</row>
    <row r="494" spans="1:23" ht="15.75" customHeight="1" x14ac:dyDescent="0.4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</row>
    <row r="495" spans="1:23" ht="15.75" customHeight="1" x14ac:dyDescent="0.4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</row>
    <row r="496" spans="1:23" ht="15.75" customHeight="1" x14ac:dyDescent="0.4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</row>
    <row r="497" spans="1:23" ht="15.75" customHeight="1" x14ac:dyDescent="0.4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</row>
    <row r="498" spans="1:23" ht="15.75" customHeight="1" x14ac:dyDescent="0.4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</row>
    <row r="499" spans="1:23" ht="15.75" customHeight="1" x14ac:dyDescent="0.4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</row>
    <row r="500" spans="1:23" ht="15.75" customHeight="1" x14ac:dyDescent="0.4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</row>
    <row r="501" spans="1:23" ht="15.75" customHeight="1" x14ac:dyDescent="0.4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</row>
    <row r="502" spans="1:23" ht="15.75" customHeight="1" x14ac:dyDescent="0.4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</row>
    <row r="503" spans="1:23" ht="15.75" customHeight="1" x14ac:dyDescent="0.4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</row>
    <row r="504" spans="1:23" ht="15.75" customHeight="1" x14ac:dyDescent="0.4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</row>
    <row r="505" spans="1:23" ht="15.75" customHeight="1" x14ac:dyDescent="0.4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</row>
    <row r="506" spans="1:23" ht="15.75" customHeight="1" x14ac:dyDescent="0.4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</row>
    <row r="507" spans="1:23" ht="15.75" customHeight="1" x14ac:dyDescent="0.4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</row>
    <row r="508" spans="1:23" ht="15.75" customHeight="1" x14ac:dyDescent="0.4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</row>
    <row r="509" spans="1:23" ht="15.75" customHeight="1" x14ac:dyDescent="0.4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</row>
    <row r="510" spans="1:23" ht="15.75" customHeight="1" x14ac:dyDescent="0.4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</row>
    <row r="511" spans="1:23" ht="15.75" customHeight="1" x14ac:dyDescent="0.4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</row>
    <row r="512" spans="1:23" ht="15.75" customHeight="1" x14ac:dyDescent="0.4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</row>
    <row r="513" spans="1:23" ht="15.75" customHeight="1" x14ac:dyDescent="0.4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</row>
    <row r="514" spans="1:23" ht="15.75" customHeight="1" x14ac:dyDescent="0.4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</row>
    <row r="515" spans="1:23" ht="15.75" customHeight="1" x14ac:dyDescent="0.4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</row>
    <row r="516" spans="1:23" ht="15.75" customHeight="1" x14ac:dyDescent="0.4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</row>
    <row r="517" spans="1:23" ht="15.75" customHeight="1" x14ac:dyDescent="0.4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</row>
    <row r="518" spans="1:23" ht="15.75" customHeight="1" x14ac:dyDescent="0.4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</row>
    <row r="519" spans="1:23" ht="15.75" customHeight="1" x14ac:dyDescent="0.4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</row>
    <row r="520" spans="1:23" ht="15.75" customHeight="1" x14ac:dyDescent="0.4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</row>
    <row r="521" spans="1:23" ht="15.75" customHeight="1" x14ac:dyDescent="0.4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</row>
    <row r="522" spans="1:23" ht="15.75" customHeight="1" x14ac:dyDescent="0.4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</row>
    <row r="523" spans="1:23" ht="15.75" customHeight="1" x14ac:dyDescent="0.4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</row>
    <row r="524" spans="1:23" ht="15.75" customHeight="1" x14ac:dyDescent="0.4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</row>
    <row r="525" spans="1:23" ht="15.75" customHeight="1" x14ac:dyDescent="0.4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</row>
    <row r="526" spans="1:23" ht="15.75" customHeight="1" x14ac:dyDescent="0.4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</row>
    <row r="527" spans="1:23" ht="15.75" customHeight="1" x14ac:dyDescent="0.4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</row>
    <row r="528" spans="1:23" ht="15.75" customHeight="1" x14ac:dyDescent="0.4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</row>
    <row r="529" spans="1:23" ht="15.75" customHeight="1" x14ac:dyDescent="0.4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</row>
    <row r="530" spans="1:23" ht="15.75" customHeight="1" x14ac:dyDescent="0.4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</row>
    <row r="531" spans="1:23" ht="15.75" customHeight="1" x14ac:dyDescent="0.4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</row>
    <row r="532" spans="1:23" ht="15.75" customHeight="1" x14ac:dyDescent="0.4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</row>
    <row r="533" spans="1:23" ht="15.75" customHeight="1" x14ac:dyDescent="0.4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</row>
    <row r="534" spans="1:23" ht="15.75" customHeight="1" x14ac:dyDescent="0.4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</row>
    <row r="535" spans="1:23" ht="15.75" customHeight="1" x14ac:dyDescent="0.4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</row>
    <row r="536" spans="1:23" ht="15.75" customHeight="1" x14ac:dyDescent="0.4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</row>
    <row r="537" spans="1:23" ht="15.75" customHeight="1" x14ac:dyDescent="0.4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</row>
    <row r="538" spans="1:23" ht="15.75" customHeight="1" x14ac:dyDescent="0.4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</row>
    <row r="539" spans="1:23" ht="15.75" customHeight="1" x14ac:dyDescent="0.4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</row>
    <row r="540" spans="1:23" ht="15.75" customHeight="1" x14ac:dyDescent="0.4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</row>
    <row r="541" spans="1:23" ht="15.75" customHeight="1" x14ac:dyDescent="0.4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</row>
    <row r="542" spans="1:23" ht="15.75" customHeight="1" x14ac:dyDescent="0.4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</row>
    <row r="543" spans="1:23" ht="15.75" customHeight="1" x14ac:dyDescent="0.4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</row>
    <row r="544" spans="1:23" ht="15.75" customHeight="1" x14ac:dyDescent="0.4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</row>
    <row r="545" spans="1:23" ht="15.75" customHeight="1" x14ac:dyDescent="0.4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</row>
    <row r="546" spans="1:23" ht="15.75" customHeight="1" x14ac:dyDescent="0.4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</row>
    <row r="547" spans="1:23" ht="15.75" customHeight="1" x14ac:dyDescent="0.4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</row>
    <row r="548" spans="1:23" ht="15.75" customHeight="1" x14ac:dyDescent="0.4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</row>
    <row r="549" spans="1:23" ht="15.75" customHeight="1" x14ac:dyDescent="0.4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</row>
    <row r="550" spans="1:23" ht="15.75" customHeight="1" x14ac:dyDescent="0.4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</row>
    <row r="551" spans="1:23" ht="15.75" customHeight="1" x14ac:dyDescent="0.4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</row>
    <row r="552" spans="1:23" ht="15.75" customHeight="1" x14ac:dyDescent="0.4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</row>
    <row r="553" spans="1:23" ht="15.75" customHeight="1" x14ac:dyDescent="0.4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</row>
    <row r="554" spans="1:23" ht="15.75" customHeight="1" x14ac:dyDescent="0.4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</row>
    <row r="555" spans="1:23" ht="15.75" customHeight="1" x14ac:dyDescent="0.4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</row>
    <row r="556" spans="1:23" ht="15.75" customHeight="1" x14ac:dyDescent="0.4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</row>
    <row r="557" spans="1:23" ht="15.75" customHeight="1" x14ac:dyDescent="0.4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</row>
    <row r="558" spans="1:23" ht="15.75" customHeight="1" x14ac:dyDescent="0.4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</row>
    <row r="559" spans="1:23" ht="15.75" customHeight="1" x14ac:dyDescent="0.4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</row>
    <row r="560" spans="1:23" ht="15.75" customHeight="1" x14ac:dyDescent="0.4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</row>
    <row r="561" spans="1:23" ht="15.75" customHeight="1" x14ac:dyDescent="0.4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</row>
    <row r="562" spans="1:23" ht="15.75" customHeight="1" x14ac:dyDescent="0.4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</row>
    <row r="563" spans="1:23" ht="15.75" customHeight="1" x14ac:dyDescent="0.4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</row>
    <row r="564" spans="1:23" ht="15.75" customHeight="1" x14ac:dyDescent="0.4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</row>
    <row r="565" spans="1:23" ht="15.75" customHeight="1" x14ac:dyDescent="0.4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</row>
    <row r="566" spans="1:23" ht="15.75" customHeight="1" x14ac:dyDescent="0.4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</row>
    <row r="567" spans="1:23" ht="15.75" customHeight="1" x14ac:dyDescent="0.4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</row>
    <row r="568" spans="1:23" ht="15.75" customHeight="1" x14ac:dyDescent="0.4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</row>
    <row r="569" spans="1:23" ht="15.75" customHeight="1" x14ac:dyDescent="0.4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</row>
    <row r="570" spans="1:23" ht="15.75" customHeight="1" x14ac:dyDescent="0.4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</row>
    <row r="571" spans="1:23" ht="15.75" customHeight="1" x14ac:dyDescent="0.4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</row>
    <row r="572" spans="1:23" ht="15.75" customHeight="1" x14ac:dyDescent="0.4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</row>
    <row r="573" spans="1:23" ht="15.75" customHeight="1" x14ac:dyDescent="0.4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</row>
    <row r="574" spans="1:23" ht="15.75" customHeight="1" x14ac:dyDescent="0.4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</row>
    <row r="575" spans="1:23" ht="15.75" customHeight="1" x14ac:dyDescent="0.4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</row>
    <row r="576" spans="1:23" ht="15.75" customHeight="1" x14ac:dyDescent="0.4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</row>
    <row r="577" spans="1:23" ht="15.75" customHeight="1" x14ac:dyDescent="0.4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</row>
    <row r="578" spans="1:23" ht="15.75" customHeight="1" x14ac:dyDescent="0.4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</row>
    <row r="579" spans="1:23" ht="15.75" customHeight="1" x14ac:dyDescent="0.4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</row>
    <row r="580" spans="1:23" ht="15.75" customHeight="1" x14ac:dyDescent="0.4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</row>
    <row r="581" spans="1:23" ht="15.75" customHeight="1" x14ac:dyDescent="0.4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</row>
    <row r="582" spans="1:23" ht="15.75" customHeight="1" x14ac:dyDescent="0.4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</row>
    <row r="583" spans="1:23" ht="15.75" customHeight="1" x14ac:dyDescent="0.4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</row>
    <row r="584" spans="1:23" ht="15.75" customHeight="1" x14ac:dyDescent="0.4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</row>
    <row r="585" spans="1:23" ht="15.75" customHeight="1" x14ac:dyDescent="0.4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</row>
    <row r="586" spans="1:23" ht="15.75" customHeight="1" x14ac:dyDescent="0.4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</row>
    <row r="587" spans="1:23" ht="15.75" customHeight="1" x14ac:dyDescent="0.4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</row>
    <row r="588" spans="1:23" ht="15.75" customHeight="1" x14ac:dyDescent="0.4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</row>
    <row r="589" spans="1:23" ht="15.75" customHeight="1" x14ac:dyDescent="0.4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</row>
    <row r="590" spans="1:23" ht="15.75" customHeight="1" x14ac:dyDescent="0.4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</row>
    <row r="591" spans="1:23" ht="15.75" customHeight="1" x14ac:dyDescent="0.4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</row>
    <row r="592" spans="1:23" ht="15.75" customHeight="1" x14ac:dyDescent="0.4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</row>
    <row r="593" spans="1:23" ht="15.75" customHeight="1" x14ac:dyDescent="0.4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</row>
    <row r="594" spans="1:23" ht="15.75" customHeight="1" x14ac:dyDescent="0.4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</row>
    <row r="595" spans="1:23" ht="15.75" customHeight="1" x14ac:dyDescent="0.4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</row>
    <row r="596" spans="1:23" ht="15.75" customHeight="1" x14ac:dyDescent="0.4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</row>
    <row r="597" spans="1:23" ht="15.75" customHeight="1" x14ac:dyDescent="0.4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</row>
    <row r="598" spans="1:23" ht="15.75" customHeight="1" x14ac:dyDescent="0.4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</row>
    <row r="599" spans="1:23" ht="15.75" customHeight="1" x14ac:dyDescent="0.4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</row>
    <row r="600" spans="1:23" ht="15.75" customHeight="1" x14ac:dyDescent="0.4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</row>
    <row r="601" spans="1:23" ht="15.75" customHeight="1" x14ac:dyDescent="0.4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</row>
    <row r="602" spans="1:23" ht="15.75" customHeight="1" x14ac:dyDescent="0.4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</row>
    <row r="603" spans="1:23" ht="15.75" customHeight="1" x14ac:dyDescent="0.4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</row>
    <row r="604" spans="1:23" ht="15.75" customHeight="1" x14ac:dyDescent="0.4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</row>
    <row r="605" spans="1:23" ht="15.75" customHeight="1" x14ac:dyDescent="0.4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</row>
    <row r="606" spans="1:23" ht="15.75" customHeight="1" x14ac:dyDescent="0.4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</row>
    <row r="607" spans="1:23" ht="15.75" customHeight="1" x14ac:dyDescent="0.4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</row>
    <row r="608" spans="1:23" ht="15.75" customHeight="1" x14ac:dyDescent="0.4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</row>
    <row r="609" spans="1:23" ht="15.75" customHeight="1" x14ac:dyDescent="0.4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</row>
    <row r="610" spans="1:23" ht="15.75" customHeight="1" x14ac:dyDescent="0.4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</row>
    <row r="611" spans="1:23" ht="15.75" customHeight="1" x14ac:dyDescent="0.4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</row>
    <row r="612" spans="1:23" ht="15.75" customHeight="1" x14ac:dyDescent="0.4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</row>
    <row r="613" spans="1:23" ht="15.75" customHeight="1" x14ac:dyDescent="0.4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</row>
    <row r="614" spans="1:23" ht="15.75" customHeight="1" x14ac:dyDescent="0.4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</row>
    <row r="615" spans="1:23" ht="15.75" customHeight="1" x14ac:dyDescent="0.4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</row>
    <row r="616" spans="1:23" ht="15.75" customHeight="1" x14ac:dyDescent="0.4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</row>
    <row r="617" spans="1:23" ht="15.75" customHeight="1" x14ac:dyDescent="0.4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</row>
    <row r="618" spans="1:23" ht="15.75" customHeight="1" x14ac:dyDescent="0.4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</row>
    <row r="619" spans="1:23" ht="15.75" customHeight="1" x14ac:dyDescent="0.4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</row>
    <row r="620" spans="1:23" ht="15.75" customHeight="1" x14ac:dyDescent="0.4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</row>
    <row r="621" spans="1:23" ht="15.75" customHeight="1" x14ac:dyDescent="0.4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</row>
    <row r="622" spans="1:23" ht="15.75" customHeight="1" x14ac:dyDescent="0.4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</row>
    <row r="623" spans="1:23" ht="15.75" customHeight="1" x14ac:dyDescent="0.4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</row>
    <row r="624" spans="1:23" ht="15.75" customHeight="1" x14ac:dyDescent="0.4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</row>
    <row r="625" spans="1:23" ht="15.75" customHeight="1" x14ac:dyDescent="0.4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</row>
    <row r="626" spans="1:23" ht="15.75" customHeight="1" x14ac:dyDescent="0.4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</row>
    <row r="627" spans="1:23" ht="15.75" customHeight="1" x14ac:dyDescent="0.4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</row>
    <row r="628" spans="1:23" ht="15.75" customHeight="1" x14ac:dyDescent="0.4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</row>
    <row r="629" spans="1:23" ht="15.75" customHeight="1" x14ac:dyDescent="0.4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</row>
    <row r="630" spans="1:23" ht="15.75" customHeight="1" x14ac:dyDescent="0.4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</row>
    <row r="631" spans="1:23" ht="15.75" customHeight="1" x14ac:dyDescent="0.4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</row>
    <row r="632" spans="1:23" ht="15.75" customHeight="1" x14ac:dyDescent="0.4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</row>
    <row r="633" spans="1:23" ht="15.75" customHeight="1" x14ac:dyDescent="0.4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</row>
    <row r="634" spans="1:23" ht="15.75" customHeight="1" x14ac:dyDescent="0.4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</row>
    <row r="635" spans="1:23" ht="15.75" customHeight="1" x14ac:dyDescent="0.4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</row>
    <row r="636" spans="1:23" ht="15.75" customHeight="1" x14ac:dyDescent="0.4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</row>
    <row r="637" spans="1:23" ht="15.75" customHeight="1" x14ac:dyDescent="0.4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</row>
    <row r="638" spans="1:23" ht="15.75" customHeight="1" x14ac:dyDescent="0.4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</row>
    <row r="639" spans="1:23" ht="15.75" customHeight="1" x14ac:dyDescent="0.4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</row>
    <row r="640" spans="1:23" ht="15.75" customHeight="1" x14ac:dyDescent="0.4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</row>
    <row r="641" spans="1:23" ht="15.75" customHeight="1" x14ac:dyDescent="0.4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</row>
    <row r="642" spans="1:23" ht="15.75" customHeight="1" x14ac:dyDescent="0.4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</row>
    <row r="643" spans="1:23" ht="15.75" customHeight="1" x14ac:dyDescent="0.4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</row>
    <row r="644" spans="1:23" ht="15.75" customHeight="1" x14ac:dyDescent="0.4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</row>
    <row r="645" spans="1:23" ht="15.75" customHeight="1" x14ac:dyDescent="0.4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</row>
    <row r="646" spans="1:23" ht="15.75" customHeight="1" x14ac:dyDescent="0.4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</row>
    <row r="647" spans="1:23" ht="15.75" customHeight="1" x14ac:dyDescent="0.4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</row>
    <row r="648" spans="1:23" ht="15.75" customHeight="1" x14ac:dyDescent="0.4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</row>
    <row r="649" spans="1:23" ht="15.75" customHeight="1" x14ac:dyDescent="0.4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</row>
    <row r="650" spans="1:23" ht="15.75" customHeight="1" x14ac:dyDescent="0.4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</row>
    <row r="651" spans="1:23" ht="15.75" customHeight="1" x14ac:dyDescent="0.4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</row>
    <row r="652" spans="1:23" ht="15.75" customHeight="1" x14ac:dyDescent="0.4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</row>
    <row r="653" spans="1:23" ht="15.75" customHeight="1" x14ac:dyDescent="0.4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</row>
    <row r="654" spans="1:23" ht="15.75" customHeight="1" x14ac:dyDescent="0.4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</row>
    <row r="655" spans="1:23" ht="15.75" customHeight="1" x14ac:dyDescent="0.4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</row>
    <row r="656" spans="1:23" ht="15.75" customHeight="1" x14ac:dyDescent="0.4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</row>
    <row r="657" spans="1:23" ht="15.75" customHeight="1" x14ac:dyDescent="0.4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</row>
    <row r="658" spans="1:23" ht="15.75" customHeight="1" x14ac:dyDescent="0.4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</row>
    <row r="659" spans="1:23" ht="15.75" customHeight="1" x14ac:dyDescent="0.4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</row>
    <row r="660" spans="1:23" ht="15.75" customHeight="1" x14ac:dyDescent="0.4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</row>
    <row r="661" spans="1:23" ht="15.75" customHeight="1" x14ac:dyDescent="0.4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</row>
    <row r="662" spans="1:23" ht="15.75" customHeight="1" x14ac:dyDescent="0.4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</row>
    <row r="663" spans="1:23" ht="15.75" customHeight="1" x14ac:dyDescent="0.4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</row>
    <row r="664" spans="1:23" ht="15.75" customHeight="1" x14ac:dyDescent="0.4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</row>
    <row r="665" spans="1:23" ht="15.75" customHeight="1" x14ac:dyDescent="0.4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</row>
    <row r="666" spans="1:23" ht="15.75" customHeight="1" x14ac:dyDescent="0.4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</row>
    <row r="667" spans="1:23" ht="15.75" customHeight="1" x14ac:dyDescent="0.4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</row>
    <row r="668" spans="1:23" ht="15.75" customHeight="1" x14ac:dyDescent="0.4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</row>
    <row r="669" spans="1:23" ht="15.75" customHeight="1" x14ac:dyDescent="0.4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</row>
    <row r="670" spans="1:23" ht="15.75" customHeight="1" x14ac:dyDescent="0.4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</row>
    <row r="671" spans="1:23" ht="15.75" customHeight="1" x14ac:dyDescent="0.4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</row>
    <row r="672" spans="1:23" ht="15.75" customHeight="1" x14ac:dyDescent="0.4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</row>
    <row r="673" spans="1:23" ht="15.75" customHeight="1" x14ac:dyDescent="0.4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</row>
    <row r="674" spans="1:23" ht="15.75" customHeight="1" x14ac:dyDescent="0.4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</row>
    <row r="675" spans="1:23" ht="15.75" customHeight="1" x14ac:dyDescent="0.4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</row>
    <row r="676" spans="1:23" ht="15.75" customHeight="1" x14ac:dyDescent="0.4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</row>
    <row r="677" spans="1:23" ht="15.75" customHeight="1" x14ac:dyDescent="0.4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</row>
    <row r="678" spans="1:23" ht="15.75" customHeight="1" x14ac:dyDescent="0.4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</row>
    <row r="679" spans="1:23" ht="15.75" customHeight="1" x14ac:dyDescent="0.4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</row>
    <row r="680" spans="1:23" ht="15.75" customHeight="1" x14ac:dyDescent="0.4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</row>
    <row r="681" spans="1:23" ht="15.75" customHeight="1" x14ac:dyDescent="0.4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</row>
    <row r="682" spans="1:23" ht="15.75" customHeight="1" x14ac:dyDescent="0.4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</row>
    <row r="683" spans="1:23" ht="15.75" customHeight="1" x14ac:dyDescent="0.4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</row>
    <row r="684" spans="1:23" ht="15.75" customHeight="1" x14ac:dyDescent="0.4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</row>
    <row r="685" spans="1:23" ht="15.75" customHeight="1" x14ac:dyDescent="0.4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</row>
    <row r="686" spans="1:23" ht="15.75" customHeight="1" x14ac:dyDescent="0.4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</row>
    <row r="687" spans="1:23" ht="15.75" customHeight="1" x14ac:dyDescent="0.4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</row>
    <row r="688" spans="1:23" ht="15.75" customHeight="1" x14ac:dyDescent="0.4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</row>
    <row r="689" spans="1:23" ht="15.75" customHeight="1" x14ac:dyDescent="0.4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</row>
    <row r="690" spans="1:23" ht="15.75" customHeight="1" x14ac:dyDescent="0.4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</row>
    <row r="691" spans="1:23" ht="15.75" customHeight="1" x14ac:dyDescent="0.4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</row>
    <row r="692" spans="1:23" ht="15.75" customHeight="1" x14ac:dyDescent="0.4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</row>
    <row r="693" spans="1:23" ht="15.75" customHeight="1" x14ac:dyDescent="0.4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</row>
    <row r="694" spans="1:23" ht="15.75" customHeight="1" x14ac:dyDescent="0.4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</row>
    <row r="695" spans="1:23" ht="15.75" customHeight="1" x14ac:dyDescent="0.4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</row>
    <row r="696" spans="1:23" ht="15.75" customHeight="1" x14ac:dyDescent="0.4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</row>
    <row r="697" spans="1:23" ht="15.75" customHeight="1" x14ac:dyDescent="0.4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</row>
    <row r="698" spans="1:23" ht="15.75" customHeight="1" x14ac:dyDescent="0.4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</row>
    <row r="699" spans="1:23" ht="15.75" customHeight="1" x14ac:dyDescent="0.4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</row>
    <row r="700" spans="1:23" ht="15.75" customHeight="1" x14ac:dyDescent="0.4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</row>
    <row r="701" spans="1:23" ht="15.75" customHeight="1" x14ac:dyDescent="0.4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</row>
    <row r="702" spans="1:23" ht="15.75" customHeight="1" x14ac:dyDescent="0.4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</row>
    <row r="703" spans="1:23" ht="15.75" customHeight="1" x14ac:dyDescent="0.4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</row>
    <row r="704" spans="1:23" ht="15.75" customHeight="1" x14ac:dyDescent="0.4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</row>
    <row r="705" spans="1:23" ht="15.75" customHeight="1" x14ac:dyDescent="0.4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</row>
    <row r="706" spans="1:23" ht="15.75" customHeight="1" x14ac:dyDescent="0.4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</row>
    <row r="707" spans="1:23" ht="15.75" customHeight="1" x14ac:dyDescent="0.4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</row>
    <row r="708" spans="1:23" ht="15.75" customHeight="1" x14ac:dyDescent="0.4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</row>
    <row r="709" spans="1:23" ht="15.75" customHeight="1" x14ac:dyDescent="0.4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</row>
    <row r="710" spans="1:23" ht="15.75" customHeight="1" x14ac:dyDescent="0.4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</row>
    <row r="711" spans="1:23" ht="15.75" customHeight="1" x14ac:dyDescent="0.4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</row>
    <row r="712" spans="1:23" ht="15.75" customHeight="1" x14ac:dyDescent="0.4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</row>
    <row r="713" spans="1:23" ht="15.75" customHeight="1" x14ac:dyDescent="0.4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</row>
    <row r="714" spans="1:23" ht="15.75" customHeight="1" x14ac:dyDescent="0.4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</row>
    <row r="715" spans="1:23" ht="15.75" customHeight="1" x14ac:dyDescent="0.4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</row>
    <row r="716" spans="1:23" ht="15.75" customHeight="1" x14ac:dyDescent="0.4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</row>
    <row r="717" spans="1:23" ht="15.75" customHeight="1" x14ac:dyDescent="0.4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</row>
    <row r="718" spans="1:23" ht="15.75" customHeight="1" x14ac:dyDescent="0.4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</row>
    <row r="719" spans="1:23" ht="15.75" customHeight="1" x14ac:dyDescent="0.4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</row>
    <row r="720" spans="1:23" ht="15.75" customHeight="1" x14ac:dyDescent="0.4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</row>
    <row r="721" spans="1:23" ht="15.75" customHeight="1" x14ac:dyDescent="0.4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</row>
    <row r="722" spans="1:23" ht="15.75" customHeight="1" x14ac:dyDescent="0.4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</row>
    <row r="723" spans="1:23" ht="15.75" customHeight="1" x14ac:dyDescent="0.4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</row>
    <row r="724" spans="1:23" ht="15.75" customHeight="1" x14ac:dyDescent="0.4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</row>
    <row r="725" spans="1:23" ht="15.75" customHeight="1" x14ac:dyDescent="0.4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</row>
    <row r="726" spans="1:23" ht="15.75" customHeight="1" x14ac:dyDescent="0.4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</row>
    <row r="727" spans="1:23" ht="15.75" customHeight="1" x14ac:dyDescent="0.4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</row>
    <row r="728" spans="1:23" ht="15.75" customHeight="1" x14ac:dyDescent="0.4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</row>
    <row r="729" spans="1:23" ht="15.75" customHeight="1" x14ac:dyDescent="0.4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</row>
    <row r="730" spans="1:23" ht="15.75" customHeight="1" x14ac:dyDescent="0.4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</row>
    <row r="731" spans="1:23" ht="15.75" customHeight="1" x14ac:dyDescent="0.4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</row>
    <row r="732" spans="1:23" ht="15.75" customHeight="1" x14ac:dyDescent="0.4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</row>
    <row r="733" spans="1:23" ht="15.75" customHeight="1" x14ac:dyDescent="0.4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</row>
    <row r="734" spans="1:23" ht="15.75" customHeight="1" x14ac:dyDescent="0.4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</row>
    <row r="735" spans="1:23" ht="15.75" customHeight="1" x14ac:dyDescent="0.4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</row>
    <row r="736" spans="1:23" ht="15.75" customHeight="1" x14ac:dyDescent="0.4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</row>
    <row r="737" spans="1:23" ht="15.75" customHeight="1" x14ac:dyDescent="0.4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</row>
    <row r="738" spans="1:23" ht="15.75" customHeight="1" x14ac:dyDescent="0.4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</row>
    <row r="739" spans="1:23" ht="15.75" customHeight="1" x14ac:dyDescent="0.4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</row>
    <row r="740" spans="1:23" ht="15.75" customHeight="1" x14ac:dyDescent="0.4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</row>
    <row r="741" spans="1:23" ht="15.75" customHeight="1" x14ac:dyDescent="0.4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</row>
    <row r="742" spans="1:23" ht="15.75" customHeight="1" x14ac:dyDescent="0.4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</row>
    <row r="743" spans="1:23" ht="15.75" customHeight="1" x14ac:dyDescent="0.4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</row>
    <row r="744" spans="1:23" ht="15.75" customHeight="1" x14ac:dyDescent="0.4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</row>
    <row r="745" spans="1:23" ht="15.75" customHeight="1" x14ac:dyDescent="0.4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</row>
    <row r="746" spans="1:23" ht="15.75" customHeight="1" x14ac:dyDescent="0.4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</row>
    <row r="747" spans="1:23" ht="15.75" customHeight="1" x14ac:dyDescent="0.4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</row>
    <row r="748" spans="1:23" ht="15.75" customHeight="1" x14ac:dyDescent="0.4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</row>
    <row r="749" spans="1:23" ht="15.75" customHeight="1" x14ac:dyDescent="0.4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</row>
    <row r="750" spans="1:23" ht="15.75" customHeight="1" x14ac:dyDescent="0.4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</row>
    <row r="751" spans="1:23" ht="15.75" customHeight="1" x14ac:dyDescent="0.4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</row>
    <row r="752" spans="1:23" ht="15.75" customHeight="1" x14ac:dyDescent="0.4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</row>
    <row r="753" spans="1:23" ht="15.75" customHeight="1" x14ac:dyDescent="0.4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</row>
    <row r="754" spans="1:23" ht="15.75" customHeight="1" x14ac:dyDescent="0.4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</row>
    <row r="755" spans="1:23" ht="15.75" customHeight="1" x14ac:dyDescent="0.4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</row>
    <row r="756" spans="1:23" ht="15.75" customHeight="1" x14ac:dyDescent="0.4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</row>
    <row r="757" spans="1:23" ht="15.75" customHeight="1" x14ac:dyDescent="0.4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</row>
    <row r="758" spans="1:23" ht="15.75" customHeight="1" x14ac:dyDescent="0.4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</row>
    <row r="759" spans="1:23" ht="15.75" customHeight="1" x14ac:dyDescent="0.4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</row>
    <row r="760" spans="1:23" ht="15.75" customHeight="1" x14ac:dyDescent="0.4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</row>
    <row r="761" spans="1:23" ht="15.75" customHeight="1" x14ac:dyDescent="0.4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</row>
    <row r="762" spans="1:23" ht="15.75" customHeight="1" x14ac:dyDescent="0.4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</row>
    <row r="763" spans="1:23" ht="15.75" customHeight="1" x14ac:dyDescent="0.4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</row>
    <row r="764" spans="1:23" ht="15.75" customHeight="1" x14ac:dyDescent="0.4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</row>
    <row r="765" spans="1:23" ht="15.75" customHeight="1" x14ac:dyDescent="0.4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</row>
    <row r="766" spans="1:23" ht="15.75" customHeight="1" x14ac:dyDescent="0.4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</row>
    <row r="767" spans="1:23" ht="15.75" customHeight="1" x14ac:dyDescent="0.4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</row>
    <row r="768" spans="1:23" ht="15.75" customHeight="1" x14ac:dyDescent="0.4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</row>
    <row r="769" spans="1:23" ht="15.75" customHeight="1" x14ac:dyDescent="0.4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</row>
    <row r="770" spans="1:23" ht="15.75" customHeight="1" x14ac:dyDescent="0.4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</row>
    <row r="771" spans="1:23" ht="15.75" customHeight="1" x14ac:dyDescent="0.4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</row>
    <row r="772" spans="1:23" ht="15.75" customHeight="1" x14ac:dyDescent="0.4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</row>
    <row r="773" spans="1:23" ht="15.75" customHeight="1" x14ac:dyDescent="0.4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</row>
    <row r="774" spans="1:23" ht="15.75" customHeight="1" x14ac:dyDescent="0.4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</row>
    <row r="775" spans="1:23" ht="15.75" customHeight="1" x14ac:dyDescent="0.4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</row>
    <row r="776" spans="1:23" ht="15.75" customHeight="1" x14ac:dyDescent="0.4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</row>
    <row r="777" spans="1:23" ht="15.75" customHeight="1" x14ac:dyDescent="0.4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</row>
    <row r="778" spans="1:23" ht="15.75" customHeight="1" x14ac:dyDescent="0.4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</row>
    <row r="779" spans="1:23" ht="15.75" customHeight="1" x14ac:dyDescent="0.4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</row>
    <row r="780" spans="1:23" ht="15.75" customHeight="1" x14ac:dyDescent="0.4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</row>
    <row r="781" spans="1:23" ht="15.75" customHeight="1" x14ac:dyDescent="0.4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</row>
    <row r="782" spans="1:23" ht="15.75" customHeight="1" x14ac:dyDescent="0.4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</row>
    <row r="783" spans="1:23" ht="15.75" customHeight="1" x14ac:dyDescent="0.4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</row>
    <row r="784" spans="1:23" ht="15.75" customHeight="1" x14ac:dyDescent="0.4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</row>
    <row r="785" spans="1:23" ht="15.75" customHeight="1" x14ac:dyDescent="0.4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</row>
    <row r="786" spans="1:23" ht="15.75" customHeight="1" x14ac:dyDescent="0.4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</row>
    <row r="787" spans="1:23" ht="15.75" customHeight="1" x14ac:dyDescent="0.4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</row>
    <row r="788" spans="1:23" ht="15.75" customHeight="1" x14ac:dyDescent="0.4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</row>
    <row r="789" spans="1:23" ht="15.75" customHeight="1" x14ac:dyDescent="0.4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</row>
    <row r="790" spans="1:23" ht="15.75" customHeight="1" x14ac:dyDescent="0.4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</row>
    <row r="791" spans="1:23" ht="15.75" customHeight="1" x14ac:dyDescent="0.4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</row>
    <row r="792" spans="1:23" ht="15.75" customHeight="1" x14ac:dyDescent="0.4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</row>
    <row r="793" spans="1:23" ht="15.75" customHeight="1" x14ac:dyDescent="0.4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</row>
    <row r="794" spans="1:23" ht="15.75" customHeight="1" x14ac:dyDescent="0.4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</row>
    <row r="795" spans="1:23" ht="15.75" customHeight="1" x14ac:dyDescent="0.4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</row>
    <row r="796" spans="1:23" ht="15.75" customHeight="1" x14ac:dyDescent="0.4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</row>
    <row r="797" spans="1:23" ht="15.75" customHeight="1" x14ac:dyDescent="0.4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</row>
    <row r="798" spans="1:23" ht="15.75" customHeight="1" x14ac:dyDescent="0.4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</row>
    <row r="799" spans="1:23" ht="15.75" customHeight="1" x14ac:dyDescent="0.4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</row>
    <row r="800" spans="1:23" ht="15.75" customHeight="1" x14ac:dyDescent="0.4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</row>
    <row r="801" spans="1:23" ht="15.75" customHeight="1" x14ac:dyDescent="0.4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</row>
    <row r="802" spans="1:23" ht="15.75" customHeight="1" x14ac:dyDescent="0.4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</row>
    <row r="803" spans="1:23" ht="15.75" customHeight="1" x14ac:dyDescent="0.4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</row>
    <row r="804" spans="1:23" ht="15.75" customHeight="1" x14ac:dyDescent="0.4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</row>
    <row r="805" spans="1:23" ht="15.75" customHeight="1" x14ac:dyDescent="0.4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</row>
    <row r="806" spans="1:23" ht="15.75" customHeight="1" x14ac:dyDescent="0.4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</row>
    <row r="807" spans="1:23" ht="15.75" customHeight="1" x14ac:dyDescent="0.4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</row>
    <row r="808" spans="1:23" ht="15.75" customHeight="1" x14ac:dyDescent="0.4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</row>
    <row r="809" spans="1:23" ht="15.75" customHeight="1" x14ac:dyDescent="0.4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</row>
    <row r="810" spans="1:23" ht="15.75" customHeight="1" x14ac:dyDescent="0.4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</row>
    <row r="811" spans="1:23" ht="15.75" customHeight="1" x14ac:dyDescent="0.4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</row>
    <row r="812" spans="1:23" ht="15.75" customHeight="1" x14ac:dyDescent="0.4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</row>
    <row r="813" spans="1:23" ht="15.75" customHeight="1" x14ac:dyDescent="0.4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</row>
    <row r="814" spans="1:23" ht="15.75" customHeight="1" x14ac:dyDescent="0.4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</row>
    <row r="815" spans="1:23" ht="15.75" customHeight="1" x14ac:dyDescent="0.4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</row>
    <row r="816" spans="1:23" ht="15.75" customHeight="1" x14ac:dyDescent="0.4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</row>
    <row r="817" spans="1:23" ht="15.75" customHeight="1" x14ac:dyDescent="0.4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</row>
    <row r="818" spans="1:23" ht="15.75" customHeight="1" x14ac:dyDescent="0.4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</row>
    <row r="819" spans="1:23" ht="15.75" customHeight="1" x14ac:dyDescent="0.4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</row>
    <row r="820" spans="1:23" ht="15.75" customHeight="1" x14ac:dyDescent="0.4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</row>
    <row r="821" spans="1:23" ht="15.75" customHeight="1" x14ac:dyDescent="0.4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</row>
    <row r="822" spans="1:23" ht="15.75" customHeight="1" x14ac:dyDescent="0.4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</row>
    <row r="823" spans="1:23" ht="15.75" customHeight="1" x14ac:dyDescent="0.4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</row>
    <row r="824" spans="1:23" ht="15.75" customHeight="1" x14ac:dyDescent="0.4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</row>
    <row r="825" spans="1:23" ht="15.75" customHeight="1" x14ac:dyDescent="0.4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</row>
    <row r="826" spans="1:23" ht="15.75" customHeight="1" x14ac:dyDescent="0.4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</row>
    <row r="827" spans="1:23" ht="15.75" customHeight="1" x14ac:dyDescent="0.4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</row>
    <row r="828" spans="1:23" ht="15.75" customHeight="1" x14ac:dyDescent="0.4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</row>
    <row r="829" spans="1:23" ht="15.75" customHeight="1" x14ac:dyDescent="0.4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</row>
    <row r="830" spans="1:23" ht="15.75" customHeight="1" x14ac:dyDescent="0.4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</row>
    <row r="831" spans="1:23" ht="15.75" customHeight="1" x14ac:dyDescent="0.4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</row>
    <row r="832" spans="1:23" ht="15.75" customHeight="1" x14ac:dyDescent="0.4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</row>
    <row r="833" spans="1:23" ht="15.75" customHeight="1" x14ac:dyDescent="0.4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</row>
    <row r="834" spans="1:23" ht="15.75" customHeight="1" x14ac:dyDescent="0.4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</row>
    <row r="835" spans="1:23" ht="15.75" customHeight="1" x14ac:dyDescent="0.4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</row>
    <row r="836" spans="1:23" ht="15.75" customHeight="1" x14ac:dyDescent="0.4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</row>
    <row r="837" spans="1:23" ht="15.75" customHeight="1" x14ac:dyDescent="0.4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</row>
    <row r="838" spans="1:23" ht="15.75" customHeight="1" x14ac:dyDescent="0.4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</row>
    <row r="839" spans="1:23" ht="15.75" customHeight="1" x14ac:dyDescent="0.4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</row>
    <row r="840" spans="1:23" ht="15.75" customHeight="1" x14ac:dyDescent="0.4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</row>
    <row r="841" spans="1:23" ht="15.75" customHeight="1" x14ac:dyDescent="0.4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</row>
    <row r="842" spans="1:23" ht="15.75" customHeight="1" x14ac:dyDescent="0.4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</row>
    <row r="843" spans="1:23" ht="15.75" customHeight="1" x14ac:dyDescent="0.4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</row>
    <row r="844" spans="1:23" ht="15.75" customHeight="1" x14ac:dyDescent="0.4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</row>
    <row r="845" spans="1:23" ht="15.75" customHeight="1" x14ac:dyDescent="0.4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</row>
    <row r="846" spans="1:23" ht="15.75" customHeight="1" x14ac:dyDescent="0.4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</row>
    <row r="847" spans="1:23" ht="15.75" customHeight="1" x14ac:dyDescent="0.4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</row>
    <row r="848" spans="1:23" ht="15.75" customHeight="1" x14ac:dyDescent="0.4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</row>
    <row r="849" spans="1:23" ht="15.75" customHeight="1" x14ac:dyDescent="0.4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</row>
    <row r="850" spans="1:23" ht="15.75" customHeight="1" x14ac:dyDescent="0.4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</row>
    <row r="851" spans="1:23" ht="15.75" customHeight="1" x14ac:dyDescent="0.4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</row>
    <row r="852" spans="1:23" ht="15.75" customHeight="1" x14ac:dyDescent="0.4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</row>
    <row r="853" spans="1:23" ht="15.75" customHeight="1" x14ac:dyDescent="0.4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</row>
    <row r="854" spans="1:23" ht="15.75" customHeight="1" x14ac:dyDescent="0.4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</row>
    <row r="855" spans="1:23" ht="15.75" customHeight="1" x14ac:dyDescent="0.4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</row>
    <row r="856" spans="1:23" ht="15.75" customHeight="1" x14ac:dyDescent="0.4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</row>
    <row r="857" spans="1:23" ht="15.75" customHeight="1" x14ac:dyDescent="0.4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</row>
    <row r="858" spans="1:23" ht="15.75" customHeight="1" x14ac:dyDescent="0.4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</row>
    <row r="859" spans="1:23" ht="15.75" customHeight="1" x14ac:dyDescent="0.4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</row>
    <row r="860" spans="1:23" ht="15.75" customHeight="1" x14ac:dyDescent="0.4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</row>
    <row r="861" spans="1:23" ht="15.75" customHeight="1" x14ac:dyDescent="0.4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</row>
    <row r="862" spans="1:23" ht="15.75" customHeight="1" x14ac:dyDescent="0.4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</row>
    <row r="863" spans="1:23" ht="15.75" customHeight="1" x14ac:dyDescent="0.4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</row>
    <row r="864" spans="1:23" ht="15.75" customHeight="1" x14ac:dyDescent="0.4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</row>
    <row r="865" spans="1:23" ht="15.75" customHeight="1" x14ac:dyDescent="0.4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</row>
    <row r="866" spans="1:23" ht="15.75" customHeight="1" x14ac:dyDescent="0.4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</row>
    <row r="867" spans="1:23" ht="15.75" customHeight="1" x14ac:dyDescent="0.4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</row>
    <row r="868" spans="1:23" ht="15.75" customHeight="1" x14ac:dyDescent="0.4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</row>
    <row r="869" spans="1:23" ht="15.75" customHeight="1" x14ac:dyDescent="0.4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</row>
    <row r="870" spans="1:23" ht="15.75" customHeight="1" x14ac:dyDescent="0.4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</row>
    <row r="871" spans="1:23" ht="15.75" customHeight="1" x14ac:dyDescent="0.4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</row>
    <row r="872" spans="1:23" ht="15.75" customHeight="1" x14ac:dyDescent="0.4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</row>
    <row r="873" spans="1:23" ht="15.75" customHeight="1" x14ac:dyDescent="0.4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</row>
    <row r="874" spans="1:23" ht="15.75" customHeight="1" x14ac:dyDescent="0.4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</row>
    <row r="875" spans="1:23" ht="15.75" customHeight="1" x14ac:dyDescent="0.4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</row>
    <row r="876" spans="1:23" ht="15.75" customHeight="1" x14ac:dyDescent="0.4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</row>
    <row r="877" spans="1:23" ht="15.75" customHeight="1" x14ac:dyDescent="0.4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</row>
    <row r="878" spans="1:23" ht="15.75" customHeight="1" x14ac:dyDescent="0.4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</row>
    <row r="879" spans="1:23" ht="15.75" customHeight="1" x14ac:dyDescent="0.4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</row>
    <row r="880" spans="1:23" ht="15.75" customHeight="1" x14ac:dyDescent="0.4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</row>
    <row r="881" spans="1:23" ht="15.75" customHeight="1" x14ac:dyDescent="0.4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</row>
    <row r="882" spans="1:23" ht="15.75" customHeight="1" x14ac:dyDescent="0.4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</row>
    <row r="883" spans="1:23" ht="15.75" customHeight="1" x14ac:dyDescent="0.4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</row>
    <row r="884" spans="1:23" ht="15.75" customHeight="1" x14ac:dyDescent="0.4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</row>
    <row r="885" spans="1:23" ht="15.75" customHeight="1" x14ac:dyDescent="0.4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</row>
    <row r="886" spans="1:23" ht="15.75" customHeight="1" x14ac:dyDescent="0.4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</row>
    <row r="887" spans="1:23" ht="15.75" customHeight="1" x14ac:dyDescent="0.4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</row>
    <row r="888" spans="1:23" ht="15.75" customHeight="1" x14ac:dyDescent="0.4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</row>
    <row r="889" spans="1:23" ht="15.75" customHeight="1" x14ac:dyDescent="0.4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</row>
    <row r="890" spans="1:23" ht="15.75" customHeight="1" x14ac:dyDescent="0.4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</row>
    <row r="891" spans="1:23" ht="15.75" customHeight="1" x14ac:dyDescent="0.4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</row>
    <row r="892" spans="1:23" ht="15.75" customHeight="1" x14ac:dyDescent="0.4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</row>
    <row r="893" spans="1:23" ht="15.75" customHeight="1" x14ac:dyDescent="0.4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</row>
    <row r="894" spans="1:23" ht="15.75" customHeight="1" x14ac:dyDescent="0.4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</row>
    <row r="895" spans="1:23" ht="15.75" customHeight="1" x14ac:dyDescent="0.4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</row>
    <row r="896" spans="1:23" ht="15.75" customHeight="1" x14ac:dyDescent="0.4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</row>
    <row r="897" spans="1:23" ht="15.75" customHeight="1" x14ac:dyDescent="0.4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</row>
    <row r="898" spans="1:23" ht="15.75" customHeight="1" x14ac:dyDescent="0.4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</row>
    <row r="899" spans="1:23" ht="15.75" customHeight="1" x14ac:dyDescent="0.4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</row>
    <row r="900" spans="1:23" ht="15.75" customHeight="1" x14ac:dyDescent="0.4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</row>
    <row r="901" spans="1:23" ht="15.75" customHeight="1" x14ac:dyDescent="0.4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</row>
    <row r="902" spans="1:23" ht="15.75" customHeight="1" x14ac:dyDescent="0.4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</row>
    <row r="903" spans="1:23" ht="15.75" customHeight="1" x14ac:dyDescent="0.4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</row>
    <row r="904" spans="1:23" ht="15.75" customHeight="1" x14ac:dyDescent="0.4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</row>
    <row r="905" spans="1:23" ht="15.75" customHeight="1" x14ac:dyDescent="0.4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</row>
    <row r="906" spans="1:23" ht="15.75" customHeight="1" x14ac:dyDescent="0.4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</row>
    <row r="907" spans="1:23" ht="15.75" customHeight="1" x14ac:dyDescent="0.4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</row>
    <row r="908" spans="1:23" ht="15.75" customHeight="1" x14ac:dyDescent="0.4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</row>
    <row r="909" spans="1:23" ht="15.75" customHeight="1" x14ac:dyDescent="0.4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</row>
    <row r="910" spans="1:23" ht="15.75" customHeight="1" x14ac:dyDescent="0.4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</row>
    <row r="911" spans="1:23" ht="15.75" customHeight="1" x14ac:dyDescent="0.4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</row>
    <row r="912" spans="1:23" ht="15.75" customHeight="1" x14ac:dyDescent="0.4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</row>
    <row r="913" spans="1:23" ht="15.75" customHeight="1" x14ac:dyDescent="0.4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</row>
    <row r="914" spans="1:23" ht="15.75" customHeight="1" x14ac:dyDescent="0.4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</row>
    <row r="915" spans="1:23" ht="15.75" customHeight="1" x14ac:dyDescent="0.4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</row>
    <row r="916" spans="1:23" ht="15.75" customHeight="1" x14ac:dyDescent="0.4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</row>
    <row r="917" spans="1:23" ht="15.75" customHeight="1" x14ac:dyDescent="0.4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</row>
    <row r="918" spans="1:23" ht="15.75" customHeight="1" x14ac:dyDescent="0.4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</row>
    <row r="919" spans="1:23" ht="15.75" customHeight="1" x14ac:dyDescent="0.4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</row>
    <row r="920" spans="1:23" ht="15.75" customHeight="1" x14ac:dyDescent="0.4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</row>
    <row r="921" spans="1:23" ht="15.75" customHeight="1" x14ac:dyDescent="0.4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</row>
    <row r="922" spans="1:23" ht="15.75" customHeight="1" x14ac:dyDescent="0.4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</row>
    <row r="923" spans="1:23" ht="15.75" customHeight="1" x14ac:dyDescent="0.4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</row>
    <row r="924" spans="1:23" ht="15.75" customHeight="1" x14ac:dyDescent="0.4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</row>
    <row r="925" spans="1:23" ht="15.75" customHeight="1" x14ac:dyDescent="0.4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</row>
    <row r="926" spans="1:23" ht="15.75" customHeight="1" x14ac:dyDescent="0.4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</row>
    <row r="927" spans="1:23" ht="15.75" customHeight="1" x14ac:dyDescent="0.4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</row>
    <row r="928" spans="1:23" ht="15.75" customHeight="1" x14ac:dyDescent="0.4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</row>
    <row r="929" spans="1:23" ht="15.75" customHeight="1" x14ac:dyDescent="0.4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</row>
    <row r="930" spans="1:23" ht="15.75" customHeight="1" x14ac:dyDescent="0.4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</row>
    <row r="931" spans="1:23" ht="15.75" customHeight="1" x14ac:dyDescent="0.4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</row>
    <row r="932" spans="1:23" ht="15.75" customHeight="1" x14ac:dyDescent="0.4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</row>
    <row r="933" spans="1:23" ht="15.75" customHeight="1" x14ac:dyDescent="0.4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</row>
    <row r="934" spans="1:23" ht="15.75" customHeight="1" x14ac:dyDescent="0.4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</row>
    <row r="935" spans="1:23" ht="15.75" customHeight="1" x14ac:dyDescent="0.4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</row>
    <row r="936" spans="1:23" ht="15.75" customHeight="1" x14ac:dyDescent="0.4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</row>
    <row r="937" spans="1:23" ht="15.75" customHeight="1" x14ac:dyDescent="0.4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</row>
    <row r="938" spans="1:23" ht="15.75" customHeight="1" x14ac:dyDescent="0.4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</row>
    <row r="939" spans="1:23" ht="15.75" customHeight="1" x14ac:dyDescent="0.4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</row>
    <row r="940" spans="1:23" ht="15.75" customHeight="1" x14ac:dyDescent="0.4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</row>
    <row r="941" spans="1:23" ht="15.75" customHeight="1" x14ac:dyDescent="0.4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</row>
    <row r="942" spans="1:23" ht="15.75" customHeight="1" x14ac:dyDescent="0.4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</row>
    <row r="943" spans="1:23" ht="15.75" customHeight="1" x14ac:dyDescent="0.4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</row>
    <row r="944" spans="1:23" ht="15.75" customHeight="1" x14ac:dyDescent="0.4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</row>
    <row r="945" spans="1:23" ht="15.75" customHeight="1" x14ac:dyDescent="0.4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</row>
    <row r="946" spans="1:23" ht="15.75" customHeight="1" x14ac:dyDescent="0.4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</row>
    <row r="947" spans="1:23" ht="15.75" customHeight="1" x14ac:dyDescent="0.4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</row>
    <row r="948" spans="1:23" ht="15.75" customHeight="1" x14ac:dyDescent="0.4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</row>
    <row r="949" spans="1:23" ht="15.75" customHeight="1" x14ac:dyDescent="0.4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</row>
    <row r="950" spans="1:23" ht="15.75" customHeight="1" x14ac:dyDescent="0.4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</row>
    <row r="951" spans="1:23" ht="15.75" customHeight="1" x14ac:dyDescent="0.4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</row>
    <row r="952" spans="1:23" ht="15.75" customHeight="1" x14ac:dyDescent="0.4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</row>
    <row r="953" spans="1:23" ht="15.75" customHeight="1" x14ac:dyDescent="0.4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</row>
    <row r="954" spans="1:23" ht="15.75" customHeight="1" x14ac:dyDescent="0.4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</row>
    <row r="955" spans="1:23" ht="15.75" customHeight="1" x14ac:dyDescent="0.4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</row>
    <row r="956" spans="1:23" ht="15.75" customHeight="1" x14ac:dyDescent="0.4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</row>
    <row r="957" spans="1:23" ht="15.75" customHeight="1" x14ac:dyDescent="0.4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</row>
    <row r="958" spans="1:23" ht="15.75" customHeight="1" x14ac:dyDescent="0.4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</row>
    <row r="959" spans="1:23" ht="15.75" customHeight="1" x14ac:dyDescent="0.4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</row>
    <row r="960" spans="1:23" ht="15.75" customHeight="1" x14ac:dyDescent="0.4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</row>
    <row r="961" spans="1:23" ht="15.75" customHeight="1" x14ac:dyDescent="0.4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</row>
    <row r="962" spans="1:23" ht="15.75" customHeight="1" x14ac:dyDescent="0.4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</row>
    <row r="963" spans="1:23" ht="15.75" customHeight="1" x14ac:dyDescent="0.4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</row>
    <row r="964" spans="1:23" ht="15.75" customHeight="1" x14ac:dyDescent="0.4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</row>
    <row r="965" spans="1:23" ht="15.75" customHeight="1" x14ac:dyDescent="0.4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</row>
    <row r="966" spans="1:23" ht="15.75" customHeight="1" x14ac:dyDescent="0.4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</row>
    <row r="967" spans="1:23" ht="15.75" customHeight="1" x14ac:dyDescent="0.4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</row>
    <row r="968" spans="1:23" ht="15.75" customHeight="1" x14ac:dyDescent="0.4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</row>
    <row r="969" spans="1:23" ht="15.75" customHeight="1" x14ac:dyDescent="0.4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</row>
    <row r="970" spans="1:23" ht="15.75" customHeight="1" x14ac:dyDescent="0.4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</row>
    <row r="971" spans="1:23" ht="15.75" customHeight="1" x14ac:dyDescent="0.4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</row>
    <row r="972" spans="1:23" ht="15.75" customHeight="1" x14ac:dyDescent="0.4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</row>
    <row r="973" spans="1:23" ht="15.75" customHeight="1" x14ac:dyDescent="0.4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</row>
    <row r="974" spans="1:23" ht="15.75" customHeight="1" x14ac:dyDescent="0.4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</row>
    <row r="975" spans="1:23" ht="15.75" customHeight="1" x14ac:dyDescent="0.4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</row>
    <row r="976" spans="1:23" ht="15.75" customHeight="1" x14ac:dyDescent="0.4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</row>
    <row r="977" spans="1:23" ht="15.75" customHeight="1" x14ac:dyDescent="0.4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</row>
    <row r="978" spans="1:23" ht="15.75" customHeight="1" x14ac:dyDescent="0.4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</row>
    <row r="979" spans="1:23" ht="15.75" customHeight="1" x14ac:dyDescent="0.4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</row>
    <row r="980" spans="1:23" ht="15.75" customHeight="1" x14ac:dyDescent="0.4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</row>
    <row r="981" spans="1:23" ht="15.75" customHeight="1" x14ac:dyDescent="0.4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</row>
    <row r="982" spans="1:23" ht="15.75" customHeight="1" x14ac:dyDescent="0.4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</row>
    <row r="983" spans="1:23" ht="15.75" customHeight="1" x14ac:dyDescent="0.4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</row>
    <row r="984" spans="1:23" ht="15.75" customHeight="1" x14ac:dyDescent="0.4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</row>
    <row r="985" spans="1:23" ht="15.75" customHeight="1" x14ac:dyDescent="0.4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</row>
    <row r="986" spans="1:23" ht="15.75" customHeight="1" x14ac:dyDescent="0.4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</row>
    <row r="987" spans="1:23" ht="15.75" customHeight="1" x14ac:dyDescent="0.4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</row>
    <row r="988" spans="1:23" ht="15.75" customHeight="1" x14ac:dyDescent="0.4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</row>
    <row r="989" spans="1:23" ht="15.75" customHeight="1" x14ac:dyDescent="0.4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</row>
    <row r="990" spans="1:23" ht="15.75" customHeight="1" x14ac:dyDescent="0.4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</row>
    <row r="991" spans="1:23" ht="15.75" customHeight="1" x14ac:dyDescent="0.4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</row>
    <row r="992" spans="1:23" ht="15.75" customHeight="1" x14ac:dyDescent="0.4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</row>
    <row r="993" spans="1:23" ht="15.75" customHeight="1" x14ac:dyDescent="0.4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</row>
    <row r="994" spans="1:23" ht="15.75" customHeight="1" x14ac:dyDescent="0.4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</row>
    <row r="995" spans="1:23" ht="15.75" customHeight="1" x14ac:dyDescent="0.4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</row>
    <row r="996" spans="1:23" ht="15.75" customHeight="1" x14ac:dyDescent="0.4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</row>
    <row r="997" spans="1:23" ht="15.75" customHeight="1" x14ac:dyDescent="0.4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</row>
  </sheetData>
  <dataConsolidate/>
  <conditionalFormatting sqref="D95:I96 D2:I82">
    <cfRule type="cellIs" dxfId="2" priority="3" operator="equal">
      <formula>0</formula>
    </cfRule>
  </conditionalFormatting>
  <conditionalFormatting sqref="D84:I94">
    <cfRule type="cellIs" dxfId="1" priority="2" operator="between">
      <formula>-0.1</formula>
      <formula>0.1</formula>
    </cfRule>
  </conditionalFormatting>
  <conditionalFormatting sqref="D83:I83">
    <cfRule type="cellIs" dxfId="0" priority="1" operator="between">
      <formula>-0.1</formula>
      <formula>0.1</formula>
    </cfRule>
  </conditionalFormatting>
  <pageMargins left="0.17" right="0.18" top="0.23" bottom="0.36" header="0.17" footer="0.31496062992125984"/>
  <pageSetup paperSize="9" scale="43" orientation="portrait" horizontalDpi="4294967293" r:id="rId1"/>
  <ignoredErrors>
    <ignoredError sqref="A2:A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Sayfa3</vt:lpstr>
      <vt:lpstr>Sayfa4</vt:lpstr>
      <vt:lpstr>Sayfa5</vt:lpstr>
      <vt:lpstr>TABLO</vt:lpstr>
      <vt:lpstr>STOK DETAY</vt:lpstr>
      <vt:lpstr>ALÜMİNYUM STOK</vt:lpstr>
      <vt:lpstr>STOK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2026-03-12T08:15:33Z</cp:lastPrinted>
  <dcterms:created xsi:type="dcterms:W3CDTF">2020-02-24T10:22:08Z</dcterms:created>
  <dcterms:modified xsi:type="dcterms:W3CDTF">2026-03-27T06:14:40Z</dcterms:modified>
</cp:coreProperties>
</file>