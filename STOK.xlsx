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STOK" sheetId="12" r:id="rId4"/>
    <sheet name="STOK DETAY" sheetId="13" r:id="rId5"/>
    <sheet name="ALÜMİNYUM STOK" sheetId="21" r:id="rId6"/>
  </sheets>
  <calcPr calcId="144525" iterate="1"/>
</workbook>
</file>

<file path=xl/calcChain.xml><?xml version="1.0" encoding="utf-8"?>
<calcChain xmlns="http://schemas.openxmlformats.org/spreadsheetml/2006/main"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I18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J88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II6" i="13" l="1"/>
  <c r="G83" i="12" s="1"/>
  <c r="D83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M5714" i="13" l="1"/>
  <c r="C5700" i="13" l="1"/>
  <c r="IJ6" i="13" l="1"/>
  <c r="F84" i="12" s="1"/>
  <c r="IK6" i="13"/>
  <c r="F85" i="12" s="1"/>
  <c r="D85" i="12" s="1"/>
  <c r="IL6" i="13"/>
  <c r="F86" i="12" s="1"/>
  <c r="D86" i="12" s="1"/>
  <c r="IM6" i="13"/>
  <c r="E87" i="12" s="1"/>
  <c r="IN6" i="13"/>
  <c r="E88" i="12" s="1"/>
  <c r="D88" i="12" s="1"/>
  <c r="IP6" i="13"/>
  <c r="F89" i="12" s="1"/>
  <c r="D89" i="12" s="1"/>
  <c r="IQ6" i="13"/>
  <c r="F90" i="12" s="1"/>
  <c r="D90" i="12" s="1"/>
  <c r="IR6" i="13"/>
  <c r="F91" i="12" s="1"/>
  <c r="D91" i="12" s="1"/>
  <c r="IS6" i="13"/>
  <c r="F92" i="12" s="1"/>
  <c r="D92" i="12" s="1"/>
  <c r="IT6" i="13"/>
  <c r="F93" i="12" s="1"/>
  <c r="D93" i="12" s="1"/>
  <c r="IU6" i="13"/>
  <c r="F94" i="12" s="1"/>
  <c r="D94" i="12" s="1"/>
  <c r="IV6" i="13"/>
  <c r="F95" i="12" s="1"/>
  <c r="IW6" i="13"/>
  <c r="F96" i="12" s="1"/>
  <c r="D87" i="12" l="1"/>
  <c r="D84" i="12"/>
  <c r="GX6" i="13"/>
  <c r="G61" i="12" s="1"/>
  <c r="D61" i="12" s="1"/>
  <c r="W6" i="13"/>
  <c r="J11" i="12" s="1"/>
  <c r="BO5696" i="13" l="1"/>
  <c r="DX6" i="13" l="1"/>
  <c r="J31" i="12" s="1"/>
  <c r="C5692" i="13"/>
  <c r="ED6" i="13"/>
  <c r="J32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I49" i="12" s="1"/>
  <c r="FX6" i="13"/>
  <c r="AR5560" i="13" l="1"/>
  <c r="P5560" i="13"/>
  <c r="AK6" i="13" l="1"/>
  <c r="G15" i="12" s="1"/>
  <c r="D15" i="12" s="1"/>
  <c r="HB6" i="13"/>
  <c r="E63" i="12" s="1"/>
  <c r="D63" i="12" s="1"/>
  <c r="HM5560" i="13"/>
  <c r="HY5560" i="13"/>
  <c r="FM6" i="13"/>
  <c r="E44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I52" i="12" s="1"/>
  <c r="D52" i="12" s="1"/>
  <c r="GC6" i="13"/>
  <c r="I50" i="12" s="1"/>
  <c r="FE6" i="13"/>
  <c r="I41" i="12" s="1"/>
  <c r="D41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J69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I53" i="12" s="1"/>
  <c r="D53" i="12" s="1"/>
  <c r="FN6" i="13"/>
  <c r="I44" i="12" s="1"/>
  <c r="D44" i="12" s="1"/>
  <c r="FO6" i="13"/>
  <c r="I45" i="12" s="1"/>
  <c r="D45" i="12" s="1"/>
  <c r="FP6" i="13"/>
  <c r="I46" i="12" s="1"/>
  <c r="D46" i="12" s="1"/>
  <c r="EU5340" i="13"/>
  <c r="C5340" i="13" s="1"/>
  <c r="CU6" i="13" l="1"/>
  <c r="I26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J14" i="12" l="1"/>
  <c r="H33" i="12"/>
  <c r="DS4920" i="13"/>
  <c r="DN4920" i="13"/>
  <c r="CY4924" i="13"/>
  <c r="CG4924" i="13"/>
  <c r="C4920" i="13" l="1"/>
  <c r="CD6" i="13" l="1"/>
  <c r="J23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I27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I43" i="12" l="1"/>
  <c r="I48" i="12"/>
  <c r="I42" i="12"/>
  <c r="I51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I37" i="12" l="1"/>
  <c r="D37" i="12" s="1"/>
  <c r="C4545" i="13"/>
  <c r="CY4542" i="13" l="1"/>
  <c r="CM4542" i="13"/>
  <c r="C4538" i="13" l="1"/>
  <c r="C4539" i="13"/>
  <c r="C4540" i="13"/>
  <c r="E4541" i="13"/>
  <c r="C4541" i="13" s="1"/>
  <c r="C4535" i="13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I33" i="12" l="1"/>
  <c r="I36" i="12"/>
  <c r="I40" i="12"/>
  <c r="I34" i="12"/>
  <c r="I35" i="12"/>
  <c r="EP4424" i="13"/>
  <c r="R6" i="13" l="1"/>
  <c r="J9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I21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J5" i="12" l="1"/>
  <c r="D5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G42" i="12" l="1"/>
  <c r="G8" i="12"/>
  <c r="C3328" i="13"/>
  <c r="AW3350" i="13" l="1"/>
  <c r="C3320" i="13" l="1"/>
  <c r="C3302" i="13" l="1"/>
  <c r="FS6" i="13" l="1"/>
  <c r="G47" i="12" l="1"/>
  <c r="C3161" i="13"/>
  <c r="GN6" i="13" l="1"/>
  <c r="C3228" i="13" l="1"/>
  <c r="C3235" i="13"/>
  <c r="AN3253" i="13" l="1"/>
  <c r="HD6" i="13" l="1"/>
  <c r="G64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J47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H18" i="12" l="1"/>
  <c r="I20" i="12"/>
  <c r="I24" i="12"/>
  <c r="I19" i="12"/>
  <c r="I22" i="12"/>
  <c r="I25" i="12"/>
  <c r="CP2916" i="13" l="1"/>
  <c r="FV2914" i="13" l="1"/>
  <c r="C2646" i="13" l="1"/>
  <c r="BR2902" i="13" l="1"/>
  <c r="C2873" i="13"/>
  <c r="GD6" i="13" l="1"/>
  <c r="J50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G78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J62" i="12" l="1"/>
  <c r="DS2738" i="13"/>
  <c r="C2716" i="13" l="1"/>
  <c r="C2710" i="13" l="1"/>
  <c r="C2584" i="13" l="1"/>
  <c r="C2669" i="13" l="1"/>
  <c r="EP6" i="13" l="1"/>
  <c r="G35" i="12" l="1"/>
  <c r="HI6" i="13"/>
  <c r="J66" i="12" l="1"/>
  <c r="BI2618" i="13"/>
  <c r="HJ6" i="13" l="1"/>
  <c r="G67" i="12" l="1"/>
  <c r="D67" i="12" s="1"/>
  <c r="C2600" i="13"/>
  <c r="BI2580" i="13" l="1"/>
  <c r="C2578" i="13"/>
  <c r="GZ2436" i="13" l="1"/>
  <c r="C2436" i="13" s="1"/>
  <c r="P6" i="13" l="1"/>
  <c r="G9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G54" i="12" l="1"/>
  <c r="G56" i="12"/>
  <c r="D56" i="12" s="1"/>
  <c r="G60" i="12"/>
  <c r="FV2504" i="13"/>
  <c r="HM2498" i="13" l="1"/>
  <c r="EA2488" i="13" l="1"/>
  <c r="DS2483" i="13" l="1"/>
  <c r="C2435" i="13" l="1"/>
  <c r="CM2473" i="13" l="1"/>
  <c r="F6" i="13" l="1"/>
  <c r="J4" i="12" l="1"/>
  <c r="D4" i="12" s="1"/>
  <c r="CM2458" i="13"/>
  <c r="CG2458" i="13"/>
  <c r="N6" i="13" l="1"/>
  <c r="E9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G77" i="12" l="1"/>
  <c r="D77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G74" i="12" l="1"/>
  <c r="G43" i="12"/>
  <c r="HH6" i="13"/>
  <c r="HR2251" i="13"/>
  <c r="G66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G75" i="12" l="1"/>
  <c r="G7" i="12"/>
  <c r="D7" i="12" s="1"/>
  <c r="G6" i="12"/>
  <c r="C2146" i="13"/>
  <c r="C2113" i="13"/>
  <c r="D6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G14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G65" i="12" l="1"/>
  <c r="G69" i="12"/>
  <c r="G33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12" l="1"/>
  <c r="G48" i="12"/>
  <c r="G13" i="12"/>
  <c r="AR1836" i="13"/>
  <c r="C1836" i="13" s="1"/>
  <c r="C1522" i="13" l="1"/>
  <c r="EA6" i="13" l="1"/>
  <c r="G32" i="12" l="1"/>
  <c r="C1812" i="13"/>
  <c r="C1714" i="13" l="1"/>
  <c r="GZ6" i="13" l="1"/>
  <c r="G62" i="12" l="1"/>
  <c r="DE6" i="13"/>
  <c r="G28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J49" i="12" l="1"/>
  <c r="CW1652" i="13"/>
  <c r="BM1652" i="13"/>
  <c r="C1652" i="13" l="1"/>
  <c r="ET6" i="13"/>
  <c r="EW6" i="13"/>
  <c r="G36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G30" i="12" l="1"/>
  <c r="G29" i="12"/>
  <c r="AR1544" i="13"/>
  <c r="C1544" i="13" s="1"/>
  <c r="GU6" i="13" l="1"/>
  <c r="G59" i="12" s="1"/>
  <c r="D59" i="12" s="1"/>
  <c r="FC6" i="13"/>
  <c r="HT6" i="13"/>
  <c r="G40" i="12" l="1"/>
  <c r="G73" i="12"/>
  <c r="D73" i="12" s="1"/>
  <c r="HP1490" i="13"/>
  <c r="C1490" i="13" s="1"/>
  <c r="AR6" i="13" l="1"/>
  <c r="GQ6" i="13"/>
  <c r="S6" i="13"/>
  <c r="GB6" i="13"/>
  <c r="IE6" i="13"/>
  <c r="GM6" i="13"/>
  <c r="EZ6" i="13"/>
  <c r="EL6" i="13"/>
  <c r="AN6" i="13"/>
  <c r="GS6" i="13"/>
  <c r="G58" i="12" s="1"/>
  <c r="DU6" i="13"/>
  <c r="V6" i="13"/>
  <c r="G34" i="12" l="1"/>
  <c r="G55" i="12"/>
  <c r="G50" i="12"/>
  <c r="G57" i="12"/>
  <c r="G11" i="12"/>
  <c r="G31" i="12"/>
  <c r="G16" i="12"/>
  <c r="G39" i="12"/>
  <c r="G79" i="12"/>
  <c r="G10" i="12"/>
  <c r="G17" i="12"/>
  <c r="D6" i="13"/>
  <c r="E6" i="13"/>
  <c r="D10" i="12" l="1"/>
  <c r="J2" i="12"/>
  <c r="D2" i="12" s="1"/>
  <c r="J3" i="12"/>
  <c r="D3" i="12" s="1"/>
  <c r="CT1462" i="13"/>
  <c r="C1462" i="13" s="1"/>
  <c r="DL1460" i="13" l="1"/>
  <c r="AQ1460" i="13"/>
  <c r="C1460" i="13" l="1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BI6" i="13"/>
  <c r="BC6" i="13"/>
  <c r="AW6" i="13"/>
  <c r="G19" i="12" l="1"/>
  <c r="G21" i="12"/>
  <c r="G23" i="12"/>
  <c r="G26" i="12"/>
  <c r="G18" i="12"/>
  <c r="G20" i="12"/>
  <c r="G22" i="12"/>
  <c r="G24" i="12"/>
  <c r="G27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H24" i="12" l="1"/>
  <c r="H25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H29" i="12" l="1"/>
  <c r="C1010" i="13"/>
  <c r="BS876" i="13"/>
  <c r="BM876" i="13"/>
  <c r="BA876" i="13"/>
  <c r="CK800" i="13"/>
  <c r="BS814" i="13"/>
  <c r="FA6" i="13" l="1"/>
  <c r="E40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E36" i="12" l="1"/>
  <c r="E12" i="12"/>
  <c r="GR6" i="13"/>
  <c r="AA6" i="13"/>
  <c r="E58" i="12" l="1"/>
  <c r="D58" i="12" s="1"/>
  <c r="E13" i="12"/>
  <c r="CW8" i="13"/>
  <c r="BJ6" i="13" l="1"/>
  <c r="BD6" i="13"/>
  <c r="AV399" i="13"/>
  <c r="H20" i="12" l="1"/>
  <c r="CR395" i="13"/>
  <c r="BN395" i="13"/>
  <c r="CB6" i="13" l="1"/>
  <c r="BV6" i="13"/>
  <c r="BP6" i="13"/>
  <c r="H22" i="12" l="1"/>
  <c r="H21" i="12"/>
  <c r="H23" i="12"/>
  <c r="CC8" i="13"/>
  <c r="HG316" i="13" l="1"/>
  <c r="GL316" i="13"/>
  <c r="IH6" i="13"/>
  <c r="E82" i="12" l="1"/>
  <c r="D82" i="12" s="1"/>
  <c r="CE215" i="13"/>
  <c r="CX200" i="13"/>
  <c r="GJ6" i="13" l="1"/>
  <c r="BM127" i="13"/>
  <c r="GL6" i="13"/>
  <c r="EC6" i="13"/>
  <c r="CE82" i="13"/>
  <c r="E55" i="12" l="1"/>
  <c r="D55" i="12" s="1"/>
  <c r="I32" i="12"/>
  <c r="E54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E49" i="12"/>
  <c r="F48" i="12"/>
  <c r="D48" i="12" s="1"/>
  <c r="FR6" i="13"/>
  <c r="FQ6" i="13"/>
  <c r="FJ6" i="13"/>
  <c r="FF6" i="13"/>
  <c r="FB6" i="13"/>
  <c r="EY6" i="13"/>
  <c r="F38" i="12"/>
  <c r="D38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D54" i="12" l="1"/>
  <c r="F9" i="12"/>
  <c r="F12" i="12"/>
  <c r="D12" i="12" s="1"/>
  <c r="F14" i="12"/>
  <c r="I14" i="12"/>
  <c r="F16" i="12"/>
  <c r="F17" i="12"/>
  <c r="I17" i="12"/>
  <c r="F8" i="12"/>
  <c r="I9" i="12"/>
  <c r="F11" i="12"/>
  <c r="F13" i="12"/>
  <c r="E14" i="12"/>
  <c r="H14" i="12"/>
  <c r="E16" i="12"/>
  <c r="I16" i="12"/>
  <c r="E17" i="12"/>
  <c r="H17" i="12"/>
  <c r="E18" i="12"/>
  <c r="J18" i="12"/>
  <c r="F19" i="12"/>
  <c r="E20" i="12"/>
  <c r="J20" i="12"/>
  <c r="F21" i="12"/>
  <c r="E22" i="12"/>
  <c r="J22" i="12"/>
  <c r="F23" i="12"/>
  <c r="E24" i="12"/>
  <c r="J24" i="12"/>
  <c r="F25" i="12"/>
  <c r="J25" i="12"/>
  <c r="F26" i="12"/>
  <c r="J26" i="12"/>
  <c r="F27" i="12"/>
  <c r="J27" i="12"/>
  <c r="F28" i="12"/>
  <c r="I28" i="12"/>
  <c r="I29" i="12"/>
  <c r="F30" i="12"/>
  <c r="I30" i="12"/>
  <c r="F31" i="12"/>
  <c r="I31" i="12"/>
  <c r="F32" i="12"/>
  <c r="E33" i="12"/>
  <c r="E34" i="12"/>
  <c r="E35" i="12"/>
  <c r="F36" i="12"/>
  <c r="D36" i="12" s="1"/>
  <c r="F39" i="12"/>
  <c r="D39" i="12" s="1"/>
  <c r="F42" i="12"/>
  <c r="D42" i="12" s="1"/>
  <c r="E47" i="12"/>
  <c r="F50" i="12"/>
  <c r="D50" i="12" s="1"/>
  <c r="E60" i="12"/>
  <c r="D60" i="12" s="1"/>
  <c r="E64" i="12"/>
  <c r="D64" i="12" s="1"/>
  <c r="E66" i="12"/>
  <c r="D66" i="12" s="1"/>
  <c r="E69" i="12"/>
  <c r="D69" i="12" s="1"/>
  <c r="G70" i="12"/>
  <c r="G71" i="12"/>
  <c r="E74" i="12"/>
  <c r="D74" i="12" s="1"/>
  <c r="E76" i="12"/>
  <c r="D76" i="12" s="1"/>
  <c r="E78" i="12"/>
  <c r="D78" i="12" s="1"/>
  <c r="E80" i="12"/>
  <c r="D80" i="12" s="1"/>
  <c r="D95" i="12"/>
  <c r="E11" i="12"/>
  <c r="J13" i="12"/>
  <c r="F18" i="12"/>
  <c r="E19" i="12"/>
  <c r="J19" i="12"/>
  <c r="F20" i="12"/>
  <c r="E21" i="12"/>
  <c r="J21" i="12"/>
  <c r="F22" i="12"/>
  <c r="E23" i="12"/>
  <c r="F24" i="12"/>
  <c r="E25" i="12"/>
  <c r="G25" i="12"/>
  <c r="E26" i="12"/>
  <c r="H26" i="12"/>
  <c r="E27" i="12"/>
  <c r="H27" i="12"/>
  <c r="E28" i="12"/>
  <c r="H28" i="12"/>
  <c r="E29" i="12"/>
  <c r="E30" i="12"/>
  <c r="H30" i="12"/>
  <c r="E31" i="12"/>
  <c r="H31" i="12"/>
  <c r="E32" i="12"/>
  <c r="H32" i="12"/>
  <c r="F33" i="12"/>
  <c r="F34" i="12"/>
  <c r="F35" i="12"/>
  <c r="F40" i="12"/>
  <c r="D40" i="12" s="1"/>
  <c r="F43" i="12"/>
  <c r="D43" i="12" s="1"/>
  <c r="F47" i="12"/>
  <c r="D49" i="12"/>
  <c r="F51" i="12"/>
  <c r="D51" i="12" s="1"/>
  <c r="E62" i="12"/>
  <c r="D62" i="12" s="1"/>
  <c r="E65" i="12"/>
  <c r="D65" i="12" s="1"/>
  <c r="E70" i="12"/>
  <c r="E71" i="12"/>
  <c r="E72" i="12"/>
  <c r="D72" i="12" s="1"/>
  <c r="E75" i="12"/>
  <c r="D75" i="12" s="1"/>
  <c r="E79" i="12"/>
  <c r="D79" i="12" s="1"/>
  <c r="E81" i="12"/>
  <c r="D81" i="12" s="1"/>
  <c r="D11" i="12"/>
  <c r="I23" i="12"/>
  <c r="E68" i="12"/>
  <c r="D68" i="12" s="1"/>
  <c r="D8" i="12" l="1"/>
  <c r="D16" i="12"/>
  <c r="D9" i="12"/>
  <c r="D33" i="12"/>
  <c r="D70" i="12"/>
  <c r="D35" i="12"/>
  <c r="D34" i="12"/>
  <c r="D20" i="12"/>
  <c r="D47" i="12"/>
  <c r="D22" i="12"/>
  <c r="D14" i="12"/>
  <c r="D24" i="12"/>
  <c r="D18" i="12"/>
  <c r="D28" i="12"/>
  <c r="D30" i="12"/>
  <c r="D13" i="12"/>
  <c r="D31" i="12"/>
  <c r="D32" i="12"/>
  <c r="D27" i="12"/>
  <c r="D26" i="12"/>
  <c r="D25" i="12"/>
  <c r="D21" i="12"/>
  <c r="D71" i="12"/>
  <c r="D19" i="12"/>
  <c r="D17" i="12"/>
  <c r="D23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D96" i="12" l="1"/>
  <c r="GP6" i="13" l="1"/>
  <c r="E57" i="12" l="1"/>
  <c r="D57" i="12" l="1"/>
  <c r="C9" i="13" l="1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F29" i="12" l="1"/>
  <c r="D29" i="12" l="1"/>
</calcChain>
</file>

<file path=xl/sharedStrings.xml><?xml version="1.0" encoding="utf-8"?>
<sst xmlns="http://schemas.openxmlformats.org/spreadsheetml/2006/main" count="7067" uniqueCount="241">
  <si>
    <t>BAYRAMPAŞA DEPODAKİ ELSAN AYRINTI  DÖKÜMÜ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</si>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</sst>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2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sz val="12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335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0" xfId="0" applyNumberFormat="1" applyFont="1" applyFill="1" applyBorder="1" applyAlignment="1">
      <alignment horizontal="center" vertical="center"/>
    </xf>
    <xf numFmtId="0" fontId="19" fillId="0" borderId="20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1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0" xfId="0" applyNumberFormat="1" applyBorder="1" applyAlignment="1">
      <alignment horizontal="center"/>
    </xf>
    <xf numFmtId="0" fontId="0" fillId="0" borderId="20" xfId="0" applyNumberFormat="1" applyFont="1" applyBorder="1" applyAlignment="1">
      <alignment horizontal="center"/>
    </xf>
    <xf numFmtId="2" fontId="0" fillId="0" borderId="20" xfId="0" applyNumberFormat="1" applyFont="1" applyBorder="1" applyAlignment="1">
      <alignment horizontal="center"/>
    </xf>
    <xf numFmtId="165" fontId="0" fillId="0" borderId="20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1" xfId="0" applyNumberFormat="1" applyFont="1" applyBorder="1" applyAlignment="1">
      <alignment horizontal="center"/>
    </xf>
    <xf numFmtId="0" fontId="19" fillId="0" borderId="20" xfId="0" applyNumberFormat="1" applyFont="1" applyBorder="1" applyAlignment="1">
      <alignment horizontal="center"/>
    </xf>
    <xf numFmtId="0" fontId="0" fillId="0" borderId="20" xfId="0" applyNumberFormat="1" applyFill="1" applyBorder="1" applyAlignment="1">
      <alignment horizontal="center"/>
    </xf>
    <xf numFmtId="0" fontId="15" fillId="6" borderId="21" xfId="4" applyNumberFormat="1" applyBorder="1" applyAlignment="1">
      <alignment horizontal="center" vertical="center"/>
    </xf>
    <xf numFmtId="2" fontId="15" fillId="6" borderId="21" xfId="4" applyNumberFormat="1" applyBorder="1" applyAlignment="1">
      <alignment horizontal="center" vertical="center"/>
    </xf>
    <xf numFmtId="165" fontId="15" fillId="6" borderId="21" xfId="4" applyNumberFormat="1" applyBorder="1" applyAlignment="1">
      <alignment horizontal="center" vertical="center"/>
    </xf>
    <xf numFmtId="165" fontId="15" fillId="6" borderId="21" xfId="4" applyNumberFormat="1" applyBorder="1" applyAlignment="1">
      <alignment horizontal="center"/>
    </xf>
    <xf numFmtId="0" fontId="15" fillId="6" borderId="20" xfId="4" applyNumberFormat="1" applyBorder="1" applyAlignment="1">
      <alignment horizontal="center" vertical="center"/>
    </xf>
    <xf numFmtId="2" fontId="15" fillId="6" borderId="20" xfId="4" applyNumberFormat="1" applyBorder="1" applyAlignment="1">
      <alignment horizontal="center" vertical="center"/>
    </xf>
    <xf numFmtId="165" fontId="15" fillId="6" borderId="20" xfId="4" applyNumberFormat="1" applyBorder="1" applyAlignment="1">
      <alignment horizontal="center" vertical="center"/>
    </xf>
    <xf numFmtId="165" fontId="15" fillId="6" borderId="20" xfId="4" applyNumberFormat="1" applyBorder="1" applyAlignment="1">
      <alignment horizontal="center"/>
    </xf>
    <xf numFmtId="0" fontId="15" fillId="0" borderId="21" xfId="4" applyNumberFormat="1" applyFill="1" applyBorder="1" applyAlignment="1">
      <alignment horizontal="center" vertical="center"/>
    </xf>
    <xf numFmtId="2" fontId="15" fillId="0" borderId="21" xfId="4" applyNumberFormat="1" applyFill="1" applyBorder="1" applyAlignment="1">
      <alignment horizontal="center" vertical="center"/>
    </xf>
    <xf numFmtId="165" fontId="15" fillId="0" borderId="21" xfId="4" applyNumberFormat="1" applyFill="1" applyBorder="1" applyAlignment="1">
      <alignment horizontal="center" vertical="center"/>
    </xf>
    <xf numFmtId="165" fontId="15" fillId="0" borderId="21" xfId="4" applyNumberFormat="1" applyFill="1" applyBorder="1" applyAlignment="1">
      <alignment horizont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15" fillId="0" borderId="20" xfId="4" applyNumberFormat="1" applyFill="1" applyBorder="1" applyAlignment="1">
      <alignment horizontal="center" vertical="center"/>
    </xf>
    <xf numFmtId="2" fontId="15" fillId="0" borderId="20" xfId="4" applyNumberFormat="1" applyFill="1" applyBorder="1" applyAlignment="1">
      <alignment horizontal="center" vertical="center"/>
    </xf>
    <xf numFmtId="165" fontId="15" fillId="0" borderId="20" xfId="4" applyNumberFormat="1" applyFill="1" applyBorder="1" applyAlignment="1">
      <alignment horizontal="center" vertical="center"/>
    </xf>
    <xf numFmtId="165" fontId="15" fillId="0" borderId="20" xfId="4" applyNumberFormat="1" applyFill="1" applyBorder="1" applyAlignment="1">
      <alignment horizontal="center"/>
    </xf>
    <xf numFmtId="0" fontId="22" fillId="0" borderId="20" xfId="0" applyNumberFormat="1" applyFont="1" applyBorder="1" applyAlignment="1">
      <alignment horizontal="center"/>
    </xf>
    <xf numFmtId="165" fontId="23" fillId="8" borderId="20" xfId="6" applyNumberFormat="1" applyBorder="1" applyAlignment="1">
      <alignment horizontal="center"/>
    </xf>
    <xf numFmtId="165" fontId="23" fillId="8" borderId="21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22" xfId="6" applyNumberFormat="1" applyBorder="1" applyAlignment="1">
      <alignment horizontal="center"/>
    </xf>
    <xf numFmtId="0" fontId="19" fillId="0" borderId="28" xfId="0" applyNumberFormat="1" applyFont="1" applyFill="1" applyBorder="1" applyAlignment="1">
      <alignment horizontal="center" vertical="center"/>
    </xf>
    <xf numFmtId="166" fontId="19" fillId="0" borderId="23" xfId="0" applyNumberFormat="1" applyFont="1" applyFill="1" applyBorder="1" applyAlignment="1">
      <alignment horizontal="center" vertical="center"/>
    </xf>
    <xf numFmtId="165" fontId="15" fillId="6" borderId="23" xfId="4" applyNumberFormat="1" applyBorder="1" applyAlignment="1">
      <alignment horizontal="center" vertical="center"/>
    </xf>
    <xf numFmtId="165" fontId="15" fillId="0" borderId="27" xfId="1" applyNumberFormat="1" applyFill="1" applyBorder="1" applyAlignment="1">
      <alignment horizontal="center" vertical="center"/>
    </xf>
    <xf numFmtId="165" fontId="15" fillId="0" borderId="23" xfId="4" applyNumberFormat="1" applyFill="1" applyBorder="1" applyAlignment="1">
      <alignment horizontal="center" vertical="center"/>
    </xf>
    <xf numFmtId="165" fontId="15" fillId="6" borderId="28" xfId="4" applyNumberFormat="1" applyBorder="1" applyAlignment="1">
      <alignment horizontal="center" vertical="center"/>
    </xf>
    <xf numFmtId="165" fontId="15" fillId="0" borderId="28" xfId="4" applyNumberFormat="1" applyFill="1" applyBorder="1" applyAlignment="1">
      <alignment horizontal="center" vertical="center"/>
    </xf>
    <xf numFmtId="165" fontId="0" fillId="0" borderId="28" xfId="0" applyNumberFormat="1" applyFont="1" applyBorder="1" applyAlignment="1">
      <alignment horizontal="center"/>
    </xf>
    <xf numFmtId="0" fontId="0" fillId="0" borderId="20" xfId="0" applyNumberFormat="1" applyFont="1" applyFill="1" applyBorder="1" applyAlignment="1">
      <alignment horizontal="center"/>
    </xf>
    <xf numFmtId="0" fontId="15" fillId="0" borderId="22" xfId="5" applyNumberFormat="1" applyFill="1" applyBorder="1" applyAlignment="1">
      <alignment horizontal="center" vertical="center"/>
    </xf>
    <xf numFmtId="2" fontId="15" fillId="0" borderId="22" xfId="5" applyNumberFormat="1" applyFill="1" applyBorder="1" applyAlignment="1">
      <alignment horizontal="center" vertical="center"/>
    </xf>
    <xf numFmtId="165" fontId="15" fillId="0" borderId="22" xfId="5" applyNumberFormat="1" applyFill="1" applyBorder="1" applyAlignment="1">
      <alignment horizontal="center" vertical="center"/>
    </xf>
    <xf numFmtId="165" fontId="15" fillId="0" borderId="24" xfId="5" applyNumberFormat="1" applyFill="1" applyBorder="1" applyAlignment="1">
      <alignment horizontal="center" vertical="center"/>
    </xf>
    <xf numFmtId="165" fontId="15" fillId="0" borderId="22" xfId="5" applyNumberFormat="1" applyFill="1" applyBorder="1" applyAlignment="1">
      <alignment horizontal="center"/>
    </xf>
    <xf numFmtId="0" fontId="15" fillId="4" borderId="22" xfId="2" applyNumberFormat="1" applyBorder="1" applyAlignment="1">
      <alignment horizontal="center" vertical="center"/>
    </xf>
    <xf numFmtId="2" fontId="15" fillId="4" borderId="22" xfId="2" applyNumberFormat="1" applyBorder="1" applyAlignment="1">
      <alignment horizontal="center" vertical="center"/>
    </xf>
    <xf numFmtId="165" fontId="15" fillId="4" borderId="22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 vertical="center"/>
    </xf>
    <xf numFmtId="165" fontId="15" fillId="4" borderId="22" xfId="2" applyNumberFormat="1" applyBorder="1" applyAlignment="1">
      <alignment horizontal="center"/>
    </xf>
    <xf numFmtId="0" fontId="15" fillId="4" borderId="26" xfId="2" applyNumberFormat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27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0" fontId="15" fillId="4" borderId="20" xfId="2" applyNumberFormat="1" applyBorder="1" applyAlignment="1">
      <alignment horizontal="center" vertical="center"/>
    </xf>
    <xf numFmtId="2" fontId="15" fillId="4" borderId="20" xfId="2" applyNumberFormat="1" applyBorder="1" applyAlignment="1">
      <alignment horizontal="center" vertical="center"/>
    </xf>
    <xf numFmtId="165" fontId="15" fillId="4" borderId="20" xfId="2" applyNumberFormat="1" applyBorder="1" applyAlignment="1">
      <alignment horizontal="center" vertical="center"/>
    </xf>
    <xf numFmtId="165" fontId="15" fillId="4" borderId="28" xfId="2" applyNumberFormat="1" applyBorder="1" applyAlignment="1">
      <alignment horizontal="center" vertical="center"/>
    </xf>
    <xf numFmtId="165" fontId="15" fillId="4" borderId="20" xfId="2" applyNumberFormat="1" applyBorder="1" applyAlignment="1">
      <alignment horizontal="center"/>
    </xf>
    <xf numFmtId="0" fontId="15" fillId="0" borderId="21" xfId="5" applyNumberFormat="1" applyFill="1" applyBorder="1" applyAlignment="1">
      <alignment horizontal="center" vertical="center"/>
    </xf>
    <xf numFmtId="2" fontId="15" fillId="0" borderId="21" xfId="5" applyNumberFormat="1" applyFill="1" applyBorder="1" applyAlignment="1">
      <alignment horizontal="center" vertical="center"/>
    </xf>
    <xf numFmtId="165" fontId="15" fillId="0" borderId="21" xfId="5" applyNumberFormat="1" applyFill="1" applyBorder="1" applyAlignment="1">
      <alignment horizontal="center" vertical="center"/>
    </xf>
    <xf numFmtId="165" fontId="15" fillId="0" borderId="21" xfId="5" applyNumberFormat="1" applyFill="1" applyBorder="1" applyAlignment="1">
      <alignment horizontal="center"/>
    </xf>
    <xf numFmtId="0" fontId="15" fillId="0" borderId="26" xfId="2" applyNumberFormat="1" applyFill="1" applyBorder="1" applyAlignment="1">
      <alignment horizontal="center" vertical="center"/>
    </xf>
    <xf numFmtId="2" fontId="15" fillId="0" borderId="26" xfId="2" applyNumberFormat="1" applyFill="1" applyBorder="1" applyAlignment="1">
      <alignment horizontal="center" vertical="center"/>
    </xf>
    <xf numFmtId="165" fontId="15" fillId="0" borderId="26" xfId="2" applyNumberFormat="1" applyFill="1" applyBorder="1" applyAlignment="1">
      <alignment horizontal="center" vertical="center"/>
    </xf>
    <xf numFmtId="165" fontId="15" fillId="0" borderId="26" xfId="2" applyNumberFormat="1" applyFill="1" applyBorder="1" applyAlignment="1">
      <alignment horizontal="center"/>
    </xf>
    <xf numFmtId="165" fontId="15" fillId="0" borderId="23" xfId="5" applyNumberFormat="1" applyFill="1" applyBorder="1" applyAlignment="1">
      <alignment horizontal="center" vertical="center"/>
    </xf>
    <xf numFmtId="165" fontId="15" fillId="0" borderId="27" xfId="2" applyNumberFormat="1" applyFill="1" applyBorder="1" applyAlignment="1">
      <alignment horizontal="center" vertical="center"/>
    </xf>
    <xf numFmtId="0" fontId="15" fillId="0" borderId="20" xfId="2" applyNumberFormat="1" applyFill="1" applyBorder="1" applyAlignment="1">
      <alignment horizontal="center" vertical="center"/>
    </xf>
    <xf numFmtId="2" fontId="15" fillId="0" borderId="20" xfId="2" applyNumberFormat="1" applyFill="1" applyBorder="1" applyAlignment="1">
      <alignment horizontal="center" vertical="center"/>
    </xf>
    <xf numFmtId="0" fontId="13" fillId="4" borderId="20" xfId="2" applyNumberFormat="1" applyFont="1" applyBorder="1" applyAlignment="1">
      <alignment horizontal="center" vertical="center"/>
    </xf>
    <xf numFmtId="0" fontId="11" fillId="4" borderId="20" xfId="2" applyNumberFormat="1" applyFont="1" applyBorder="1" applyAlignment="1">
      <alignment horizontal="center" vertical="center"/>
    </xf>
    <xf numFmtId="0" fontId="21" fillId="0" borderId="20" xfId="0" applyNumberFormat="1" applyFont="1" applyBorder="1" applyAlignment="1"/>
    <xf numFmtId="0" fontId="10" fillId="0" borderId="21" xfId="4" applyNumberFormat="1" applyFont="1" applyFill="1" applyBorder="1" applyAlignment="1">
      <alignment horizontal="center" vertical="center"/>
    </xf>
    <xf numFmtId="0" fontId="27" fillId="0" borderId="20" xfId="0" applyNumberFormat="1" applyFont="1" applyBorder="1" applyAlignment="1">
      <alignment horizontal="right" vertical="center"/>
    </xf>
    <xf numFmtId="0" fontId="15" fillId="0" borderId="22" xfId="2" applyNumberFormat="1" applyFill="1" applyBorder="1" applyAlignment="1">
      <alignment horizontal="center" vertical="center"/>
    </xf>
    <xf numFmtId="2" fontId="15" fillId="0" borderId="22" xfId="2" applyNumberFormat="1" applyFill="1" applyBorder="1" applyAlignment="1">
      <alignment horizontal="center" vertical="center"/>
    </xf>
    <xf numFmtId="165" fontId="15" fillId="0" borderId="22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 vertical="center"/>
    </xf>
    <xf numFmtId="165" fontId="15" fillId="0" borderId="22" xfId="2" applyNumberFormat="1" applyFill="1" applyBorder="1" applyAlignment="1">
      <alignment horizontal="center"/>
    </xf>
    <xf numFmtId="165" fontId="15" fillId="5" borderId="20" xfId="3" applyNumberFormat="1" applyBorder="1" applyAlignment="1">
      <alignment horizontal="center" vertical="center"/>
    </xf>
    <xf numFmtId="165" fontId="15" fillId="5" borderId="28" xfId="3" applyNumberFormat="1" applyBorder="1" applyAlignment="1">
      <alignment horizontal="center" vertical="center"/>
    </xf>
    <xf numFmtId="165" fontId="15" fillId="5" borderId="20" xfId="3" applyNumberFormat="1" applyBorder="1" applyAlignment="1">
      <alignment horizontal="center"/>
    </xf>
    <xf numFmtId="0" fontId="10" fillId="0" borderId="20" xfId="2" applyNumberFormat="1" applyFont="1" applyFill="1" applyBorder="1" applyAlignment="1">
      <alignment horizontal="center" vertical="center"/>
    </xf>
    <xf numFmtId="165" fontId="15" fillId="0" borderId="20" xfId="2" applyNumberFormat="1" applyFill="1" applyBorder="1" applyAlignment="1">
      <alignment horizontal="center" vertical="center"/>
    </xf>
    <xf numFmtId="165" fontId="15" fillId="0" borderId="28" xfId="2" applyNumberFormat="1" applyFill="1" applyBorder="1" applyAlignment="1">
      <alignment horizontal="center" vertical="center"/>
    </xf>
    <xf numFmtId="165" fontId="15" fillId="0" borderId="20" xfId="2" applyNumberFormat="1" applyFill="1" applyBorder="1" applyAlignment="1">
      <alignment horizontal="center"/>
    </xf>
    <xf numFmtId="0" fontId="15" fillId="0" borderId="26" xfId="3" applyNumberFormat="1" applyFill="1" applyBorder="1" applyAlignment="1">
      <alignment horizontal="center" vertical="center"/>
    </xf>
    <xf numFmtId="2" fontId="15" fillId="0" borderId="26" xfId="3" applyNumberFormat="1" applyFill="1" applyBorder="1" applyAlignment="1">
      <alignment horizontal="center" vertical="center"/>
    </xf>
    <xf numFmtId="165" fontId="15" fillId="0" borderId="26" xfId="3" applyNumberFormat="1" applyFill="1" applyBorder="1" applyAlignment="1">
      <alignment horizontal="center" vertical="center"/>
    </xf>
    <xf numFmtId="165" fontId="15" fillId="0" borderId="27" xfId="3" applyNumberFormat="1" applyFill="1" applyBorder="1" applyAlignment="1">
      <alignment horizontal="center" vertical="center"/>
    </xf>
    <xf numFmtId="165" fontId="15" fillId="0" borderId="26" xfId="3" applyNumberFormat="1" applyFill="1" applyBorder="1" applyAlignment="1">
      <alignment horizontal="center"/>
    </xf>
    <xf numFmtId="0" fontId="10" fillId="0" borderId="20" xfId="4" applyNumberFormat="1" applyFont="1" applyFill="1" applyBorder="1" applyAlignment="1">
      <alignment horizontal="center" vertical="center"/>
    </xf>
    <xf numFmtId="0" fontId="14" fillId="0" borderId="22" xfId="7" applyNumberFormat="1" applyFill="1" applyBorder="1" applyAlignment="1">
      <alignment horizontal="center" vertical="center"/>
    </xf>
    <xf numFmtId="2" fontId="14" fillId="0" borderId="22" xfId="7" applyNumberFormat="1" applyFill="1" applyBorder="1" applyAlignment="1">
      <alignment horizontal="center" vertical="center"/>
    </xf>
    <xf numFmtId="165" fontId="14" fillId="0" borderId="22" xfId="7" applyNumberFormat="1" applyFill="1" applyBorder="1" applyAlignment="1">
      <alignment horizontal="center" vertical="center"/>
    </xf>
    <xf numFmtId="165" fontId="14" fillId="0" borderId="24" xfId="7" applyNumberFormat="1" applyFill="1" applyBorder="1" applyAlignment="1">
      <alignment horizontal="center" vertical="center"/>
    </xf>
    <xf numFmtId="165" fontId="14" fillId="0" borderId="22" xfId="7" applyNumberFormat="1" applyFill="1" applyBorder="1" applyAlignment="1">
      <alignment horizontal="center"/>
    </xf>
    <xf numFmtId="0" fontId="15" fillId="0" borderId="22" xfId="1" applyNumberFormat="1" applyFill="1" applyBorder="1" applyAlignment="1">
      <alignment horizontal="center" vertical="center"/>
    </xf>
    <xf numFmtId="2" fontId="15" fillId="0" borderId="22" xfId="1" applyNumberFormat="1" applyFill="1" applyBorder="1" applyAlignment="1">
      <alignment horizontal="center" vertical="center"/>
    </xf>
    <xf numFmtId="165" fontId="15" fillId="0" borderId="22" xfId="1" applyNumberFormat="1" applyFill="1" applyBorder="1" applyAlignment="1">
      <alignment horizontal="center" vertical="center"/>
    </xf>
    <xf numFmtId="165" fontId="15" fillId="0" borderId="24" xfId="1" applyNumberFormat="1" applyFill="1" applyBorder="1" applyAlignment="1">
      <alignment horizontal="center" vertical="center"/>
    </xf>
    <xf numFmtId="165" fontId="15" fillId="0" borderId="22" xfId="1" applyNumberFormat="1" applyFill="1" applyBorder="1" applyAlignment="1">
      <alignment horizontal="center"/>
    </xf>
    <xf numFmtId="167" fontId="0" fillId="0" borderId="20" xfId="0" applyNumberFormat="1" applyFont="1" applyBorder="1" applyAlignment="1">
      <alignment horizontal="center"/>
    </xf>
    <xf numFmtId="167" fontId="19" fillId="0" borderId="28" xfId="0" applyNumberFormat="1" applyFont="1" applyFill="1" applyBorder="1" applyAlignment="1">
      <alignment horizontal="center" vertical="center"/>
    </xf>
    <xf numFmtId="167" fontId="19" fillId="0" borderId="20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0" xfId="0" applyNumberFormat="1" applyBorder="1" applyAlignment="1">
      <alignment horizontal="center"/>
    </xf>
    <xf numFmtId="167" fontId="22" fillId="0" borderId="20" xfId="0" applyNumberFormat="1" applyFont="1" applyBorder="1" applyAlignment="1">
      <alignment horizontal="center"/>
    </xf>
    <xf numFmtId="167" fontId="0" fillId="0" borderId="20" xfId="0" applyNumberFormat="1" applyFont="1" applyFill="1" applyBorder="1" applyAlignment="1">
      <alignment horizontal="center"/>
    </xf>
    <xf numFmtId="167" fontId="26" fillId="10" borderId="20" xfId="8" applyNumberFormat="1" applyBorder="1" applyAlignment="1">
      <alignment horizontal="center"/>
    </xf>
    <xf numFmtId="0" fontId="26" fillId="10" borderId="20" xfId="8" applyNumberFormat="1" applyBorder="1" applyAlignment="1">
      <alignment horizontal="center"/>
    </xf>
    <xf numFmtId="166" fontId="26" fillId="10" borderId="21" xfId="8" applyNumberFormat="1" applyBorder="1" applyAlignment="1">
      <alignment horizontal="center" vertical="center"/>
    </xf>
    <xf numFmtId="165" fontId="26" fillId="10" borderId="20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21" xfId="8" applyNumberFormat="1" applyBorder="1" applyAlignment="1">
      <alignment horizontal="center"/>
    </xf>
    <xf numFmtId="165" fontId="26" fillId="10" borderId="22" xfId="8" applyNumberFormat="1" applyBorder="1" applyAlignment="1">
      <alignment horizontal="center"/>
    </xf>
    <xf numFmtId="0" fontId="15" fillId="0" borderId="20" xfId="3" applyNumberFormat="1" applyFill="1" applyBorder="1" applyAlignment="1">
      <alignment horizontal="center" vertical="center"/>
    </xf>
    <xf numFmtId="2" fontId="15" fillId="0" borderId="20" xfId="3" applyNumberFormat="1" applyFill="1" applyBorder="1" applyAlignment="1">
      <alignment horizontal="center" vertical="center"/>
    </xf>
    <xf numFmtId="165" fontId="15" fillId="0" borderId="20" xfId="3" applyNumberFormat="1" applyFill="1" applyBorder="1" applyAlignment="1">
      <alignment horizontal="center" vertical="center"/>
    </xf>
    <xf numFmtId="165" fontId="15" fillId="0" borderId="28" xfId="3" applyNumberFormat="1" applyFill="1" applyBorder="1" applyAlignment="1">
      <alignment horizontal="center" vertical="center"/>
    </xf>
    <xf numFmtId="165" fontId="15" fillId="0" borderId="20" xfId="3" applyNumberFormat="1" applyFill="1" applyBorder="1" applyAlignment="1">
      <alignment horizontal="center"/>
    </xf>
    <xf numFmtId="0" fontId="15" fillId="3" borderId="26" xfId="1" applyNumberFormat="1" applyBorder="1" applyAlignment="1">
      <alignment horizontal="center" vertical="center"/>
    </xf>
    <xf numFmtId="2" fontId="15" fillId="3" borderId="26" xfId="1" applyNumberFormat="1" applyBorder="1" applyAlignment="1">
      <alignment horizontal="center" vertical="center"/>
    </xf>
    <xf numFmtId="165" fontId="15" fillId="3" borderId="26" xfId="1" applyNumberFormat="1" applyBorder="1" applyAlignment="1">
      <alignment horizontal="center" vertical="center"/>
    </xf>
    <xf numFmtId="165" fontId="15" fillId="3" borderId="27" xfId="1" applyNumberFormat="1" applyBorder="1" applyAlignment="1">
      <alignment horizontal="center" vertical="center"/>
    </xf>
    <xf numFmtId="165" fontId="15" fillId="3" borderId="26" xfId="1" applyNumberFormat="1" applyBorder="1" applyAlignment="1">
      <alignment horizontal="center"/>
    </xf>
    <xf numFmtId="0" fontId="15" fillId="5" borderId="20" xfId="3" applyNumberFormat="1" applyBorder="1" applyAlignment="1">
      <alignment horizontal="center" vertical="center"/>
    </xf>
    <xf numFmtId="2" fontId="15" fillId="5" borderId="20" xfId="3" applyNumberFormat="1" applyBorder="1" applyAlignment="1">
      <alignment horizontal="center" vertical="center"/>
    </xf>
    <xf numFmtId="2" fontId="15" fillId="5" borderId="26" xfId="3" applyNumberFormat="1" applyBorder="1" applyAlignment="1">
      <alignment horizontal="center" vertical="center"/>
    </xf>
    <xf numFmtId="165" fontId="15" fillId="5" borderId="26" xfId="3" applyNumberFormat="1" applyBorder="1" applyAlignment="1">
      <alignment horizontal="center" vertical="center"/>
    </xf>
    <xf numFmtId="0" fontId="15" fillId="3" borderId="22" xfId="1" applyNumberFormat="1" applyBorder="1" applyAlignment="1">
      <alignment horizontal="center" vertical="center"/>
    </xf>
    <xf numFmtId="2" fontId="15" fillId="3" borderId="22" xfId="1" applyNumberFormat="1" applyBorder="1" applyAlignment="1">
      <alignment horizontal="center" vertical="center"/>
    </xf>
    <xf numFmtId="165" fontId="15" fillId="3" borderId="22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 vertical="center"/>
    </xf>
    <xf numFmtId="165" fontId="15" fillId="3" borderId="22" xfId="1" applyNumberFormat="1" applyBorder="1" applyAlignment="1">
      <alignment horizontal="center"/>
    </xf>
    <xf numFmtId="167" fontId="19" fillId="0" borderId="20" xfId="0" applyNumberFormat="1" applyFont="1" applyBorder="1" applyAlignment="1">
      <alignment horizontal="center"/>
    </xf>
    <xf numFmtId="0" fontId="15" fillId="0" borderId="22" xfId="3" applyNumberFormat="1" applyFill="1" applyBorder="1" applyAlignment="1">
      <alignment horizontal="center" vertical="center"/>
    </xf>
    <xf numFmtId="2" fontId="15" fillId="0" borderId="22" xfId="3" applyNumberFormat="1" applyFill="1" applyBorder="1" applyAlignment="1">
      <alignment horizontal="center" vertical="center"/>
    </xf>
    <xf numFmtId="165" fontId="15" fillId="0" borderId="22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 vertical="center"/>
    </xf>
    <xf numFmtId="165" fontId="15" fillId="0" borderId="22" xfId="3" applyNumberFormat="1" applyFill="1" applyBorder="1" applyAlignment="1">
      <alignment horizontal="center"/>
    </xf>
    <xf numFmtId="165" fontId="9" fillId="0" borderId="20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0" xfId="1" applyNumberFormat="1" applyBorder="1" applyAlignment="1">
      <alignment horizontal="center" vertical="center"/>
    </xf>
    <xf numFmtId="165" fontId="15" fillId="3" borderId="20" xfId="1" applyNumberFormat="1" applyBorder="1" applyAlignment="1">
      <alignment horizontal="center" vertical="center"/>
    </xf>
    <xf numFmtId="165" fontId="15" fillId="3" borderId="20" xfId="1" applyNumberFormat="1" applyBorder="1" applyAlignment="1">
      <alignment horizontal="center"/>
    </xf>
    <xf numFmtId="0" fontId="7" fillId="3" borderId="20" xfId="1" applyNumberFormat="1" applyFont="1" applyBorder="1" applyAlignment="1">
      <alignment horizontal="center" vertical="center"/>
    </xf>
    <xf numFmtId="0" fontId="8" fillId="0" borderId="26" xfId="3" applyNumberFormat="1" applyFont="1" applyFill="1" applyBorder="1" applyAlignment="1">
      <alignment horizontal="center" vertical="center"/>
    </xf>
    <xf numFmtId="167" fontId="28" fillId="11" borderId="20" xfId="9" applyNumberFormat="1" applyBorder="1" applyAlignment="1">
      <alignment horizontal="center"/>
    </xf>
    <xf numFmtId="0" fontId="28" fillId="11" borderId="20" xfId="9" applyNumberFormat="1" applyBorder="1" applyAlignment="1">
      <alignment horizontal="center"/>
    </xf>
    <xf numFmtId="166" fontId="28" fillId="11" borderId="21" xfId="9" applyNumberFormat="1" applyBorder="1" applyAlignment="1">
      <alignment horizontal="center" vertical="center"/>
    </xf>
    <xf numFmtId="165" fontId="28" fillId="11" borderId="20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21" xfId="9" applyNumberFormat="1" applyBorder="1" applyAlignment="1">
      <alignment horizontal="center"/>
    </xf>
    <xf numFmtId="165" fontId="28" fillId="11" borderId="22" xfId="9" applyNumberFormat="1" applyBorder="1" applyAlignment="1">
      <alignment horizontal="center"/>
    </xf>
    <xf numFmtId="165" fontId="12" fillId="0" borderId="21" xfId="5" applyNumberFormat="1" applyFont="1" applyFill="1" applyBorder="1" applyAlignment="1">
      <alignment horizontal="center"/>
    </xf>
    <xf numFmtId="0" fontId="15" fillId="5" borderId="26" xfId="3" applyNumberFormat="1" applyBorder="1" applyAlignment="1">
      <alignment horizontal="center" vertical="center"/>
    </xf>
    <xf numFmtId="165" fontId="15" fillId="5" borderId="26" xfId="3" applyNumberFormat="1" applyBorder="1" applyAlignment="1">
      <alignment horizontal="center"/>
    </xf>
    <xf numFmtId="165" fontId="26" fillId="0" borderId="22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5" fontId="26" fillId="0" borderId="21" xfId="8" applyNumberFormat="1" applyFill="1" applyBorder="1" applyAlignment="1">
      <alignment horizontal="center"/>
    </xf>
    <xf numFmtId="16" fontId="0" fillId="0" borderId="20" xfId="0" applyNumberFormat="1" applyFont="1" applyBorder="1" applyAlignment="1">
      <alignment horizontal="center"/>
    </xf>
    <xf numFmtId="165" fontId="26" fillId="0" borderId="20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22" xfId="7" applyNumberFormat="1" applyBorder="1" applyAlignment="1">
      <alignment horizontal="center" vertical="center"/>
    </xf>
    <xf numFmtId="2" fontId="14" fillId="9" borderId="22" xfId="7" applyNumberFormat="1" applyBorder="1" applyAlignment="1">
      <alignment horizontal="center" vertical="center"/>
    </xf>
    <xf numFmtId="165" fontId="14" fillId="9" borderId="22" xfId="7" applyNumberFormat="1" applyBorder="1" applyAlignment="1">
      <alignment horizontal="center" vertical="center"/>
    </xf>
    <xf numFmtId="165" fontId="14" fillId="9" borderId="24" xfId="7" applyNumberFormat="1" applyBorder="1" applyAlignment="1">
      <alignment horizontal="center" vertical="center"/>
    </xf>
    <xf numFmtId="165" fontId="14" fillId="9" borderId="22" xfId="7" applyNumberFormat="1" applyBorder="1" applyAlignment="1">
      <alignment horizontal="center"/>
    </xf>
    <xf numFmtId="0" fontId="15" fillId="3" borderId="20" xfId="1" applyNumberFormat="1" applyBorder="1" applyAlignment="1">
      <alignment horizontal="center" vertical="center"/>
    </xf>
    <xf numFmtId="165" fontId="15" fillId="3" borderId="28" xfId="1" applyNumberFormat="1" applyBorder="1" applyAlignment="1">
      <alignment horizontal="center" vertical="center"/>
    </xf>
    <xf numFmtId="0" fontId="15" fillId="0" borderId="33" xfId="4" applyNumberFormat="1" applyFill="1" applyBorder="1" applyAlignment="1">
      <alignment horizontal="center" vertical="center"/>
    </xf>
    <xf numFmtId="0" fontId="10" fillId="0" borderId="33" xfId="4" applyNumberFormat="1" applyFont="1" applyFill="1" applyBorder="1" applyAlignment="1">
      <alignment horizontal="center" vertical="center"/>
    </xf>
    <xf numFmtId="2" fontId="15" fillId="0" borderId="33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/>
    </xf>
    <xf numFmtId="165" fontId="23" fillId="8" borderId="33" xfId="6" applyNumberFormat="1" applyBorder="1" applyAlignment="1">
      <alignment horizontal="center"/>
    </xf>
    <xf numFmtId="165" fontId="26" fillId="10" borderId="33" xfId="8" applyNumberFormat="1" applyBorder="1" applyAlignment="1">
      <alignment horizontal="center"/>
    </xf>
    <xf numFmtId="165" fontId="28" fillId="11" borderId="33" xfId="9" applyNumberFormat="1" applyBorder="1" applyAlignment="1">
      <alignment horizontal="center"/>
    </xf>
    <xf numFmtId="0" fontId="15" fillId="0" borderId="20" xfId="1" applyNumberFormat="1" applyFill="1" applyBorder="1" applyAlignment="1">
      <alignment horizontal="center" vertical="center"/>
    </xf>
    <xf numFmtId="2" fontId="15" fillId="0" borderId="20" xfId="1" applyNumberFormat="1" applyFill="1" applyBorder="1" applyAlignment="1">
      <alignment horizontal="center" vertical="center"/>
    </xf>
    <xf numFmtId="165" fontId="15" fillId="0" borderId="20" xfId="1" applyNumberFormat="1" applyFill="1" applyBorder="1" applyAlignment="1">
      <alignment horizontal="center" vertical="center"/>
    </xf>
    <xf numFmtId="165" fontId="15" fillId="0" borderId="28" xfId="1" applyNumberFormat="1" applyFill="1" applyBorder="1" applyAlignment="1">
      <alignment horizontal="center" vertical="center"/>
    </xf>
    <xf numFmtId="165" fontId="15" fillId="0" borderId="20" xfId="1" applyNumberFormat="1" applyFill="1" applyBorder="1" applyAlignment="1">
      <alignment horizontal="center"/>
    </xf>
    <xf numFmtId="0" fontId="19" fillId="0" borderId="29" xfId="0" applyNumberFormat="1" applyFont="1" applyFill="1" applyBorder="1" applyAlignment="1">
      <alignment horizontal="center" vertical="center"/>
    </xf>
    <xf numFmtId="166" fontId="19" fillId="0" borderId="29" xfId="0" applyNumberFormat="1" applyFont="1" applyFill="1" applyBorder="1" applyAlignment="1">
      <alignment horizontal="center" vertical="center"/>
    </xf>
    <xf numFmtId="165" fontId="15" fillId="5" borderId="35" xfId="3" applyNumberFormat="1" applyBorder="1" applyAlignment="1">
      <alignment horizontal="center" vertical="center"/>
    </xf>
    <xf numFmtId="165" fontId="15" fillId="0" borderId="35" xfId="3" applyNumberFormat="1" applyFill="1" applyBorder="1" applyAlignment="1">
      <alignment horizontal="center" vertical="center"/>
    </xf>
    <xf numFmtId="165" fontId="15" fillId="4" borderId="29" xfId="2" applyNumberFormat="1" applyBorder="1" applyAlignment="1">
      <alignment horizontal="center" vertical="center"/>
    </xf>
    <xf numFmtId="165" fontId="15" fillId="0" borderId="30" xfId="4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5" xfId="2" applyNumberFormat="1" applyFill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30" xfId="5" applyNumberFormat="1" applyFill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5" xfId="1" applyNumberFormat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5" fillId="6" borderId="30" xfId="4" applyNumberFormat="1" applyBorder="1" applyAlignment="1">
      <alignment horizontal="center" vertical="center"/>
    </xf>
    <xf numFmtId="165" fontId="15" fillId="3" borderId="29" xfId="1" applyNumberFormat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 vertical="center"/>
    </xf>
    <xf numFmtId="165" fontId="15" fillId="0" borderId="29" xfId="4" applyNumberFormat="1" applyFill="1" applyBorder="1" applyAlignment="1">
      <alignment horizontal="center" vertical="center"/>
    </xf>
    <xf numFmtId="165" fontId="15" fillId="0" borderId="29" xfId="2" applyNumberFormat="1" applyFill="1" applyBorder="1" applyAlignment="1">
      <alignment horizontal="center" vertical="center"/>
    </xf>
    <xf numFmtId="165" fontId="15" fillId="6" borderId="29" xfId="4" applyNumberFormat="1" applyBorder="1" applyAlignment="1">
      <alignment horizontal="center" vertical="center"/>
    </xf>
    <xf numFmtId="165" fontId="0" fillId="0" borderId="29" xfId="0" applyNumberFormat="1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6" fillId="6" borderId="21" xfId="4" applyNumberFormat="1" applyFont="1" applyBorder="1" applyAlignment="1">
      <alignment horizontal="center" vertical="center"/>
    </xf>
    <xf numFmtId="0" fontId="14" fillId="12" borderId="20" xfId="7" applyNumberFormat="1" applyFill="1" applyBorder="1" applyAlignment="1">
      <alignment horizontal="center" vertical="center"/>
    </xf>
    <xf numFmtId="164" fontId="14" fillId="12" borderId="20" xfId="7" applyNumberFormat="1" applyFill="1" applyBorder="1" applyAlignment="1">
      <alignment horizontal="center" vertical="center"/>
    </xf>
    <xf numFmtId="165" fontId="14" fillId="12" borderId="20" xfId="7" applyNumberFormat="1" applyFill="1" applyBorder="1" applyAlignment="1">
      <alignment horizontal="center" vertical="center"/>
    </xf>
    <xf numFmtId="165" fontId="14" fillId="12" borderId="28" xfId="7" applyNumberFormat="1" applyFill="1" applyBorder="1" applyAlignment="1">
      <alignment horizontal="center" vertical="center"/>
    </xf>
    <xf numFmtId="165" fontId="14" fillId="12" borderId="20" xfId="7" applyNumberFormat="1" applyFill="1" applyBorder="1" applyAlignment="1">
      <alignment horizontal="center"/>
    </xf>
    <xf numFmtId="165" fontId="14" fillId="12" borderId="29" xfId="7" applyNumberForma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15" fillId="0" borderId="21" xfId="1" applyNumberFormat="1" applyFill="1" applyBorder="1" applyAlignment="1">
      <alignment horizontal="center" vertical="center"/>
    </xf>
    <xf numFmtId="2" fontId="15" fillId="0" borderId="21" xfId="1" applyNumberFormat="1" applyFill="1" applyBorder="1" applyAlignment="1">
      <alignment horizontal="center" vertical="center"/>
    </xf>
    <xf numFmtId="165" fontId="15" fillId="0" borderId="21" xfId="1" applyNumberFormat="1" applyFill="1" applyBorder="1" applyAlignment="1">
      <alignment horizontal="center" vertical="center"/>
    </xf>
    <xf numFmtId="165" fontId="15" fillId="0" borderId="29" xfId="1" applyNumberFormat="1" applyFill="1" applyBorder="1" applyAlignment="1">
      <alignment horizontal="center" vertical="center"/>
    </xf>
    <xf numFmtId="165" fontId="15" fillId="0" borderId="23" xfId="1" applyNumberFormat="1" applyFill="1" applyBorder="1" applyAlignment="1">
      <alignment horizontal="center" vertical="center"/>
    </xf>
    <xf numFmtId="165" fontId="15" fillId="0" borderId="21" xfId="1" applyNumberFormat="1" applyFill="1" applyBorder="1" applyAlignment="1">
      <alignment horizontal="center"/>
    </xf>
    <xf numFmtId="0" fontId="4" fillId="0" borderId="26" xfId="3" applyNumberFormat="1" applyFont="1" applyFill="1" applyBorder="1" applyAlignment="1">
      <alignment horizontal="center" vertical="center"/>
    </xf>
    <xf numFmtId="0" fontId="3" fillId="0" borderId="26" xfId="3" applyNumberFormat="1" applyFont="1" applyFill="1" applyBorder="1" applyAlignment="1">
      <alignment horizontal="center" vertical="center"/>
    </xf>
    <xf numFmtId="2" fontId="31" fillId="2" borderId="20" xfId="0" applyNumberFormat="1" applyFont="1" applyFill="1" applyBorder="1" applyAlignment="1">
      <alignment horizontal="center" vertical="center"/>
    </xf>
    <xf numFmtId="164" fontId="31" fillId="2" borderId="20" xfId="0" applyNumberFormat="1" applyFont="1" applyFill="1" applyBorder="1" applyAlignment="1">
      <alignment horizontal="center" vertical="center"/>
    </xf>
    <xf numFmtId="0" fontId="14" fillId="9" borderId="33" xfId="7" applyNumberFormat="1" applyBorder="1" applyAlignment="1">
      <alignment horizontal="center" vertical="center"/>
    </xf>
    <xf numFmtId="0" fontId="14" fillId="9" borderId="20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2" fontId="14" fillId="9" borderId="20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0" xfId="7" applyNumberFormat="1" applyBorder="1" applyAlignment="1">
      <alignment horizontal="center" vertical="center"/>
    </xf>
    <xf numFmtId="165" fontId="14" fillId="9" borderId="20" xfId="7" applyNumberFormat="1" applyBorder="1" applyAlignment="1">
      <alignment horizontal="center"/>
    </xf>
    <xf numFmtId="165" fontId="14" fillId="9" borderId="29" xfId="7" applyNumberFormat="1" applyBorder="1" applyAlignment="1">
      <alignment horizontal="center" vertical="center"/>
    </xf>
    <xf numFmtId="165" fontId="14" fillId="9" borderId="32" xfId="7" applyNumberFormat="1" applyBorder="1" applyAlignment="1">
      <alignment horizontal="center" vertical="center"/>
    </xf>
    <xf numFmtId="165" fontId="14" fillId="9" borderId="28" xfId="7" applyNumberFormat="1" applyBorder="1" applyAlignment="1">
      <alignment horizontal="center" vertical="center"/>
    </xf>
    <xf numFmtId="165" fontId="14" fillId="9" borderId="28" xfId="7" applyNumberFormat="1" applyBorder="1" applyAlignment="1">
      <alignment horizontal="center"/>
    </xf>
    <xf numFmtId="165" fontId="14" fillId="9" borderId="31" xfId="7" applyNumberFormat="1" applyBorder="1" applyAlignment="1">
      <alignment horizontal="center"/>
    </xf>
    <xf numFmtId="165" fontId="14" fillId="9" borderId="25" xfId="7" applyNumberFormat="1" applyBorder="1" applyAlignment="1">
      <alignment horizontal="center"/>
    </xf>
    <xf numFmtId="165" fontId="14" fillId="9" borderId="38" xfId="7" applyNumberFormat="1" applyBorder="1" applyAlignment="1">
      <alignment horizontal="center"/>
    </xf>
    <xf numFmtId="165" fontId="23" fillId="8" borderId="21" xfId="6" applyNumberFormat="1" applyBorder="1" applyAlignment="1">
      <alignment horizontal="center" vertical="center"/>
    </xf>
    <xf numFmtId="165" fontId="23" fillId="8" borderId="25" xfId="6" applyNumberFormat="1" applyBorder="1" applyAlignment="1">
      <alignment horizontal="center"/>
    </xf>
    <xf numFmtId="0" fontId="15" fillId="0" borderId="22" xfId="4" applyNumberFormat="1" applyFill="1" applyBorder="1" applyAlignment="1">
      <alignment horizontal="center" vertical="center"/>
    </xf>
    <xf numFmtId="2" fontId="15" fillId="0" borderId="22" xfId="4" applyNumberFormat="1" applyFill="1" applyBorder="1" applyAlignment="1">
      <alignment horizontal="center" vertical="center"/>
    </xf>
    <xf numFmtId="165" fontId="15" fillId="0" borderId="22" xfId="4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0" borderId="24" xfId="4" applyNumberFormat="1" applyFill="1" applyBorder="1" applyAlignment="1">
      <alignment horizontal="center" vertical="center"/>
    </xf>
    <xf numFmtId="165" fontId="15" fillId="0" borderId="22" xfId="4" applyNumberFormat="1" applyFill="1" applyBorder="1" applyAlignment="1">
      <alignment horizontal="center"/>
    </xf>
    <xf numFmtId="0" fontId="11" fillId="0" borderId="20" xfId="2" applyNumberFormat="1" applyFont="1" applyFill="1" applyBorder="1" applyAlignment="1">
      <alignment horizontal="center" vertical="center"/>
    </xf>
    <xf numFmtId="0" fontId="2" fillId="0" borderId="22" xfId="2" applyNumberFormat="1" applyFont="1" applyFill="1" applyBorder="1" applyAlignment="1">
      <alignment horizontal="center" vertical="center"/>
    </xf>
    <xf numFmtId="2" fontId="15" fillId="4" borderId="21" xfId="2" applyNumberFormat="1" applyBorder="1" applyAlignment="1">
      <alignment horizontal="center" vertical="center"/>
    </xf>
    <xf numFmtId="165" fontId="15" fillId="4" borderId="21" xfId="2" applyNumberFormat="1" applyBorder="1" applyAlignment="1">
      <alignment horizontal="center" vertical="center"/>
    </xf>
    <xf numFmtId="165" fontId="15" fillId="4" borderId="23" xfId="2" applyNumberFormat="1" applyBorder="1" applyAlignment="1">
      <alignment horizontal="center" vertical="center"/>
    </xf>
    <xf numFmtId="165" fontId="15" fillId="4" borderId="21" xfId="2" applyNumberFormat="1" applyBorder="1" applyAlignment="1">
      <alignment horizontal="center"/>
    </xf>
    <xf numFmtId="165" fontId="14" fillId="9" borderId="35" xfId="7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0" fontId="1" fillId="4" borderId="21" xfId="2" applyNumberFormat="1" applyFont="1" applyBorder="1" applyAlignment="1">
      <alignment horizontal="center" vertical="center"/>
    </xf>
    <xf numFmtId="165" fontId="15" fillId="5" borderId="27" xfId="3" applyNumberFormat="1" applyBorder="1" applyAlignment="1">
      <alignment horizontal="center"/>
    </xf>
    <xf numFmtId="165" fontId="15" fillId="5" borderId="40" xfId="3" applyNumberFormat="1" applyBorder="1" applyAlignment="1">
      <alignment horizontal="center"/>
    </xf>
    <xf numFmtId="0" fontId="5" fillId="0" borderId="22" xfId="1" applyNumberFormat="1" applyFont="1" applyFill="1" applyBorder="1" applyAlignment="1">
      <alignment horizontal="center" vertical="center"/>
    </xf>
    <xf numFmtId="165" fontId="15" fillId="5" borderId="27" xfId="3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0" borderId="22" xfId="9" applyNumberFormat="1" applyFill="1" applyBorder="1" applyAlignment="1">
      <alignment horizontal="center"/>
    </xf>
    <xf numFmtId="164" fontId="29" fillId="2" borderId="20" xfId="0" applyNumberFormat="1" applyFont="1" applyFill="1" applyBorder="1" applyAlignment="1">
      <alignment horizontal="center" vertical="center"/>
    </xf>
    <xf numFmtId="165" fontId="29" fillId="2" borderId="20" xfId="0" applyNumberFormat="1" applyFont="1" applyFill="1" applyBorder="1" applyAlignment="1">
      <alignment horizontal="center" vertical="center"/>
    </xf>
    <xf numFmtId="2" fontId="29" fillId="2" borderId="20" xfId="0" applyNumberFormat="1" applyFont="1" applyFill="1" applyBorder="1" applyAlignment="1">
      <alignment horizontal="center" vertical="center"/>
    </xf>
    <xf numFmtId="165" fontId="30" fillId="2" borderId="20" xfId="0" applyNumberFormat="1" applyFont="1" applyFill="1" applyBorder="1" applyAlignment="1">
      <alignment horizontal="center" vertical="center"/>
    </xf>
    <xf numFmtId="165" fontId="28" fillId="0" borderId="21" xfId="9" applyNumberFormat="1" applyFill="1" applyBorder="1" applyAlignment="1">
      <alignment horizontal="center"/>
    </xf>
    <xf numFmtId="165" fontId="15" fillId="0" borderId="30" xfId="1" applyNumberFormat="1" applyFill="1" applyBorder="1" applyAlignment="1">
      <alignment horizontal="center" vertical="center"/>
    </xf>
    <xf numFmtId="165" fontId="28" fillId="0" borderId="20" xfId="9" applyNumberFormat="1" applyFill="1" applyBorder="1" applyAlignment="1">
      <alignment horizontal="center"/>
    </xf>
    <xf numFmtId="165" fontId="28" fillId="0" borderId="26" xfId="9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165" fontId="23" fillId="0" borderId="22" xfId="6" applyNumberFormat="1" applyFill="1" applyBorder="1" applyAlignment="1">
      <alignment horizontal="center"/>
    </xf>
    <xf numFmtId="165" fontId="15" fillId="5" borderId="36" xfId="3" applyNumberFormat="1" applyBorder="1" applyAlignment="1">
      <alignment horizontal="center" vertical="center"/>
    </xf>
    <xf numFmtId="0" fontId="29" fillId="2" borderId="20" xfId="0" applyFont="1" applyFill="1" applyBorder="1" applyAlignment="1">
      <alignment horizontal="center" vertical="center"/>
    </xf>
    <xf numFmtId="165" fontId="15" fillId="0" borderId="28" xfId="4" applyNumberFormat="1" applyFill="1" applyBorder="1" applyAlignment="1">
      <alignment horizontal="center"/>
    </xf>
    <xf numFmtId="165" fontId="15" fillId="0" borderId="23" xfId="4" applyNumberFormat="1" applyFill="1" applyBorder="1" applyAlignment="1">
      <alignment horizontal="center"/>
    </xf>
    <xf numFmtId="165" fontId="15" fillId="0" borderId="31" xfId="4" applyNumberFormat="1" applyFill="1" applyBorder="1" applyAlignment="1">
      <alignment horizontal="center"/>
    </xf>
    <xf numFmtId="165" fontId="15" fillId="0" borderId="38" xfId="4" applyNumberFormat="1" applyFill="1" applyBorder="1" applyAlignment="1">
      <alignment horizontal="center"/>
    </xf>
    <xf numFmtId="165" fontId="23" fillId="0" borderId="20" xfId="6" applyNumberFormat="1" applyFill="1" applyBorder="1" applyAlignment="1">
      <alignment horizontal="center"/>
    </xf>
    <xf numFmtId="165" fontId="23" fillId="0" borderId="21" xfId="6" applyNumberFormat="1" applyFill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14" fontId="23" fillId="8" borderId="21" xfId="6" applyNumberFormat="1" applyBorder="1" applyAlignment="1">
      <alignment horizontal="center"/>
    </xf>
    <xf numFmtId="14" fontId="23" fillId="8" borderId="26" xfId="6" applyNumberFormat="1" applyBorder="1" applyAlignment="1">
      <alignment horizontal="center"/>
    </xf>
    <xf numFmtId="0" fontId="20" fillId="0" borderId="20" xfId="0" applyNumberFormat="1" applyFont="1" applyBorder="1" applyAlignment="1">
      <alignment horizontal="center" vertical="center"/>
    </xf>
    <xf numFmtId="0" fontId="31" fillId="2" borderId="20" xfId="0" applyFont="1" applyFill="1" applyBorder="1" applyAlignment="1">
      <alignment horizontal="center" vertical="center"/>
    </xf>
    <xf numFmtId="0" fontId="29" fillId="2" borderId="20" xfId="0" applyFont="1" applyFill="1" applyBorder="1" applyAlignment="1">
      <alignment vertical="center"/>
    </xf>
    <xf numFmtId="0" fontId="29" fillId="2" borderId="20" xfId="0" applyNumberFormat="1" applyFont="1" applyFill="1" applyBorder="1" applyAlignment="1">
      <alignment horizontal="center" vertical="center"/>
    </xf>
    <xf numFmtId="165" fontId="29" fillId="2" borderId="20" xfId="0" applyNumberFormat="1" applyFont="1" applyFill="1" applyBorder="1" applyAlignment="1">
      <alignment horizontal="right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3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25" t="s">
        <v>0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6"/>
      <c r="AC1" s="326"/>
    </row>
    <row r="2" spans="1:29" x14ac:dyDescent="0.25">
      <c r="A2" s="327"/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</row>
    <row r="3" spans="1:29" x14ac:dyDescent="0.25">
      <c r="A3" s="3">
        <v>1.8</v>
      </c>
      <c r="B3" s="322"/>
      <c r="C3" s="2">
        <v>2.2000000000000002</v>
      </c>
      <c r="D3" s="322"/>
      <c r="E3" s="2">
        <v>2.2999999999999998</v>
      </c>
      <c r="F3" s="322"/>
      <c r="G3" s="2">
        <v>2.4500000000000002</v>
      </c>
      <c r="H3" s="322"/>
      <c r="I3" s="2"/>
      <c r="J3" s="322"/>
      <c r="K3" s="2"/>
      <c r="L3" s="322"/>
      <c r="M3" s="2"/>
      <c r="N3" s="322"/>
      <c r="O3" s="2"/>
      <c r="P3" s="322"/>
      <c r="Q3" s="2"/>
      <c r="R3" s="322"/>
      <c r="S3" s="2"/>
      <c r="T3" s="322"/>
      <c r="U3" s="2"/>
      <c r="V3" s="322"/>
      <c r="W3" s="2"/>
      <c r="X3" s="322"/>
      <c r="Y3" s="2"/>
      <c r="Z3" s="322"/>
      <c r="AA3" s="2"/>
      <c r="AB3" s="324"/>
    </row>
    <row r="4" spans="1:29" ht="6" customHeight="1" x14ac:dyDescent="0.25">
      <c r="A4" s="4"/>
      <c r="B4" s="323"/>
      <c r="C4" s="5"/>
      <c r="D4" s="323"/>
      <c r="E4" s="5"/>
      <c r="F4" s="323"/>
      <c r="G4" s="5"/>
      <c r="H4" s="323"/>
      <c r="I4" s="5"/>
      <c r="J4" s="323"/>
      <c r="K4" s="5"/>
      <c r="L4" s="323"/>
      <c r="M4" s="5"/>
      <c r="N4" s="323"/>
      <c r="O4" s="5"/>
      <c r="P4" s="323"/>
      <c r="Q4" s="5"/>
      <c r="R4" s="323"/>
      <c r="S4" s="5"/>
      <c r="T4" s="323"/>
      <c r="U4" s="5"/>
      <c r="V4" s="323"/>
      <c r="W4" s="5"/>
      <c r="X4" s="323"/>
      <c r="Y4" s="5"/>
      <c r="Z4" s="323"/>
      <c r="AA4" s="5"/>
      <c r="AB4" s="324"/>
    </row>
    <row r="5" spans="1:29" x14ac:dyDescent="0.25">
      <c r="A5" s="6">
        <v>2035.8</v>
      </c>
      <c r="B5" s="323"/>
      <c r="C5" s="7">
        <v>2018.1</v>
      </c>
      <c r="D5" s="323"/>
      <c r="E5" s="7">
        <v>2056.1</v>
      </c>
      <c r="F5" s="323"/>
      <c r="G5" s="7">
        <v>1995.7</v>
      </c>
      <c r="H5" s="323"/>
      <c r="I5" s="7"/>
      <c r="J5" s="323"/>
      <c r="K5" s="7"/>
      <c r="L5" s="323"/>
      <c r="M5" s="7"/>
      <c r="N5" s="323"/>
      <c r="O5" s="7"/>
      <c r="P5" s="323"/>
      <c r="Q5" s="7"/>
      <c r="R5" s="323"/>
      <c r="S5" s="7"/>
      <c r="T5" s="323"/>
      <c r="U5" s="7"/>
      <c r="V5" s="323"/>
      <c r="W5" s="7"/>
      <c r="X5" s="323"/>
      <c r="Y5" s="7"/>
      <c r="Z5" s="323"/>
      <c r="AA5" s="7"/>
      <c r="AB5" s="324"/>
    </row>
    <row r="6" spans="1:29" x14ac:dyDescent="0.25">
      <c r="A6" s="6"/>
      <c r="B6" s="323"/>
      <c r="C6" s="7"/>
      <c r="D6" s="323"/>
      <c r="E6" s="7"/>
      <c r="F6" s="323"/>
      <c r="G6" s="7"/>
      <c r="H6" s="323"/>
      <c r="I6" s="7"/>
      <c r="J6" s="323"/>
      <c r="K6" s="7"/>
      <c r="L6" s="323"/>
      <c r="M6" s="7"/>
      <c r="N6" s="323"/>
      <c r="O6" s="7"/>
      <c r="P6" s="323"/>
      <c r="Q6" s="7"/>
      <c r="R6" s="323"/>
      <c r="S6" s="7"/>
      <c r="T6" s="323"/>
      <c r="U6" s="7"/>
      <c r="V6" s="323"/>
      <c r="W6" s="7"/>
      <c r="X6" s="323"/>
      <c r="Y6" s="7"/>
      <c r="Z6" s="323"/>
      <c r="AA6" s="7"/>
      <c r="AB6" s="324"/>
    </row>
    <row r="7" spans="1:29" x14ac:dyDescent="0.25">
      <c r="A7" s="6"/>
      <c r="B7" s="323"/>
      <c r="C7" s="7"/>
      <c r="D7" s="323"/>
      <c r="E7" s="7"/>
      <c r="F7" s="323"/>
      <c r="G7" s="7"/>
      <c r="H7" s="323"/>
      <c r="I7" s="7"/>
      <c r="J7" s="323"/>
      <c r="K7" s="7"/>
      <c r="L7" s="323"/>
      <c r="M7" s="7"/>
      <c r="N7" s="323"/>
      <c r="O7" s="7"/>
      <c r="P7" s="323"/>
      <c r="Q7" s="7"/>
      <c r="R7" s="323"/>
      <c r="S7" s="7"/>
      <c r="T7" s="323"/>
      <c r="U7" s="7"/>
      <c r="V7" s="323"/>
      <c r="W7" s="7"/>
      <c r="X7" s="323"/>
      <c r="Y7" s="7"/>
      <c r="Z7" s="323"/>
      <c r="AA7" s="7"/>
      <c r="AB7" s="324"/>
    </row>
    <row r="8" spans="1:29" x14ac:dyDescent="0.25">
      <c r="A8" s="6"/>
      <c r="B8" s="323"/>
      <c r="C8" s="7"/>
      <c r="D8" s="323"/>
      <c r="E8" s="7"/>
      <c r="F8" s="323"/>
      <c r="G8" s="7"/>
      <c r="H8" s="323"/>
      <c r="I8" s="7"/>
      <c r="J8" s="323"/>
      <c r="K8" s="7"/>
      <c r="L8" s="323"/>
      <c r="M8" s="7"/>
      <c r="N8" s="323"/>
      <c r="O8" s="7"/>
      <c r="P8" s="323"/>
      <c r="Q8" s="7"/>
      <c r="R8" s="323"/>
      <c r="S8" s="7"/>
      <c r="T8" s="323"/>
      <c r="U8" s="7"/>
      <c r="V8" s="323"/>
      <c r="W8" s="7"/>
      <c r="X8" s="323"/>
      <c r="Y8" s="7"/>
      <c r="Z8" s="323"/>
      <c r="AA8" s="7"/>
      <c r="AB8" s="324"/>
    </row>
    <row r="9" spans="1:29" x14ac:dyDescent="0.25">
      <c r="A9" s="6"/>
      <c r="B9" s="323"/>
      <c r="C9" s="7"/>
      <c r="D9" s="323"/>
      <c r="E9" s="7"/>
      <c r="F9" s="323"/>
      <c r="G9" s="7"/>
      <c r="H9" s="323"/>
      <c r="I9" s="7"/>
      <c r="J9" s="323"/>
      <c r="K9" s="7"/>
      <c r="L9" s="323"/>
      <c r="M9" s="7"/>
      <c r="N9" s="323"/>
      <c r="O9" s="7"/>
      <c r="P9" s="323"/>
      <c r="Q9" s="7"/>
      <c r="R9" s="323"/>
      <c r="S9" s="7"/>
      <c r="T9" s="323"/>
      <c r="U9" s="7"/>
      <c r="V9" s="323"/>
      <c r="W9" s="7"/>
      <c r="X9" s="323"/>
      <c r="Y9" s="7"/>
      <c r="Z9" s="323"/>
      <c r="AA9" s="7"/>
      <c r="AB9" s="324"/>
    </row>
    <row r="10" spans="1:29" x14ac:dyDescent="0.25">
      <c r="A10" s="6"/>
      <c r="B10" s="323"/>
      <c r="C10" s="7"/>
      <c r="D10" s="323"/>
      <c r="E10" s="7"/>
      <c r="F10" s="323"/>
      <c r="G10" s="7"/>
      <c r="H10" s="323"/>
      <c r="I10" s="7"/>
      <c r="J10" s="323"/>
      <c r="K10" s="7"/>
      <c r="L10" s="323"/>
      <c r="M10" s="7"/>
      <c r="N10" s="323"/>
      <c r="O10" s="7"/>
      <c r="P10" s="323"/>
      <c r="Q10" s="7"/>
      <c r="R10" s="323"/>
      <c r="S10" s="7"/>
      <c r="T10" s="323"/>
      <c r="U10" s="7"/>
      <c r="V10" s="323"/>
      <c r="W10" s="7"/>
      <c r="X10" s="323"/>
      <c r="Y10" s="7"/>
      <c r="Z10" s="323"/>
      <c r="AA10" s="7"/>
      <c r="AB10" s="324"/>
    </row>
    <row r="11" spans="1:29" x14ac:dyDescent="0.25">
      <c r="A11" s="6"/>
      <c r="B11" s="323"/>
      <c r="C11" s="7"/>
      <c r="D11" s="323"/>
      <c r="E11" s="7"/>
      <c r="F11" s="323"/>
      <c r="G11" s="7"/>
      <c r="H11" s="323"/>
      <c r="I11" s="7"/>
      <c r="J11" s="323"/>
      <c r="K11" s="7"/>
      <c r="L11" s="323"/>
      <c r="M11" s="7"/>
      <c r="N11" s="323"/>
      <c r="O11" s="7"/>
      <c r="P11" s="323"/>
      <c r="Q11" s="7"/>
      <c r="R11" s="323"/>
      <c r="S11" s="7"/>
      <c r="T11" s="323"/>
      <c r="U11" s="7"/>
      <c r="V11" s="323"/>
      <c r="W11" s="7"/>
      <c r="X11" s="323"/>
      <c r="Y11" s="7"/>
      <c r="Z11" s="323"/>
      <c r="AA11" s="7"/>
      <c r="AB11" s="324"/>
    </row>
    <row r="12" spans="1:29" x14ac:dyDescent="0.25">
      <c r="A12" s="6"/>
      <c r="B12" s="323"/>
      <c r="C12" s="7"/>
      <c r="D12" s="323"/>
      <c r="E12" s="7"/>
      <c r="F12" s="323"/>
      <c r="G12" s="7"/>
      <c r="H12" s="323"/>
      <c r="I12" s="7"/>
      <c r="J12" s="323"/>
      <c r="K12" s="7"/>
      <c r="L12" s="323"/>
      <c r="M12" s="7"/>
      <c r="N12" s="323"/>
      <c r="O12" s="7"/>
      <c r="P12" s="323"/>
      <c r="Q12" s="7"/>
      <c r="R12" s="323"/>
      <c r="S12" s="7"/>
      <c r="T12" s="323"/>
      <c r="U12" s="7"/>
      <c r="V12" s="323"/>
      <c r="W12" s="7"/>
      <c r="X12" s="323"/>
      <c r="Y12" s="7"/>
      <c r="Z12" s="323"/>
      <c r="AA12" s="7"/>
      <c r="AB12" s="324"/>
    </row>
    <row r="13" spans="1:29" x14ac:dyDescent="0.25">
      <c r="A13" s="6"/>
      <c r="B13" s="323"/>
      <c r="C13" s="7"/>
      <c r="D13" s="323"/>
      <c r="E13" s="7"/>
      <c r="F13" s="323"/>
      <c r="G13" s="7"/>
      <c r="H13" s="323"/>
      <c r="I13" s="7"/>
      <c r="J13" s="323"/>
      <c r="K13" s="7"/>
      <c r="L13" s="323"/>
      <c r="M13" s="7"/>
      <c r="N13" s="323"/>
      <c r="O13" s="7"/>
      <c r="P13" s="323"/>
      <c r="Q13" s="7"/>
      <c r="R13" s="323"/>
      <c r="S13" s="7"/>
      <c r="T13" s="323"/>
      <c r="U13" s="7"/>
      <c r="V13" s="323"/>
      <c r="W13" s="7"/>
      <c r="X13" s="323"/>
      <c r="Y13" s="7"/>
      <c r="Z13" s="323"/>
      <c r="AA13" s="7"/>
      <c r="AB13" s="324"/>
    </row>
    <row r="14" spans="1:29" x14ac:dyDescent="0.25">
      <c r="A14" s="6"/>
      <c r="B14" s="323"/>
      <c r="C14" s="7"/>
      <c r="D14" s="323"/>
      <c r="E14" s="7"/>
      <c r="F14" s="323"/>
      <c r="G14" s="7"/>
      <c r="H14" s="323"/>
      <c r="I14" s="7"/>
      <c r="J14" s="323"/>
      <c r="K14" s="7"/>
      <c r="L14" s="323"/>
      <c r="M14" s="7"/>
      <c r="N14" s="323"/>
      <c r="O14" s="7"/>
      <c r="P14" s="323"/>
      <c r="Q14" s="7"/>
      <c r="R14" s="323"/>
      <c r="S14" s="7"/>
      <c r="T14" s="323"/>
      <c r="U14" s="7"/>
      <c r="V14" s="323"/>
      <c r="W14" s="7"/>
      <c r="X14" s="323"/>
      <c r="Y14" s="7"/>
      <c r="Z14" s="323"/>
      <c r="AA14" s="7"/>
      <c r="AB14" s="324"/>
    </row>
    <row r="15" spans="1:29" x14ac:dyDescent="0.25">
      <c r="A15" s="6"/>
      <c r="B15" s="323"/>
      <c r="C15" s="7"/>
      <c r="D15" s="323"/>
      <c r="E15" s="7"/>
      <c r="F15" s="323"/>
      <c r="G15" s="7"/>
      <c r="H15" s="323"/>
      <c r="I15" s="7"/>
      <c r="J15" s="323"/>
      <c r="K15" s="7"/>
      <c r="L15" s="323"/>
      <c r="M15" s="7"/>
      <c r="N15" s="323"/>
      <c r="O15" s="7"/>
      <c r="P15" s="323"/>
      <c r="Q15" s="7"/>
      <c r="R15" s="323"/>
      <c r="S15" s="7"/>
      <c r="T15" s="323"/>
      <c r="U15" s="7"/>
      <c r="V15" s="323"/>
      <c r="W15" s="7"/>
      <c r="X15" s="323"/>
      <c r="Y15" s="7"/>
      <c r="Z15" s="323"/>
      <c r="AA15" s="7"/>
      <c r="AB15" s="324"/>
    </row>
    <row r="16" spans="1:29" x14ac:dyDescent="0.25">
      <c r="A16" s="6"/>
      <c r="B16" s="323"/>
      <c r="C16" s="7"/>
      <c r="D16" s="323"/>
      <c r="E16" s="7"/>
      <c r="F16" s="323"/>
      <c r="G16" s="7"/>
      <c r="H16" s="323"/>
      <c r="I16" s="7"/>
      <c r="J16" s="323"/>
      <c r="K16" s="7"/>
      <c r="L16" s="323"/>
      <c r="M16" s="7"/>
      <c r="N16" s="323"/>
      <c r="O16" s="7"/>
      <c r="P16" s="323"/>
      <c r="Q16" s="7"/>
      <c r="R16" s="323"/>
      <c r="S16" s="7"/>
      <c r="T16" s="323"/>
      <c r="U16" s="7"/>
      <c r="V16" s="323"/>
      <c r="W16" s="7"/>
      <c r="X16" s="323"/>
      <c r="Y16" s="7"/>
      <c r="Z16" s="323"/>
      <c r="AA16" s="7"/>
      <c r="AB16" s="324"/>
    </row>
    <row r="17" spans="1:28" x14ac:dyDescent="0.25">
      <c r="A17" s="6"/>
      <c r="B17" s="323"/>
      <c r="C17" s="7"/>
      <c r="D17" s="323"/>
      <c r="E17" s="7"/>
      <c r="F17" s="323"/>
      <c r="G17" s="7"/>
      <c r="H17" s="323"/>
      <c r="I17" s="7"/>
      <c r="J17" s="323"/>
      <c r="K17" s="7"/>
      <c r="L17" s="323"/>
      <c r="M17" s="7"/>
      <c r="N17" s="323"/>
      <c r="O17" s="7"/>
      <c r="P17" s="323"/>
      <c r="Q17" s="7"/>
      <c r="R17" s="323"/>
      <c r="S17" s="7"/>
      <c r="T17" s="323"/>
      <c r="U17" s="7"/>
      <c r="V17" s="323"/>
      <c r="W17" s="7"/>
      <c r="X17" s="323"/>
      <c r="Y17" s="7"/>
      <c r="Z17" s="323"/>
      <c r="AA17" s="7"/>
      <c r="AB17" s="324"/>
    </row>
    <row r="18" spans="1:28" x14ac:dyDescent="0.25">
      <c r="A18" s="6"/>
      <c r="B18" s="323"/>
      <c r="C18" s="7"/>
      <c r="D18" s="323"/>
      <c r="E18" s="7"/>
      <c r="F18" s="323"/>
      <c r="G18" s="7"/>
      <c r="H18" s="323"/>
      <c r="I18" s="7"/>
      <c r="J18" s="323"/>
      <c r="K18" s="7"/>
      <c r="L18" s="323"/>
      <c r="M18" s="7"/>
      <c r="N18" s="323"/>
      <c r="O18" s="7"/>
      <c r="P18" s="323"/>
      <c r="Q18" s="7"/>
      <c r="R18" s="323"/>
      <c r="S18" s="7"/>
      <c r="T18" s="323"/>
      <c r="U18" s="7"/>
      <c r="V18" s="323"/>
      <c r="W18" s="7"/>
      <c r="X18" s="323"/>
      <c r="Y18" s="7"/>
      <c r="Z18" s="323"/>
      <c r="AA18" s="7"/>
      <c r="AB18" s="324"/>
    </row>
    <row r="19" spans="1:28" x14ac:dyDescent="0.25">
      <c r="A19" s="6"/>
      <c r="B19" s="323"/>
      <c r="C19" s="7"/>
      <c r="D19" s="323"/>
      <c r="E19" s="7"/>
      <c r="F19" s="323"/>
      <c r="G19" s="7"/>
      <c r="H19" s="323"/>
      <c r="I19" s="7"/>
      <c r="J19" s="323"/>
      <c r="K19" s="7"/>
      <c r="L19" s="323"/>
      <c r="M19" s="7"/>
      <c r="N19" s="323"/>
      <c r="O19" s="7"/>
      <c r="P19" s="323"/>
      <c r="Q19" s="7"/>
      <c r="R19" s="323"/>
      <c r="S19" s="7"/>
      <c r="T19" s="323"/>
      <c r="U19" s="7"/>
      <c r="V19" s="323"/>
      <c r="W19" s="7"/>
      <c r="X19" s="323"/>
      <c r="Y19" s="7"/>
      <c r="Z19" s="323"/>
      <c r="AA19" s="7"/>
      <c r="AB19" s="324"/>
    </row>
    <row r="20" spans="1:28" x14ac:dyDescent="0.25">
      <c r="A20" s="6"/>
      <c r="B20" s="323"/>
      <c r="C20" s="7"/>
      <c r="D20" s="323"/>
      <c r="E20" s="7"/>
      <c r="F20" s="323"/>
      <c r="G20" s="7"/>
      <c r="H20" s="323"/>
      <c r="I20" s="7"/>
      <c r="J20" s="323"/>
      <c r="K20" s="7"/>
      <c r="L20" s="323"/>
      <c r="M20" s="7"/>
      <c r="N20" s="323"/>
      <c r="O20" s="7"/>
      <c r="P20" s="323"/>
      <c r="Q20" s="7"/>
      <c r="R20" s="323"/>
      <c r="S20" s="7"/>
      <c r="T20" s="323"/>
      <c r="U20" s="7"/>
      <c r="V20" s="323"/>
      <c r="W20" s="7"/>
      <c r="X20" s="323"/>
      <c r="Y20" s="7"/>
      <c r="Z20" s="323"/>
      <c r="AA20" s="7"/>
      <c r="AB20" s="324"/>
    </row>
    <row r="21" spans="1:28" ht="15.75" customHeight="1" x14ac:dyDescent="0.25">
      <c r="A21" s="6"/>
      <c r="B21" s="323"/>
      <c r="C21" s="7"/>
      <c r="D21" s="323"/>
      <c r="E21" s="7"/>
      <c r="F21" s="323"/>
      <c r="G21" s="7"/>
      <c r="H21" s="323"/>
      <c r="I21" s="7"/>
      <c r="J21" s="323"/>
      <c r="K21" s="7"/>
      <c r="L21" s="323"/>
      <c r="M21" s="7"/>
      <c r="N21" s="323"/>
      <c r="O21" s="7"/>
      <c r="P21" s="323"/>
      <c r="Q21" s="7"/>
      <c r="R21" s="323"/>
      <c r="S21" s="7"/>
      <c r="T21" s="323"/>
      <c r="U21" s="7"/>
      <c r="V21" s="323"/>
      <c r="W21" s="7"/>
      <c r="X21" s="323"/>
      <c r="Y21" s="7"/>
      <c r="Z21" s="323"/>
      <c r="AA21" s="7"/>
      <c r="AB21" s="324"/>
    </row>
    <row r="22" spans="1:28" ht="15.75" customHeight="1" x14ac:dyDescent="0.25">
      <c r="A22" s="6"/>
      <c r="B22" s="323"/>
      <c r="C22" s="7"/>
      <c r="D22" s="323"/>
      <c r="E22" s="7"/>
      <c r="F22" s="323"/>
      <c r="G22" s="7"/>
      <c r="H22" s="323"/>
      <c r="I22" s="7"/>
      <c r="J22" s="323"/>
      <c r="K22" s="7"/>
      <c r="L22" s="323"/>
      <c r="M22" s="7"/>
      <c r="N22" s="323"/>
      <c r="O22" s="7"/>
      <c r="P22" s="323"/>
      <c r="Q22" s="7"/>
      <c r="R22" s="323"/>
      <c r="S22" s="7"/>
      <c r="T22" s="323"/>
      <c r="U22" s="7"/>
      <c r="V22" s="323"/>
      <c r="W22" s="7"/>
      <c r="X22" s="323"/>
      <c r="Y22" s="7"/>
      <c r="Z22" s="323"/>
      <c r="AA22" s="7"/>
      <c r="AB22" s="324"/>
    </row>
    <row r="23" spans="1:28" ht="15.75" customHeight="1" x14ac:dyDescent="0.25">
      <c r="A23" s="6"/>
      <c r="B23" s="323"/>
      <c r="C23" s="7"/>
      <c r="D23" s="323"/>
      <c r="E23" s="7"/>
      <c r="F23" s="323"/>
      <c r="G23" s="7"/>
      <c r="H23" s="323"/>
      <c r="I23" s="7"/>
      <c r="J23" s="323"/>
      <c r="K23" s="7"/>
      <c r="L23" s="323"/>
      <c r="M23" s="7"/>
      <c r="N23" s="323"/>
      <c r="O23" s="7"/>
      <c r="P23" s="323"/>
      <c r="Q23" s="7"/>
      <c r="R23" s="323"/>
      <c r="S23" s="7"/>
      <c r="T23" s="323"/>
      <c r="U23" s="7"/>
      <c r="V23" s="323"/>
      <c r="W23" s="7"/>
      <c r="X23" s="323"/>
      <c r="Y23" s="7"/>
      <c r="Z23" s="323"/>
      <c r="AA23" s="7"/>
      <c r="AB23" s="324"/>
    </row>
    <row r="24" spans="1:28" ht="15.75" customHeight="1" x14ac:dyDescent="0.25">
      <c r="A24" s="6"/>
      <c r="B24" s="323"/>
      <c r="C24" s="7"/>
      <c r="D24" s="323"/>
      <c r="E24" s="7"/>
      <c r="F24" s="323"/>
      <c r="G24" s="7"/>
      <c r="H24" s="323"/>
      <c r="I24" s="7"/>
      <c r="J24" s="323"/>
      <c r="K24" s="7"/>
      <c r="L24" s="323"/>
      <c r="M24" s="7"/>
      <c r="N24" s="323"/>
      <c r="O24" s="7"/>
      <c r="P24" s="323"/>
      <c r="Q24" s="7"/>
      <c r="R24" s="323"/>
      <c r="S24" s="7"/>
      <c r="T24" s="323"/>
      <c r="U24" s="7"/>
      <c r="V24" s="323"/>
      <c r="W24" s="7"/>
      <c r="X24" s="323"/>
      <c r="Y24" s="7"/>
      <c r="Z24" s="323"/>
      <c r="AA24" s="7"/>
      <c r="AB24" s="324"/>
    </row>
    <row r="25" spans="1:28" ht="15.75" customHeight="1" x14ac:dyDescent="0.25">
      <c r="A25" s="6"/>
      <c r="B25" s="323"/>
      <c r="C25" s="7"/>
      <c r="D25" s="323"/>
      <c r="E25" s="7"/>
      <c r="F25" s="323"/>
      <c r="G25" s="7"/>
      <c r="H25" s="323"/>
      <c r="I25" s="7"/>
      <c r="J25" s="323"/>
      <c r="K25" s="7"/>
      <c r="L25" s="323"/>
      <c r="M25" s="7"/>
      <c r="N25" s="323"/>
      <c r="O25" s="7"/>
      <c r="P25" s="323"/>
      <c r="Q25" s="7"/>
      <c r="R25" s="323"/>
      <c r="S25" s="7"/>
      <c r="T25" s="323"/>
      <c r="U25" s="7"/>
      <c r="V25" s="323"/>
      <c r="W25" s="7"/>
      <c r="X25" s="323"/>
      <c r="Y25" s="7"/>
      <c r="Z25" s="323"/>
      <c r="AA25" s="7"/>
      <c r="AB25" s="324"/>
    </row>
    <row r="26" spans="1:28" ht="15.75" customHeight="1" x14ac:dyDescent="0.25">
      <c r="A26" s="6"/>
      <c r="B26" s="323"/>
      <c r="C26" s="7"/>
      <c r="D26" s="323"/>
      <c r="E26" s="7"/>
      <c r="F26" s="323"/>
      <c r="G26" s="7"/>
      <c r="H26" s="323"/>
      <c r="I26" s="7"/>
      <c r="J26" s="323"/>
      <c r="K26" s="7"/>
      <c r="L26" s="323"/>
      <c r="M26" s="7"/>
      <c r="N26" s="323"/>
      <c r="O26" s="7"/>
      <c r="P26" s="323"/>
      <c r="Q26" s="7"/>
      <c r="R26" s="323"/>
      <c r="S26" s="7"/>
      <c r="T26" s="323"/>
      <c r="U26" s="7"/>
      <c r="V26" s="323"/>
      <c r="W26" s="7"/>
      <c r="X26" s="323"/>
      <c r="Y26" s="7"/>
      <c r="Z26" s="323"/>
      <c r="AA26" s="7"/>
      <c r="AB26" s="324"/>
    </row>
    <row r="27" spans="1:28" ht="15.75" customHeight="1" x14ac:dyDescent="0.25">
      <c r="A27" s="6"/>
      <c r="B27" s="323"/>
      <c r="C27" s="7"/>
      <c r="D27" s="323"/>
      <c r="E27" s="7"/>
      <c r="F27" s="323"/>
      <c r="G27" s="7"/>
      <c r="H27" s="323"/>
      <c r="I27" s="7"/>
      <c r="J27" s="323"/>
      <c r="K27" s="7"/>
      <c r="L27" s="323"/>
      <c r="M27" s="7"/>
      <c r="N27" s="323"/>
      <c r="O27" s="7"/>
      <c r="P27" s="323"/>
      <c r="Q27" s="7"/>
      <c r="R27" s="323"/>
      <c r="S27" s="7"/>
      <c r="T27" s="323"/>
      <c r="U27" s="7"/>
      <c r="V27" s="323"/>
      <c r="W27" s="7"/>
      <c r="X27" s="323"/>
      <c r="Y27" s="7"/>
      <c r="Z27" s="323"/>
      <c r="AA27" s="7"/>
      <c r="AB27" s="324"/>
    </row>
    <row r="28" spans="1:28" ht="15.75" customHeight="1" x14ac:dyDescent="0.25">
      <c r="A28" s="6"/>
      <c r="B28" s="323"/>
      <c r="C28" s="7"/>
      <c r="D28" s="323"/>
      <c r="E28" s="7"/>
      <c r="F28" s="323"/>
      <c r="G28" s="7"/>
      <c r="H28" s="323"/>
      <c r="I28" s="7"/>
      <c r="J28" s="323"/>
      <c r="K28" s="7"/>
      <c r="L28" s="323"/>
      <c r="M28" s="7"/>
      <c r="N28" s="323"/>
      <c r="O28" s="7"/>
      <c r="P28" s="323"/>
      <c r="Q28" s="7"/>
      <c r="R28" s="323"/>
      <c r="S28" s="7"/>
      <c r="T28" s="323"/>
      <c r="U28" s="7"/>
      <c r="V28" s="323"/>
      <c r="W28" s="7"/>
      <c r="X28" s="323"/>
      <c r="Y28" s="7"/>
      <c r="Z28" s="323"/>
      <c r="AA28" s="7"/>
      <c r="AB28" s="324"/>
    </row>
    <row r="29" spans="1:28" ht="15.75" customHeight="1" x14ac:dyDescent="0.25">
      <c r="A29" s="6"/>
      <c r="B29" s="323"/>
      <c r="C29" s="7"/>
      <c r="D29" s="323"/>
      <c r="E29" s="7"/>
      <c r="F29" s="323"/>
      <c r="G29" s="7"/>
      <c r="H29" s="323"/>
      <c r="I29" s="7"/>
      <c r="J29" s="323"/>
      <c r="K29" s="7"/>
      <c r="L29" s="323"/>
      <c r="M29" s="7"/>
      <c r="N29" s="323"/>
      <c r="O29" s="7"/>
      <c r="P29" s="323"/>
      <c r="Q29" s="7"/>
      <c r="R29" s="323"/>
      <c r="S29" s="7"/>
      <c r="T29" s="323"/>
      <c r="U29" s="7"/>
      <c r="V29" s="323"/>
      <c r="W29" s="7"/>
      <c r="X29" s="323"/>
      <c r="Y29" s="7"/>
      <c r="Z29" s="323"/>
      <c r="AA29" s="7"/>
      <c r="AB29" s="324"/>
    </row>
    <row r="30" spans="1:28" ht="15.75" customHeight="1" x14ac:dyDescent="0.25">
      <c r="A30" s="6"/>
      <c r="B30" s="323"/>
      <c r="C30" s="7"/>
      <c r="D30" s="323"/>
      <c r="E30" s="7"/>
      <c r="F30" s="323"/>
      <c r="G30" s="7"/>
      <c r="H30" s="323"/>
      <c r="I30" s="7"/>
      <c r="J30" s="323"/>
      <c r="K30" s="7"/>
      <c r="L30" s="323"/>
      <c r="M30" s="7"/>
      <c r="N30" s="323"/>
      <c r="O30" s="7"/>
      <c r="P30" s="323"/>
      <c r="Q30" s="7"/>
      <c r="R30" s="323"/>
      <c r="S30" s="7"/>
      <c r="T30" s="323"/>
      <c r="U30" s="7"/>
      <c r="V30" s="323"/>
      <c r="W30" s="7"/>
      <c r="X30" s="323"/>
      <c r="Y30" s="7"/>
      <c r="Z30" s="323"/>
      <c r="AA30" s="7"/>
      <c r="AB30" s="324"/>
    </row>
    <row r="31" spans="1:28" ht="15.75" customHeight="1" x14ac:dyDescent="0.25">
      <c r="A31" s="6"/>
      <c r="B31" s="323"/>
      <c r="C31" s="7"/>
      <c r="D31" s="323"/>
      <c r="E31" s="7"/>
      <c r="F31" s="323"/>
      <c r="G31" s="7"/>
      <c r="H31" s="323"/>
      <c r="I31" s="7"/>
      <c r="J31" s="323"/>
      <c r="K31" s="7"/>
      <c r="L31" s="323"/>
      <c r="M31" s="7"/>
      <c r="N31" s="323"/>
      <c r="O31" s="7"/>
      <c r="P31" s="323"/>
      <c r="Q31" s="7"/>
      <c r="R31" s="323"/>
      <c r="S31" s="7"/>
      <c r="T31" s="323"/>
      <c r="U31" s="7"/>
      <c r="V31" s="323"/>
      <c r="W31" s="7"/>
      <c r="X31" s="323"/>
      <c r="Y31" s="7"/>
      <c r="Z31" s="323"/>
      <c r="AA31" s="7"/>
      <c r="AB31" s="324"/>
    </row>
    <row r="32" spans="1:28" ht="15.75" customHeight="1" x14ac:dyDescent="0.25">
      <c r="A32" s="6"/>
      <c r="B32" s="323"/>
      <c r="C32" s="7"/>
      <c r="D32" s="323"/>
      <c r="E32" s="7"/>
      <c r="F32" s="323"/>
      <c r="G32" s="7"/>
      <c r="H32" s="323"/>
      <c r="I32" s="7"/>
      <c r="J32" s="323"/>
      <c r="K32" s="7"/>
      <c r="L32" s="323"/>
      <c r="M32" s="7"/>
      <c r="N32" s="323"/>
      <c r="O32" s="7"/>
      <c r="P32" s="323"/>
      <c r="Q32" s="7"/>
      <c r="R32" s="323"/>
      <c r="S32" s="7"/>
      <c r="T32" s="323"/>
      <c r="U32" s="7"/>
      <c r="V32" s="323"/>
      <c r="W32" s="7"/>
      <c r="X32" s="323"/>
      <c r="Y32" s="7"/>
      <c r="Z32" s="323"/>
      <c r="AA32" s="7"/>
      <c r="AB32" s="324"/>
    </row>
    <row r="33" spans="1:30" ht="15.75" customHeight="1" x14ac:dyDescent="0.25">
      <c r="A33" s="6"/>
      <c r="B33" s="323"/>
      <c r="C33" s="7"/>
      <c r="D33" s="323"/>
      <c r="E33" s="7"/>
      <c r="F33" s="323"/>
      <c r="G33" s="7"/>
      <c r="H33" s="323"/>
      <c r="I33" s="7"/>
      <c r="J33" s="323"/>
      <c r="K33" s="7"/>
      <c r="L33" s="323"/>
      <c r="M33" s="7"/>
      <c r="N33" s="323"/>
      <c r="O33" s="7"/>
      <c r="P33" s="323"/>
      <c r="Q33" s="7"/>
      <c r="R33" s="323"/>
      <c r="S33" s="7"/>
      <c r="T33" s="323"/>
      <c r="U33" s="7"/>
      <c r="V33" s="323"/>
      <c r="W33" s="7"/>
      <c r="X33" s="323"/>
      <c r="Y33" s="7"/>
      <c r="Z33" s="323"/>
      <c r="AA33" s="7"/>
      <c r="AB33" s="324"/>
    </row>
    <row r="34" spans="1:30" ht="15.75" customHeight="1" x14ac:dyDescent="0.25">
      <c r="A34" s="6"/>
      <c r="B34" s="323"/>
      <c r="C34" s="7"/>
      <c r="D34" s="323"/>
      <c r="E34" s="7"/>
      <c r="F34" s="323"/>
      <c r="G34" s="7"/>
      <c r="H34" s="323"/>
      <c r="I34" s="7"/>
      <c r="J34" s="323"/>
      <c r="K34" s="7"/>
      <c r="L34" s="323"/>
      <c r="M34" s="7"/>
      <c r="N34" s="323"/>
      <c r="O34" s="7"/>
      <c r="P34" s="323"/>
      <c r="Q34" s="7"/>
      <c r="R34" s="323"/>
      <c r="S34" s="7"/>
      <c r="T34" s="323"/>
      <c r="U34" s="7"/>
      <c r="V34" s="323"/>
      <c r="W34" s="7"/>
      <c r="X34" s="323"/>
      <c r="Y34" s="7"/>
      <c r="Z34" s="323"/>
      <c r="AA34" s="7"/>
      <c r="AB34" s="324"/>
    </row>
    <row r="35" spans="1:30" ht="15.75" customHeight="1" x14ac:dyDescent="0.25">
      <c r="A35" s="6"/>
      <c r="B35" s="323"/>
      <c r="C35" s="7"/>
      <c r="D35" s="323"/>
      <c r="E35" s="7"/>
      <c r="F35" s="323"/>
      <c r="G35" s="7"/>
      <c r="H35" s="323"/>
      <c r="I35" s="7"/>
      <c r="J35" s="323"/>
      <c r="K35" s="7"/>
      <c r="L35" s="323"/>
      <c r="M35" s="7"/>
      <c r="N35" s="323"/>
      <c r="O35" s="7"/>
      <c r="P35" s="323"/>
      <c r="Q35" s="7"/>
      <c r="R35" s="323"/>
      <c r="S35" s="7"/>
      <c r="T35" s="323"/>
      <c r="U35" s="7"/>
      <c r="V35" s="323"/>
      <c r="W35" s="7"/>
      <c r="X35" s="323"/>
      <c r="Y35" s="7"/>
      <c r="Z35" s="323"/>
      <c r="AA35" s="7"/>
      <c r="AB35" s="324"/>
    </row>
    <row r="36" spans="1:30" ht="15.75" customHeight="1" x14ac:dyDescent="0.25">
      <c r="A36" s="4"/>
      <c r="B36" s="323"/>
      <c r="C36" s="5"/>
      <c r="D36" s="323"/>
      <c r="E36" s="5"/>
      <c r="F36" s="323"/>
      <c r="G36" s="5"/>
      <c r="H36" s="323"/>
      <c r="I36" s="5"/>
      <c r="J36" s="323"/>
      <c r="K36" s="5"/>
      <c r="L36" s="323"/>
      <c r="M36" s="5"/>
      <c r="N36" s="323"/>
      <c r="O36" s="5"/>
      <c r="P36" s="323"/>
      <c r="Q36" s="5"/>
      <c r="R36" s="323"/>
      <c r="S36" s="5"/>
      <c r="T36" s="323"/>
      <c r="U36" s="5"/>
      <c r="V36" s="323"/>
      <c r="W36" s="5"/>
      <c r="X36" s="323"/>
      <c r="Y36" s="5"/>
      <c r="Z36" s="323"/>
      <c r="AA36" s="5"/>
      <c r="AB36" s="324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16">
        <f>SUM(A38:AC38)</f>
        <v>8105.7</v>
      </c>
      <c r="B40" s="317"/>
      <c r="C40" s="317"/>
      <c r="D40" s="318"/>
    </row>
    <row r="41" spans="1:30" ht="15.75" customHeight="1" x14ac:dyDescent="0.25">
      <c r="A41" s="319"/>
      <c r="B41" s="320"/>
      <c r="C41" s="320"/>
      <c r="D41" s="321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>
      <selection activeCell="B97" sqref="B97"/>
    </sheetView>
  </sheetViews>
  <sheetFormatPr defaultColWidth="9.140625" defaultRowHeight="26.25" x14ac:dyDescent="0.4"/>
  <cols>
    <col min="1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332" t="s">
        <v>239</v>
      </c>
      <c r="B1" s="332" t="s">
        <v>240</v>
      </c>
      <c r="C1" s="309" t="s">
        <v>219</v>
      </c>
      <c r="D1" s="309" t="s">
        <v>3</v>
      </c>
      <c r="E1" s="333" t="s">
        <v>1</v>
      </c>
      <c r="F1" s="333" t="s">
        <v>2</v>
      </c>
      <c r="G1" s="333" t="s">
        <v>112</v>
      </c>
      <c r="H1" s="333" t="s">
        <v>4</v>
      </c>
      <c r="I1" s="333" t="s">
        <v>5</v>
      </c>
      <c r="J1" s="333" t="s">
        <v>114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300">
        <v>0.4</v>
      </c>
      <c r="B2" s="309" t="s">
        <v>127</v>
      </c>
      <c r="C2" s="309">
        <v>102</v>
      </c>
      <c r="D2" s="299">
        <f>SUM(E2:J2)</f>
        <v>7.2400000000000571</v>
      </c>
      <c r="E2" s="298"/>
      <c r="F2" s="298"/>
      <c r="G2" s="298"/>
      <c r="H2" s="298"/>
      <c r="I2" s="298"/>
      <c r="J2" s="298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300">
        <v>0.5</v>
      </c>
      <c r="B3" s="309" t="s">
        <v>127</v>
      </c>
      <c r="C3" s="309">
        <v>102</v>
      </c>
      <c r="D3" s="299">
        <f t="shared" ref="D3:D5" si="0">SUM(E3:J3)</f>
        <v>-3.1974423109204508E-14</v>
      </c>
      <c r="E3" s="298"/>
      <c r="F3" s="298"/>
      <c r="G3" s="298"/>
      <c r="H3" s="298"/>
      <c r="I3" s="298"/>
      <c r="J3" s="298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300">
        <v>0.6</v>
      </c>
      <c r="B4" s="309" t="s">
        <v>127</v>
      </c>
      <c r="C4" s="309">
        <v>102</v>
      </c>
      <c r="D4" s="299">
        <f t="shared" si="0"/>
        <v>0</v>
      </c>
      <c r="E4" s="298"/>
      <c r="F4" s="298"/>
      <c r="G4" s="298"/>
      <c r="H4" s="298"/>
      <c r="I4" s="298"/>
      <c r="J4" s="298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300">
        <v>2.6</v>
      </c>
      <c r="B5" s="309" t="s">
        <v>127</v>
      </c>
      <c r="C5" s="309"/>
      <c r="D5" s="299">
        <f t="shared" si="0"/>
        <v>0</v>
      </c>
      <c r="E5" s="299"/>
      <c r="F5" s="299"/>
      <c r="G5" s="299"/>
      <c r="H5" s="299"/>
      <c r="I5" s="299"/>
      <c r="J5" s="299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300">
        <v>0.1</v>
      </c>
      <c r="B6" s="309" t="s">
        <v>54</v>
      </c>
      <c r="C6" s="309">
        <v>312</v>
      </c>
      <c r="D6" s="299">
        <f>SUM(E6:J6)</f>
        <v>92.749999999999957</v>
      </c>
      <c r="E6" s="298"/>
      <c r="F6" s="298"/>
      <c r="G6" s="298">
        <f>'STOK DETAY'!H6</f>
        <v>92.749999999999957</v>
      </c>
      <c r="H6" s="298"/>
      <c r="I6" s="298"/>
      <c r="J6" s="298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300">
        <v>0.16</v>
      </c>
      <c r="B7" s="309" t="s">
        <v>54</v>
      </c>
      <c r="C7" s="309">
        <v>113</v>
      </c>
      <c r="D7" s="299">
        <f t="shared" ref="D7:D53" si="1">SUM(E7:J7)</f>
        <v>38.110000000000042</v>
      </c>
      <c r="E7" s="299"/>
      <c r="F7" s="299"/>
      <c r="G7" s="299">
        <f>'STOK DETAY'!I6</f>
        <v>38.110000000000042</v>
      </c>
      <c r="H7" s="299"/>
      <c r="I7" s="299"/>
      <c r="J7" s="299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300">
        <v>0.2</v>
      </c>
      <c r="B8" s="309" t="s">
        <v>54</v>
      </c>
      <c r="C8" s="309">
        <v>103</v>
      </c>
      <c r="D8" s="299">
        <f t="shared" si="1"/>
        <v>-1.5626389071599078E-14</v>
      </c>
      <c r="E8" s="334"/>
      <c r="F8" s="299">
        <f>'STOK DETAY'!L6</f>
        <v>0</v>
      </c>
      <c r="G8" s="299">
        <f>'STOK DETAY'!M6</f>
        <v>-1.5626389071599078E-14</v>
      </c>
      <c r="H8" s="299"/>
      <c r="I8" s="299"/>
      <c r="J8" s="299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300">
        <v>0.25</v>
      </c>
      <c r="B9" s="309" t="s">
        <v>54</v>
      </c>
      <c r="C9" s="309">
        <v>103</v>
      </c>
      <c r="D9" s="299">
        <f t="shared" si="1"/>
        <v>-9.681144774731365E-14</v>
      </c>
      <c r="E9" s="299">
        <f>'STOK DETAY'!N6</f>
        <v>0</v>
      </c>
      <c r="F9" s="299">
        <f>'STOK DETAY'!O6</f>
        <v>-6.9277916736609768E-14</v>
      </c>
      <c r="G9" s="299">
        <f>'STOK DETAY'!P6</f>
        <v>-2.7533531010703882E-14</v>
      </c>
      <c r="H9" s="299"/>
      <c r="I9" s="299">
        <f>'STOK DETAY'!Q6</f>
        <v>0</v>
      </c>
      <c r="J9" s="299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300">
        <v>0.28000000000000003</v>
      </c>
      <c r="B10" s="309" t="s">
        <v>142</v>
      </c>
      <c r="C10" s="309"/>
      <c r="D10" s="299">
        <f t="shared" si="1"/>
        <v>111.91000000000003</v>
      </c>
      <c r="E10" s="334"/>
      <c r="F10" s="299"/>
      <c r="G10" s="299">
        <f>'STOK DETAY'!S6</f>
        <v>111.91000000000003</v>
      </c>
      <c r="H10" s="299"/>
      <c r="I10" s="299"/>
      <c r="J10" s="299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300">
        <v>0.3</v>
      </c>
      <c r="B11" s="309" t="s">
        <v>54</v>
      </c>
      <c r="C11" s="309">
        <v>201</v>
      </c>
      <c r="D11" s="299">
        <f t="shared" si="1"/>
        <v>54.595000000000333</v>
      </c>
      <c r="E11" s="299">
        <f>'STOK DETAY'!T6</f>
        <v>-3.907985046680551E-14</v>
      </c>
      <c r="F11" s="299">
        <f>'STOK DETAY'!U6</f>
        <v>2.3003821070233244E-13</v>
      </c>
      <c r="G11" s="301">
        <f>'STOK DETAY'!V6</f>
        <v>54.595000000000141</v>
      </c>
      <c r="H11" s="299"/>
      <c r="I11" s="299"/>
      <c r="J11" s="299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300">
        <v>0.35</v>
      </c>
      <c r="B12" s="309" t="s">
        <v>54</v>
      </c>
      <c r="C12" s="309">
        <v>201</v>
      </c>
      <c r="D12" s="299">
        <f t="shared" si="1"/>
        <v>25.474999999999589</v>
      </c>
      <c r="E12" s="299">
        <f>'STOK DETAY'!X6</f>
        <v>0</v>
      </c>
      <c r="F12" s="299">
        <f>'STOK DETAY'!Y6</f>
        <v>-2.5579538487363607E-13</v>
      </c>
      <c r="G12" s="299">
        <f>'STOK DETAY'!Z6</f>
        <v>25.474999999999845</v>
      </c>
      <c r="H12" s="299"/>
      <c r="I12" s="299"/>
      <c r="J12" s="299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300">
        <v>0.4</v>
      </c>
      <c r="B13" s="309" t="s">
        <v>54</v>
      </c>
      <c r="C13" s="309">
        <v>202</v>
      </c>
      <c r="D13" s="299">
        <f t="shared" si="1"/>
        <v>25.799999999999777</v>
      </c>
      <c r="E13" s="299">
        <f>'STOK DETAY'!AA6</f>
        <v>-1.1191048088221578E-13</v>
      </c>
      <c r="F13" s="299">
        <f>'STOK DETAY'!AB6</f>
        <v>-9.0594198809412774E-14</v>
      </c>
      <c r="G13" s="299">
        <f>'STOK DETAY'!AC6</f>
        <v>25.799999999999979</v>
      </c>
      <c r="H13" s="299"/>
      <c r="I13" s="299"/>
      <c r="J13" s="299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300">
        <v>0.45</v>
      </c>
      <c r="B14" s="309" t="s">
        <v>54</v>
      </c>
      <c r="C14" s="309">
        <v>202</v>
      </c>
      <c r="D14" s="299">
        <f t="shared" si="1"/>
        <v>-1.5099033134902129E-14</v>
      </c>
      <c r="E14" s="299">
        <f>'STOK DETAY'!AE6</f>
        <v>-7.1054273576010019E-14</v>
      </c>
      <c r="F14" s="299">
        <f>'STOK DETAY'!AF6</f>
        <v>-2.3092638912203256E-14</v>
      </c>
      <c r="G14" s="299">
        <f>'STOK DETAY'!AG6</f>
        <v>7.9047879353311146E-14</v>
      </c>
      <c r="H14" s="299">
        <f>'STOK DETAY'!AH6</f>
        <v>0</v>
      </c>
      <c r="I14" s="299">
        <f>'STOK DETAY'!AI6</f>
        <v>0</v>
      </c>
      <c r="J14" s="299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298">
        <v>0.47499999999999998</v>
      </c>
      <c r="B15" s="309" t="s">
        <v>54</v>
      </c>
      <c r="C15" s="309"/>
      <c r="D15" s="299">
        <f t="shared" si="1"/>
        <v>24.27</v>
      </c>
      <c r="E15" s="299"/>
      <c r="F15" s="299"/>
      <c r="G15" s="299">
        <f>'STOK DETAY'!AK6</f>
        <v>24.27</v>
      </c>
      <c r="H15" s="299"/>
      <c r="I15" s="299"/>
      <c r="J15" s="299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300">
        <v>0.5</v>
      </c>
      <c r="B16" s="309" t="s">
        <v>54</v>
      </c>
      <c r="C16" s="309">
        <v>203</v>
      </c>
      <c r="D16" s="299">
        <f t="shared" si="1"/>
        <v>91.415000000000106</v>
      </c>
      <c r="E16" s="299">
        <f>'STOK DETAY'!AL6</f>
        <v>2.8421709430404007E-14</v>
      </c>
      <c r="F16" s="299">
        <f>'STOK DETAY'!AM6</f>
        <v>5.6843418860808015E-14</v>
      </c>
      <c r="G16" s="299">
        <f>'STOK DETAY'!AN6</f>
        <v>91.41500000000002</v>
      </c>
      <c r="H16" s="299"/>
      <c r="I16" s="299">
        <f>'STOK DETAY'!AO6</f>
        <v>-7.1054273576010019E-15</v>
      </c>
      <c r="J16" s="299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300">
        <v>0.55000000000000004</v>
      </c>
      <c r="B17" s="309" t="s">
        <v>54</v>
      </c>
      <c r="C17" s="309">
        <v>203</v>
      </c>
      <c r="D17" s="299">
        <f t="shared" si="1"/>
        <v>15.649999999999961</v>
      </c>
      <c r="E17" s="299">
        <f>'STOK DETAY'!AP6</f>
        <v>5.8619775700208265E-14</v>
      </c>
      <c r="F17" s="299">
        <f>'STOK DETAY'!AQ6</f>
        <v>7.460698725481052E-14</v>
      </c>
      <c r="G17" s="299">
        <f>'STOK DETAY'!AR6</f>
        <v>15.649999999999828</v>
      </c>
      <c r="H17" s="299">
        <f>'STOK DETAY'!AS6</f>
        <v>0</v>
      </c>
      <c r="I17" s="299">
        <f>'STOK DETAY'!AT6</f>
        <v>0</v>
      </c>
      <c r="J17" s="299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300">
        <v>0.6</v>
      </c>
      <c r="B18" s="309" t="s">
        <v>54</v>
      </c>
      <c r="C18" s="309">
        <v>301</v>
      </c>
      <c r="D18" s="299">
        <f t="shared" si="1"/>
        <v>24.239999999999281</v>
      </c>
      <c r="E18" s="299">
        <f>'STOK DETAY'!AU6</f>
        <v>-1.4566126083082054E-13</v>
      </c>
      <c r="F18" s="299">
        <f>'STOK DETAY'!AV6</f>
        <v>-4.7961634663806763E-14</v>
      </c>
      <c r="G18" s="299">
        <f>'STOK DETAY'!AW6</f>
        <v>24.239999999999458</v>
      </c>
      <c r="H18" s="299">
        <f>'STOK DETAY'!AX6</f>
        <v>0</v>
      </c>
      <c r="I18" s="299">
        <f>'STOK DETAY'!AY6</f>
        <v>0</v>
      </c>
      <c r="J18" s="299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300">
        <v>0.65</v>
      </c>
      <c r="B19" s="309" t="s">
        <v>54</v>
      </c>
      <c r="C19" s="309">
        <v>301</v>
      </c>
      <c r="D19" s="299">
        <f t="shared" si="1"/>
        <v>25.940000000000019</v>
      </c>
      <c r="E19" s="299">
        <f>'STOK DETAY'!BA6</f>
        <v>1.4388490399142029E-13</v>
      </c>
      <c r="F19" s="299">
        <f>'STOK DETAY'!BB6</f>
        <v>-5.6843418860808015E-14</v>
      </c>
      <c r="G19" s="299">
        <f>'STOK DETAY'!BC6</f>
        <v>25.939999999999934</v>
      </c>
      <c r="H19" s="299"/>
      <c r="I19" s="299">
        <f>'STOK DETAY'!BE6</f>
        <v>0</v>
      </c>
      <c r="J19" s="299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300">
        <v>0.7</v>
      </c>
      <c r="B20" s="309" t="s">
        <v>54</v>
      </c>
      <c r="C20" s="309">
        <v>302</v>
      </c>
      <c r="D20" s="299">
        <f t="shared" si="1"/>
        <v>25.86499999999986</v>
      </c>
      <c r="E20" s="299">
        <f>'STOK DETAY'!BG6</f>
        <v>-2.9309887850104133E-13</v>
      </c>
      <c r="F20" s="299">
        <f>'STOK DETAY'!BH6</f>
        <v>1.0302869668521453E-13</v>
      </c>
      <c r="G20" s="299">
        <f>'STOK DETAY'!BI6</f>
        <v>25.865000000000052</v>
      </c>
      <c r="H20" s="299">
        <f>'STOK DETAY'!BJ6</f>
        <v>0</v>
      </c>
      <c r="I20" s="299">
        <f>'STOK DETAY'!BK6</f>
        <v>0</v>
      </c>
      <c r="J20" s="299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300">
        <v>0.75</v>
      </c>
      <c r="B21" s="309" t="s">
        <v>54</v>
      </c>
      <c r="C21" s="309">
        <v>302</v>
      </c>
      <c r="D21" s="299">
        <f t="shared" si="1"/>
        <v>25.700000000000479</v>
      </c>
      <c r="E21" s="299">
        <f>'STOK DETAY'!BM6</f>
        <v>2.5224267119483557E-13</v>
      </c>
      <c r="F21" s="299">
        <f>'STOK DETAY'!BN6</f>
        <v>3.694822225952521E-13</v>
      </c>
      <c r="G21" s="299">
        <f>'STOK DETAY'!BO6</f>
        <v>25.699999999999875</v>
      </c>
      <c r="H21" s="299">
        <f>'STOK DETAY'!BP6</f>
        <v>7.1054273576010019E-15</v>
      </c>
      <c r="I21" s="299">
        <f>'STOK DETAY'!BQ6</f>
        <v>0</v>
      </c>
      <c r="J21" s="299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300">
        <v>0.8</v>
      </c>
      <c r="B22" s="309" t="s">
        <v>54</v>
      </c>
      <c r="C22" s="309">
        <v>303</v>
      </c>
      <c r="D22" s="299">
        <f t="shared" si="1"/>
        <v>34.134999999999806</v>
      </c>
      <c r="E22" s="299">
        <f>'STOK DETAY'!BS6</f>
        <v>1.9184653865522705E-13</v>
      </c>
      <c r="F22" s="299">
        <f>'STOK DETAY'!BT6</f>
        <v>1.021405182655144E-13</v>
      </c>
      <c r="G22" s="299">
        <f>'STOK DETAY'!BU6</f>
        <v>34.134999999999501</v>
      </c>
      <c r="H22" s="299">
        <f>'STOK DETAY'!BV6</f>
        <v>0</v>
      </c>
      <c r="I22" s="299">
        <f>'STOK DETAY'!BW6</f>
        <v>0</v>
      </c>
      <c r="J22" s="299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300">
        <v>0.85</v>
      </c>
      <c r="B23" s="309" t="s">
        <v>54</v>
      </c>
      <c r="C23" s="309">
        <v>303</v>
      </c>
      <c r="D23" s="299">
        <f t="shared" si="1"/>
        <v>26.145000000000579</v>
      </c>
      <c r="E23" s="299">
        <f>'STOK DETAY'!BY6</f>
        <v>3.3217872896784684E-13</v>
      </c>
      <c r="F23" s="299">
        <f>'STOK DETAY'!BZ6</f>
        <v>6.3948846218409017E-14</v>
      </c>
      <c r="G23" s="299">
        <f>'STOK DETAY'!CA6</f>
        <v>9.5650000000001807</v>
      </c>
      <c r="H23" s="299">
        <f>'STOK DETAY'!CB6</f>
        <v>0</v>
      </c>
      <c r="I23" s="299">
        <f>'STOK DETAY'!CC6</f>
        <v>0</v>
      </c>
      <c r="J23" s="299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300">
        <v>0.9</v>
      </c>
      <c r="B24" s="309" t="s">
        <v>54</v>
      </c>
      <c r="C24" s="309">
        <v>401</v>
      </c>
      <c r="D24" s="299">
        <f t="shared" si="1"/>
        <v>-1.5631940186722204E-13</v>
      </c>
      <c r="E24" s="299">
        <f>'STOK DETAY'!CE6</f>
        <v>-2.1316282072803006E-14</v>
      </c>
      <c r="F24" s="299">
        <f>'STOK DETAY'!CF6</f>
        <v>0</v>
      </c>
      <c r="G24" s="299">
        <f>'STOK DETAY'!CG6</f>
        <v>-1.3500311979441904E-13</v>
      </c>
      <c r="H24" s="299">
        <f>'STOK DETAY'!CH6</f>
        <v>0</v>
      </c>
      <c r="I24" s="299">
        <f>'STOK DETAY'!CI6</f>
        <v>0</v>
      </c>
      <c r="J24" s="299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300">
        <v>0.95</v>
      </c>
      <c r="B25" s="309" t="s">
        <v>54</v>
      </c>
      <c r="C25" s="309">
        <v>401</v>
      </c>
      <c r="D25" s="299">
        <f t="shared" si="1"/>
        <v>33.569999999999595</v>
      </c>
      <c r="E25" s="299">
        <f>'STOK DETAY'!CK6</f>
        <v>-1.3145040611561853E-13</v>
      </c>
      <c r="F25" s="299">
        <f>'STOK DETAY'!CL6</f>
        <v>-2.7888802378583932E-13</v>
      </c>
      <c r="G25" s="299">
        <f>'STOK DETAY'!CM6</f>
        <v>33.569999999999993</v>
      </c>
      <c r="H25" s="299">
        <f>'STOK DETAY'!CN6</f>
        <v>1.1546319456101628E-14</v>
      </c>
      <c r="I25" s="299">
        <f>'STOK DETAY'!CO6</f>
        <v>0</v>
      </c>
      <c r="J25" s="299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300">
        <v>1</v>
      </c>
      <c r="B26" s="309" t="s">
        <v>54</v>
      </c>
      <c r="C26" s="309">
        <v>402</v>
      </c>
      <c r="D26" s="299">
        <f t="shared" si="1"/>
        <v>129.74000000000009</v>
      </c>
      <c r="E26" s="299">
        <f>'STOK DETAY'!CQ6</f>
        <v>-4.2632564145606011E-14</v>
      </c>
      <c r="F26" s="299">
        <f>'STOK DETAY'!CR6</f>
        <v>-1.4210854715202004E-14</v>
      </c>
      <c r="G26" s="299">
        <f>'STOK DETAY'!CS6</f>
        <v>129.74000000000012</v>
      </c>
      <c r="H26" s="299">
        <f>'STOK DETAY'!CT6</f>
        <v>1.5987211554602254E-14</v>
      </c>
      <c r="I26" s="299">
        <f>'STOK DETAY'!CU6</f>
        <v>0</v>
      </c>
      <c r="J26" s="299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300">
        <v>1.05</v>
      </c>
      <c r="B27" s="309" t="s">
        <v>54</v>
      </c>
      <c r="C27" s="309">
        <v>402</v>
      </c>
      <c r="D27" s="299">
        <f t="shared" si="1"/>
        <v>17.600000000000605</v>
      </c>
      <c r="E27" s="299">
        <f>'STOK DETAY'!CW6</f>
        <v>0</v>
      </c>
      <c r="F27" s="299">
        <f>'STOK DETAY'!CX6</f>
        <v>9.0594198809412774E-14</v>
      </c>
      <c r="G27" s="299">
        <f>'STOK DETAY'!CY6</f>
        <v>17.600000000000502</v>
      </c>
      <c r="H27" s="299">
        <f>'STOK DETAY'!CZ6</f>
        <v>-3.5527136788005009E-15</v>
      </c>
      <c r="I27" s="299">
        <f>'STOK DETAY'!DA6</f>
        <v>1.7763568394002505E-14</v>
      </c>
      <c r="J27" s="299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300">
        <v>1.1000000000000001</v>
      </c>
      <c r="B28" s="309" t="s">
        <v>54</v>
      </c>
      <c r="C28" s="309">
        <v>403</v>
      </c>
      <c r="D28" s="299">
        <f t="shared" si="1"/>
        <v>130.63499999999971</v>
      </c>
      <c r="E28" s="299">
        <f>'STOK DETAY'!DC6</f>
        <v>-3.1974423109204508E-13</v>
      </c>
      <c r="F28" s="299">
        <f>'STOK DETAY'!DD6</f>
        <v>1.5099033134902129E-14</v>
      </c>
      <c r="G28" s="299">
        <f>'STOK DETAY'!DE6</f>
        <v>130.63500000000002</v>
      </c>
      <c r="H28" s="299">
        <f>'STOK DETAY'!DF6</f>
        <v>0</v>
      </c>
      <c r="I28" s="299">
        <f>'STOK DETAY'!DG6</f>
        <v>0</v>
      </c>
      <c r="J28" s="299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300">
        <v>1.1499999999999999</v>
      </c>
      <c r="B29" s="309" t="s">
        <v>54</v>
      </c>
      <c r="C29" s="309">
        <v>403</v>
      </c>
      <c r="D29" s="299">
        <f t="shared" si="1"/>
        <v>128.38999999999933</v>
      </c>
      <c r="E29" s="299">
        <f>'STOK DETAY'!DI6</f>
        <v>-5.2935433814127464E-13</v>
      </c>
      <c r="F29" s="299">
        <f>'STOK DETAY'!DJ6</f>
        <v>-9.2370555648813024E-14</v>
      </c>
      <c r="G29" s="299">
        <f>'STOK DETAY'!DK6</f>
        <v>94.939999999999955</v>
      </c>
      <c r="H29" s="299">
        <f>'STOK DETAY'!DL6</f>
        <v>1.7763568394002505E-14</v>
      </c>
      <c r="I29" s="299">
        <f>'STOK DETAY'!DM6</f>
        <v>33.449999999999989</v>
      </c>
      <c r="J29" s="299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300">
        <v>1.2</v>
      </c>
      <c r="B30" s="309" t="s">
        <v>54</v>
      </c>
      <c r="C30" s="309">
        <v>501</v>
      </c>
      <c r="D30" s="299">
        <f t="shared" si="1"/>
        <v>8.8050000000001383</v>
      </c>
      <c r="E30" s="299">
        <f>'STOK DETAY'!DN6</f>
        <v>1.9895196601282805E-13</v>
      </c>
      <c r="F30" s="299">
        <f>'STOK DETAY'!DO6</f>
        <v>-1.4654943925052066E-13</v>
      </c>
      <c r="G30" s="299">
        <f>'STOK DETAY'!DP6</f>
        <v>8.805000000000085</v>
      </c>
      <c r="H30" s="299">
        <f>'STOK DETAY'!DQ6</f>
        <v>0</v>
      </c>
      <c r="I30" s="299">
        <f>'STOK DETAY'!DR6</f>
        <v>0</v>
      </c>
      <c r="J30" s="299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300">
        <v>1.25</v>
      </c>
      <c r="B31" s="309" t="s">
        <v>54</v>
      </c>
      <c r="C31" s="309">
        <v>501</v>
      </c>
      <c r="D31" s="299">
        <f t="shared" si="1"/>
        <v>1.1723955140041653E-13</v>
      </c>
      <c r="E31" s="299">
        <f>'STOK DETAY'!DS6</f>
        <v>0</v>
      </c>
      <c r="F31" s="299">
        <f>'STOK DETAY'!DT6</f>
        <v>-2.4868995751603507E-14</v>
      </c>
      <c r="G31" s="299">
        <f>'STOK DETAY'!DU6</f>
        <v>1.4210854715202004E-13</v>
      </c>
      <c r="H31" s="299">
        <f>'STOK DETAY'!DV6</f>
        <v>0</v>
      </c>
      <c r="I31" s="299">
        <f>'STOK DETAY'!DW6</f>
        <v>0</v>
      </c>
      <c r="J31" s="299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300">
        <v>1.3</v>
      </c>
      <c r="B32" s="309" t="s">
        <v>54</v>
      </c>
      <c r="C32" s="309">
        <v>502</v>
      </c>
      <c r="D32" s="299">
        <f t="shared" si="1"/>
        <v>75.89999999999975</v>
      </c>
      <c r="E32" s="299">
        <f>'STOK DETAY'!DY6</f>
        <v>-2.2559731860383181E-13</v>
      </c>
      <c r="F32" s="299">
        <f>'STOK DETAY'!DZ6</f>
        <v>-3.730349362740526E-13</v>
      </c>
      <c r="G32" s="299">
        <f>'STOK DETAY'!EA6</f>
        <v>75.900000000000347</v>
      </c>
      <c r="H32" s="299">
        <f>'STOK DETAY'!EB6</f>
        <v>0</v>
      </c>
      <c r="I32" s="299">
        <f>'STOK DETAY'!EC6</f>
        <v>0</v>
      </c>
      <c r="J32" s="299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300">
        <v>1.35</v>
      </c>
      <c r="B33" s="309" t="s">
        <v>54</v>
      </c>
      <c r="C33" s="309">
        <v>502</v>
      </c>
      <c r="D33" s="299">
        <f t="shared" si="1"/>
        <v>278.72999999999985</v>
      </c>
      <c r="E33" s="299">
        <f>'STOK DETAY'!EE6</f>
        <v>0</v>
      </c>
      <c r="F33" s="299">
        <f>'STOK DETAY'!EF6</f>
        <v>-8.1712414612411521E-14</v>
      </c>
      <c r="G33" s="299">
        <f>'STOK DETAY'!EG6</f>
        <v>268.53999999999991</v>
      </c>
      <c r="H33" s="299">
        <f>'STOK DETAY'!EH6</f>
        <v>1.75</v>
      </c>
      <c r="I33" s="299">
        <f>'STOK DETAY'!EI6</f>
        <v>8.4399999999999853</v>
      </c>
      <c r="J33" s="299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300">
        <v>1.4</v>
      </c>
      <c r="B34" s="309" t="s">
        <v>54</v>
      </c>
      <c r="C34" s="309">
        <v>503</v>
      </c>
      <c r="D34" s="299">
        <f t="shared" si="1"/>
        <v>68.799999999999713</v>
      </c>
      <c r="E34" s="299">
        <f>'STOK DETAY'!EJ6</f>
        <v>-2.7000623958883807E-13</v>
      </c>
      <c r="F34" s="299">
        <f>'STOK DETAY'!EK6</f>
        <v>0</v>
      </c>
      <c r="G34" s="299">
        <f>'STOK DETAY'!EL6</f>
        <v>0</v>
      </c>
      <c r="H34" s="299"/>
      <c r="I34" s="299">
        <f>'STOK DETAY'!EM6</f>
        <v>68.799999999999983</v>
      </c>
      <c r="J34" s="299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300">
        <v>1.45</v>
      </c>
      <c r="B35" s="309" t="s">
        <v>54</v>
      </c>
      <c r="C35" s="309">
        <v>503</v>
      </c>
      <c r="D35" s="299">
        <f t="shared" si="1"/>
        <v>16.170000000000076</v>
      </c>
      <c r="E35" s="299">
        <f>'STOK DETAY'!EN6</f>
        <v>-7.460698725481052E-14</v>
      </c>
      <c r="F35" s="299">
        <f>'STOK DETAY'!EO6</f>
        <v>1.4210854715202004E-14</v>
      </c>
      <c r="G35" s="299">
        <f>'STOK DETAY'!EP6</f>
        <v>16.17000000000008</v>
      </c>
      <c r="H35" s="299"/>
      <c r="I35" s="299">
        <f>'STOK DETAY'!EQ6</f>
        <v>5.6843418860808015E-14</v>
      </c>
      <c r="J35" s="299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300">
        <v>1.5</v>
      </c>
      <c r="B36" s="309" t="s">
        <v>54</v>
      </c>
      <c r="C36" s="309"/>
      <c r="D36" s="299">
        <f t="shared" si="1"/>
        <v>-4.0856207306205761E-14</v>
      </c>
      <c r="E36" s="299">
        <f>'STOK DETAY'!ER6</f>
        <v>0</v>
      </c>
      <c r="F36" s="299">
        <f>'STOK DETAY'!ES6</f>
        <v>0</v>
      </c>
      <c r="G36" s="299">
        <f>'STOK DETAY'!ET6</f>
        <v>-5.3290705182007514E-14</v>
      </c>
      <c r="H36" s="299"/>
      <c r="I36" s="299">
        <f>'STOK DETAY'!EU6</f>
        <v>1.2434497875801753E-14</v>
      </c>
      <c r="J36" s="299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300">
        <v>1.55</v>
      </c>
      <c r="B37" s="309" t="s">
        <v>54</v>
      </c>
      <c r="C37" s="309">
        <v>211</v>
      </c>
      <c r="D37" s="299">
        <f t="shared" si="1"/>
        <v>27.65</v>
      </c>
      <c r="E37" s="299"/>
      <c r="F37" s="299"/>
      <c r="G37" s="299"/>
      <c r="H37" s="299"/>
      <c r="I37" s="299">
        <f>'STOK DETAY'!EV6</f>
        <v>27.65</v>
      </c>
      <c r="J37" s="299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300">
        <v>1.6</v>
      </c>
      <c r="B38" s="309" t="s">
        <v>54</v>
      </c>
      <c r="C38" s="309"/>
      <c r="D38" s="299">
        <f t="shared" si="1"/>
        <v>-9.2370555648813024E-14</v>
      </c>
      <c r="E38" s="299"/>
      <c r="F38" s="299">
        <f>'STOK DETAY'!EW6</f>
        <v>-9.2370555648813024E-14</v>
      </c>
      <c r="G38" s="299"/>
      <c r="H38" s="299"/>
      <c r="I38" s="299"/>
      <c r="J38" s="299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300">
        <v>1.7</v>
      </c>
      <c r="B39" s="309" t="s">
        <v>54</v>
      </c>
      <c r="C39" s="309"/>
      <c r="D39" s="299">
        <f t="shared" si="1"/>
        <v>1.7053025658242404E-13</v>
      </c>
      <c r="E39" s="299"/>
      <c r="F39" s="299">
        <f>'STOK DETAY'!EY6</f>
        <v>1.7053025658242404E-13</v>
      </c>
      <c r="G39" s="299">
        <f>'STOK DETAY'!EZ6</f>
        <v>0</v>
      </c>
      <c r="H39" s="299"/>
      <c r="I39" s="299"/>
      <c r="J39" s="299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300">
        <v>1.8</v>
      </c>
      <c r="B40" s="309" t="s">
        <v>54</v>
      </c>
      <c r="C40" s="309"/>
      <c r="D40" s="299">
        <f t="shared" si="1"/>
        <v>4.2632564145606011E-14</v>
      </c>
      <c r="E40" s="299">
        <f>'STOK DETAY'!FA6</f>
        <v>-1.4210854715202004E-14</v>
      </c>
      <c r="F40" s="299">
        <f>'STOK DETAY'!FB6</f>
        <v>0</v>
      </c>
      <c r="G40" s="299">
        <f>'STOK DETAY'!FC6</f>
        <v>5.6843418860808015E-14</v>
      </c>
      <c r="H40" s="299"/>
      <c r="I40" s="299">
        <f>'STOK DETAY'!FD6</f>
        <v>0</v>
      </c>
      <c r="J40" s="299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300">
        <v>1.85</v>
      </c>
      <c r="B41" s="309" t="s">
        <v>54</v>
      </c>
      <c r="C41" s="309"/>
      <c r="D41" s="299">
        <f t="shared" si="1"/>
        <v>28</v>
      </c>
      <c r="E41" s="299"/>
      <c r="F41" s="299"/>
      <c r="G41" s="299"/>
      <c r="H41" s="299"/>
      <c r="I41" s="299">
        <f>'STOK DETAY'!FE6</f>
        <v>28</v>
      </c>
      <c r="J41" s="299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300">
        <v>1.9</v>
      </c>
      <c r="B42" s="309" t="s">
        <v>54</v>
      </c>
      <c r="C42" s="309"/>
      <c r="D42" s="299">
        <f t="shared" si="1"/>
        <v>103.66500000000003</v>
      </c>
      <c r="E42" s="299"/>
      <c r="F42" s="299">
        <f>'STOK DETAY'!FF6</f>
        <v>0</v>
      </c>
      <c r="G42" s="299">
        <f>'STOK DETAY'!FG6</f>
        <v>103.66500000000003</v>
      </c>
      <c r="H42" s="299"/>
      <c r="I42" s="299">
        <f>'STOK DETAY'!FH6</f>
        <v>0</v>
      </c>
      <c r="J42" s="299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300">
        <v>2</v>
      </c>
      <c r="B43" s="309" t="s">
        <v>54</v>
      </c>
      <c r="C43" s="309"/>
      <c r="D43" s="299">
        <f t="shared" si="1"/>
        <v>0</v>
      </c>
      <c r="E43" s="299"/>
      <c r="F43" s="299">
        <f>'STOK DETAY'!FJ6</f>
        <v>0</v>
      </c>
      <c r="G43" s="299">
        <f>'STOK DETAY'!FK6</f>
        <v>0</v>
      </c>
      <c r="H43" s="299"/>
      <c r="I43" s="299">
        <f>'STOK DETAY'!FL6</f>
        <v>0</v>
      </c>
      <c r="J43" s="299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300">
        <v>2.2000000000000002</v>
      </c>
      <c r="B44" s="309" t="s">
        <v>54</v>
      </c>
      <c r="C44" s="309"/>
      <c r="D44" s="299">
        <f t="shared" si="1"/>
        <v>45.849999999999994</v>
      </c>
      <c r="E44" s="299">
        <f>'STOK DETAY'!FM6</f>
        <v>0</v>
      </c>
      <c r="F44" s="299"/>
      <c r="G44" s="299"/>
      <c r="H44" s="299"/>
      <c r="I44" s="299">
        <f>'STOK DETAY'!FN6</f>
        <v>45.849999999999994</v>
      </c>
      <c r="J44" s="299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300">
        <v>2.2999999999999998</v>
      </c>
      <c r="B45" s="309" t="s">
        <v>54</v>
      </c>
      <c r="C45" s="309"/>
      <c r="D45" s="299">
        <f t="shared" si="1"/>
        <v>0</v>
      </c>
      <c r="E45" s="299"/>
      <c r="F45" s="299"/>
      <c r="G45" s="299"/>
      <c r="H45" s="299"/>
      <c r="I45" s="299">
        <f>'STOK DETAY'!FO6</f>
        <v>0</v>
      </c>
      <c r="J45" s="299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300">
        <v>2.4</v>
      </c>
      <c r="B46" s="309" t="s">
        <v>54</v>
      </c>
      <c r="C46" s="309"/>
      <c r="D46" s="299">
        <f t="shared" si="1"/>
        <v>0</v>
      </c>
      <c r="E46" s="299"/>
      <c r="F46" s="299"/>
      <c r="G46" s="299"/>
      <c r="H46" s="299"/>
      <c r="I46" s="299">
        <f>'STOK DETAY'!FP6</f>
        <v>0</v>
      </c>
      <c r="J46" s="299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300">
        <v>2.5</v>
      </c>
      <c r="B47" s="309" t="s">
        <v>54</v>
      </c>
      <c r="C47" s="309"/>
      <c r="D47" s="299">
        <f t="shared" si="1"/>
        <v>0</v>
      </c>
      <c r="E47" s="299">
        <f>'STOK DETAY'!FQ6</f>
        <v>0</v>
      </c>
      <c r="F47" s="299">
        <f>'STOK DETAY'!FR6</f>
        <v>0</v>
      </c>
      <c r="G47" s="299">
        <f>'STOK DETAY'!FS6</f>
        <v>0</v>
      </c>
      <c r="H47" s="299"/>
      <c r="I47" s="299"/>
      <c r="J47" s="299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300">
        <v>2.6</v>
      </c>
      <c r="B48" s="309" t="s">
        <v>54</v>
      </c>
      <c r="C48" s="309"/>
      <c r="D48" s="299">
        <f t="shared" si="1"/>
        <v>45.400000000000006</v>
      </c>
      <c r="E48" s="299"/>
      <c r="F48" s="299">
        <f>'STOK DETAY'!FU6</f>
        <v>0</v>
      </c>
      <c r="G48" s="299">
        <f>'STOK DETAY'!FV6</f>
        <v>0</v>
      </c>
      <c r="H48" s="299"/>
      <c r="I48" s="299">
        <f>'STOK DETAY'!FW6</f>
        <v>45.400000000000006</v>
      </c>
      <c r="J48" s="299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300">
        <v>2.7</v>
      </c>
      <c r="B49" s="309" t="s">
        <v>54</v>
      </c>
      <c r="C49" s="309">
        <v>113</v>
      </c>
      <c r="D49" s="299">
        <f t="shared" si="1"/>
        <v>9.2000000000000313</v>
      </c>
      <c r="E49" s="299">
        <f>'STOK DETAY'!FX6</f>
        <v>9.2000000000000313</v>
      </c>
      <c r="F49" s="299"/>
      <c r="G49" s="299"/>
      <c r="H49" s="299"/>
      <c r="I49" s="299">
        <f>'STOK DETAY'!FY6</f>
        <v>0</v>
      </c>
      <c r="J49" s="299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300">
        <v>3</v>
      </c>
      <c r="B50" s="309" t="s">
        <v>54</v>
      </c>
      <c r="C50" s="309"/>
      <c r="D50" s="299">
        <f t="shared" si="1"/>
        <v>89.449999999999989</v>
      </c>
      <c r="E50" s="299"/>
      <c r="F50" s="299">
        <f>'STOK DETAY'!GA6</f>
        <v>-3.5527136788005009E-14</v>
      </c>
      <c r="G50" s="299">
        <f>'STOK DETAY'!GB6</f>
        <v>0</v>
      </c>
      <c r="H50" s="299"/>
      <c r="I50" s="299">
        <f>'STOK DETAY'!GC6</f>
        <v>89.450000000000017</v>
      </c>
      <c r="J50" s="299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300">
        <v>3.2</v>
      </c>
      <c r="B51" s="309" t="s">
        <v>54</v>
      </c>
      <c r="C51" s="309">
        <v>211</v>
      </c>
      <c r="D51" s="299">
        <f t="shared" si="1"/>
        <v>21.45</v>
      </c>
      <c r="E51" s="299"/>
      <c r="F51" s="299">
        <f>'STOK DETAY'!GE6</f>
        <v>0</v>
      </c>
      <c r="G51" s="299"/>
      <c r="H51" s="299"/>
      <c r="I51" s="299">
        <f>'STOK DETAY'!GF6</f>
        <v>21.45</v>
      </c>
      <c r="J51" s="299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300">
        <v>3.5</v>
      </c>
      <c r="B52" s="309" t="s">
        <v>54</v>
      </c>
      <c r="C52" s="309"/>
      <c r="D52" s="299">
        <f t="shared" si="1"/>
        <v>0</v>
      </c>
      <c r="E52" s="299"/>
      <c r="F52" s="299"/>
      <c r="G52" s="299"/>
      <c r="H52" s="299"/>
      <c r="I52" s="299">
        <f>'STOK DETAY'!GG6</f>
        <v>0</v>
      </c>
      <c r="J52" s="299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300">
        <v>4</v>
      </c>
      <c r="B53" s="309" t="s">
        <v>54</v>
      </c>
      <c r="C53" s="333"/>
      <c r="D53" s="299">
        <f t="shared" si="1"/>
        <v>0</v>
      </c>
      <c r="E53" s="299"/>
      <c r="F53" s="299"/>
      <c r="G53" s="299"/>
      <c r="H53" s="299"/>
      <c r="I53" s="299">
        <f>'STOK DETAY'!GI6</f>
        <v>0</v>
      </c>
      <c r="J53" s="299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309">
        <v>0.08</v>
      </c>
      <c r="B54" s="309" t="s">
        <v>29</v>
      </c>
      <c r="C54" s="333">
        <v>611</v>
      </c>
      <c r="D54" s="299">
        <f t="shared" ref="D54:D83" si="2">SUM(E54:J54)</f>
        <v>76.703000000000003</v>
      </c>
      <c r="E54" s="299">
        <f>'STOK DETAY'!GJ6</f>
        <v>0</v>
      </c>
      <c r="F54" s="299"/>
      <c r="G54" s="299">
        <f>'STOK DETAY'!GK6</f>
        <v>76.703000000000003</v>
      </c>
      <c r="H54" s="299"/>
      <c r="I54" s="299"/>
      <c r="J54" s="299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300">
        <v>0.1</v>
      </c>
      <c r="B55" s="300" t="s">
        <v>29</v>
      </c>
      <c r="C55" s="333"/>
      <c r="D55" s="299">
        <f t="shared" si="2"/>
        <v>0</v>
      </c>
      <c r="E55" s="299">
        <f>'STOK DETAY'!GL6</f>
        <v>0</v>
      </c>
      <c r="F55" s="299"/>
      <c r="G55" s="299">
        <f>'STOK DETAY'!GM6</f>
        <v>0</v>
      </c>
      <c r="H55" s="299"/>
      <c r="I55" s="299"/>
      <c r="J55" s="299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300">
        <v>0.12</v>
      </c>
      <c r="B56" s="300" t="s">
        <v>29</v>
      </c>
      <c r="C56" s="333">
        <v>601</v>
      </c>
      <c r="D56" s="299">
        <f t="shared" si="2"/>
        <v>-1.1368683772161603E-13</v>
      </c>
      <c r="E56" s="299"/>
      <c r="F56" s="299"/>
      <c r="G56" s="299">
        <f>'STOK DETAY'!GO6</f>
        <v>-1.1368683772161603E-13</v>
      </c>
      <c r="H56" s="299"/>
      <c r="I56" s="299"/>
      <c r="J56" s="299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300">
        <v>0.14000000000000001</v>
      </c>
      <c r="B57" s="309" t="s">
        <v>29</v>
      </c>
      <c r="C57" s="333"/>
      <c r="D57" s="299">
        <f t="shared" si="2"/>
        <v>1.7053025658242404E-13</v>
      </c>
      <c r="E57" s="299">
        <f>'STOK DETAY'!GP6</f>
        <v>0</v>
      </c>
      <c r="F57" s="299"/>
      <c r="G57" s="299">
        <f>'STOK DETAY'!GQ6</f>
        <v>1.7053025658242404E-13</v>
      </c>
      <c r="H57" s="299"/>
      <c r="I57" s="299"/>
      <c r="J57" s="299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300">
        <v>0.15</v>
      </c>
      <c r="B58" s="309" t="s">
        <v>29</v>
      </c>
      <c r="C58" s="333"/>
      <c r="D58" s="299">
        <f t="shared" si="2"/>
        <v>0</v>
      </c>
      <c r="E58" s="299">
        <f>'STOK DETAY'!GR6</f>
        <v>0</v>
      </c>
      <c r="F58" s="299"/>
      <c r="G58" s="299">
        <f>'STOK DETAY'!GS6</f>
        <v>0</v>
      </c>
      <c r="H58" s="299"/>
      <c r="I58" s="299"/>
      <c r="J58" s="299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300">
        <v>0.17</v>
      </c>
      <c r="B59" s="309" t="s">
        <v>29</v>
      </c>
      <c r="C59" s="333"/>
      <c r="D59" s="299">
        <f t="shared" si="2"/>
        <v>0</v>
      </c>
      <c r="E59" s="299"/>
      <c r="F59" s="299"/>
      <c r="G59" s="299">
        <f>'STOK DETAY'!GU6</f>
        <v>0</v>
      </c>
      <c r="H59" s="299"/>
      <c r="I59" s="299"/>
      <c r="J59" s="299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300">
        <v>0.18</v>
      </c>
      <c r="B60" s="309" t="s">
        <v>29</v>
      </c>
      <c r="C60" s="333"/>
      <c r="D60" s="299">
        <f t="shared" si="2"/>
        <v>-1.5987211554602254E-14</v>
      </c>
      <c r="E60" s="299">
        <f>'STOK DETAY'!GV6</f>
        <v>0</v>
      </c>
      <c r="F60" s="299"/>
      <c r="G60" s="299">
        <f>'STOK DETAY'!GW6</f>
        <v>-1.5987211554602254E-14</v>
      </c>
      <c r="H60" s="299"/>
      <c r="I60" s="299"/>
      <c r="J60" s="299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300">
        <v>0.19</v>
      </c>
      <c r="B61" s="309" t="s">
        <v>29</v>
      </c>
      <c r="C61" s="333"/>
      <c r="D61" s="299">
        <f t="shared" si="2"/>
        <v>0</v>
      </c>
      <c r="E61" s="299"/>
      <c r="F61" s="299"/>
      <c r="G61" s="299">
        <f>'STOK DETAY'!GX6</f>
        <v>0</v>
      </c>
      <c r="H61" s="299"/>
      <c r="I61" s="299"/>
      <c r="J61" s="299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300">
        <v>0.2</v>
      </c>
      <c r="B62" s="309" t="s">
        <v>29</v>
      </c>
      <c r="C62" s="333"/>
      <c r="D62" s="299">
        <f t="shared" si="2"/>
        <v>4.9737991503207013E-14</v>
      </c>
      <c r="E62" s="299">
        <f>'STOK DETAY'!GY6</f>
        <v>8.8817841970012523E-14</v>
      </c>
      <c r="F62" s="299"/>
      <c r="G62" s="299">
        <f>'STOK DETAY'!GZ6</f>
        <v>-3.907985046680551E-14</v>
      </c>
      <c r="H62" s="299"/>
      <c r="I62" s="299"/>
      <c r="J62" s="299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300">
        <v>0.22</v>
      </c>
      <c r="B63" s="309" t="s">
        <v>29</v>
      </c>
      <c r="C63" s="333"/>
      <c r="D63" s="299">
        <f t="shared" si="2"/>
        <v>0</v>
      </c>
      <c r="E63" s="299">
        <f>'STOK DETAY'!HB6</f>
        <v>0</v>
      </c>
      <c r="F63" s="299"/>
      <c r="G63" s="299"/>
      <c r="H63" s="299"/>
      <c r="I63" s="299"/>
      <c r="J63" s="299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300">
        <v>0.25</v>
      </c>
      <c r="B64" s="309" t="s">
        <v>29</v>
      </c>
      <c r="C64" s="333"/>
      <c r="D64" s="299">
        <f t="shared" si="2"/>
        <v>1.3500311979441904E-13</v>
      </c>
      <c r="E64" s="299">
        <f>'STOK DETAY'!HC6</f>
        <v>1.3500311979441904E-13</v>
      </c>
      <c r="F64" s="299"/>
      <c r="G64" s="299">
        <f>'STOK DETAY'!HD6</f>
        <v>0</v>
      </c>
      <c r="H64" s="299"/>
      <c r="I64" s="299"/>
      <c r="J64" s="299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300">
        <v>0.28000000000000003</v>
      </c>
      <c r="B65" s="309" t="s">
        <v>29</v>
      </c>
      <c r="C65" s="333"/>
      <c r="D65" s="299">
        <f t="shared" si="2"/>
        <v>67.030000000000058</v>
      </c>
      <c r="E65" s="299">
        <f>'STOK DETAY'!HE6</f>
        <v>0</v>
      </c>
      <c r="F65" s="299"/>
      <c r="G65" s="299">
        <f>'STOK DETAY'!HF6</f>
        <v>67.030000000000058</v>
      </c>
      <c r="H65" s="299"/>
      <c r="I65" s="299"/>
      <c r="J65" s="299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300">
        <v>0.3</v>
      </c>
      <c r="B66" s="309" t="s">
        <v>29</v>
      </c>
      <c r="C66" s="333"/>
      <c r="D66" s="299">
        <f t="shared" si="2"/>
        <v>13.319999999999951</v>
      </c>
      <c r="E66" s="299">
        <f>'STOK DETAY'!HG6</f>
        <v>-1.5987211554602254E-14</v>
      </c>
      <c r="F66" s="299"/>
      <c r="G66" s="299">
        <f>'STOK DETAY'!HH6</f>
        <v>-3.3750779948604759E-14</v>
      </c>
      <c r="H66" s="299"/>
      <c r="I66" s="299"/>
      <c r="J66" s="299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300">
        <v>0.32</v>
      </c>
      <c r="B67" s="309" t="s">
        <v>29</v>
      </c>
      <c r="C67" s="333">
        <v>613</v>
      </c>
      <c r="D67" s="299">
        <f t="shared" si="2"/>
        <v>8.9849999999998857</v>
      </c>
      <c r="E67" s="299"/>
      <c r="F67" s="299"/>
      <c r="G67" s="299">
        <f>'STOK DETAY'!HJ6</f>
        <v>8.9849999999998857</v>
      </c>
      <c r="H67" s="299"/>
      <c r="I67" s="299"/>
      <c r="J67" s="299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300">
        <v>0.33</v>
      </c>
      <c r="B68" s="309" t="s">
        <v>29</v>
      </c>
      <c r="C68" s="333"/>
      <c r="D68" s="299">
        <f t="shared" si="2"/>
        <v>-5.1159076974727213E-13</v>
      </c>
      <c r="E68" s="299">
        <f>'STOK DETAY'!HK6</f>
        <v>-5.1159076974727213E-13</v>
      </c>
      <c r="F68" s="299"/>
      <c r="G68" s="299"/>
      <c r="H68" s="299"/>
      <c r="I68" s="299"/>
      <c r="J68" s="299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300">
        <v>0.35</v>
      </c>
      <c r="B69" s="309" t="s">
        <v>29</v>
      </c>
      <c r="C69" s="333"/>
      <c r="D69" s="299">
        <f t="shared" si="2"/>
        <v>1.6830981053317373E-13</v>
      </c>
      <c r="E69" s="299">
        <f>'STOK DETAY'!HL6</f>
        <v>1.971756091734278E-13</v>
      </c>
      <c r="F69" s="299"/>
      <c r="G69" s="299">
        <f>'STOK DETAY'!HM6</f>
        <v>-2.886579864025407E-14</v>
      </c>
      <c r="H69" s="299"/>
      <c r="I69" s="299"/>
      <c r="J69" s="299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300">
        <v>0.38</v>
      </c>
      <c r="B70" s="309" t="s">
        <v>29</v>
      </c>
      <c r="C70" s="333">
        <v>612</v>
      </c>
      <c r="D70" s="299">
        <f t="shared" si="2"/>
        <v>51.429999999999978</v>
      </c>
      <c r="E70" s="299">
        <f>'STOK DETAY'!HO6</f>
        <v>0</v>
      </c>
      <c r="F70" s="299"/>
      <c r="G70" s="299">
        <f>'STOK DETAY'!HP6</f>
        <v>51.429999999999978</v>
      </c>
      <c r="H70" s="299"/>
      <c r="I70" s="299"/>
      <c r="J70" s="299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300">
        <v>0.4</v>
      </c>
      <c r="B71" s="309" t="s">
        <v>29</v>
      </c>
      <c r="C71" s="333"/>
      <c r="D71" s="299">
        <f t="shared" si="2"/>
        <v>2.7977620220553945E-14</v>
      </c>
      <c r="E71" s="299">
        <f>'STOK DETAY'!HQ6</f>
        <v>0</v>
      </c>
      <c r="F71" s="299"/>
      <c r="G71" s="299">
        <f>'STOK DETAY'!HR6</f>
        <v>2.7977620220553945E-14</v>
      </c>
      <c r="H71" s="299"/>
      <c r="I71" s="299"/>
      <c r="J71" s="299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300">
        <v>0.45</v>
      </c>
      <c r="B72" s="309" t="s">
        <v>29</v>
      </c>
      <c r="C72" s="333">
        <v>213</v>
      </c>
      <c r="D72" s="299">
        <f t="shared" si="2"/>
        <v>93.389999999999816</v>
      </c>
      <c r="E72" s="299">
        <f>'STOK DETAY'!HS6</f>
        <v>93.389999999999816</v>
      </c>
      <c r="F72" s="299"/>
      <c r="G72" s="299"/>
      <c r="H72" s="299"/>
      <c r="I72" s="299"/>
      <c r="J72" s="299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300">
        <v>0.45</v>
      </c>
      <c r="B73" s="309" t="s">
        <v>128</v>
      </c>
      <c r="C73" s="333">
        <v>213</v>
      </c>
      <c r="D73" s="299">
        <f t="shared" si="2"/>
        <v>31.100000000000023</v>
      </c>
      <c r="E73" s="299"/>
      <c r="F73" s="299"/>
      <c r="G73" s="299">
        <f>'STOK DETAY'!HT6</f>
        <v>31.100000000000023</v>
      </c>
      <c r="H73" s="299"/>
      <c r="I73" s="299"/>
      <c r="J73" s="299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300">
        <v>0.5</v>
      </c>
      <c r="B74" s="309" t="s">
        <v>29</v>
      </c>
      <c r="C74" s="333"/>
      <c r="D74" s="299">
        <f t="shared" si="2"/>
        <v>-3.979039320256561E-13</v>
      </c>
      <c r="E74" s="299">
        <f>'STOK DETAY'!HU6</f>
        <v>-4.4053649617126212E-13</v>
      </c>
      <c r="F74" s="299"/>
      <c r="G74" s="299">
        <f>'STOK DETAY'!HV6</f>
        <v>4.2632564145606011E-14</v>
      </c>
      <c r="H74" s="299"/>
      <c r="I74" s="299"/>
      <c r="J74" s="299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300">
        <v>0.55000000000000004</v>
      </c>
      <c r="B75" s="309" t="s">
        <v>29</v>
      </c>
      <c r="C75" s="333"/>
      <c r="D75" s="299">
        <f t="shared" si="2"/>
        <v>-3.5527136788005009E-15</v>
      </c>
      <c r="E75" s="299">
        <f>'STOK DETAY'!HW6</f>
        <v>-4.9737991503207013E-14</v>
      </c>
      <c r="F75" s="299"/>
      <c r="G75" s="299">
        <f>'STOK DETAY'!HX6</f>
        <v>4.6185277824406512E-14</v>
      </c>
      <c r="H75" s="299"/>
      <c r="I75" s="299"/>
      <c r="J75" s="299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300">
        <v>0.6</v>
      </c>
      <c r="B76" s="309" t="s">
        <v>29</v>
      </c>
      <c r="C76" s="333"/>
      <c r="D76" s="299">
        <f t="shared" si="2"/>
        <v>8.9399999999998911</v>
      </c>
      <c r="E76" s="299">
        <f>'STOK DETAY'!HY6</f>
        <v>8.9399999999998911</v>
      </c>
      <c r="F76" s="299"/>
      <c r="G76" s="299"/>
      <c r="H76" s="299"/>
      <c r="I76" s="299"/>
      <c r="J76" s="299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300">
        <v>0.65</v>
      </c>
      <c r="B77" s="309" t="s">
        <v>29</v>
      </c>
      <c r="C77" s="333">
        <v>411</v>
      </c>
      <c r="D77" s="299">
        <f t="shared" si="2"/>
        <v>83.820000000000078</v>
      </c>
      <c r="E77" s="299"/>
      <c r="F77" s="299"/>
      <c r="G77" s="299">
        <f>'STOK DETAY'!IA6</f>
        <v>83.820000000000078</v>
      </c>
      <c r="H77" s="299"/>
      <c r="I77" s="299"/>
      <c r="J77" s="299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300">
        <v>0.7</v>
      </c>
      <c r="B78" s="309" t="s">
        <v>29</v>
      </c>
      <c r="C78" s="333"/>
      <c r="D78" s="299">
        <f t="shared" si="2"/>
        <v>0</v>
      </c>
      <c r="E78" s="299">
        <f>'STOK DETAY'!IB6</f>
        <v>0</v>
      </c>
      <c r="F78" s="299"/>
      <c r="G78" s="299">
        <f>'STOK DETAY'!IC6</f>
        <v>0</v>
      </c>
      <c r="H78" s="299"/>
      <c r="I78" s="299"/>
      <c r="J78" s="299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300">
        <v>0.75</v>
      </c>
      <c r="B79" s="309" t="s">
        <v>29</v>
      </c>
      <c r="C79" s="333"/>
      <c r="D79" s="299">
        <f t="shared" si="2"/>
        <v>2.4199999999999573</v>
      </c>
      <c r="E79" s="299">
        <f>'STOK DETAY'!ID6</f>
        <v>-4.2632564145606011E-14</v>
      </c>
      <c r="F79" s="299"/>
      <c r="G79" s="299">
        <f>'STOK DETAY'!IE6</f>
        <v>2.42</v>
      </c>
      <c r="H79" s="299"/>
      <c r="I79" s="299"/>
      <c r="J79" s="299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300">
        <v>0.8</v>
      </c>
      <c r="B80" s="309" t="s">
        <v>29</v>
      </c>
      <c r="C80" s="333"/>
      <c r="D80" s="299">
        <f t="shared" si="2"/>
        <v>3.907985046680551E-14</v>
      </c>
      <c r="E80" s="299">
        <f>'STOK DETAY'!IF6</f>
        <v>3.907985046680551E-14</v>
      </c>
      <c r="F80" s="299"/>
      <c r="G80" s="299"/>
      <c r="H80" s="299"/>
      <c r="I80" s="299"/>
      <c r="J80" s="299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300">
        <v>0.85</v>
      </c>
      <c r="B81" s="300" t="s">
        <v>29</v>
      </c>
      <c r="C81" s="333">
        <v>611</v>
      </c>
      <c r="D81" s="299">
        <f t="shared" si="2"/>
        <v>127.10999999999996</v>
      </c>
      <c r="E81" s="299">
        <f>'STOK DETAY'!IG6</f>
        <v>127.10999999999996</v>
      </c>
      <c r="F81" s="299"/>
      <c r="G81" s="299"/>
      <c r="H81" s="299"/>
      <c r="I81" s="299"/>
      <c r="J81" s="299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300">
        <v>0.9</v>
      </c>
      <c r="B82" s="309" t="s">
        <v>29</v>
      </c>
      <c r="C82" s="333">
        <v>613</v>
      </c>
      <c r="D82" s="299">
        <f t="shared" si="2"/>
        <v>128.25999999999988</v>
      </c>
      <c r="E82" s="299">
        <f>'STOK DETAY'!IH6</f>
        <v>128.25999999999988</v>
      </c>
      <c r="F82" s="299"/>
      <c r="G82" s="299"/>
      <c r="H82" s="299"/>
      <c r="I82" s="299"/>
      <c r="J82" s="299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x14ac:dyDescent="0.35">
      <c r="A83" s="300">
        <v>0.95</v>
      </c>
      <c r="B83" s="309" t="s">
        <v>29</v>
      </c>
      <c r="C83" s="333"/>
      <c r="D83" s="299">
        <f t="shared" si="2"/>
        <v>29.6</v>
      </c>
      <c r="E83" s="299"/>
      <c r="F83" s="299"/>
      <c r="G83" s="299">
        <f>'STOK DETAY'!II6</f>
        <v>29.6</v>
      </c>
      <c r="H83" s="299"/>
      <c r="I83" s="299"/>
      <c r="J83" s="299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300">
        <v>0.3</v>
      </c>
      <c r="B84" s="309" t="s">
        <v>9</v>
      </c>
      <c r="C84" s="333">
        <v>511</v>
      </c>
      <c r="D84" s="299">
        <f t="shared" ref="D84:D94" si="3">SUM(E84:J84)</f>
        <v>3.28</v>
      </c>
      <c r="E84" s="299"/>
      <c r="F84" s="299">
        <f>'STOK DETAY'!IJ6</f>
        <v>3.28</v>
      </c>
      <c r="G84" s="299"/>
      <c r="H84" s="299"/>
      <c r="I84" s="299"/>
      <c r="J84" s="299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300">
        <v>0.5</v>
      </c>
      <c r="B85" s="309" t="s">
        <v>9</v>
      </c>
      <c r="C85" s="333">
        <v>511</v>
      </c>
      <c r="D85" s="299">
        <f t="shared" si="3"/>
        <v>63.540000000000006</v>
      </c>
      <c r="E85" s="299"/>
      <c r="F85" s="299">
        <f>'STOK DETAY'!IK6</f>
        <v>63.540000000000006</v>
      </c>
      <c r="G85" s="299"/>
      <c r="H85" s="299"/>
      <c r="I85" s="299"/>
      <c r="J85" s="299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300">
        <v>0.55000000000000004</v>
      </c>
      <c r="B86" s="309" t="s">
        <v>9</v>
      </c>
      <c r="C86" s="333">
        <v>511</v>
      </c>
      <c r="D86" s="299">
        <f t="shared" si="3"/>
        <v>10.450000000000001</v>
      </c>
      <c r="E86" s="299"/>
      <c r="F86" s="299">
        <f>'STOK DETAY'!IL6</f>
        <v>10.450000000000001</v>
      </c>
      <c r="G86" s="299"/>
      <c r="H86" s="299"/>
      <c r="I86" s="299"/>
      <c r="J86" s="299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300">
        <v>0.6</v>
      </c>
      <c r="B87" s="309" t="s">
        <v>9</v>
      </c>
      <c r="C87" s="333">
        <v>101</v>
      </c>
      <c r="D87" s="299">
        <f t="shared" si="3"/>
        <v>0</v>
      </c>
      <c r="E87" s="299">
        <f>'STOK DETAY'!IM6</f>
        <v>0</v>
      </c>
      <c r="F87" s="299"/>
      <c r="G87" s="299"/>
      <c r="H87" s="299"/>
      <c r="I87" s="299"/>
      <c r="J87" s="299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300">
        <v>0.7</v>
      </c>
      <c r="B88" s="309" t="s">
        <v>9</v>
      </c>
      <c r="C88" s="333">
        <v>101</v>
      </c>
      <c r="D88" s="299">
        <f t="shared" si="3"/>
        <v>457.20000000000005</v>
      </c>
      <c r="E88" s="299">
        <f>'STOK DETAY'!IN6</f>
        <v>0</v>
      </c>
      <c r="F88" s="299"/>
      <c r="G88" s="299"/>
      <c r="H88" s="299"/>
      <c r="I88" s="299"/>
      <c r="J88" s="299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300">
        <v>1</v>
      </c>
      <c r="B89" s="309" t="s">
        <v>9</v>
      </c>
      <c r="C89" s="333">
        <v>511</v>
      </c>
      <c r="D89" s="299">
        <f t="shared" si="3"/>
        <v>2.5</v>
      </c>
      <c r="E89" s="299"/>
      <c r="F89" s="299">
        <f>'STOK DETAY'!IP6</f>
        <v>2.5</v>
      </c>
      <c r="G89" s="299"/>
      <c r="H89" s="299"/>
      <c r="I89" s="299"/>
      <c r="J89" s="299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300">
        <v>1.2</v>
      </c>
      <c r="B90" s="309" t="s">
        <v>9</v>
      </c>
      <c r="C90" s="333">
        <v>511</v>
      </c>
      <c r="D90" s="299">
        <f t="shared" si="3"/>
        <v>14.7</v>
      </c>
      <c r="E90" s="299"/>
      <c r="F90" s="299">
        <f>'STOK DETAY'!IQ6</f>
        <v>14.7</v>
      </c>
      <c r="G90" s="299"/>
      <c r="H90" s="299"/>
      <c r="I90" s="299"/>
      <c r="J90" s="299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300">
        <v>1.3</v>
      </c>
      <c r="B91" s="309" t="s">
        <v>9</v>
      </c>
      <c r="C91" s="333">
        <v>511</v>
      </c>
      <c r="D91" s="299">
        <f t="shared" si="3"/>
        <v>2.8499999999999996</v>
      </c>
      <c r="E91" s="299"/>
      <c r="F91" s="299">
        <f>'STOK DETAY'!IR6</f>
        <v>2.8499999999999996</v>
      </c>
      <c r="G91" s="299"/>
      <c r="H91" s="299"/>
      <c r="I91" s="299"/>
      <c r="J91" s="299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300">
        <v>1.4</v>
      </c>
      <c r="B92" s="309" t="s">
        <v>9</v>
      </c>
      <c r="C92" s="333">
        <v>511</v>
      </c>
      <c r="D92" s="299">
        <f t="shared" si="3"/>
        <v>6.83</v>
      </c>
      <c r="E92" s="299"/>
      <c r="F92" s="299">
        <f>'STOK DETAY'!IS6</f>
        <v>6.83</v>
      </c>
      <c r="G92" s="299"/>
      <c r="H92" s="299"/>
      <c r="I92" s="299"/>
      <c r="J92" s="299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300">
        <v>1.6</v>
      </c>
      <c r="B93" s="309" t="s">
        <v>9</v>
      </c>
      <c r="C93" s="333">
        <v>511</v>
      </c>
      <c r="D93" s="299">
        <f t="shared" si="3"/>
        <v>9.2200000000000006</v>
      </c>
      <c r="E93" s="299"/>
      <c r="F93" s="299">
        <f>'STOK DETAY'!IT6</f>
        <v>9.2200000000000006</v>
      </c>
      <c r="G93" s="299"/>
      <c r="H93" s="299"/>
      <c r="I93" s="299"/>
      <c r="J93" s="299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300">
        <v>1.7</v>
      </c>
      <c r="B94" s="309" t="s">
        <v>9</v>
      </c>
      <c r="C94" s="333">
        <v>511</v>
      </c>
      <c r="D94" s="299">
        <f t="shared" si="3"/>
        <v>18.5</v>
      </c>
      <c r="E94" s="299"/>
      <c r="F94" s="299">
        <f>'STOK DETAY'!IU6</f>
        <v>18.5</v>
      </c>
      <c r="G94" s="299"/>
      <c r="H94" s="299"/>
      <c r="I94" s="299"/>
      <c r="J94" s="299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300">
        <v>1.8</v>
      </c>
      <c r="B95" s="309" t="s">
        <v>9</v>
      </c>
      <c r="C95" s="309">
        <v>511</v>
      </c>
      <c r="D95" s="299">
        <f>SUM(E95:J95)</f>
        <v>64.48</v>
      </c>
      <c r="E95" s="299"/>
      <c r="F95" s="299">
        <f>'STOK DETAY'!IV6</f>
        <v>64.48</v>
      </c>
      <c r="G95" s="299"/>
      <c r="H95" s="299"/>
      <c r="I95" s="299"/>
      <c r="J95" s="299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x14ac:dyDescent="0.35">
      <c r="A96" s="300">
        <v>3.5</v>
      </c>
      <c r="B96" s="300" t="s">
        <v>9</v>
      </c>
      <c r="C96" s="309">
        <v>511</v>
      </c>
      <c r="D96" s="299">
        <f>SUM(E96:J96)</f>
        <v>52.36</v>
      </c>
      <c r="E96" s="299"/>
      <c r="F96" s="299">
        <f>'STOK DETAY'!IW6</f>
        <v>52.36</v>
      </c>
      <c r="G96" s="299"/>
      <c r="H96" s="299"/>
      <c r="I96" s="299"/>
      <c r="J96" s="299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171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5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pane="bottomLeft" activeCell="B6151" sqref="B6151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330" t="s">
        <v>85</v>
      </c>
      <c r="B1" s="330"/>
      <c r="C1" s="101" t="s">
        <v>156</v>
      </c>
      <c r="D1" s="154" t="s">
        <v>114</v>
      </c>
      <c r="E1" s="144" t="s">
        <v>114</v>
      </c>
      <c r="F1" s="154" t="s">
        <v>114</v>
      </c>
      <c r="G1" s="144" t="s">
        <v>114</v>
      </c>
      <c r="H1" s="80" t="s">
        <v>112</v>
      </c>
      <c r="I1" s="80" t="s">
        <v>112</v>
      </c>
      <c r="J1" s="95" t="s">
        <v>112</v>
      </c>
      <c r="K1" s="39" t="s">
        <v>1</v>
      </c>
      <c r="L1" s="65" t="s">
        <v>2</v>
      </c>
      <c r="M1" s="89" t="s">
        <v>112</v>
      </c>
      <c r="N1" s="39" t="s">
        <v>1</v>
      </c>
      <c r="O1" s="65" t="s">
        <v>2</v>
      </c>
      <c r="P1" s="102" t="s">
        <v>112</v>
      </c>
      <c r="Q1" s="164" t="s">
        <v>5</v>
      </c>
      <c r="R1" s="114" t="s">
        <v>114</v>
      </c>
      <c r="S1" s="70" t="s">
        <v>112</v>
      </c>
      <c r="T1" s="39" t="s">
        <v>1</v>
      </c>
      <c r="U1" s="65" t="s">
        <v>2</v>
      </c>
      <c r="V1" s="70" t="s">
        <v>112</v>
      </c>
      <c r="W1" s="164" t="s">
        <v>114</v>
      </c>
      <c r="X1" s="39" t="s">
        <v>1</v>
      </c>
      <c r="Y1" s="65" t="s">
        <v>2</v>
      </c>
      <c r="Z1" s="75" t="s">
        <v>112</v>
      </c>
      <c r="AA1" s="39" t="s">
        <v>1</v>
      </c>
      <c r="AB1" s="65" t="s">
        <v>2</v>
      </c>
      <c r="AC1" s="70" t="s">
        <v>112</v>
      </c>
      <c r="AD1" s="114" t="s">
        <v>114</v>
      </c>
      <c r="AE1" s="39" t="s">
        <v>1</v>
      </c>
      <c r="AF1" s="65" t="s">
        <v>2</v>
      </c>
      <c r="AG1" s="102" t="s">
        <v>112</v>
      </c>
      <c r="AH1" s="120" t="s">
        <v>4</v>
      </c>
      <c r="AI1" s="125" t="s">
        <v>5</v>
      </c>
      <c r="AJ1" s="164" t="s">
        <v>114</v>
      </c>
      <c r="AK1" s="244" t="s">
        <v>227</v>
      </c>
      <c r="AL1" s="39" t="s">
        <v>1</v>
      </c>
      <c r="AM1" s="65" t="s">
        <v>2</v>
      </c>
      <c r="AN1" s="70" t="s">
        <v>112</v>
      </c>
      <c r="AO1" s="43" t="s">
        <v>5</v>
      </c>
      <c r="AP1" s="39" t="s">
        <v>1</v>
      </c>
      <c r="AQ1" s="65" t="s">
        <v>2</v>
      </c>
      <c r="AR1" s="70" t="s">
        <v>112</v>
      </c>
      <c r="AS1" s="120" t="s">
        <v>4</v>
      </c>
      <c r="AT1" s="43" t="s">
        <v>5</v>
      </c>
      <c r="AU1" s="39" t="s">
        <v>1</v>
      </c>
      <c r="AV1" s="65" t="s">
        <v>2</v>
      </c>
      <c r="AW1" s="70" t="s">
        <v>112</v>
      </c>
      <c r="AX1" s="120" t="s">
        <v>4</v>
      </c>
      <c r="AY1" s="125" t="s">
        <v>5</v>
      </c>
      <c r="AZ1" s="114" t="s">
        <v>114</v>
      </c>
      <c r="BA1" s="39" t="s">
        <v>1</v>
      </c>
      <c r="BB1" s="65" t="s">
        <v>2</v>
      </c>
      <c r="BC1" s="70" t="s">
        <v>112</v>
      </c>
      <c r="BD1" s="120" t="s">
        <v>4</v>
      </c>
      <c r="BE1" s="125" t="s">
        <v>5</v>
      </c>
      <c r="BF1" s="114" t="s">
        <v>114</v>
      </c>
      <c r="BG1" s="39" t="s">
        <v>1</v>
      </c>
      <c r="BH1" s="65" t="s">
        <v>2</v>
      </c>
      <c r="BI1" s="70" t="s">
        <v>112</v>
      </c>
      <c r="BJ1" s="120" t="s">
        <v>4</v>
      </c>
      <c r="BK1" s="125" t="s">
        <v>5</v>
      </c>
      <c r="BL1" s="114" t="s">
        <v>114</v>
      </c>
      <c r="BM1" s="85" t="s">
        <v>1</v>
      </c>
      <c r="BN1" s="65" t="s">
        <v>2</v>
      </c>
      <c r="BO1" s="70" t="s">
        <v>112</v>
      </c>
      <c r="BP1" s="120" t="s">
        <v>4</v>
      </c>
      <c r="BQ1" s="125" t="s">
        <v>5</v>
      </c>
      <c r="BR1" s="114" t="s">
        <v>114</v>
      </c>
      <c r="BS1" s="39" t="s">
        <v>1</v>
      </c>
      <c r="BT1" s="65" t="s">
        <v>2</v>
      </c>
      <c r="BU1" s="70" t="s">
        <v>112</v>
      </c>
      <c r="BV1" s="120" t="s">
        <v>4</v>
      </c>
      <c r="BW1" s="125" t="s">
        <v>5</v>
      </c>
      <c r="BX1" s="114" t="s">
        <v>114</v>
      </c>
      <c r="BY1" s="39" t="s">
        <v>1</v>
      </c>
      <c r="BZ1" s="65" t="s">
        <v>2</v>
      </c>
      <c r="CA1" s="70" t="s">
        <v>112</v>
      </c>
      <c r="CB1" s="120" t="s">
        <v>4</v>
      </c>
      <c r="CC1" s="125" t="s">
        <v>5</v>
      </c>
      <c r="CD1" s="186" t="s">
        <v>114</v>
      </c>
      <c r="CE1" s="39" t="s">
        <v>1</v>
      </c>
      <c r="CF1" s="65" t="s">
        <v>2</v>
      </c>
      <c r="CG1" s="102" t="s">
        <v>112</v>
      </c>
      <c r="CH1" s="120" t="s">
        <v>4</v>
      </c>
      <c r="CI1" s="125" t="s">
        <v>5</v>
      </c>
      <c r="CJ1" s="114" t="s">
        <v>114</v>
      </c>
      <c r="CK1" s="39" t="s">
        <v>1</v>
      </c>
      <c r="CL1" s="65" t="s">
        <v>2</v>
      </c>
      <c r="CM1" s="70" t="s">
        <v>112</v>
      </c>
      <c r="CN1" s="120" t="s">
        <v>4</v>
      </c>
      <c r="CO1" s="125" t="s">
        <v>5</v>
      </c>
      <c r="CP1" s="114" t="s">
        <v>114</v>
      </c>
      <c r="CQ1" s="39" t="s">
        <v>1</v>
      </c>
      <c r="CR1" s="65" t="s">
        <v>2</v>
      </c>
      <c r="CS1" s="70" t="s">
        <v>112</v>
      </c>
      <c r="CT1" s="120" t="s">
        <v>4</v>
      </c>
      <c r="CU1" s="125" t="s">
        <v>5</v>
      </c>
      <c r="CV1" s="114" t="s">
        <v>114</v>
      </c>
      <c r="CW1" s="39" t="s">
        <v>1</v>
      </c>
      <c r="CX1" s="65" t="s">
        <v>2</v>
      </c>
      <c r="CY1" s="70" t="s">
        <v>112</v>
      </c>
      <c r="CZ1" s="120" t="s">
        <v>4</v>
      </c>
      <c r="DA1" s="125" t="s">
        <v>5</v>
      </c>
      <c r="DB1" s="114" t="s">
        <v>114</v>
      </c>
      <c r="DC1" s="39" t="s">
        <v>1</v>
      </c>
      <c r="DD1" s="65" t="s">
        <v>2</v>
      </c>
      <c r="DE1" s="70" t="s">
        <v>112</v>
      </c>
      <c r="DF1" s="120" t="s">
        <v>4</v>
      </c>
      <c r="DG1" s="125" t="s">
        <v>5</v>
      </c>
      <c r="DH1" s="114" t="s">
        <v>114</v>
      </c>
      <c r="DI1" s="39" t="s">
        <v>1</v>
      </c>
      <c r="DJ1" s="65" t="s">
        <v>2</v>
      </c>
      <c r="DK1" s="70" t="s">
        <v>112</v>
      </c>
      <c r="DL1" s="120" t="s">
        <v>4</v>
      </c>
      <c r="DM1" s="149" t="s">
        <v>5</v>
      </c>
      <c r="DN1" s="39" t="s">
        <v>1</v>
      </c>
      <c r="DO1" s="65" t="s">
        <v>2</v>
      </c>
      <c r="DP1" s="70" t="s">
        <v>112</v>
      </c>
      <c r="DQ1" s="120" t="s">
        <v>4</v>
      </c>
      <c r="DR1" s="43" t="s">
        <v>5</v>
      </c>
      <c r="DS1" s="39" t="s">
        <v>1</v>
      </c>
      <c r="DT1" s="65" t="s">
        <v>2</v>
      </c>
      <c r="DU1" s="102" t="s">
        <v>112</v>
      </c>
      <c r="DV1" s="120" t="s">
        <v>4</v>
      </c>
      <c r="DW1" s="125" t="s">
        <v>5</v>
      </c>
      <c r="DX1" s="257" t="s">
        <v>114</v>
      </c>
      <c r="DY1" s="39" t="s">
        <v>1</v>
      </c>
      <c r="DZ1" s="65" t="s">
        <v>2</v>
      </c>
      <c r="EA1" s="70" t="s">
        <v>112</v>
      </c>
      <c r="EB1" s="120" t="s">
        <v>4</v>
      </c>
      <c r="EC1" s="125" t="s">
        <v>5</v>
      </c>
      <c r="ED1" s="257" t="s">
        <v>114</v>
      </c>
      <c r="EE1" s="39" t="s">
        <v>1</v>
      </c>
      <c r="EF1" s="65" t="s">
        <v>2</v>
      </c>
      <c r="EG1" s="70" t="s">
        <v>112</v>
      </c>
      <c r="EH1" s="195" t="s">
        <v>4</v>
      </c>
      <c r="EI1" s="149" t="s">
        <v>5</v>
      </c>
      <c r="EJ1" s="39" t="s">
        <v>1</v>
      </c>
      <c r="EK1" s="65" t="s">
        <v>2</v>
      </c>
      <c r="EL1" s="102" t="s">
        <v>112</v>
      </c>
      <c r="EM1" s="149" t="s">
        <v>5</v>
      </c>
      <c r="EN1" s="39" t="s">
        <v>1</v>
      </c>
      <c r="EO1" s="65" t="s">
        <v>2</v>
      </c>
      <c r="EP1" s="70" t="s">
        <v>112</v>
      </c>
      <c r="EQ1" s="43" t="s">
        <v>5</v>
      </c>
      <c r="ER1" s="39" t="s">
        <v>1</v>
      </c>
      <c r="ES1" s="65" t="s">
        <v>2</v>
      </c>
      <c r="ET1" s="102" t="s">
        <v>112</v>
      </c>
      <c r="EU1" s="125" t="s">
        <v>5</v>
      </c>
      <c r="EV1" s="176" t="s">
        <v>5</v>
      </c>
      <c r="EW1" s="85" t="s">
        <v>2</v>
      </c>
      <c r="EX1" s="251" t="s">
        <v>5</v>
      </c>
      <c r="EY1" s="85" t="s">
        <v>2</v>
      </c>
      <c r="EZ1" s="89" t="s">
        <v>112</v>
      </c>
      <c r="FA1" s="39" t="s">
        <v>1</v>
      </c>
      <c r="FB1" s="65" t="s">
        <v>2</v>
      </c>
      <c r="FC1" s="102" t="s">
        <v>112</v>
      </c>
      <c r="FD1" s="125" t="s">
        <v>5</v>
      </c>
      <c r="FE1" s="200" t="s">
        <v>5</v>
      </c>
      <c r="FF1" s="85" t="s">
        <v>2</v>
      </c>
      <c r="FG1" s="70" t="s">
        <v>112</v>
      </c>
      <c r="FH1" s="43" t="s">
        <v>5</v>
      </c>
      <c r="FI1" s="39" t="s">
        <v>1</v>
      </c>
      <c r="FJ1" s="65" t="s">
        <v>2</v>
      </c>
      <c r="FK1" s="102" t="s">
        <v>112</v>
      </c>
      <c r="FL1" s="43" t="s">
        <v>5</v>
      </c>
      <c r="FM1" s="39" t="s">
        <v>1</v>
      </c>
      <c r="FN1" s="149" t="s">
        <v>5</v>
      </c>
      <c r="FO1" s="211" t="s">
        <v>5</v>
      </c>
      <c r="FP1" s="211" t="s">
        <v>5</v>
      </c>
      <c r="FQ1" s="39" t="s">
        <v>1</v>
      </c>
      <c r="FR1" s="65" t="s">
        <v>2</v>
      </c>
      <c r="FS1" s="102" t="s">
        <v>112</v>
      </c>
      <c r="FT1" s="114" t="s">
        <v>114</v>
      </c>
      <c r="FU1" s="85" t="s">
        <v>2</v>
      </c>
      <c r="FV1" s="102" t="s">
        <v>112</v>
      </c>
      <c r="FW1" s="149" t="s">
        <v>5</v>
      </c>
      <c r="FX1" s="243" t="s">
        <v>1</v>
      </c>
      <c r="FY1" s="294" t="s">
        <v>5</v>
      </c>
      <c r="FZ1" s="114" t="s">
        <v>114</v>
      </c>
      <c r="GA1" s="85" t="s">
        <v>2</v>
      </c>
      <c r="GB1" s="102" t="s">
        <v>112</v>
      </c>
      <c r="GC1" s="158" t="s">
        <v>5</v>
      </c>
      <c r="GD1" s="177" t="s">
        <v>114</v>
      </c>
      <c r="GE1" s="85" t="s">
        <v>2</v>
      </c>
      <c r="GF1" s="149" t="s">
        <v>5</v>
      </c>
      <c r="GG1" s="43" t="s">
        <v>5</v>
      </c>
      <c r="GH1" s="102" t="s">
        <v>112</v>
      </c>
      <c r="GI1" s="251" t="s">
        <v>5</v>
      </c>
      <c r="GJ1" s="202" t="s">
        <v>1</v>
      </c>
      <c r="GK1" s="75" t="s">
        <v>112</v>
      </c>
      <c r="GL1" s="39" t="s">
        <v>1</v>
      </c>
      <c r="GM1" s="89" t="s">
        <v>112</v>
      </c>
      <c r="GN1" s="102" t="s">
        <v>112</v>
      </c>
      <c r="GO1" s="95" t="s">
        <v>112</v>
      </c>
      <c r="GP1" s="39" t="s">
        <v>1</v>
      </c>
      <c r="GQ1" s="89" t="s">
        <v>112</v>
      </c>
      <c r="GR1" s="47" t="s">
        <v>1</v>
      </c>
      <c r="GS1" s="95" t="s">
        <v>112</v>
      </c>
      <c r="GT1" s="95" t="s">
        <v>112</v>
      </c>
      <c r="GU1" s="95" t="s">
        <v>112</v>
      </c>
      <c r="GV1" s="39" t="s">
        <v>1</v>
      </c>
      <c r="GW1" s="89" t="s">
        <v>112</v>
      </c>
      <c r="GX1" s="284" t="s">
        <v>112</v>
      </c>
      <c r="GY1" s="39" t="s">
        <v>1</v>
      </c>
      <c r="GZ1" s="102" t="s">
        <v>112</v>
      </c>
      <c r="HA1" s="114" t="s">
        <v>114</v>
      </c>
      <c r="HB1" s="277" t="s">
        <v>1</v>
      </c>
      <c r="HC1" s="39" t="s">
        <v>1</v>
      </c>
      <c r="HD1" s="89" t="s">
        <v>112</v>
      </c>
      <c r="HE1" s="39" t="s">
        <v>1</v>
      </c>
      <c r="HF1" s="75" t="s">
        <v>112</v>
      </c>
      <c r="HG1" s="39" t="s">
        <v>1</v>
      </c>
      <c r="HH1" s="102" t="s">
        <v>112</v>
      </c>
      <c r="HI1" s="186" t="s">
        <v>114</v>
      </c>
      <c r="HJ1" s="75" t="s">
        <v>112</v>
      </c>
      <c r="HK1" s="47" t="s">
        <v>1</v>
      </c>
      <c r="HL1" s="39" t="s">
        <v>1</v>
      </c>
      <c r="HM1" s="102" t="s">
        <v>112</v>
      </c>
      <c r="HN1" s="114" t="s">
        <v>114</v>
      </c>
      <c r="HO1" s="39" t="s">
        <v>1</v>
      </c>
      <c r="HP1" s="75" t="s">
        <v>112</v>
      </c>
      <c r="HQ1" s="39" t="s">
        <v>1</v>
      </c>
      <c r="HR1" s="89" t="s">
        <v>112</v>
      </c>
      <c r="HS1" s="35" t="s">
        <v>1</v>
      </c>
      <c r="HT1" s="97" t="s">
        <v>112</v>
      </c>
      <c r="HU1" s="39" t="s">
        <v>1</v>
      </c>
      <c r="HV1" s="89" t="s">
        <v>112</v>
      </c>
      <c r="HW1" s="39" t="s">
        <v>1</v>
      </c>
      <c r="HX1" s="89" t="s">
        <v>112</v>
      </c>
      <c r="HY1" s="35" t="s">
        <v>1</v>
      </c>
      <c r="HZ1" s="39" t="s">
        <v>1</v>
      </c>
      <c r="IA1" s="75" t="s">
        <v>112</v>
      </c>
      <c r="IB1" s="39" t="s">
        <v>1</v>
      </c>
      <c r="IC1" s="89" t="s">
        <v>112</v>
      </c>
      <c r="ID1" s="39" t="s">
        <v>1</v>
      </c>
      <c r="IE1" s="75" t="s">
        <v>112</v>
      </c>
      <c r="IF1" s="47" t="s">
        <v>1</v>
      </c>
      <c r="IG1" s="35" t="s">
        <v>1</v>
      </c>
      <c r="IH1" s="31" t="s">
        <v>1</v>
      </c>
      <c r="II1" s="291" t="s">
        <v>112</v>
      </c>
      <c r="IJ1" s="261" t="s">
        <v>231</v>
      </c>
      <c r="IK1" s="262" t="s">
        <v>231</v>
      </c>
      <c r="IL1" s="262" t="s">
        <v>231</v>
      </c>
      <c r="IM1" s="47" t="s">
        <v>1</v>
      </c>
      <c r="IN1" s="39" t="s">
        <v>1</v>
      </c>
      <c r="IO1" s="186" t="s">
        <v>114</v>
      </c>
      <c r="IP1" s="262" t="s">
        <v>231</v>
      </c>
      <c r="IQ1" s="262" t="s">
        <v>231</v>
      </c>
      <c r="IR1" s="262" t="s">
        <v>231</v>
      </c>
      <c r="IS1" s="262" t="s">
        <v>231</v>
      </c>
      <c r="IT1" s="262" t="s">
        <v>231</v>
      </c>
      <c r="IU1" s="262" t="s">
        <v>231</v>
      </c>
      <c r="IV1" s="262" t="s">
        <v>231</v>
      </c>
      <c r="IW1" s="262" t="s">
        <v>231</v>
      </c>
    </row>
    <row r="2" spans="1:257" s="24" customFormat="1" ht="20.100000000000001" customHeight="1" x14ac:dyDescent="0.25">
      <c r="A2" s="330"/>
      <c r="B2" s="330"/>
      <c r="C2" s="101" t="s">
        <v>157</v>
      </c>
      <c r="D2" s="154" t="s">
        <v>6</v>
      </c>
      <c r="E2" s="144" t="s">
        <v>6</v>
      </c>
      <c r="F2" s="154" t="s">
        <v>6</v>
      </c>
      <c r="G2" s="144" t="s">
        <v>6</v>
      </c>
      <c r="H2" s="80" t="s">
        <v>6</v>
      </c>
      <c r="I2" s="98" t="s">
        <v>6</v>
      </c>
      <c r="J2" s="283" t="s">
        <v>6</v>
      </c>
      <c r="K2" s="39" t="s">
        <v>6</v>
      </c>
      <c r="L2" s="65" t="s">
        <v>6</v>
      </c>
      <c r="M2" s="89" t="s">
        <v>6</v>
      </c>
      <c r="N2" s="39" t="s">
        <v>6</v>
      </c>
      <c r="O2" s="65" t="s">
        <v>6</v>
      </c>
      <c r="P2" s="102" t="s">
        <v>6</v>
      </c>
      <c r="Q2" s="164" t="s">
        <v>6</v>
      </c>
      <c r="R2" s="114" t="s">
        <v>6</v>
      </c>
      <c r="S2" s="70" t="s">
        <v>7</v>
      </c>
      <c r="T2" s="39" t="s">
        <v>6</v>
      </c>
      <c r="U2" s="65" t="s">
        <v>6</v>
      </c>
      <c r="V2" s="70" t="s">
        <v>6</v>
      </c>
      <c r="W2" s="164" t="s">
        <v>6</v>
      </c>
      <c r="X2" s="39" t="s">
        <v>6</v>
      </c>
      <c r="Y2" s="65" t="s">
        <v>6</v>
      </c>
      <c r="Z2" s="75" t="s">
        <v>6</v>
      </c>
      <c r="AA2" s="39" t="s">
        <v>6</v>
      </c>
      <c r="AB2" s="65" t="s">
        <v>6</v>
      </c>
      <c r="AC2" s="70" t="s">
        <v>6</v>
      </c>
      <c r="AD2" s="114" t="s">
        <v>6</v>
      </c>
      <c r="AE2" s="39" t="s">
        <v>6</v>
      </c>
      <c r="AF2" s="65" t="s">
        <v>6</v>
      </c>
      <c r="AG2" s="102" t="s">
        <v>6</v>
      </c>
      <c r="AH2" s="120" t="s">
        <v>6</v>
      </c>
      <c r="AI2" s="125" t="s">
        <v>6</v>
      </c>
      <c r="AJ2" s="164" t="s">
        <v>6</v>
      </c>
      <c r="AK2" s="244" t="s">
        <v>6</v>
      </c>
      <c r="AL2" s="39" t="s">
        <v>6</v>
      </c>
      <c r="AM2" s="65" t="s">
        <v>6</v>
      </c>
      <c r="AN2" s="70" t="s">
        <v>6</v>
      </c>
      <c r="AO2" s="43" t="s">
        <v>6</v>
      </c>
      <c r="AP2" s="39" t="s">
        <v>6</v>
      </c>
      <c r="AQ2" s="65" t="s">
        <v>6</v>
      </c>
      <c r="AR2" s="70" t="s">
        <v>6</v>
      </c>
      <c r="AS2" s="120" t="s">
        <v>6</v>
      </c>
      <c r="AT2" s="43" t="s">
        <v>6</v>
      </c>
      <c r="AU2" s="39" t="s">
        <v>6</v>
      </c>
      <c r="AV2" s="65" t="s">
        <v>6</v>
      </c>
      <c r="AW2" s="70" t="s">
        <v>6</v>
      </c>
      <c r="AX2" s="120" t="s">
        <v>6</v>
      </c>
      <c r="AY2" s="125" t="s">
        <v>6</v>
      </c>
      <c r="AZ2" s="114" t="s">
        <v>6</v>
      </c>
      <c r="BA2" s="39" t="s">
        <v>6</v>
      </c>
      <c r="BB2" s="65" t="s">
        <v>6</v>
      </c>
      <c r="BC2" s="70" t="s">
        <v>6</v>
      </c>
      <c r="BD2" s="120" t="s">
        <v>6</v>
      </c>
      <c r="BE2" s="125" t="s">
        <v>6</v>
      </c>
      <c r="BF2" s="114" t="s">
        <v>6</v>
      </c>
      <c r="BG2" s="39" t="s">
        <v>6</v>
      </c>
      <c r="BH2" s="65" t="s">
        <v>6</v>
      </c>
      <c r="BI2" s="70" t="s">
        <v>6</v>
      </c>
      <c r="BJ2" s="120" t="s">
        <v>6</v>
      </c>
      <c r="BK2" s="125" t="s">
        <v>6</v>
      </c>
      <c r="BL2" s="114" t="s">
        <v>6</v>
      </c>
      <c r="BM2" s="85" t="s">
        <v>6</v>
      </c>
      <c r="BN2" s="65" t="s">
        <v>6</v>
      </c>
      <c r="BO2" s="70" t="s">
        <v>6</v>
      </c>
      <c r="BP2" s="120" t="s">
        <v>6</v>
      </c>
      <c r="BQ2" s="125" t="s">
        <v>6</v>
      </c>
      <c r="BR2" s="114" t="s">
        <v>6</v>
      </c>
      <c r="BS2" s="39" t="s">
        <v>6</v>
      </c>
      <c r="BT2" s="65" t="s">
        <v>6</v>
      </c>
      <c r="BU2" s="70" t="s">
        <v>6</v>
      </c>
      <c r="BV2" s="120" t="s">
        <v>6</v>
      </c>
      <c r="BW2" s="125" t="s">
        <v>6</v>
      </c>
      <c r="BX2" s="114" t="s">
        <v>6</v>
      </c>
      <c r="BY2" s="39" t="s">
        <v>6</v>
      </c>
      <c r="BZ2" s="65" t="s">
        <v>6</v>
      </c>
      <c r="CA2" s="70" t="s">
        <v>6</v>
      </c>
      <c r="CB2" s="120" t="s">
        <v>6</v>
      </c>
      <c r="CC2" s="125" t="s">
        <v>6</v>
      </c>
      <c r="CD2" s="186" t="s">
        <v>6</v>
      </c>
      <c r="CE2" s="39" t="s">
        <v>6</v>
      </c>
      <c r="CF2" s="65" t="s">
        <v>6</v>
      </c>
      <c r="CG2" s="102" t="s">
        <v>6</v>
      </c>
      <c r="CH2" s="120" t="s">
        <v>6</v>
      </c>
      <c r="CI2" s="125" t="s">
        <v>6</v>
      </c>
      <c r="CJ2" s="114" t="s">
        <v>6</v>
      </c>
      <c r="CK2" s="39" t="s">
        <v>6</v>
      </c>
      <c r="CL2" s="65" t="s">
        <v>6</v>
      </c>
      <c r="CM2" s="70" t="s">
        <v>6</v>
      </c>
      <c r="CN2" s="120" t="s">
        <v>6</v>
      </c>
      <c r="CO2" s="125" t="s">
        <v>6</v>
      </c>
      <c r="CP2" s="114" t="s">
        <v>6</v>
      </c>
      <c r="CQ2" s="39" t="s">
        <v>6</v>
      </c>
      <c r="CR2" s="65" t="s">
        <v>6</v>
      </c>
      <c r="CS2" s="70" t="s">
        <v>6</v>
      </c>
      <c r="CT2" s="120" t="s">
        <v>6</v>
      </c>
      <c r="CU2" s="125" t="s">
        <v>6</v>
      </c>
      <c r="CV2" s="114" t="s">
        <v>6</v>
      </c>
      <c r="CW2" s="39" t="s">
        <v>6</v>
      </c>
      <c r="CX2" s="65" t="s">
        <v>6</v>
      </c>
      <c r="CY2" s="70" t="s">
        <v>6</v>
      </c>
      <c r="CZ2" s="120" t="s">
        <v>6</v>
      </c>
      <c r="DA2" s="125" t="s">
        <v>6</v>
      </c>
      <c r="DB2" s="114" t="s">
        <v>6</v>
      </c>
      <c r="DC2" s="39" t="s">
        <v>6</v>
      </c>
      <c r="DD2" s="65" t="s">
        <v>6</v>
      </c>
      <c r="DE2" s="70" t="s">
        <v>6</v>
      </c>
      <c r="DF2" s="120" t="s">
        <v>6</v>
      </c>
      <c r="DG2" s="125" t="s">
        <v>6</v>
      </c>
      <c r="DH2" s="114" t="s">
        <v>6</v>
      </c>
      <c r="DI2" s="39" t="s">
        <v>6</v>
      </c>
      <c r="DJ2" s="65" t="s">
        <v>6</v>
      </c>
      <c r="DK2" s="70" t="s">
        <v>6</v>
      </c>
      <c r="DL2" s="120" t="s">
        <v>6</v>
      </c>
      <c r="DM2" s="149" t="s">
        <v>6</v>
      </c>
      <c r="DN2" s="39" t="s">
        <v>6</v>
      </c>
      <c r="DO2" s="65" t="s">
        <v>6</v>
      </c>
      <c r="DP2" s="70" t="s">
        <v>6</v>
      </c>
      <c r="DQ2" s="120" t="s">
        <v>6</v>
      </c>
      <c r="DR2" s="43" t="s">
        <v>6</v>
      </c>
      <c r="DS2" s="39" t="s">
        <v>6</v>
      </c>
      <c r="DT2" s="65" t="s">
        <v>6</v>
      </c>
      <c r="DU2" s="102" t="s">
        <v>6</v>
      </c>
      <c r="DV2" s="120" t="s">
        <v>6</v>
      </c>
      <c r="DW2" s="125" t="s">
        <v>6</v>
      </c>
      <c r="DX2" s="258" t="s">
        <v>6</v>
      </c>
      <c r="DY2" s="39" t="s">
        <v>6</v>
      </c>
      <c r="DZ2" s="65" t="s">
        <v>6</v>
      </c>
      <c r="EA2" s="70" t="s">
        <v>6</v>
      </c>
      <c r="EB2" s="120" t="s">
        <v>6</v>
      </c>
      <c r="EC2" s="125" t="s">
        <v>6</v>
      </c>
      <c r="ED2" s="257" t="s">
        <v>6</v>
      </c>
      <c r="EE2" s="39" t="s">
        <v>6</v>
      </c>
      <c r="EF2" s="65" t="s">
        <v>6</v>
      </c>
      <c r="EG2" s="70" t="s">
        <v>6</v>
      </c>
      <c r="EH2" s="195" t="s">
        <v>6</v>
      </c>
      <c r="EI2" s="149" t="s">
        <v>6</v>
      </c>
      <c r="EJ2" s="39" t="s">
        <v>6</v>
      </c>
      <c r="EK2" s="65" t="s">
        <v>6</v>
      </c>
      <c r="EL2" s="102" t="s">
        <v>6</v>
      </c>
      <c r="EM2" s="149" t="s">
        <v>6</v>
      </c>
      <c r="EN2" s="39" t="s">
        <v>6</v>
      </c>
      <c r="EO2" s="65" t="s">
        <v>6</v>
      </c>
      <c r="EP2" s="70" t="s">
        <v>6</v>
      </c>
      <c r="EQ2" s="43" t="s">
        <v>6</v>
      </c>
      <c r="ER2" s="39" t="s">
        <v>6</v>
      </c>
      <c r="ES2" s="65" t="s">
        <v>6</v>
      </c>
      <c r="ET2" s="102" t="s">
        <v>6</v>
      </c>
      <c r="EU2" s="125" t="s">
        <v>6</v>
      </c>
      <c r="EV2" s="176" t="s">
        <v>141</v>
      </c>
      <c r="EW2" s="85" t="s">
        <v>6</v>
      </c>
      <c r="EX2" s="251" t="s">
        <v>141</v>
      </c>
      <c r="EY2" s="85" t="s">
        <v>8</v>
      </c>
      <c r="EZ2" s="89" t="s">
        <v>8</v>
      </c>
      <c r="FA2" s="39" t="s">
        <v>8</v>
      </c>
      <c r="FB2" s="65" t="s">
        <v>8</v>
      </c>
      <c r="FC2" s="102" t="s">
        <v>8</v>
      </c>
      <c r="FD2" s="125" t="s">
        <v>8</v>
      </c>
      <c r="FE2" s="200" t="s">
        <v>141</v>
      </c>
      <c r="FF2" s="85" t="s">
        <v>8</v>
      </c>
      <c r="FG2" s="70" t="s">
        <v>8</v>
      </c>
      <c r="FH2" s="43" t="s">
        <v>8</v>
      </c>
      <c r="FI2" s="39" t="s">
        <v>8</v>
      </c>
      <c r="FJ2" s="65" t="s">
        <v>8</v>
      </c>
      <c r="FK2" s="102" t="s">
        <v>8</v>
      </c>
      <c r="FL2" s="43" t="s">
        <v>8</v>
      </c>
      <c r="FM2" s="39" t="s">
        <v>8</v>
      </c>
      <c r="FN2" s="149" t="s">
        <v>8</v>
      </c>
      <c r="FO2" s="211" t="s">
        <v>8</v>
      </c>
      <c r="FP2" s="211" t="s">
        <v>8</v>
      </c>
      <c r="FQ2" s="39" t="s">
        <v>8</v>
      </c>
      <c r="FR2" s="65" t="s">
        <v>8</v>
      </c>
      <c r="FS2" s="102" t="s">
        <v>8</v>
      </c>
      <c r="FT2" s="114" t="s">
        <v>8</v>
      </c>
      <c r="FU2" s="85" t="s">
        <v>8</v>
      </c>
      <c r="FV2" s="102" t="s">
        <v>8</v>
      </c>
      <c r="FW2" s="149" t="s">
        <v>8</v>
      </c>
      <c r="FX2" s="31" t="s">
        <v>8</v>
      </c>
      <c r="FY2" s="294" t="s">
        <v>8</v>
      </c>
      <c r="FZ2" s="114" t="s">
        <v>8</v>
      </c>
      <c r="GA2" s="85" t="s">
        <v>8</v>
      </c>
      <c r="GB2" s="102" t="s">
        <v>8</v>
      </c>
      <c r="GC2" s="158" t="s">
        <v>8</v>
      </c>
      <c r="GD2" s="114" t="s">
        <v>8</v>
      </c>
      <c r="GE2" s="85" t="s">
        <v>8</v>
      </c>
      <c r="GF2" s="149" t="s">
        <v>8</v>
      </c>
      <c r="GG2" s="43" t="s">
        <v>226</v>
      </c>
      <c r="GH2" s="102" t="s">
        <v>8</v>
      </c>
      <c r="GI2" s="251" t="s">
        <v>8</v>
      </c>
      <c r="GJ2" s="203" t="s">
        <v>6</v>
      </c>
      <c r="GK2" s="75" t="s">
        <v>6</v>
      </c>
      <c r="GL2" s="100" t="s">
        <v>6</v>
      </c>
      <c r="GM2" s="89" t="s">
        <v>6</v>
      </c>
      <c r="GN2" s="102" t="s">
        <v>6</v>
      </c>
      <c r="GO2" s="95" t="s">
        <v>6</v>
      </c>
      <c r="GP2" s="100" t="s">
        <v>6</v>
      </c>
      <c r="GQ2" s="89" t="s">
        <v>6</v>
      </c>
      <c r="GR2" s="119" t="s">
        <v>6</v>
      </c>
      <c r="GS2" s="95" t="s">
        <v>6</v>
      </c>
      <c r="GT2" s="110" t="s">
        <v>6</v>
      </c>
      <c r="GU2" s="95" t="s">
        <v>6</v>
      </c>
      <c r="GV2" s="100" t="s">
        <v>6</v>
      </c>
      <c r="GW2" s="89" t="s">
        <v>6</v>
      </c>
      <c r="GX2" s="284" t="s">
        <v>6</v>
      </c>
      <c r="GY2" s="39" t="s">
        <v>6</v>
      </c>
      <c r="GZ2" s="102" t="s">
        <v>6</v>
      </c>
      <c r="HA2" s="114" t="s">
        <v>6</v>
      </c>
      <c r="HB2" s="277" t="s">
        <v>6</v>
      </c>
      <c r="HC2" s="100" t="s">
        <v>6</v>
      </c>
      <c r="HD2" s="89" t="s">
        <v>6</v>
      </c>
      <c r="HE2" s="100" t="s">
        <v>6</v>
      </c>
      <c r="HF2" s="75" t="s">
        <v>6</v>
      </c>
      <c r="HG2" s="100" t="s">
        <v>6</v>
      </c>
      <c r="HH2" s="102" t="s">
        <v>6</v>
      </c>
      <c r="HI2" s="186" t="s">
        <v>6</v>
      </c>
      <c r="HJ2" s="75" t="s">
        <v>6</v>
      </c>
      <c r="HK2" s="47" t="s">
        <v>6</v>
      </c>
      <c r="HL2" s="39" t="s">
        <v>6</v>
      </c>
      <c r="HM2" s="102" t="s">
        <v>6</v>
      </c>
      <c r="HN2" s="114" t="s">
        <v>6</v>
      </c>
      <c r="HO2" s="39" t="s">
        <v>6</v>
      </c>
      <c r="HP2" s="75" t="s">
        <v>6</v>
      </c>
      <c r="HQ2" s="39" t="s">
        <v>6</v>
      </c>
      <c r="HR2" s="89" t="s">
        <v>6</v>
      </c>
      <c r="HS2" s="35" t="s">
        <v>6</v>
      </c>
      <c r="HT2" s="97" t="s">
        <v>6</v>
      </c>
      <c r="HU2" s="39" t="s">
        <v>6</v>
      </c>
      <c r="HV2" s="89" t="s">
        <v>6</v>
      </c>
      <c r="HW2" s="39" t="s">
        <v>6</v>
      </c>
      <c r="HX2" s="89" t="s">
        <v>6</v>
      </c>
      <c r="HY2" s="35" t="s">
        <v>6</v>
      </c>
      <c r="HZ2" s="39" t="s">
        <v>6</v>
      </c>
      <c r="IA2" s="75" t="s">
        <v>6</v>
      </c>
      <c r="IB2" s="39" t="s">
        <v>6</v>
      </c>
      <c r="IC2" s="89" t="s">
        <v>6</v>
      </c>
      <c r="ID2" s="39" t="s">
        <v>6</v>
      </c>
      <c r="IE2" s="75" t="s">
        <v>6</v>
      </c>
      <c r="IF2" s="47" t="s">
        <v>6</v>
      </c>
      <c r="IG2" s="35" t="s">
        <v>6</v>
      </c>
      <c r="IH2" s="31" t="s">
        <v>6</v>
      </c>
      <c r="II2" s="291" t="s">
        <v>6</v>
      </c>
      <c r="IJ2" s="261" t="s">
        <v>231</v>
      </c>
      <c r="IK2" s="262" t="s">
        <v>231</v>
      </c>
      <c r="IL2" s="262" t="s">
        <v>231</v>
      </c>
      <c r="IM2" s="47" t="s">
        <v>233</v>
      </c>
      <c r="IN2" s="39" t="s">
        <v>233</v>
      </c>
      <c r="IO2" s="186" t="s">
        <v>7</v>
      </c>
      <c r="IP2" s="262" t="s">
        <v>231</v>
      </c>
      <c r="IQ2" s="262" t="s">
        <v>231</v>
      </c>
      <c r="IR2" s="262" t="s">
        <v>231</v>
      </c>
      <c r="IS2" s="262" t="s">
        <v>231</v>
      </c>
      <c r="IT2" s="262" t="s">
        <v>231</v>
      </c>
      <c r="IU2" s="262" t="s">
        <v>231</v>
      </c>
      <c r="IV2" s="262" t="s">
        <v>231</v>
      </c>
      <c r="IW2" s="262" t="s">
        <v>231</v>
      </c>
    </row>
    <row r="3" spans="1:257" s="24" customFormat="1" ht="20.100000000000001" customHeight="1" x14ac:dyDescent="0.25">
      <c r="A3" s="330"/>
      <c r="B3" s="330"/>
      <c r="C3" s="101" t="s">
        <v>158</v>
      </c>
      <c r="D3" s="154" t="s">
        <v>127</v>
      </c>
      <c r="E3" s="144" t="s">
        <v>127</v>
      </c>
      <c r="F3" s="154" t="s">
        <v>127</v>
      </c>
      <c r="G3" s="144" t="s">
        <v>127</v>
      </c>
      <c r="H3" s="80" t="s">
        <v>54</v>
      </c>
      <c r="I3" s="98" t="s">
        <v>54</v>
      </c>
      <c r="J3" s="283" t="s">
        <v>142</v>
      </c>
      <c r="K3" s="39" t="s">
        <v>54</v>
      </c>
      <c r="L3" s="65" t="s">
        <v>54</v>
      </c>
      <c r="M3" s="89" t="s">
        <v>54</v>
      </c>
      <c r="N3" s="39" t="s">
        <v>54</v>
      </c>
      <c r="O3" s="65" t="s">
        <v>54</v>
      </c>
      <c r="P3" s="102" t="s">
        <v>54</v>
      </c>
      <c r="Q3" s="164" t="s">
        <v>54</v>
      </c>
      <c r="R3" s="114" t="s">
        <v>54</v>
      </c>
      <c r="S3" s="70" t="s">
        <v>142</v>
      </c>
      <c r="T3" s="39" t="s">
        <v>54</v>
      </c>
      <c r="U3" s="65" t="s">
        <v>54</v>
      </c>
      <c r="V3" s="70" t="s">
        <v>54</v>
      </c>
      <c r="W3" s="164" t="s">
        <v>54</v>
      </c>
      <c r="X3" s="39" t="s">
        <v>54</v>
      </c>
      <c r="Y3" s="65" t="s">
        <v>54</v>
      </c>
      <c r="Z3" s="75" t="s">
        <v>54</v>
      </c>
      <c r="AA3" s="39" t="s">
        <v>54</v>
      </c>
      <c r="AB3" s="65" t="s">
        <v>54</v>
      </c>
      <c r="AC3" s="70" t="s">
        <v>54</v>
      </c>
      <c r="AD3" s="114" t="s">
        <v>54</v>
      </c>
      <c r="AE3" s="39" t="s">
        <v>54</v>
      </c>
      <c r="AF3" s="65" t="s">
        <v>54</v>
      </c>
      <c r="AG3" s="102" t="s">
        <v>54</v>
      </c>
      <c r="AH3" s="120" t="s">
        <v>54</v>
      </c>
      <c r="AI3" s="125" t="s">
        <v>54</v>
      </c>
      <c r="AJ3" s="164" t="s">
        <v>54</v>
      </c>
      <c r="AK3" s="244" t="s">
        <v>54</v>
      </c>
      <c r="AL3" s="39" t="s">
        <v>54</v>
      </c>
      <c r="AM3" s="65" t="s">
        <v>54</v>
      </c>
      <c r="AN3" s="70" t="s">
        <v>54</v>
      </c>
      <c r="AO3" s="43" t="s">
        <v>54</v>
      </c>
      <c r="AP3" s="39" t="s">
        <v>54</v>
      </c>
      <c r="AQ3" s="65" t="s">
        <v>54</v>
      </c>
      <c r="AR3" s="70" t="s">
        <v>54</v>
      </c>
      <c r="AS3" s="120" t="s">
        <v>54</v>
      </c>
      <c r="AT3" s="43" t="s">
        <v>54</v>
      </c>
      <c r="AU3" s="39" t="s">
        <v>54</v>
      </c>
      <c r="AV3" s="65" t="s">
        <v>54</v>
      </c>
      <c r="AW3" s="70" t="s">
        <v>54</v>
      </c>
      <c r="AX3" s="120" t="s">
        <v>54</v>
      </c>
      <c r="AY3" s="125" t="s">
        <v>54</v>
      </c>
      <c r="AZ3" s="114" t="s">
        <v>54</v>
      </c>
      <c r="BA3" s="39" t="s">
        <v>54</v>
      </c>
      <c r="BB3" s="65" t="s">
        <v>54</v>
      </c>
      <c r="BC3" s="70" t="s">
        <v>54</v>
      </c>
      <c r="BD3" s="120" t="s">
        <v>54</v>
      </c>
      <c r="BE3" s="125" t="s">
        <v>54</v>
      </c>
      <c r="BF3" s="114" t="s">
        <v>54</v>
      </c>
      <c r="BG3" s="39" t="s">
        <v>54</v>
      </c>
      <c r="BH3" s="65" t="s">
        <v>54</v>
      </c>
      <c r="BI3" s="70" t="s">
        <v>54</v>
      </c>
      <c r="BJ3" s="120" t="s">
        <v>54</v>
      </c>
      <c r="BK3" s="125" t="s">
        <v>54</v>
      </c>
      <c r="BL3" s="114" t="s">
        <v>54</v>
      </c>
      <c r="BM3" s="85" t="s">
        <v>54</v>
      </c>
      <c r="BN3" s="65" t="s">
        <v>54</v>
      </c>
      <c r="BO3" s="70" t="s">
        <v>54</v>
      </c>
      <c r="BP3" s="120" t="s">
        <v>54</v>
      </c>
      <c r="BQ3" s="125" t="s">
        <v>54</v>
      </c>
      <c r="BR3" s="114" t="s">
        <v>54</v>
      </c>
      <c r="BS3" s="39" t="s">
        <v>54</v>
      </c>
      <c r="BT3" s="65" t="s">
        <v>54</v>
      </c>
      <c r="BU3" s="70" t="s">
        <v>54</v>
      </c>
      <c r="BV3" s="120" t="s">
        <v>54</v>
      </c>
      <c r="BW3" s="125" t="s">
        <v>54</v>
      </c>
      <c r="BX3" s="114" t="s">
        <v>54</v>
      </c>
      <c r="BY3" s="39" t="s">
        <v>54</v>
      </c>
      <c r="BZ3" s="65" t="s">
        <v>54</v>
      </c>
      <c r="CA3" s="70" t="s">
        <v>54</v>
      </c>
      <c r="CB3" s="120" t="s">
        <v>54</v>
      </c>
      <c r="CC3" s="125" t="s">
        <v>54</v>
      </c>
      <c r="CD3" s="186" t="s">
        <v>54</v>
      </c>
      <c r="CE3" s="39" t="s">
        <v>54</v>
      </c>
      <c r="CF3" s="65" t="s">
        <v>54</v>
      </c>
      <c r="CG3" s="102" t="s">
        <v>54</v>
      </c>
      <c r="CH3" s="120" t="s">
        <v>54</v>
      </c>
      <c r="CI3" s="125" t="s">
        <v>54</v>
      </c>
      <c r="CJ3" s="114" t="s">
        <v>54</v>
      </c>
      <c r="CK3" s="39" t="s">
        <v>54</v>
      </c>
      <c r="CL3" s="65" t="s">
        <v>54</v>
      </c>
      <c r="CM3" s="70" t="s">
        <v>54</v>
      </c>
      <c r="CN3" s="120" t="s">
        <v>54</v>
      </c>
      <c r="CO3" s="125" t="s">
        <v>54</v>
      </c>
      <c r="CP3" s="114" t="s">
        <v>54</v>
      </c>
      <c r="CQ3" s="39" t="s">
        <v>54</v>
      </c>
      <c r="CR3" s="65" t="s">
        <v>54</v>
      </c>
      <c r="CS3" s="70" t="s">
        <v>54</v>
      </c>
      <c r="CT3" s="120" t="s">
        <v>54</v>
      </c>
      <c r="CU3" s="125" t="s">
        <v>54</v>
      </c>
      <c r="CV3" s="114" t="s">
        <v>54</v>
      </c>
      <c r="CW3" s="39" t="s">
        <v>54</v>
      </c>
      <c r="CX3" s="65" t="s">
        <v>54</v>
      </c>
      <c r="CY3" s="70" t="s">
        <v>54</v>
      </c>
      <c r="CZ3" s="120" t="s">
        <v>54</v>
      </c>
      <c r="DA3" s="125" t="s">
        <v>54</v>
      </c>
      <c r="DB3" s="114" t="s">
        <v>54</v>
      </c>
      <c r="DC3" s="39" t="s">
        <v>54</v>
      </c>
      <c r="DD3" s="65" t="s">
        <v>54</v>
      </c>
      <c r="DE3" s="70" t="s">
        <v>54</v>
      </c>
      <c r="DF3" s="120" t="s">
        <v>54</v>
      </c>
      <c r="DG3" s="125" t="s">
        <v>54</v>
      </c>
      <c r="DH3" s="114" t="s">
        <v>54</v>
      </c>
      <c r="DI3" s="39" t="s">
        <v>54</v>
      </c>
      <c r="DJ3" s="65" t="s">
        <v>54</v>
      </c>
      <c r="DK3" s="70" t="s">
        <v>54</v>
      </c>
      <c r="DL3" s="120" t="s">
        <v>54</v>
      </c>
      <c r="DM3" s="149" t="s">
        <v>54</v>
      </c>
      <c r="DN3" s="39" t="s">
        <v>54</v>
      </c>
      <c r="DO3" s="65" t="s">
        <v>54</v>
      </c>
      <c r="DP3" s="70" t="s">
        <v>54</v>
      </c>
      <c r="DQ3" s="120" t="s">
        <v>54</v>
      </c>
      <c r="DR3" s="43" t="s">
        <v>54</v>
      </c>
      <c r="DS3" s="39" t="s">
        <v>54</v>
      </c>
      <c r="DT3" s="65" t="s">
        <v>54</v>
      </c>
      <c r="DU3" s="102" t="s">
        <v>54</v>
      </c>
      <c r="DV3" s="120" t="s">
        <v>54</v>
      </c>
      <c r="DW3" s="125" t="s">
        <v>54</v>
      </c>
      <c r="DX3" s="258" t="s">
        <v>54</v>
      </c>
      <c r="DY3" s="39" t="s">
        <v>54</v>
      </c>
      <c r="DZ3" s="65" t="s">
        <v>54</v>
      </c>
      <c r="EA3" s="70" t="s">
        <v>54</v>
      </c>
      <c r="EB3" s="120" t="s">
        <v>54</v>
      </c>
      <c r="EC3" s="125" t="s">
        <v>54</v>
      </c>
      <c r="ED3" s="257" t="s">
        <v>54</v>
      </c>
      <c r="EE3" s="39" t="s">
        <v>54</v>
      </c>
      <c r="EF3" s="65" t="s">
        <v>54</v>
      </c>
      <c r="EG3" s="70" t="s">
        <v>54</v>
      </c>
      <c r="EH3" s="195" t="s">
        <v>54</v>
      </c>
      <c r="EI3" s="149" t="s">
        <v>54</v>
      </c>
      <c r="EJ3" s="39" t="s">
        <v>54</v>
      </c>
      <c r="EK3" s="65" t="s">
        <v>54</v>
      </c>
      <c r="EL3" s="102" t="s">
        <v>54</v>
      </c>
      <c r="EM3" s="149" t="s">
        <v>54</v>
      </c>
      <c r="EN3" s="39" t="s">
        <v>54</v>
      </c>
      <c r="EO3" s="65" t="s">
        <v>54</v>
      </c>
      <c r="EP3" s="70" t="s">
        <v>54</v>
      </c>
      <c r="EQ3" s="43" t="s">
        <v>54</v>
      </c>
      <c r="ER3" s="39" t="s">
        <v>54</v>
      </c>
      <c r="ES3" s="65" t="s">
        <v>54</v>
      </c>
      <c r="ET3" s="102" t="s">
        <v>54</v>
      </c>
      <c r="EU3" s="125" t="s">
        <v>54</v>
      </c>
      <c r="EV3" s="176" t="s">
        <v>54</v>
      </c>
      <c r="EW3" s="85" t="s">
        <v>54</v>
      </c>
      <c r="EX3" s="251" t="s">
        <v>54</v>
      </c>
      <c r="EY3" s="85" t="s">
        <v>54</v>
      </c>
      <c r="EZ3" s="89" t="s">
        <v>54</v>
      </c>
      <c r="FA3" s="39" t="s">
        <v>54</v>
      </c>
      <c r="FB3" s="65" t="s">
        <v>54</v>
      </c>
      <c r="FC3" s="102" t="s">
        <v>54</v>
      </c>
      <c r="FD3" s="125" t="s">
        <v>54</v>
      </c>
      <c r="FE3" s="200" t="s">
        <v>54</v>
      </c>
      <c r="FF3" s="85" t="s">
        <v>54</v>
      </c>
      <c r="FG3" s="70" t="s">
        <v>54</v>
      </c>
      <c r="FH3" s="43" t="s">
        <v>54</v>
      </c>
      <c r="FI3" s="39" t="s">
        <v>54</v>
      </c>
      <c r="FJ3" s="65" t="s">
        <v>54</v>
      </c>
      <c r="FK3" s="102" t="s">
        <v>54</v>
      </c>
      <c r="FL3" s="43" t="s">
        <v>54</v>
      </c>
      <c r="FM3" s="39" t="s">
        <v>54</v>
      </c>
      <c r="FN3" s="149" t="s">
        <v>54</v>
      </c>
      <c r="FO3" s="211" t="s">
        <v>54</v>
      </c>
      <c r="FP3" s="211" t="s">
        <v>54</v>
      </c>
      <c r="FQ3" s="39" t="s">
        <v>54</v>
      </c>
      <c r="FR3" s="65" t="s">
        <v>54</v>
      </c>
      <c r="FS3" s="102" t="s">
        <v>54</v>
      </c>
      <c r="FT3" s="114" t="s">
        <v>54</v>
      </c>
      <c r="FU3" s="85" t="s">
        <v>54</v>
      </c>
      <c r="FV3" s="102" t="s">
        <v>54</v>
      </c>
      <c r="FW3" s="149" t="s">
        <v>54</v>
      </c>
      <c r="FX3" s="31" t="s">
        <v>54</v>
      </c>
      <c r="FY3" s="294" t="s">
        <v>54</v>
      </c>
      <c r="FZ3" s="114" t="s">
        <v>54</v>
      </c>
      <c r="GA3" s="85" t="s">
        <v>54</v>
      </c>
      <c r="GB3" s="102" t="s">
        <v>54</v>
      </c>
      <c r="GC3" s="158" t="s">
        <v>54</v>
      </c>
      <c r="GD3" s="114" t="s">
        <v>54</v>
      </c>
      <c r="GE3" s="85" t="s">
        <v>54</v>
      </c>
      <c r="GF3" s="149" t="s">
        <v>54</v>
      </c>
      <c r="GG3" s="43" t="s">
        <v>54</v>
      </c>
      <c r="GH3" s="102" t="s">
        <v>54</v>
      </c>
      <c r="GI3" s="251" t="s">
        <v>54</v>
      </c>
      <c r="GJ3" s="202" t="s">
        <v>29</v>
      </c>
      <c r="GK3" s="75" t="s">
        <v>29</v>
      </c>
      <c r="GL3" s="39" t="s">
        <v>29</v>
      </c>
      <c r="GM3" s="89" t="s">
        <v>29</v>
      </c>
      <c r="GN3" s="102" t="s">
        <v>29</v>
      </c>
      <c r="GO3" s="95" t="s">
        <v>29</v>
      </c>
      <c r="GP3" s="39" t="s">
        <v>29</v>
      </c>
      <c r="GQ3" s="89" t="s">
        <v>29</v>
      </c>
      <c r="GR3" s="47" t="s">
        <v>29</v>
      </c>
      <c r="GS3" s="95" t="s">
        <v>128</v>
      </c>
      <c r="GT3" s="95" t="s">
        <v>128</v>
      </c>
      <c r="GU3" s="95" t="s">
        <v>29</v>
      </c>
      <c r="GV3" s="39" t="s">
        <v>29</v>
      </c>
      <c r="GW3" s="89" t="s">
        <v>29</v>
      </c>
      <c r="GX3" s="284" t="s">
        <v>29</v>
      </c>
      <c r="GY3" s="39" t="s">
        <v>29</v>
      </c>
      <c r="GZ3" s="102" t="s">
        <v>29</v>
      </c>
      <c r="HA3" s="114" t="s">
        <v>29</v>
      </c>
      <c r="HB3" s="277" t="s">
        <v>29</v>
      </c>
      <c r="HC3" s="39" t="s">
        <v>29</v>
      </c>
      <c r="HD3" s="89" t="s">
        <v>29</v>
      </c>
      <c r="HE3" s="39" t="s">
        <v>29</v>
      </c>
      <c r="HF3" s="75" t="s">
        <v>29</v>
      </c>
      <c r="HG3" s="39" t="s">
        <v>29</v>
      </c>
      <c r="HH3" s="102" t="s">
        <v>29</v>
      </c>
      <c r="HI3" s="186" t="s">
        <v>29</v>
      </c>
      <c r="HJ3" s="75" t="s">
        <v>29</v>
      </c>
      <c r="HK3" s="47" t="s">
        <v>29</v>
      </c>
      <c r="HL3" s="39" t="s">
        <v>29</v>
      </c>
      <c r="HM3" s="102" t="s">
        <v>29</v>
      </c>
      <c r="HN3" s="114" t="s">
        <v>29</v>
      </c>
      <c r="HO3" s="39" t="s">
        <v>29</v>
      </c>
      <c r="HP3" s="75" t="s">
        <v>29</v>
      </c>
      <c r="HQ3" s="39" t="s">
        <v>29</v>
      </c>
      <c r="HR3" s="89" t="s">
        <v>29</v>
      </c>
      <c r="HS3" s="35" t="s">
        <v>29</v>
      </c>
      <c r="HT3" s="97" t="s">
        <v>128</v>
      </c>
      <c r="HU3" s="39" t="s">
        <v>29</v>
      </c>
      <c r="HV3" s="89" t="s">
        <v>29</v>
      </c>
      <c r="HW3" s="39" t="s">
        <v>29</v>
      </c>
      <c r="HX3" s="89" t="s">
        <v>29</v>
      </c>
      <c r="HY3" s="35" t="s">
        <v>29</v>
      </c>
      <c r="HZ3" s="39" t="s">
        <v>29</v>
      </c>
      <c r="IA3" s="75" t="s">
        <v>29</v>
      </c>
      <c r="IB3" s="39" t="s">
        <v>29</v>
      </c>
      <c r="IC3" s="89" t="s">
        <v>29</v>
      </c>
      <c r="ID3" s="39" t="s">
        <v>29</v>
      </c>
      <c r="IE3" s="75" t="s">
        <v>29</v>
      </c>
      <c r="IF3" s="47" t="s">
        <v>29</v>
      </c>
      <c r="IG3" s="35" t="s">
        <v>29</v>
      </c>
      <c r="IH3" s="31" t="s">
        <v>29</v>
      </c>
      <c r="II3" s="291" t="s">
        <v>29</v>
      </c>
      <c r="IJ3" s="261" t="s">
        <v>9</v>
      </c>
      <c r="IK3" s="262" t="s">
        <v>9</v>
      </c>
      <c r="IL3" s="262" t="s">
        <v>9</v>
      </c>
      <c r="IM3" s="47" t="s">
        <v>9</v>
      </c>
      <c r="IN3" s="39" t="s">
        <v>9</v>
      </c>
      <c r="IO3" s="186" t="s">
        <v>9</v>
      </c>
      <c r="IP3" s="262" t="s">
        <v>9</v>
      </c>
      <c r="IQ3" s="262" t="s">
        <v>9</v>
      </c>
      <c r="IR3" s="262" t="s">
        <v>9</v>
      </c>
      <c r="IS3" s="262" t="s">
        <v>9</v>
      </c>
      <c r="IT3" s="262" t="s">
        <v>9</v>
      </c>
      <c r="IU3" s="262" t="s">
        <v>9</v>
      </c>
      <c r="IV3" s="262" t="s">
        <v>9</v>
      </c>
      <c r="IW3" s="262" t="s">
        <v>9</v>
      </c>
    </row>
    <row r="4" spans="1:257" s="25" customFormat="1" ht="30" customHeight="1" x14ac:dyDescent="0.25">
      <c r="A4" s="330"/>
      <c r="B4" s="330"/>
      <c r="C4" s="101" t="s">
        <v>159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330"/>
      <c r="B5" s="330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10</v>
      </c>
      <c r="B6" s="216" t="s">
        <v>207</v>
      </c>
      <c r="C6" s="217">
        <f>SUM(D6:IW6)</f>
        <v>3336.2629999999981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25.474999999999845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91.41500000000002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15.649999999999828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25.865000000000052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25.699999999999875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08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33.569999999999993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03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10"/>
      <c r="IN7" s="311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35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22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33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19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23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28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19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2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14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30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26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25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23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30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14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24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20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21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15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27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18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17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1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26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32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2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12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16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31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16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13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11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18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34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14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32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12"/>
      <c r="IN43" s="313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31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12"/>
      <c r="IN44" s="313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19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36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37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25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36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30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31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38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39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19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40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41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1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11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23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24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26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42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31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17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12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13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43</v>
      </c>
      <c r="C67" s="21">
        <f t="shared" si="4"/>
        <v>0</v>
      </c>
    </row>
    <row r="68" spans="1:241" x14ac:dyDescent="0.25">
      <c r="A68" s="130">
        <v>44342</v>
      </c>
      <c r="B68" s="23" t="s">
        <v>17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18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37</v>
      </c>
      <c r="C70" s="21">
        <f t="shared" si="4"/>
        <v>0</v>
      </c>
    </row>
    <row r="71" spans="1:241" x14ac:dyDescent="0.25">
      <c r="A71" s="130">
        <v>44343</v>
      </c>
      <c r="B71" s="29" t="s">
        <v>44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45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12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26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25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44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28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46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23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47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18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31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2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37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48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21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14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18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12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31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19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37</v>
      </c>
      <c r="C92" s="21">
        <f t="shared" si="5"/>
        <v>0</v>
      </c>
    </row>
    <row r="93" spans="1:241" x14ac:dyDescent="0.25">
      <c r="A93" s="130">
        <v>44347</v>
      </c>
      <c r="B93" s="23" t="s">
        <v>13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12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18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36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14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16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31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49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1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50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17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51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25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52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14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31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43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19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12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11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21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13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18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40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1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18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14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18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16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26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53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18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18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2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14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1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55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56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26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24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49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31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36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57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43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58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12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13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11</v>
      </c>
      <c r="C141" s="21">
        <f t="shared" si="6"/>
        <v>0</v>
      </c>
    </row>
    <row r="142" spans="1:234" x14ac:dyDescent="0.25">
      <c r="A142" s="130">
        <v>44363</v>
      </c>
      <c r="B142" s="23" t="s">
        <v>56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39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59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60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58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19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14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61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20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62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11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63</v>
      </c>
      <c r="C153" s="21">
        <f t="shared" si="6"/>
        <v>0</v>
      </c>
    </row>
    <row r="154" spans="1:241" x14ac:dyDescent="0.25">
      <c r="A154" s="130">
        <v>44364</v>
      </c>
      <c r="B154" s="23" t="s">
        <v>1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36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11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26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1</v>
      </c>
      <c r="C158" s="21">
        <f t="shared" si="6"/>
        <v>0</v>
      </c>
    </row>
    <row r="159" spans="1:241" x14ac:dyDescent="0.25">
      <c r="A159" s="130">
        <v>44368</v>
      </c>
      <c r="B159" s="23" t="s">
        <v>11</v>
      </c>
      <c r="C159" s="21">
        <f t="shared" si="6"/>
        <v>0</v>
      </c>
    </row>
    <row r="160" spans="1:241" x14ac:dyDescent="0.25">
      <c r="A160" s="130">
        <v>44369</v>
      </c>
      <c r="B160" s="23" t="s">
        <v>64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38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24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32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44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11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11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58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17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39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31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12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18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14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14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31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36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13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18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46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12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1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11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18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18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11</v>
      </c>
      <c r="C185" s="21">
        <f t="shared" si="6"/>
        <v>0</v>
      </c>
    </row>
    <row r="186" spans="1:238" x14ac:dyDescent="0.25">
      <c r="A186" s="130">
        <v>44371</v>
      </c>
      <c r="B186" s="23" t="s">
        <v>22</v>
      </c>
      <c r="C186" s="21">
        <f t="shared" si="6"/>
        <v>0</v>
      </c>
    </row>
    <row r="187" spans="1:238" x14ac:dyDescent="0.25">
      <c r="A187" s="130">
        <v>44371</v>
      </c>
      <c r="B187" s="23" t="s">
        <v>37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14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58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65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56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32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40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40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18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43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44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11</v>
      </c>
      <c r="C198" s="21">
        <f t="shared" si="6"/>
        <v>0</v>
      </c>
    </row>
    <row r="199" spans="1:223" x14ac:dyDescent="0.25">
      <c r="A199" s="130">
        <v>44375</v>
      </c>
      <c r="B199" s="23" t="s">
        <v>14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41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66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36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41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56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32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24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26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25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28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31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37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17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17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64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14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53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14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19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40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58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16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11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13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1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58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44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23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14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37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57</v>
      </c>
      <c r="C230" s="21">
        <f t="shared" si="7"/>
        <v>0</v>
      </c>
    </row>
    <row r="231" spans="1:236" x14ac:dyDescent="0.25">
      <c r="A231" s="130">
        <v>44377</v>
      </c>
      <c r="B231" s="23" t="s">
        <v>14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1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44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43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19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40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31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18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11</v>
      </c>
      <c r="C239" s="21">
        <f t="shared" si="7"/>
        <v>0</v>
      </c>
    </row>
    <row r="240" spans="1:236" x14ac:dyDescent="0.25">
      <c r="A240" s="130">
        <v>44385</v>
      </c>
      <c r="B240" s="23" t="s">
        <v>1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40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44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2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19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26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64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57</v>
      </c>
      <c r="C247" s="21">
        <f t="shared" si="7"/>
        <v>0</v>
      </c>
    </row>
    <row r="248" spans="1:241" x14ac:dyDescent="0.25">
      <c r="A248" s="130">
        <v>44389</v>
      </c>
      <c r="B248" s="23" t="s">
        <v>21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53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44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1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40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14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14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25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27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17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14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39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56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37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57</v>
      </c>
      <c r="C262" s="21">
        <f t="shared" si="7"/>
        <v>0</v>
      </c>
    </row>
    <row r="263" spans="1:229" x14ac:dyDescent="0.25">
      <c r="A263" s="130">
        <v>44403</v>
      </c>
      <c r="B263" s="23" t="s">
        <v>44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67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22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14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14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37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28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31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12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14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11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18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68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64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12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19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56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59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53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14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37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43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12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14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69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22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26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19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24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17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2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59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53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14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12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70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67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11</v>
      </c>
      <c r="C300" s="21">
        <f t="shared" si="8"/>
        <v>0</v>
      </c>
    </row>
    <row r="301" spans="1:177" x14ac:dyDescent="0.25">
      <c r="A301" s="130">
        <v>44408</v>
      </c>
      <c r="B301" s="23" t="s">
        <v>43</v>
      </c>
      <c r="C301" s="21">
        <f t="shared" si="8"/>
        <v>0</v>
      </c>
    </row>
    <row r="302" spans="1:177" x14ac:dyDescent="0.25">
      <c r="A302" s="130">
        <v>44408</v>
      </c>
      <c r="B302" s="23" t="s">
        <v>31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26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25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11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23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19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17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31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11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17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36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18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64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14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36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31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44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58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71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22</v>
      </c>
      <c r="C321" s="21">
        <f t="shared" si="8"/>
        <v>0</v>
      </c>
    </row>
    <row r="322" spans="1:223" x14ac:dyDescent="0.25">
      <c r="A322" s="130">
        <v>44415</v>
      </c>
      <c r="B322" s="23" t="s">
        <v>58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71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19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36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1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18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12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11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67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14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17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31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31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26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24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44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31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57</v>
      </c>
      <c r="C339" s="21">
        <f t="shared" si="9"/>
        <v>0</v>
      </c>
    </row>
    <row r="340" spans="1:229" x14ac:dyDescent="0.25">
      <c r="A340" s="130">
        <v>44420</v>
      </c>
      <c r="B340" s="23" t="s">
        <v>1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31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36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31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14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18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17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46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14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72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73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44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43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14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36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56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1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14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31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31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74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12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14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16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11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12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18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38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17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18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26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19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40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14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44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1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36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74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67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47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28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2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42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31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42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22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32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36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43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14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31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58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75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25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12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14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11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36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44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75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17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19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24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26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40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37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75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1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22</v>
      </c>
      <c r="C408" s="21">
        <f t="shared" si="10"/>
        <v>0</v>
      </c>
    </row>
    <row r="409" spans="1:223" x14ac:dyDescent="0.25">
      <c r="A409" s="130">
        <v>44435</v>
      </c>
      <c r="B409" s="23" t="s">
        <v>40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44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41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14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37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18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18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75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12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75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11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14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14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11</v>
      </c>
      <c r="C422" s="21">
        <f t="shared" si="10"/>
        <v>0</v>
      </c>
    </row>
    <row r="423" spans="1:158" x14ac:dyDescent="0.25">
      <c r="A423" s="130">
        <v>44439</v>
      </c>
      <c r="B423" s="23" t="s">
        <v>67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11</v>
      </c>
      <c r="C424" s="21">
        <f t="shared" si="10"/>
        <v>0</v>
      </c>
    </row>
    <row r="425" spans="1:158" x14ac:dyDescent="0.25">
      <c r="A425" s="130">
        <v>44439</v>
      </c>
      <c r="B425" s="23" t="s">
        <v>31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37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13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11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75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75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31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19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26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36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1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14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52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40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57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56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33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37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49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63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1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67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36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19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36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31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36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58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40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17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76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56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13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18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11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31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43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12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14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36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11</v>
      </c>
      <c r="C465" s="21">
        <f t="shared" si="11"/>
        <v>0</v>
      </c>
    </row>
    <row r="466" spans="1:225" x14ac:dyDescent="0.25">
      <c r="A466" s="130">
        <v>44448</v>
      </c>
      <c r="B466" s="23" t="s">
        <v>53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26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44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77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31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62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56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77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14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17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12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77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36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78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79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1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19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28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40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14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17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57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26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27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44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56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36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11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18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12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19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59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59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37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25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74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24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43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80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63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14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31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16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36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50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31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37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12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36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26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19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44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18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11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12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31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46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49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18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37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43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22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14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31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11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74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26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14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58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43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19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56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31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42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36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14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24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78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14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79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49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11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1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57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81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19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31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19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44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74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36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22</v>
      </c>
      <c r="C557" s="21">
        <f t="shared" si="12"/>
        <v>0</v>
      </c>
    </row>
    <row r="558" spans="1:242" x14ac:dyDescent="0.25">
      <c r="A558" s="130">
        <v>44470</v>
      </c>
      <c r="B558" s="23" t="s">
        <v>77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18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14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31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58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14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31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37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20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31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79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67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44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17</v>
      </c>
      <c r="C571" s="21">
        <f t="shared" si="12"/>
        <v>0</v>
      </c>
    </row>
    <row r="572" spans="1:220" x14ac:dyDescent="0.25">
      <c r="A572" s="130">
        <v>44474</v>
      </c>
      <c r="B572" s="23" t="s">
        <v>77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16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36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12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13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77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71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79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82</v>
      </c>
      <c r="C580" s="21">
        <f t="shared" si="12"/>
        <v>0</v>
      </c>
    </row>
    <row r="581" spans="1:145" x14ac:dyDescent="0.25">
      <c r="A581" s="130">
        <v>44475</v>
      </c>
      <c r="B581" s="23" t="s">
        <v>19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26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78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2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58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74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14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77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31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37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79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83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44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56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38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12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17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36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84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11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31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36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19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53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56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74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14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26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86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77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31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77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36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36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14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77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87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36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44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12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19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47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31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1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43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22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49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42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12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31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18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77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11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77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26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74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47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77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18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79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56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14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17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1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79</v>
      </c>
      <c r="C645" s="21">
        <f t="shared" si="13"/>
        <v>0</v>
      </c>
    </row>
    <row r="646" spans="1:215" x14ac:dyDescent="0.25">
      <c r="A646" s="130">
        <v>44491</v>
      </c>
      <c r="B646" s="23" t="s">
        <v>16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43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37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67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77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14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59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1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88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14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11</v>
      </c>
      <c r="C656" s="21">
        <f t="shared" si="14"/>
        <v>0</v>
      </c>
    </row>
    <row r="657" spans="1:225" x14ac:dyDescent="0.25">
      <c r="A657" s="134">
        <v>44492</v>
      </c>
      <c r="B657" s="23" t="s">
        <v>44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43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19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79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58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1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83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24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26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14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16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77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77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19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88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77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83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43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88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17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56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52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88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14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14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31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89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77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12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18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26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77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32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74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25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14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67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14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19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1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14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12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11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67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17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1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11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77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14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37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91</v>
      </c>
      <c r="C707" s="21">
        <f t="shared" si="14"/>
        <v>0</v>
      </c>
    </row>
    <row r="708" spans="1:240" x14ac:dyDescent="0.25">
      <c r="A708" s="130">
        <v>44508</v>
      </c>
      <c r="B708" s="23" t="s">
        <v>14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90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67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77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36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77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87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49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74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26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44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14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18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12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31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18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77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19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14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43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36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56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79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36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31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56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14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67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83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49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56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74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24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26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37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79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77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49</v>
      </c>
      <c r="C745" s="21">
        <f t="shared" si="15"/>
        <v>0</v>
      </c>
    </row>
    <row r="746" spans="1:173" x14ac:dyDescent="0.25">
      <c r="A746" s="130">
        <v>44518</v>
      </c>
      <c r="B746" s="23" t="s">
        <v>46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11</v>
      </c>
      <c r="C747" s="21">
        <f t="shared" si="15"/>
        <v>0</v>
      </c>
    </row>
    <row r="748" spans="1:173" x14ac:dyDescent="0.25">
      <c r="A748" s="130">
        <v>44519</v>
      </c>
      <c r="B748" s="23" t="s">
        <v>22</v>
      </c>
      <c r="C748" s="21">
        <f t="shared" si="15"/>
        <v>0</v>
      </c>
    </row>
    <row r="749" spans="1:173" x14ac:dyDescent="0.25">
      <c r="A749" s="130">
        <v>44519</v>
      </c>
      <c r="B749" s="23" t="s">
        <v>63</v>
      </c>
      <c r="C749" s="21">
        <f t="shared" si="15"/>
        <v>0</v>
      </c>
    </row>
    <row r="750" spans="1:173" x14ac:dyDescent="0.25">
      <c r="A750" s="130">
        <v>44519</v>
      </c>
      <c r="B750" s="23" t="s">
        <v>77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79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14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77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1</v>
      </c>
      <c r="C754" s="21">
        <f t="shared" si="15"/>
        <v>0</v>
      </c>
    </row>
    <row r="755" spans="1:198" x14ac:dyDescent="0.25">
      <c r="A755" s="130">
        <v>44522</v>
      </c>
      <c r="B755" s="23" t="s">
        <v>43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16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79</v>
      </c>
      <c r="C757" s="21">
        <f t="shared" si="15"/>
        <v>0</v>
      </c>
    </row>
    <row r="758" spans="1:198" x14ac:dyDescent="0.25">
      <c r="A758" s="130">
        <v>44523</v>
      </c>
      <c r="B758" s="23" t="s">
        <v>31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19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67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26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74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24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44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57</v>
      </c>
      <c r="C765" s="21">
        <f t="shared" si="15"/>
        <v>0</v>
      </c>
    </row>
    <row r="766" spans="1:198" x14ac:dyDescent="0.25">
      <c r="A766" s="130">
        <v>44525</v>
      </c>
      <c r="B766" s="23" t="s">
        <v>44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83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12</v>
      </c>
      <c r="C768" s="21">
        <f t="shared" si="15"/>
        <v>0</v>
      </c>
    </row>
    <row r="769" spans="1:234" x14ac:dyDescent="0.25">
      <c r="A769" s="130">
        <v>44529</v>
      </c>
      <c r="B769" s="23" t="s">
        <v>37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19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1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43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43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31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77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38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77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14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14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77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77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24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37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78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16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17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19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26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25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49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77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57</v>
      </c>
      <c r="C792" s="21">
        <f t="shared" si="16"/>
        <v>0</v>
      </c>
    </row>
    <row r="793" spans="1:242" x14ac:dyDescent="0.25">
      <c r="A793" s="130">
        <v>44532</v>
      </c>
      <c r="B793" s="23" t="s">
        <v>67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58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1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77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77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79</v>
      </c>
      <c r="C798" s="21">
        <f t="shared" si="16"/>
        <v>0</v>
      </c>
    </row>
    <row r="799" spans="1:242" x14ac:dyDescent="0.25">
      <c r="A799" s="130">
        <v>44536</v>
      </c>
      <c r="B799" s="23" t="s">
        <v>19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31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88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37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14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77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13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89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92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77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26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74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93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39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19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77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77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22</v>
      </c>
      <c r="C816" s="21">
        <f t="shared" si="16"/>
        <v>0</v>
      </c>
    </row>
    <row r="817" spans="1:225" x14ac:dyDescent="0.25">
      <c r="A817" s="130">
        <v>44539</v>
      </c>
      <c r="B817" s="23" t="s">
        <v>79</v>
      </c>
      <c r="C817" s="21">
        <f t="shared" si="16"/>
        <v>0</v>
      </c>
    </row>
    <row r="818" spans="1:225" x14ac:dyDescent="0.25">
      <c r="A818" s="130">
        <v>44539</v>
      </c>
      <c r="B818" s="23" t="s">
        <v>1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77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56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36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31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38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67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37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94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88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86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88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37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74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1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19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67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49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30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17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79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37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77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78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74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26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24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31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95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19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83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16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1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24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36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30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1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77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77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31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43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77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19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58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67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83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74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27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78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56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44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77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36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77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77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79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1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77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77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14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96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46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79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77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77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58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77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93</v>
      </c>
      <c r="C885" s="21">
        <f t="shared" si="17"/>
        <v>0</v>
      </c>
    </row>
    <row r="886" spans="1:249" x14ac:dyDescent="0.25">
      <c r="A886" s="130">
        <v>44557</v>
      </c>
      <c r="B886" s="23" t="s">
        <v>11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31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43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24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19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14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14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97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28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80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328" t="s">
        <v>104</v>
      </c>
      <c r="B896" s="329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07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06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07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06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06">
        <v>0.35</v>
      </c>
      <c r="HS896" s="52">
        <v>7.85</v>
      </c>
      <c r="HU896" s="53">
        <v>496.57</v>
      </c>
      <c r="HV896" s="306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14"/>
      <c r="IN896" s="315"/>
      <c r="IO896" s="54"/>
    </row>
    <row r="897" spans="1:213" x14ac:dyDescent="0.25">
      <c r="A897" s="130">
        <v>44564</v>
      </c>
      <c r="B897" s="23" t="s">
        <v>16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14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99</v>
      </c>
      <c r="C899" s="21">
        <f t="shared" si="17"/>
        <v>0</v>
      </c>
    </row>
    <row r="900" spans="1:213" x14ac:dyDescent="0.25">
      <c r="A900" s="130">
        <v>44564</v>
      </c>
      <c r="B900" s="23" t="s">
        <v>36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31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79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58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36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77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14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31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83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26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78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74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19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39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14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18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43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11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87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14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14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18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1</v>
      </c>
      <c r="C922" s="21">
        <f t="shared" si="18"/>
        <v>0</v>
      </c>
    </row>
    <row r="923" spans="1:231" x14ac:dyDescent="0.25">
      <c r="A923" s="130">
        <v>44568</v>
      </c>
      <c r="B923" s="23" t="s">
        <v>22</v>
      </c>
      <c r="C923" s="21">
        <f t="shared" si="18"/>
        <v>0</v>
      </c>
    </row>
    <row r="924" spans="1:231" x14ac:dyDescent="0.25">
      <c r="A924" s="130">
        <v>44568</v>
      </c>
      <c r="B924" s="23" t="s">
        <v>78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26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19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25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36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56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79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100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14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24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1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56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36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77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77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74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27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26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24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44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83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19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67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11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12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79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77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77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31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31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77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37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43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36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11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88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77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37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36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14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58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14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77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74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26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11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43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16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77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44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77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58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1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36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37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77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77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19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67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79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12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11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18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56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18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83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58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77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31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36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1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83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221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94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77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74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93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77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36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36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77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14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14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36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12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31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77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39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28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12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95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31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74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26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58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19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12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16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14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18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26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79</v>
      </c>
      <c r="C1025" s="21">
        <f t="shared" si="19"/>
        <v>0</v>
      </c>
    </row>
    <row r="1026" spans="1:238" x14ac:dyDescent="0.25">
      <c r="A1026" s="134">
        <v>44596</v>
      </c>
      <c r="B1026" s="23" t="s">
        <v>22</v>
      </c>
      <c r="C1026" s="21">
        <f t="shared" si="19"/>
        <v>0</v>
      </c>
    </row>
    <row r="1027" spans="1:238" x14ac:dyDescent="0.25">
      <c r="A1027" s="130">
        <v>44597</v>
      </c>
      <c r="B1027" s="23" t="s">
        <v>77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77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1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44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77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77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77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77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77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56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43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14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67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31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14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94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77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12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49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77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11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14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12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11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94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12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18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77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38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77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36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79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18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46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14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77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57</v>
      </c>
      <c r="C1063" s="21">
        <f t="shared" si="20"/>
        <v>0</v>
      </c>
    </row>
    <row r="1064" spans="1:231" x14ac:dyDescent="0.25">
      <c r="A1064" s="130">
        <v>44603</v>
      </c>
      <c r="B1064" s="24" t="s">
        <v>14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101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42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11</v>
      </c>
      <c r="C1067" s="21">
        <f t="shared" si="20"/>
        <v>0</v>
      </c>
    </row>
    <row r="1068" spans="1:231" x14ac:dyDescent="0.25">
      <c r="A1068" s="130">
        <v>44606</v>
      </c>
      <c r="B1068" s="24" t="s">
        <v>36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77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77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94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77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31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74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83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19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26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79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71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102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93</v>
      </c>
      <c r="C1081" s="21">
        <f t="shared" si="20"/>
        <v>0</v>
      </c>
    </row>
    <row r="1082" spans="1:223" x14ac:dyDescent="0.25">
      <c r="A1082" s="130">
        <v>44608</v>
      </c>
      <c r="B1082" s="24" t="s">
        <v>31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74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58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36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31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71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39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1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77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16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103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58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77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19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52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71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26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16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77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56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94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31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36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44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79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77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94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67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43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14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36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37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77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28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26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44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14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14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105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36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56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71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14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44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32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94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11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31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1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36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77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77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11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77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31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14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37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26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74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28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106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83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94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31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77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77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36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14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49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13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107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39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14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12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99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77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17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36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77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12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77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38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99</v>
      </c>
      <c r="C1164" s="21">
        <f t="shared" si="22"/>
        <v>0</v>
      </c>
    </row>
    <row r="1165" spans="1:231" x14ac:dyDescent="0.25">
      <c r="A1165" s="130">
        <v>44627</v>
      </c>
      <c r="B1165" s="24" t="s">
        <v>58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43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58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11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49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31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71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95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74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39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19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108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221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31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11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14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106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31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94</v>
      </c>
      <c r="C1183" s="21">
        <f t="shared" si="22"/>
        <v>0</v>
      </c>
    </row>
    <row r="1184" spans="1:241" x14ac:dyDescent="0.25">
      <c r="A1184" s="130">
        <v>44635</v>
      </c>
      <c r="B1184" s="18" t="s">
        <v>30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58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79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77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11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13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12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16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77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56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71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19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18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18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31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77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43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32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93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74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26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107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14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77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71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44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77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77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77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58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77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79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77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14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31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1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39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19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11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77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43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77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77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14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74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78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77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77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36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26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79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109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109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37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65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36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106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16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14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110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77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12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77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71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71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13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12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11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43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13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77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77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94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71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31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14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14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31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79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17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19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83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74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24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11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79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56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14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111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1</v>
      </c>
      <c r="C1273" s="21">
        <f t="shared" si="23"/>
        <v>0</v>
      </c>
    </row>
    <row r="1274" spans="1:234" x14ac:dyDescent="0.25">
      <c r="A1274" s="130">
        <v>44651</v>
      </c>
      <c r="B1274" s="24" t="s">
        <v>17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56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77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58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30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77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77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94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14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83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113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37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19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78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24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74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26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31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14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14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12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79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88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79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56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114</v>
      </c>
      <c r="C1299" s="21">
        <f t="shared" si="24"/>
        <v>0</v>
      </c>
    </row>
    <row r="1300" spans="1:241" x14ac:dyDescent="0.25">
      <c r="A1300" s="130">
        <v>44658</v>
      </c>
      <c r="B1300" s="24" t="s">
        <v>14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56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18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31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12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56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58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19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14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16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106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36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79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30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43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31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19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44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112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24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26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114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79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31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24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77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56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36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36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24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13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16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1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79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31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19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106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53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115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116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117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118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61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119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77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94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94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56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120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14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77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12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24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31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89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14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79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116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74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26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24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52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121</v>
      </c>
      <c r="C1362" s="21">
        <f t="shared" si="25"/>
        <v>0</v>
      </c>
    </row>
    <row r="1363" spans="1:241" x14ac:dyDescent="0.25">
      <c r="A1363" s="130">
        <v>44672</v>
      </c>
      <c r="B1363" s="24" t="s">
        <v>13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56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30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74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38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115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1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77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37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107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19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31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107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43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1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16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77</v>
      </c>
      <c r="C1379" s="21">
        <f t="shared" si="25"/>
        <v>0</v>
      </c>
    </row>
    <row r="1380" spans="1:101" x14ac:dyDescent="0.25">
      <c r="A1380" s="130">
        <v>44677</v>
      </c>
      <c r="B1380" s="24" t="s">
        <v>14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31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77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122</v>
      </c>
      <c r="C1383" s="21">
        <f t="shared" si="25"/>
        <v>0</v>
      </c>
    </row>
    <row r="1384" spans="1:101" x14ac:dyDescent="0.25">
      <c r="A1384" s="130">
        <v>44677</v>
      </c>
      <c r="B1384" s="24" t="s">
        <v>79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32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24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31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19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31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112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32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19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39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17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14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77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14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56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77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77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79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14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13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123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16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14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77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67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94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77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77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26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74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24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78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83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31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11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14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79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52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122</v>
      </c>
      <c r="C1422" s="21">
        <f t="shared" si="26"/>
        <v>0</v>
      </c>
    </row>
    <row r="1423" spans="1:187" x14ac:dyDescent="0.25">
      <c r="A1423" s="130">
        <v>44692</v>
      </c>
      <c r="B1423" s="24" t="s">
        <v>44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77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11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63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11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14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77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122</v>
      </c>
      <c r="C1430" s="21">
        <f t="shared" si="26"/>
        <v>0</v>
      </c>
    </row>
    <row r="1431" spans="1:219" x14ac:dyDescent="0.25">
      <c r="A1431" s="130">
        <v>44694</v>
      </c>
      <c r="B1431" s="24" t="s">
        <v>31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58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24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56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77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39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37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36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37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74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26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32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24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83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19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80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67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30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99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79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14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19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93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14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58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36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125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124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126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13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19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24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58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19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78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24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26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27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126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67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56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25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14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37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112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112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14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77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43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58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31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126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129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1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71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130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31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14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74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36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19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39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32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24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83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93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126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16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43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87</v>
      </c>
      <c r="C1500" s="21">
        <f t="shared" si="27"/>
        <v>0</v>
      </c>
    </row>
    <row r="1501" spans="1:229" x14ac:dyDescent="0.25">
      <c r="A1501" s="130">
        <v>44712</v>
      </c>
      <c r="B1501" s="24" t="s">
        <v>28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120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117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131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21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132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79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14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130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31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79</v>
      </c>
      <c r="C1511" s="21">
        <f t="shared" si="27"/>
        <v>0</v>
      </c>
    </row>
    <row r="1512" spans="1:240" x14ac:dyDescent="0.25">
      <c r="A1512" s="130">
        <v>44712</v>
      </c>
      <c r="B1512" s="24" t="s">
        <v>79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105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28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126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94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38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49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14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56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19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126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14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77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58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58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133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19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134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43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43</v>
      </c>
      <c r="C1531" s="21">
        <f t="shared" si="28"/>
        <v>0</v>
      </c>
    </row>
    <row r="1532" spans="1:228" x14ac:dyDescent="0.25">
      <c r="A1532" s="130">
        <v>44719</v>
      </c>
      <c r="B1532" s="24" t="s">
        <v>112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16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24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26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126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93</v>
      </c>
      <c r="C1537" s="21">
        <f t="shared" si="28"/>
        <v>0</v>
      </c>
    </row>
    <row r="1538" spans="1:228" x14ac:dyDescent="0.25">
      <c r="A1538" s="130">
        <v>44719</v>
      </c>
      <c r="B1538" s="24" t="s">
        <v>74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87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22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14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42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16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13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36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132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135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135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63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132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32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126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74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155</v>
      </c>
      <c r="C1554" s="21">
        <f t="shared" si="28"/>
        <v>0</v>
      </c>
    </row>
    <row r="1555" spans="1:186" x14ac:dyDescent="0.25">
      <c r="A1555" s="130">
        <v>44725</v>
      </c>
      <c r="B1555" s="24" t="s">
        <v>79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14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132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77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77</v>
      </c>
      <c r="C1559" s="21">
        <f t="shared" si="28"/>
        <v>0</v>
      </c>
    </row>
    <row r="1560" spans="1:186" x14ac:dyDescent="0.25">
      <c r="A1560" s="130">
        <v>44726</v>
      </c>
      <c r="B1560" s="24" t="s">
        <v>83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25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26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74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79</v>
      </c>
      <c r="C1564" s="21">
        <f t="shared" si="28"/>
        <v>0</v>
      </c>
    </row>
    <row r="1565" spans="1:186" x14ac:dyDescent="0.25">
      <c r="A1565" s="130">
        <v>44727</v>
      </c>
      <c r="B1565" s="23" t="s">
        <v>14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49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126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112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19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83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25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30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132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134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31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77</v>
      </c>
      <c r="C1576" s="21">
        <f t="shared" si="28"/>
        <v>0</v>
      </c>
    </row>
    <row r="1577" spans="1:223" x14ac:dyDescent="0.25">
      <c r="A1577" s="130">
        <v>44729</v>
      </c>
      <c r="B1577" s="24" t="s">
        <v>37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77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77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110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36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79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43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132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11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67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36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14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31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109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19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24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74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137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136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126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57</v>
      </c>
      <c r="C1597" s="21">
        <f t="shared" si="29"/>
        <v>0</v>
      </c>
    </row>
    <row r="1598" spans="1:207" x14ac:dyDescent="0.25">
      <c r="A1598" s="130">
        <v>44733</v>
      </c>
      <c r="B1598" s="24" t="s">
        <v>135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36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56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14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13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11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79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39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11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16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36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24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19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112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11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1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49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26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122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74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24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39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94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126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1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36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16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138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83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109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132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14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58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13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12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18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13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1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94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14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221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132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31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77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139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19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14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94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134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137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26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71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63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95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47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18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110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138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79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19</v>
      </c>
      <c r="C1657" s="21">
        <f t="shared" si="30"/>
        <v>0</v>
      </c>
    </row>
    <row r="1658" spans="1:231" x14ac:dyDescent="0.25">
      <c r="A1658" s="130">
        <v>44747</v>
      </c>
      <c r="B1658" s="24" t="s">
        <v>43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137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74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16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14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16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112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79</v>
      </c>
      <c r="C1665" s="21">
        <f t="shared" si="30"/>
        <v>0</v>
      </c>
    </row>
    <row r="1666" spans="1:242" x14ac:dyDescent="0.25">
      <c r="A1666" s="136">
        <v>44760</v>
      </c>
      <c r="B1666" s="64" t="s">
        <v>67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47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124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132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94</v>
      </c>
      <c r="C1670" s="21">
        <f t="shared" si="30"/>
        <v>0</v>
      </c>
    </row>
    <row r="1671" spans="1:242" x14ac:dyDescent="0.25">
      <c r="A1671" s="136">
        <v>44761</v>
      </c>
      <c r="B1671" s="19" t="s">
        <v>14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78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19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126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138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31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135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122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95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26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136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139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74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221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74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19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24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36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143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14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132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122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94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144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140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43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145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24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13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132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16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14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132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14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28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58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57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112</v>
      </c>
      <c r="C1708" s="21">
        <f t="shared" si="30"/>
        <v>0</v>
      </c>
    </row>
    <row r="1709" spans="1:122" x14ac:dyDescent="0.25">
      <c r="A1709" s="130">
        <v>44764</v>
      </c>
      <c r="B1709" s="24" t="s">
        <v>58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77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16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145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71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122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31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78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26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137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19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24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126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19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83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138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145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36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31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134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16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137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24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132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138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28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143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83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122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19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145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1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24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16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122</v>
      </c>
      <c r="C1743" s="21">
        <f t="shared" si="31"/>
        <v>0</v>
      </c>
    </row>
    <row r="1744" spans="1:238" x14ac:dyDescent="0.25">
      <c r="A1744" s="130">
        <v>44775</v>
      </c>
      <c r="B1744" s="24" t="s">
        <v>74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14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146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102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77</v>
      </c>
      <c r="C1748" s="21">
        <f t="shared" si="31"/>
        <v>0</v>
      </c>
    </row>
    <row r="1749" spans="1:240" x14ac:dyDescent="0.25">
      <c r="A1749" s="130">
        <v>44775</v>
      </c>
      <c r="B1749" s="24" t="s">
        <v>71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139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36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58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112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16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132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14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88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78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19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30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58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13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147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112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137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49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148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11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77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58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130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36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94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56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112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126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49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30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25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137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19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58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31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112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112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88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43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19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137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28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122</v>
      </c>
      <c r="C1791" s="21">
        <f t="shared" si="32"/>
        <v>0</v>
      </c>
    </row>
    <row r="1792" spans="1:208" x14ac:dyDescent="0.25">
      <c r="A1792" s="130">
        <v>44785</v>
      </c>
      <c r="B1792" s="24" t="s">
        <v>19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149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39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150</v>
      </c>
      <c r="C1795" s="21">
        <f t="shared" si="32"/>
        <v>0</v>
      </c>
    </row>
    <row r="1796" spans="1:229" x14ac:dyDescent="0.25">
      <c r="A1796" s="130">
        <v>44785</v>
      </c>
      <c r="B1796" s="24" t="s">
        <v>16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58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64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31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94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132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36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146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149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138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126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74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31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25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19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146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64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1</v>
      </c>
      <c r="C1813" s="21">
        <f t="shared" si="32"/>
        <v>0</v>
      </c>
    </row>
    <row r="1814" spans="1:226" x14ac:dyDescent="0.25">
      <c r="A1814" s="130">
        <v>44790</v>
      </c>
      <c r="B1814" s="24" t="s">
        <v>112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112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138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31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77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88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132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94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14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16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102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121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145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16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36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16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14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17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28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16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17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58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67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17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14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143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19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24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112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149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31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94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14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17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132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71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58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19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83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133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25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74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138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49</v>
      </c>
      <c r="C1857" s="21">
        <f t="shared" si="33"/>
        <v>0</v>
      </c>
    </row>
    <row r="1858" spans="1:199" x14ac:dyDescent="0.25">
      <c r="A1858" s="130">
        <v>44796</v>
      </c>
      <c r="B1858" s="24" t="s">
        <v>94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146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150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43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94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11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19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126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32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138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77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58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64</v>
      </c>
      <c r="C1870" s="21">
        <f t="shared" si="33"/>
        <v>0</v>
      </c>
    </row>
    <row r="1871" spans="1:199" x14ac:dyDescent="0.25">
      <c r="A1871" s="130">
        <v>44798</v>
      </c>
      <c r="B1871" s="24" t="s">
        <v>67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151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137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112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14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25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130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39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19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36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58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152</v>
      </c>
      <c r="C1882" s="21">
        <f t="shared" si="33"/>
        <v>0</v>
      </c>
    </row>
    <row r="1883" spans="1:226" x14ac:dyDescent="0.25">
      <c r="A1883" s="130">
        <v>44799</v>
      </c>
      <c r="B1883" s="24" t="s">
        <v>63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132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88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64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114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114</v>
      </c>
      <c r="C1888" s="21">
        <f t="shared" si="33"/>
        <v>0</v>
      </c>
    </row>
    <row r="1889" spans="1:220" x14ac:dyDescent="0.25">
      <c r="A1889" s="130">
        <v>44802</v>
      </c>
      <c r="B1889" s="24" t="s">
        <v>52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135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138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126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57</v>
      </c>
      <c r="C1893" s="21">
        <f t="shared" si="33"/>
        <v>0</v>
      </c>
    </row>
    <row r="1894" spans="1:220" x14ac:dyDescent="0.25">
      <c r="A1894" s="130">
        <v>44803</v>
      </c>
      <c r="B1894" s="24" t="s">
        <v>74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137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25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19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36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81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58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153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24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36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71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112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160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154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151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132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14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151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143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94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19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137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16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126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24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64</v>
      </c>
      <c r="C1919" s="21">
        <f t="shared" si="34"/>
        <v>0</v>
      </c>
    </row>
    <row r="1920" spans="1:214" x14ac:dyDescent="0.25">
      <c r="A1920" s="130">
        <v>44807</v>
      </c>
      <c r="B1920" s="24" t="s">
        <v>112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36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88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43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152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36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31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112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64</v>
      </c>
      <c r="C1928" s="21">
        <f t="shared" si="34"/>
        <v>0</v>
      </c>
    </row>
    <row r="1929" spans="1:227" x14ac:dyDescent="0.25">
      <c r="A1929" s="130">
        <v>44810</v>
      </c>
      <c r="B1929" s="24" t="s">
        <v>67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58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110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74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94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221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19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16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138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36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135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126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109</v>
      </c>
      <c r="C1941" s="21">
        <f t="shared" si="34"/>
        <v>0</v>
      </c>
    </row>
    <row r="1942" spans="1:231" x14ac:dyDescent="0.25">
      <c r="A1942" s="130">
        <v>44811</v>
      </c>
      <c r="B1942" s="24" t="s">
        <v>136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112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56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149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132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19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39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67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14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13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49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18</v>
      </c>
      <c r="C1953" s="21">
        <f t="shared" si="34"/>
        <v>0</v>
      </c>
    </row>
    <row r="1954" spans="1:240" x14ac:dyDescent="0.25">
      <c r="A1954" s="130">
        <v>44813</v>
      </c>
      <c r="B1954" s="24" t="s">
        <v>122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58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88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112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77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140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150</v>
      </c>
      <c r="C1960" s="21">
        <f t="shared" si="34"/>
        <v>0</v>
      </c>
    </row>
    <row r="1961" spans="1:240" x14ac:dyDescent="0.25">
      <c r="A1961" s="130">
        <v>44816</v>
      </c>
      <c r="B1961" s="24" t="s">
        <v>114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112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112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63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30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19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28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149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138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135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24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26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94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16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132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136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31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52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58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151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16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64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19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38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63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58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152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43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132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30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122</v>
      </c>
      <c r="C1991" s="21">
        <f t="shared" si="35"/>
        <v>0</v>
      </c>
    </row>
    <row r="1992" spans="1:225" x14ac:dyDescent="0.25">
      <c r="A1992" s="130">
        <v>44820</v>
      </c>
      <c r="B1992" s="24" t="s">
        <v>93</v>
      </c>
      <c r="C1992" s="21">
        <f t="shared" si="35"/>
        <v>0</v>
      </c>
    </row>
    <row r="1993" spans="1:225" x14ac:dyDescent="0.25">
      <c r="A1993" s="130">
        <v>44820</v>
      </c>
      <c r="B1993" s="24" t="s">
        <v>83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94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77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112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42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132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16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77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43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30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28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19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152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58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64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78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24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32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137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138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83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30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146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161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74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24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88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31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145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42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112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42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77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19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163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145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162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56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88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58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36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42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58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126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138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139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43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14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161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126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135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32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25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130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42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139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151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82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39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150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38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14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14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83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64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16</v>
      </c>
      <c r="C2058" s="21">
        <f t="shared" si="36"/>
        <v>0</v>
      </c>
    </row>
    <row r="2059" spans="1:221" x14ac:dyDescent="0.25">
      <c r="A2059" s="130">
        <v>44833</v>
      </c>
      <c r="B2059" s="24" t="s">
        <v>138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47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77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132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112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112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164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151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14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36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31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132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112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138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19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161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28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93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135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24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30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83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143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78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36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42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42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42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43</v>
      </c>
      <c r="C2087" s="21">
        <f t="shared" si="36"/>
        <v>0</v>
      </c>
    </row>
    <row r="2088" spans="1:214" x14ac:dyDescent="0.25">
      <c r="A2088" s="130">
        <v>44839</v>
      </c>
      <c r="B2088" s="24" t="s">
        <v>151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14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112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42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42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83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12</v>
      </c>
      <c r="C2094" s="21">
        <f t="shared" si="36"/>
        <v>0</v>
      </c>
    </row>
    <row r="2095" spans="1:214" x14ac:dyDescent="0.25">
      <c r="A2095" s="130">
        <v>44841</v>
      </c>
      <c r="B2095" s="24" t="s">
        <v>19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24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36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164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42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24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126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74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138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19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82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31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78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43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16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14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13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36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112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151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109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42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132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14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39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133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83</v>
      </c>
      <c r="C2121" s="21">
        <f t="shared" si="37"/>
        <v>0</v>
      </c>
    </row>
    <row r="2122" spans="1:221" x14ac:dyDescent="0.25">
      <c r="A2122" s="130">
        <v>44851</v>
      </c>
      <c r="B2122" s="24" t="s">
        <v>112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14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151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36</v>
      </c>
      <c r="C2125" s="21">
        <f t="shared" si="37"/>
        <v>0</v>
      </c>
    </row>
    <row r="2126" spans="1:221" x14ac:dyDescent="0.25">
      <c r="A2126" s="130">
        <v>44851</v>
      </c>
      <c r="B2126" s="24" t="s">
        <v>42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132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56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82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136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138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31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36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25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24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78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26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137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87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67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152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88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132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14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13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112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138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19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14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36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112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77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47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47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145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152</v>
      </c>
      <c r="C2156" s="21">
        <f t="shared" si="37"/>
        <v>0</v>
      </c>
    </row>
    <row r="2157" spans="1:232" x14ac:dyDescent="0.25">
      <c r="A2157" s="130">
        <v>44859</v>
      </c>
      <c r="B2157" s="24" t="s">
        <v>138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149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19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83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24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74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31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67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112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36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31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43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77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132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16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94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38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94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82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19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126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152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166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151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151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138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67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165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126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81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74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16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19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24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31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132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94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14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166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112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112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56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56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42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19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132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31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83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67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56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167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31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42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166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148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83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143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43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137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24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165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58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112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112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112</v>
      </c>
      <c r="C2221" s="21">
        <f t="shared" si="38"/>
        <v>0</v>
      </c>
    </row>
    <row r="2222" spans="1:214" x14ac:dyDescent="0.25">
      <c r="A2222" s="130">
        <v>44874</v>
      </c>
      <c r="B2222" s="24" t="s">
        <v>151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42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14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132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16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42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31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152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24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126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58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112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31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132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42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14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56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83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126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67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167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31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25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19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43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58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112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58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74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36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81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30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151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36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13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109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138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132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151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112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132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58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94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31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132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16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43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58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74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39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138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24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143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83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112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36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36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67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112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36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132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16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58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138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161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24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38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94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58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112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151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132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94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94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43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64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83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19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137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126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138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74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39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31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31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67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49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112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134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151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132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94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57</v>
      </c>
      <c r="C2314" s="21">
        <f t="shared" si="40"/>
        <v>0</v>
      </c>
    </row>
    <row r="2315" spans="1:236" x14ac:dyDescent="0.25">
      <c r="A2315" s="130">
        <v>44898</v>
      </c>
      <c r="B2315" s="24" t="s">
        <v>166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148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154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82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126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24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19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43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112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57</v>
      </c>
      <c r="C2324" s="21">
        <f t="shared" si="40"/>
        <v>0</v>
      </c>
    </row>
    <row r="2325" spans="1:235" x14ac:dyDescent="0.25">
      <c r="A2325" s="130">
        <v>44902</v>
      </c>
      <c r="B2325" s="24" t="s">
        <v>24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126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151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58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71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14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132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67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112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36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64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132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30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138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49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126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42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42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42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31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19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152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83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133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43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152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112</v>
      </c>
      <c r="C2351" s="21">
        <f t="shared" si="40"/>
        <v>0</v>
      </c>
    </row>
    <row r="2352" spans="1:235" x14ac:dyDescent="0.25">
      <c r="A2352" s="130">
        <v>44909</v>
      </c>
      <c r="B2352" s="24" t="s">
        <v>16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42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64</v>
      </c>
      <c r="C2354" s="21">
        <f t="shared" si="41"/>
        <v>0</v>
      </c>
    </row>
    <row r="2355" spans="1:150" x14ac:dyDescent="0.25">
      <c r="A2355" s="130">
        <v>44910</v>
      </c>
      <c r="B2355" s="24" t="s">
        <v>166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112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139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12</v>
      </c>
      <c r="C2358" s="21">
        <f t="shared" si="41"/>
        <v>0</v>
      </c>
    </row>
    <row r="2359" spans="1:150" x14ac:dyDescent="0.25">
      <c r="A2359" s="130">
        <v>44911</v>
      </c>
      <c r="B2359" s="24" t="s">
        <v>145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152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151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16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139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13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56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58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58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136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161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24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138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49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26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137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30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74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112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148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16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16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132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137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43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134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14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58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14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58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28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11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64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38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49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145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154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161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137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39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24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74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43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42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64</v>
      </c>
      <c r="C2403" s="21">
        <f t="shared" si="41"/>
        <v>0</v>
      </c>
    </row>
    <row r="2404" spans="1:236" x14ac:dyDescent="0.25">
      <c r="A2404" s="130">
        <v>44923</v>
      </c>
      <c r="B2404" s="24" t="s">
        <v>154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132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31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112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38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94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132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31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151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30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132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221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43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58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14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112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12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13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160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31</v>
      </c>
      <c r="C2423" s="21">
        <f t="shared" si="42"/>
        <v>0</v>
      </c>
    </row>
    <row r="2424" spans="1:131" x14ac:dyDescent="0.25">
      <c r="A2424" s="130">
        <v>44929</v>
      </c>
      <c r="B2424" s="24" t="s">
        <v>71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138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137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83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57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25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19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112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160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165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132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160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49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58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83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31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64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58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74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26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138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24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160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43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132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152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151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150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110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160</v>
      </c>
      <c r="C2453" s="21">
        <f t="shared" si="42"/>
        <v>0</v>
      </c>
    </row>
    <row r="2454" spans="1:224" x14ac:dyDescent="0.25">
      <c r="A2454" s="130">
        <v>44938</v>
      </c>
      <c r="B2454" s="24" t="s">
        <v>151</v>
      </c>
      <c r="C2454" s="21">
        <f t="shared" si="42"/>
        <v>0</v>
      </c>
    </row>
    <row r="2455" spans="1:224" x14ac:dyDescent="0.25">
      <c r="A2455" s="130">
        <v>44938</v>
      </c>
      <c r="B2455" s="24" t="s">
        <v>58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130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67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112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132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150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83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114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139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168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31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132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64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43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11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81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30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24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138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126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74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78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47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112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64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151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58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130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31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132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143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58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169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151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67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19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78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49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74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137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43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83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124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36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170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161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112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132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64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47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126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56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143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24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74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19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138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47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151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171</v>
      </c>
      <c r="C2514" s="21">
        <f t="shared" si="43"/>
        <v>0</v>
      </c>
    </row>
    <row r="2515" spans="1:238" x14ac:dyDescent="0.25">
      <c r="A2515" s="130">
        <v>44957</v>
      </c>
      <c r="B2515" s="24" t="s">
        <v>171</v>
      </c>
      <c r="C2515" s="21">
        <f t="shared" si="43"/>
        <v>0</v>
      </c>
    </row>
    <row r="2516" spans="1:238" x14ac:dyDescent="0.25">
      <c r="A2516" s="130">
        <v>44957</v>
      </c>
      <c r="B2516" s="24" t="s">
        <v>145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19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31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150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148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145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49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43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172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112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112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112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64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151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132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31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49</v>
      </c>
      <c r="C2532" s="21">
        <f t="shared" si="43"/>
        <v>0</v>
      </c>
    </row>
    <row r="2533" spans="1:216" x14ac:dyDescent="0.25">
      <c r="A2533" s="130">
        <v>44963</v>
      </c>
      <c r="B2533" s="24" t="s">
        <v>49</v>
      </c>
      <c r="C2533" s="21">
        <f t="shared" si="43"/>
        <v>0</v>
      </c>
    </row>
    <row r="2534" spans="1:216" x14ac:dyDescent="0.25">
      <c r="A2534" s="130">
        <v>44964</v>
      </c>
      <c r="B2534" s="24" t="s">
        <v>138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74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19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64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36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16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43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31</v>
      </c>
      <c r="C2541" s="21">
        <f t="shared" si="43"/>
        <v>0</v>
      </c>
    </row>
    <row r="2542" spans="1:216" x14ac:dyDescent="0.25">
      <c r="A2542" s="130">
        <v>44967</v>
      </c>
      <c r="B2542" s="24" t="s">
        <v>30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67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38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112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56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16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36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47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16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137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74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138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25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126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49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24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49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47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162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52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82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26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151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19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148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31</v>
      </c>
      <c r="C2567" s="21">
        <f t="shared" si="44"/>
        <v>0</v>
      </c>
    </row>
    <row r="2568" spans="1:199" x14ac:dyDescent="0.25">
      <c r="A2568" s="130">
        <v>44974</v>
      </c>
      <c r="B2568" s="24" t="s">
        <v>132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77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43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47</v>
      </c>
      <c r="C2571" s="21">
        <f t="shared" si="44"/>
        <v>0</v>
      </c>
    </row>
    <row r="2572" spans="1:199" x14ac:dyDescent="0.25">
      <c r="A2572" s="130">
        <v>44977</v>
      </c>
      <c r="B2572" s="24" t="s">
        <v>30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64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148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78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172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19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112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43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16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77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77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31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166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31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151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132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36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77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77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77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16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67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58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132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16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47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138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112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77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77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56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112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36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67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30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26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30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19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74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137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32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78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161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24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150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77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132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82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28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112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114</v>
      </c>
      <c r="C2622" s="21">
        <f t="shared" si="45"/>
        <v>0</v>
      </c>
    </row>
    <row r="2623" spans="1:199" x14ac:dyDescent="0.25">
      <c r="A2623" s="130">
        <v>44960</v>
      </c>
      <c r="B2623" s="24" t="s">
        <v>151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77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31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77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112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138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47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36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150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13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173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78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43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42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19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83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26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81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25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74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56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112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11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77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18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133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36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36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39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114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64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43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112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87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30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132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77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126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24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47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67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77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150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151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13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148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18</v>
      </c>
      <c r="C2669" s="21">
        <f t="shared" si="45"/>
        <v>0</v>
      </c>
    </row>
    <row r="2670" spans="1:217" x14ac:dyDescent="0.25">
      <c r="A2670" s="130">
        <v>44998</v>
      </c>
      <c r="B2670" s="24" t="s">
        <v>77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47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42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42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74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49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151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19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138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82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26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28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137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36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112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16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132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31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77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19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43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114</v>
      </c>
      <c r="C2691" s="21">
        <f t="shared" si="46"/>
        <v>0</v>
      </c>
    </row>
    <row r="2692" spans="1:224" x14ac:dyDescent="0.25">
      <c r="A2692" s="130">
        <v>45002</v>
      </c>
      <c r="B2692" s="24" t="s">
        <v>162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16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139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112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36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36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56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64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126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110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42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132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77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148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19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137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74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78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166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56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151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42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31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110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47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16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16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30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74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26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126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150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31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132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16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42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43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78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49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19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16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138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47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77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151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16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47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36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112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16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94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58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82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151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36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47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132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166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77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16</v>
      </c>
      <c r="C2751" s="21">
        <f t="shared" si="47"/>
        <v>0</v>
      </c>
    </row>
    <row r="2752" spans="1:228" x14ac:dyDescent="0.25">
      <c r="A2752" s="130">
        <v>45016</v>
      </c>
      <c r="B2752" s="24" t="s">
        <v>160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19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36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42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47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112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114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64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146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19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138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114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114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168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112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112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31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114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13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114</v>
      </c>
      <c r="C2771" s="21">
        <f t="shared" si="47"/>
        <v>0</v>
      </c>
    </row>
    <row r="2772" spans="1:199" x14ac:dyDescent="0.25">
      <c r="A2772" s="130">
        <v>45022</v>
      </c>
      <c r="B2772" s="24" t="s">
        <v>82</v>
      </c>
      <c r="C2772" s="21">
        <f t="shared" si="47"/>
        <v>0</v>
      </c>
    </row>
    <row r="2773" spans="1:199" x14ac:dyDescent="0.25">
      <c r="A2773" s="130">
        <v>45022</v>
      </c>
      <c r="B2773" s="29" t="s">
        <v>38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83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132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31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43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174</v>
      </c>
      <c r="C2778" s="21">
        <f t="shared" si="47"/>
        <v>0</v>
      </c>
    </row>
    <row r="2779" spans="1:199" x14ac:dyDescent="0.25">
      <c r="A2779" s="130">
        <v>45023</v>
      </c>
      <c r="B2779" s="29" t="s">
        <v>67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148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112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151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77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42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94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138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19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32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112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47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31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138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173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36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132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77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151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112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47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132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47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114</v>
      </c>
      <c r="C2802" s="21">
        <f t="shared" si="48"/>
        <v>0</v>
      </c>
    </row>
    <row r="2803" spans="1:146" x14ac:dyDescent="0.25">
      <c r="A2803" s="130">
        <v>45033</v>
      </c>
      <c r="B2803" s="29" t="s">
        <v>114</v>
      </c>
      <c r="C2803" s="21">
        <f t="shared" si="48"/>
        <v>0</v>
      </c>
    </row>
    <row r="2804" spans="1:146" x14ac:dyDescent="0.25">
      <c r="A2804" s="130">
        <v>45033</v>
      </c>
      <c r="B2804" s="24" t="s">
        <v>77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64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151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31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26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16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166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19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161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47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67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221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132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43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36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16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173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57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56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112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132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42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19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137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74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36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31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93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16</v>
      </c>
      <c r="C2832" s="21">
        <f t="shared" si="48"/>
        <v>0</v>
      </c>
    </row>
    <row r="2833" spans="1:221" x14ac:dyDescent="0.25">
      <c r="A2833" s="130">
        <v>45041</v>
      </c>
      <c r="B2833" s="24" t="s">
        <v>16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16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67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138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114</v>
      </c>
      <c r="C2837" s="21">
        <f t="shared" si="48"/>
        <v>0</v>
      </c>
    </row>
    <row r="2838" spans="1:221" x14ac:dyDescent="0.25">
      <c r="A2838" s="130">
        <v>45042</v>
      </c>
      <c r="B2838" s="24" t="s">
        <v>160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42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19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138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39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47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82</v>
      </c>
      <c r="C2844" s="21">
        <f t="shared" si="48"/>
        <v>0</v>
      </c>
    </row>
    <row r="2845" spans="1:221" x14ac:dyDescent="0.25">
      <c r="A2845" s="130">
        <v>45042</v>
      </c>
      <c r="B2845" s="24" t="s">
        <v>67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13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47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148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16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58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42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77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137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94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150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99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112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112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47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94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83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151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151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31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132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19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19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74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81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67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16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36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19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150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143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24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47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64</v>
      </c>
      <c r="C2878" s="21">
        <f t="shared" si="49"/>
        <v>0</v>
      </c>
    </row>
    <row r="2879" spans="1:226" x14ac:dyDescent="0.25">
      <c r="A2879" s="130">
        <v>45051</v>
      </c>
      <c r="B2879" s="24" t="s">
        <v>38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151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162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16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30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112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42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132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160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160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166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112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143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43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19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32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138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38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58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16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132</v>
      </c>
      <c r="C2899" s="21">
        <f t="shared" si="49"/>
        <v>0</v>
      </c>
    </row>
    <row r="2900" spans="1:224" x14ac:dyDescent="0.25">
      <c r="A2900" s="130">
        <v>45056</v>
      </c>
      <c r="B2900" s="29" t="s">
        <v>31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151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137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24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26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74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38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132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47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36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138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67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112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165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114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132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94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94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13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150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16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58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114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47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126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137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133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83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19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64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47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31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16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31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47</v>
      </c>
      <c r="C2934" s="21">
        <f t="shared" si="50"/>
        <v>0</v>
      </c>
    </row>
    <row r="2935" spans="1:237" x14ac:dyDescent="0.25">
      <c r="A2935" s="130">
        <v>45063</v>
      </c>
      <c r="B2935" s="24" t="s">
        <v>42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114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16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74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26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126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43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77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18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18</v>
      </c>
      <c r="C2944" s="21">
        <f t="shared" si="50"/>
        <v>0</v>
      </c>
    </row>
    <row r="2945" spans="1:230" x14ac:dyDescent="0.25">
      <c r="A2945" s="130">
        <v>45065</v>
      </c>
      <c r="B2945" s="24" t="s">
        <v>19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18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49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58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160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126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114</v>
      </c>
      <c r="C2951" s="21">
        <f t="shared" si="50"/>
        <v>0</v>
      </c>
    </row>
    <row r="2952" spans="1:230" x14ac:dyDescent="0.25">
      <c r="A2952" s="130">
        <v>45069</v>
      </c>
      <c r="B2952" s="24" t="s">
        <v>24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74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78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132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112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36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16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16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64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82</v>
      </c>
      <c r="C2961" s="21">
        <f t="shared" si="50"/>
        <v>0</v>
      </c>
    </row>
    <row r="2962" spans="1:221" x14ac:dyDescent="0.25">
      <c r="A2962" s="130">
        <v>45070</v>
      </c>
      <c r="B2962" s="24" t="s">
        <v>81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132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58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112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28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143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36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52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151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148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19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17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31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43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64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24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42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74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112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26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36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47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137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52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83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19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67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58</v>
      </c>
      <c r="C2989" s="21">
        <f t="shared" si="50"/>
        <v>0</v>
      </c>
    </row>
    <row r="2990" spans="1:221" x14ac:dyDescent="0.25">
      <c r="A2990" s="130">
        <v>45077</v>
      </c>
      <c r="B2990" s="24" t="s">
        <v>166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166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77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77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148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175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132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138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137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19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168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176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112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77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58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42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132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43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31</v>
      </c>
      <c r="C3008" s="21">
        <f t="shared" si="51"/>
        <v>0</v>
      </c>
    </row>
    <row r="3009" spans="1:232" x14ac:dyDescent="0.25">
      <c r="A3009" s="130">
        <v>45082</v>
      </c>
      <c r="B3009" s="24" t="s">
        <v>63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161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56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28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67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64</v>
      </c>
      <c r="C3014" s="21">
        <f t="shared" si="51"/>
        <v>0</v>
      </c>
    </row>
    <row r="3015" spans="1:232" x14ac:dyDescent="0.25">
      <c r="A3015" s="130">
        <v>45083</v>
      </c>
      <c r="B3015" s="24" t="s">
        <v>138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19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83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49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74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16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36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49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176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126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112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47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56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64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16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16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49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77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112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16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132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47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31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137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74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138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19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24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57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112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36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151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13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112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43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52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16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13</v>
      </c>
      <c r="C3052" s="21">
        <f t="shared" si="51"/>
        <v>0</v>
      </c>
    </row>
    <row r="3053" spans="1:224" x14ac:dyDescent="0.25">
      <c r="A3053" s="130">
        <v>45092</v>
      </c>
      <c r="B3053" s="24" t="s">
        <v>177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36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32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47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47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177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81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16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58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11</v>
      </c>
      <c r="C3062" s="21">
        <f t="shared" si="52"/>
        <v>0</v>
      </c>
    </row>
    <row r="3063" spans="1:226" x14ac:dyDescent="0.25">
      <c r="A3063" s="130">
        <v>45096</v>
      </c>
      <c r="B3063" s="24" t="s">
        <v>16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67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19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31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132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82</v>
      </c>
      <c r="C3068" s="21">
        <f t="shared" si="52"/>
        <v>0</v>
      </c>
    </row>
    <row r="3069" spans="1:226" x14ac:dyDescent="0.25">
      <c r="A3069" s="130">
        <v>45097</v>
      </c>
      <c r="B3069" s="24" t="s">
        <v>173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26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24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19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16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31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150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110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43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112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19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47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47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16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47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31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19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64</v>
      </c>
      <c r="C3086" s="21">
        <f t="shared" si="52"/>
        <v>0</v>
      </c>
    </row>
    <row r="3087" spans="1:199" x14ac:dyDescent="0.25">
      <c r="A3087" s="130">
        <v>45110</v>
      </c>
      <c r="B3087" s="24" t="s">
        <v>151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74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19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78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16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31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82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16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47</v>
      </c>
      <c r="C3095" s="21">
        <f t="shared" si="52"/>
        <v>0</v>
      </c>
    </row>
    <row r="3096" spans="1:211" x14ac:dyDescent="0.25">
      <c r="A3096" s="130">
        <v>45112</v>
      </c>
      <c r="B3096" s="24" t="s">
        <v>36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64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126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47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138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43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18</v>
      </c>
      <c r="C3102" s="21">
        <f t="shared" si="52"/>
        <v>0</v>
      </c>
    </row>
    <row r="3103" spans="1:211" x14ac:dyDescent="0.25">
      <c r="A3103" s="130">
        <v>45112</v>
      </c>
      <c r="B3103" s="24" t="s">
        <v>110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177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166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166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67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43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77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49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38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150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26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64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114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112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112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26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19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151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56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177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160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24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74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49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112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16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43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77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36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64</v>
      </c>
      <c r="C3132" s="21">
        <f t="shared" si="53"/>
        <v>0</v>
      </c>
    </row>
    <row r="3133" spans="1:224" x14ac:dyDescent="0.25">
      <c r="A3133" s="130">
        <v>45120</v>
      </c>
      <c r="B3133" s="24" t="s">
        <v>47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143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19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16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83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67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47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57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24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173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31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31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138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177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64</v>
      </c>
      <c r="C3147" s="21">
        <f t="shared" si="53"/>
        <v>0</v>
      </c>
    </row>
    <row r="3148" spans="1:226" x14ac:dyDescent="0.25">
      <c r="A3148" s="130">
        <v>45124</v>
      </c>
      <c r="B3148" s="24" t="s">
        <v>58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112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81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137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19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138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64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32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161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24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16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132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16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47</v>
      </c>
      <c r="C3161" s="21">
        <f t="shared" si="53"/>
        <v>0</v>
      </c>
    </row>
    <row r="3162" spans="1:131" x14ac:dyDescent="0.25">
      <c r="A3162" s="130">
        <v>45127</v>
      </c>
      <c r="B3162" s="24" t="s">
        <v>47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112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64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132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47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151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150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19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67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138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24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36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160</v>
      </c>
      <c r="C3174" s="21">
        <f t="shared" si="53"/>
        <v>0</v>
      </c>
    </row>
    <row r="3175" spans="1:228" x14ac:dyDescent="0.25">
      <c r="A3175" s="130">
        <v>45129</v>
      </c>
      <c r="B3175" s="24" t="s">
        <v>112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160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77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28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177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126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19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143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74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16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16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161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24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146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146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83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58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132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151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139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47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112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31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16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132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16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47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112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138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43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151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148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24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58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36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18</v>
      </c>
      <c r="C3210" s="21">
        <f t="shared" si="54"/>
        <v>0</v>
      </c>
    </row>
    <row r="3211" spans="1:231" x14ac:dyDescent="0.25">
      <c r="A3211" s="130">
        <v>45138</v>
      </c>
      <c r="B3211" s="24" t="s">
        <v>221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16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32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137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74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19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78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143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112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112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175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47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64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83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148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155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24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31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132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19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16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64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132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18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150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18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18</v>
      </c>
      <c r="C3237" s="21">
        <f t="shared" si="54"/>
        <v>0</v>
      </c>
    </row>
    <row r="3238" spans="1:230" x14ac:dyDescent="0.25">
      <c r="A3238" s="130">
        <v>45142</v>
      </c>
      <c r="B3238" s="24" t="s">
        <v>178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67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138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114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43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112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146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43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148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173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151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19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126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74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36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64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47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179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16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166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52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81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67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112</v>
      </c>
      <c r="C3261" s="21">
        <f t="shared" si="55"/>
        <v>0</v>
      </c>
    </row>
    <row r="3262" spans="1:227" x14ac:dyDescent="0.25">
      <c r="A3262" s="130">
        <v>45149</v>
      </c>
      <c r="B3262" s="24" t="s">
        <v>180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151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58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36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112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16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67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64</v>
      </c>
      <c r="C3269" s="21">
        <f t="shared" si="55"/>
        <v>0</v>
      </c>
    </row>
    <row r="3270" spans="1:226" x14ac:dyDescent="0.25">
      <c r="A3270" s="130">
        <v>45149</v>
      </c>
      <c r="B3270" s="24" t="s">
        <v>126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160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26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74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58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77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161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24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138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179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43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112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43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42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36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126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19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151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168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114</v>
      </c>
      <c r="C3289" s="21">
        <f t="shared" si="55"/>
        <v>0</v>
      </c>
    </row>
    <row r="3290" spans="1:237" x14ac:dyDescent="0.25">
      <c r="A3290" s="130">
        <v>45155</v>
      </c>
      <c r="B3290" s="24" t="s">
        <v>47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77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16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67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18</v>
      </c>
      <c r="C3294" s="21">
        <f t="shared" si="55"/>
        <v>0</v>
      </c>
    </row>
    <row r="3295" spans="1:237" x14ac:dyDescent="0.25">
      <c r="A3295" s="130">
        <v>45156</v>
      </c>
      <c r="B3295" s="24" t="s">
        <v>38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148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77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181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182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77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24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16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56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148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112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74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138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19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26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49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16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132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151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148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36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177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182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16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31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138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47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112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182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114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132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56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31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47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177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28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36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19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49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78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26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74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138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31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42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112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151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132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32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150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28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182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83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64</v>
      </c>
      <c r="C3348" s="21">
        <f t="shared" si="56"/>
        <v>0</v>
      </c>
    </row>
    <row r="3349" spans="1:224" x14ac:dyDescent="0.25">
      <c r="A3349" s="130">
        <v>45169</v>
      </c>
      <c r="B3349" s="24" t="s">
        <v>52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16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114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28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47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166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42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47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112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112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112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112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112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112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151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42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132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30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126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43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19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83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78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137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74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49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161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36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132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16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31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18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18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36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47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67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151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16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177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36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64</v>
      </c>
      <c r="C3389" s="21">
        <f t="shared" si="57"/>
        <v>0</v>
      </c>
    </row>
    <row r="3390" spans="1:224" x14ac:dyDescent="0.25">
      <c r="A3390" s="130">
        <v>45181</v>
      </c>
      <c r="B3390" s="24" t="s">
        <v>16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150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126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28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138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19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176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74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30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64</v>
      </c>
      <c r="C3399" s="21">
        <f t="shared" si="57"/>
        <v>0</v>
      </c>
    </row>
    <row r="3400" spans="1:235" x14ac:dyDescent="0.25">
      <c r="A3400" s="130">
        <v>45182</v>
      </c>
      <c r="B3400" s="24" t="s">
        <v>49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49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112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36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43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151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58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175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19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67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162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31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74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26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19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24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78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83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132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112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16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31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132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177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43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126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112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112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47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42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17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126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47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83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24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138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78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19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26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49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74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16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112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17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16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183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132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132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16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31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64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146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138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137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19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112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16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183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56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183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151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112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168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77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28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43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47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77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36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112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177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112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138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32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24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83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19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183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31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132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132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19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64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183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47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43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126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126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49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19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183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74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138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47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166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16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183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16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183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184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16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58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47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112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138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74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30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132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183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64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16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19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132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74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28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151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183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47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183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16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43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161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179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47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16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47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112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183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114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47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16</v>
      </c>
      <c r="C3530" s="21">
        <f t="shared" si="59"/>
        <v>0</v>
      </c>
    </row>
    <row r="3531" spans="1:216" x14ac:dyDescent="0.25">
      <c r="A3531" s="130">
        <v>45211</v>
      </c>
      <c r="B3531" s="29" t="s">
        <v>184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184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168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83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137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74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221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138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132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16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112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183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132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77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177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81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74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137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83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19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184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24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112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30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58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47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160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183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16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151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16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81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137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19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47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16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16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132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31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42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112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43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132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151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64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16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42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138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137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64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74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161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19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112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64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183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132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64</v>
      </c>
      <c r="C3588" s="21">
        <f t="shared" si="60"/>
        <v>0</v>
      </c>
    </row>
    <row r="3589" spans="1:208" x14ac:dyDescent="0.25">
      <c r="A3589" s="130">
        <v>45224</v>
      </c>
      <c r="B3589" s="24" t="s">
        <v>42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24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31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183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47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185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56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177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77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78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19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30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82</v>
      </c>
      <c r="C3601" s="21">
        <f t="shared" si="60"/>
        <v>0</v>
      </c>
    </row>
    <row r="3602" spans="1:218" x14ac:dyDescent="0.25">
      <c r="A3602" s="130">
        <v>45226</v>
      </c>
      <c r="B3602" s="24" t="s">
        <v>58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183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16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112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132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132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183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43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138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74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24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168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32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183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112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112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49</v>
      </c>
      <c r="C3618" s="21">
        <f t="shared" si="60"/>
        <v>0</v>
      </c>
    </row>
    <row r="3619" spans="1:208" x14ac:dyDescent="0.25">
      <c r="A3619" s="130">
        <v>45230</v>
      </c>
      <c r="B3619" s="24" t="s">
        <v>49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11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166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132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148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16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47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168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64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138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19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47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74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24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177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67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31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132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112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16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31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19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47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56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166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146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47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49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151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132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138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186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78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74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36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28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58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183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112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74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28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58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16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31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175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43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132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49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49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64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138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183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137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19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47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138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161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16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150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31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77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77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132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16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49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49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112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164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129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28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78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19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114</v>
      </c>
      <c r="C3691" s="21">
        <f t="shared" si="61"/>
        <v>0</v>
      </c>
    </row>
    <row r="3692" spans="1:241" x14ac:dyDescent="0.25">
      <c r="A3692" s="130">
        <v>45254</v>
      </c>
      <c r="B3692" s="24" t="s">
        <v>114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16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31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132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183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166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173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148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74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38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43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112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151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31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183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183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88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151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19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28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32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161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132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185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36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183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36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43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36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183</v>
      </c>
      <c r="C3721" s="21">
        <f t="shared" si="62"/>
        <v>0</v>
      </c>
    </row>
    <row r="3722" spans="1:227" x14ac:dyDescent="0.25">
      <c r="A3722" s="130">
        <v>45264</v>
      </c>
      <c r="B3722" s="24" t="s">
        <v>183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161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185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47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49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24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173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82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138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74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137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19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150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112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112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150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132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36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180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16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183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126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74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19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138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161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24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47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166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112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112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43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16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148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19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67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182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112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183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88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16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183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177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150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150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47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185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24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137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74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28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19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43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110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47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82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74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26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49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19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112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36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183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16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132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19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74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81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177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26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67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17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18</v>
      </c>
      <c r="C3794" s="21">
        <f t="shared" si="63"/>
        <v>0</v>
      </c>
    </row>
    <row r="3795" spans="1:208" x14ac:dyDescent="0.25">
      <c r="A3795" s="130">
        <v>45285</v>
      </c>
      <c r="B3795" s="24" t="s">
        <v>183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132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47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31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112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64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148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74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19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185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132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180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221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112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94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183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183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138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19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185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64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83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78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137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150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183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31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31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183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47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138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19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47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64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43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31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64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138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132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24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19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47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110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112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17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177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132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183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16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164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17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151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47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137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173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126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138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19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43</v>
      </c>
      <c r="C3853" s="21">
        <f t="shared" si="64"/>
        <v>0</v>
      </c>
    </row>
    <row r="3854" spans="1:208" x14ac:dyDescent="0.25">
      <c r="A3854" s="130">
        <v>45300</v>
      </c>
      <c r="B3854" s="24" t="s">
        <v>47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182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121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183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164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132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47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112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138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183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19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168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137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17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150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47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183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132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31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139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151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114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138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168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19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112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112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49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47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47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43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11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182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132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31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47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19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30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187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138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49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151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183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183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112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132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31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183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32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49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16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177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19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38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16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183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47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47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47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112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112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112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183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183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132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19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32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43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183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151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16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183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19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173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47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49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114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177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58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146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166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110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58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132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183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183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19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183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16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151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74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183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31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126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138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19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74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137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155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17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17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188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139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183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43</v>
      </c>
      <c r="C3958" s="21">
        <f t="shared" si="66"/>
        <v>0</v>
      </c>
    </row>
    <row r="3959" spans="1:226" x14ac:dyDescent="0.25">
      <c r="A3959" s="130">
        <v>45330</v>
      </c>
      <c r="B3959" s="24" t="s">
        <v>182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112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126</v>
      </c>
      <c r="C3961" s="21">
        <f t="shared" si="66"/>
        <v>0</v>
      </c>
    </row>
    <row r="3962" spans="1:226" x14ac:dyDescent="0.25">
      <c r="A3962" s="130">
        <v>45331</v>
      </c>
      <c r="B3962" s="24" t="s">
        <v>19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52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38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17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17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112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183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183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183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17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58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150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183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19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168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138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32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78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16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18</v>
      </c>
      <c r="C3981" s="21">
        <f t="shared" si="66"/>
        <v>0</v>
      </c>
    </row>
    <row r="3982" spans="1:226" x14ac:dyDescent="0.25">
      <c r="A3982" s="130">
        <v>45336</v>
      </c>
      <c r="B3982" s="24" t="s">
        <v>43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43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183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189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16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83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138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137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151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114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36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137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74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19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112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183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16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190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58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16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183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177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138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47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112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36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188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74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78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81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19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183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47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166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183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182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17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24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187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137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74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30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28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19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36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112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17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47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47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43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11</v>
      </c>
      <c r="C4032" s="21">
        <f t="shared" si="67"/>
        <v>0</v>
      </c>
    </row>
    <row r="4033" spans="1:180" x14ac:dyDescent="0.25">
      <c r="A4033" s="130">
        <v>45351</v>
      </c>
      <c r="B4033" s="24" t="s">
        <v>151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18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28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183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74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19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138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126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148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47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18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31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183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190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182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137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138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19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112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150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132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182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47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146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19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137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74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47</v>
      </c>
      <c r="C4060" s="21">
        <f t="shared" si="67"/>
        <v>0</v>
      </c>
    </row>
    <row r="4061" spans="1:221" x14ac:dyDescent="0.25">
      <c r="A4061" s="130">
        <v>45359</v>
      </c>
      <c r="B4061" s="24" t="s">
        <v>187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180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183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63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151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18</v>
      </c>
      <c r="C4066" s="21">
        <f t="shared" si="67"/>
        <v>0</v>
      </c>
    </row>
    <row r="4067" spans="1:224" x14ac:dyDescent="0.25">
      <c r="A4067" s="130">
        <v>45362</v>
      </c>
      <c r="B4067" s="24" t="s">
        <v>132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16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180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132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47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138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112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112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112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183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36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47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191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74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19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138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47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16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137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74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19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138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163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166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43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183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182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19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151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26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43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112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112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112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43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179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74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78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30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191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137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26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19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183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180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182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151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58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189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182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183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183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137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47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43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150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24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112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146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182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138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19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58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182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82</v>
      </c>
      <c r="C4131" s="21">
        <f t="shared" si="68"/>
        <v>0</v>
      </c>
    </row>
    <row r="4132" spans="1:131" x14ac:dyDescent="0.25">
      <c r="A4132" s="130">
        <v>45385</v>
      </c>
      <c r="B4132" s="24" t="s">
        <v>16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138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146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112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183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183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16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132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63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187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138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38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78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30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151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19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146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43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183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168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16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132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191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138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28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19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36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19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49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83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74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36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183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189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137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30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189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183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173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112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183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192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180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11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47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132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28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126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138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179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146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19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32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137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183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183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183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183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36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74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19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112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112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43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183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74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28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161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133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83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19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148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24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136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183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114</v>
      </c>
      <c r="C4207" s="21">
        <f t="shared" si="69"/>
        <v>0</v>
      </c>
    </row>
    <row r="4208" spans="1:199" x14ac:dyDescent="0.25">
      <c r="A4208" s="130">
        <v>45420</v>
      </c>
      <c r="B4208" s="24" t="s">
        <v>191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133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30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151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16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166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114</v>
      </c>
      <c r="C4214" s="21">
        <f t="shared" si="70"/>
        <v>0</v>
      </c>
    </row>
    <row r="4215" spans="1:208" x14ac:dyDescent="0.25">
      <c r="A4215" s="130">
        <v>45420</v>
      </c>
      <c r="B4215" s="24" t="s">
        <v>114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166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11</v>
      </c>
      <c r="C4217" s="21">
        <f t="shared" si="70"/>
        <v>0</v>
      </c>
    </row>
    <row r="4218" spans="1:208" x14ac:dyDescent="0.25">
      <c r="A4218" s="130">
        <v>45422</v>
      </c>
      <c r="B4218" s="24" t="s">
        <v>19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173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187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47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193</v>
      </c>
      <c r="C4222" s="21">
        <f t="shared" si="70"/>
        <v>0</v>
      </c>
    </row>
    <row r="4223" spans="1:208" x14ac:dyDescent="0.25">
      <c r="A4223" s="130">
        <v>45425</v>
      </c>
      <c r="B4223" s="24" t="s">
        <v>24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112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194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38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83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74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187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137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19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16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16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146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170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183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192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189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138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161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78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114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183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83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74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114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183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146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112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183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30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74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19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83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151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24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24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38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126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173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192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179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182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47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16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43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189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183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132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195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136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78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32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126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19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138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16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126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32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28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126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187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19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183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16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138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19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192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191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182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132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183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63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52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19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24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166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74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112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191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192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43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138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19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179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16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183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18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196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18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18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28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30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16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183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28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19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138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11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74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112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112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196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155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137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18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151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132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183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183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183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19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221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24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47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146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138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78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57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19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179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183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126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196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43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24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183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47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24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78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19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136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197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151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32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168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138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192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32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139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114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168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168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137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74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19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112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112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112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47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198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16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114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19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138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24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195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112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199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137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74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18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146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170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151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19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138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126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16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192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137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78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19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183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38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200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43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183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67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137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32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19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74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195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139</v>
      </c>
      <c r="C4405" s="21">
        <f t="shared" si="73"/>
        <v>0</v>
      </c>
    </row>
    <row r="4406" spans="1:212" x14ac:dyDescent="0.25">
      <c r="A4406" s="130">
        <v>45482</v>
      </c>
      <c r="B4406" s="24" t="s">
        <v>47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179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201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183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138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180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78</v>
      </c>
      <c r="C4412" s="21">
        <f t="shared" si="73"/>
        <v>0</v>
      </c>
    </row>
    <row r="4413" spans="1:212" x14ac:dyDescent="0.25">
      <c r="A4413" s="130">
        <v>45485</v>
      </c>
      <c r="B4413" s="24" t="s">
        <v>19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63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112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151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24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19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74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30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138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47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16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183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183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168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192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172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202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57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203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16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24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74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19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114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136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112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192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43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183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16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138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19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146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203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32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114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203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199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137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19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183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151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19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183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221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183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47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16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187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74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19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137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196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28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67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138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129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38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81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47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192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213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183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19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126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43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19</v>
      </c>
      <c r="C4479" s="21">
        <f t="shared" si="74"/>
        <v>0</v>
      </c>
    </row>
    <row r="4480" spans="1:226" x14ac:dyDescent="0.25">
      <c r="A4480" s="130">
        <v>45509</v>
      </c>
      <c r="B4480" s="24" t="s">
        <v>47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31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132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19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32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183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47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161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112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191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203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138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213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32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204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183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192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43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47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146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47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183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187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28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19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24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137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138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145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205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192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36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124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150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74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19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151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112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213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191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24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183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126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206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28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112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112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112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19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24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47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31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183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132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47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28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183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98</v>
      </c>
      <c r="C4537" s="180">
        <f t="shared" si="75"/>
        <v>54.925000000000004</v>
      </c>
      <c r="D4537" s="181">
        <v>-0.1</v>
      </c>
      <c r="E4537" s="304"/>
      <c r="F4537" s="109"/>
      <c r="I4537" s="181">
        <v>11.08</v>
      </c>
      <c r="K4537" s="183"/>
      <c r="L4537" s="184">
        <v>0.03</v>
      </c>
      <c r="M4537" s="305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05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02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02"/>
      <c r="FB4537" s="184"/>
      <c r="FC4537" s="184"/>
      <c r="FD4537" s="297"/>
      <c r="FF4537" s="183"/>
      <c r="FG4537" s="184">
        <v>-0.01</v>
      </c>
      <c r="FH4537" s="305"/>
      <c r="FI4537" s="183"/>
      <c r="FJ4537" s="184"/>
      <c r="FK4537" s="184"/>
      <c r="FL4537" s="182"/>
      <c r="FM4537" s="183"/>
      <c r="FN4537" s="182"/>
      <c r="FO4537" s="304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02"/>
      <c r="GJ4537" s="210"/>
      <c r="GK4537" s="79"/>
      <c r="GL4537" s="183"/>
      <c r="GM4537" s="182"/>
      <c r="GO4537" s="304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05"/>
      <c r="HS4537" s="181">
        <v>-7.85</v>
      </c>
      <c r="HU4537" s="183"/>
      <c r="HV4537" s="305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04"/>
      <c r="IN4537" s="302"/>
      <c r="IO4537" s="182"/>
    </row>
    <row r="4538" spans="1:249" x14ac:dyDescent="0.25">
      <c r="A4538" s="130">
        <v>45524</v>
      </c>
      <c r="B4538" s="24" t="s">
        <v>19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74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137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201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58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183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183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47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196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43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19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202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208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202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112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31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183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183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47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43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121</v>
      </c>
      <c r="C4558" s="21">
        <f t="shared" si="75"/>
        <v>0</v>
      </c>
    </row>
    <row r="4559" spans="1:208" x14ac:dyDescent="0.25">
      <c r="A4559" s="130">
        <v>45500</v>
      </c>
      <c r="B4559" s="24" t="s">
        <v>137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74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19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196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183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192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47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137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47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138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213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213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74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192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126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19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28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74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24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30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145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189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183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67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192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209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19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179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151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112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112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63</v>
      </c>
      <c r="C4590" s="21">
        <f t="shared" si="75"/>
        <v>0</v>
      </c>
    </row>
    <row r="4591" spans="1:221" x14ac:dyDescent="0.25">
      <c r="A4591" s="130">
        <v>45540</v>
      </c>
      <c r="B4591" s="24" t="s">
        <v>183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19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137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24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28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213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151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202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183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192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43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32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145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183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74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19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138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201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31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126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132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112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112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112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112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74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161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183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196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19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183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132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183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137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126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183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151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129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192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137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19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199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43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183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203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28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126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213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183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78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74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199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47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213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183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151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129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151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189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183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192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47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187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47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114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187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196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138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38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183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63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138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203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63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126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32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19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74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49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183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137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47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78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19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151</v>
      </c>
      <c r="C4675" s="21">
        <f t="shared" si="77"/>
        <v>0</v>
      </c>
    </row>
    <row r="4676" spans="1:199" x14ac:dyDescent="0.25">
      <c r="A4676" s="130">
        <v>45569</v>
      </c>
      <c r="B4676" s="24" t="s">
        <v>192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43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18</v>
      </c>
      <c r="C4678" s="21">
        <f t="shared" si="77"/>
        <v>0</v>
      </c>
    </row>
    <row r="4679" spans="1:199" x14ac:dyDescent="0.25">
      <c r="A4679" s="130">
        <v>45569</v>
      </c>
      <c r="B4679" s="24" t="s">
        <v>213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221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145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47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189</v>
      </c>
      <c r="C4683" s="21">
        <f t="shared" si="77"/>
        <v>0</v>
      </c>
    </row>
    <row r="4684" spans="1:199" x14ac:dyDescent="0.25">
      <c r="A4684" s="130">
        <v>45572</v>
      </c>
      <c r="B4684" s="24" t="s">
        <v>183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74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19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179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78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126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28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47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32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151</v>
      </c>
      <c r="C4693" s="21">
        <f t="shared" si="77"/>
        <v>0</v>
      </c>
    </row>
    <row r="4694" spans="1:208" x14ac:dyDescent="0.25">
      <c r="A4694" s="130">
        <v>45575</v>
      </c>
      <c r="B4694" s="24" t="s">
        <v>183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191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19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137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183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187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138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112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213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183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151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192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187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168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137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24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88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31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112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43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47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196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192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210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63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139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19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201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161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213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151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47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19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137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74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203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78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24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145</v>
      </c>
      <c r="C4732" s="21">
        <f t="shared" si="78"/>
        <v>0</v>
      </c>
    </row>
    <row r="4733" spans="1:168" x14ac:dyDescent="0.25">
      <c r="A4733" s="130">
        <v>45588</v>
      </c>
      <c r="B4733" s="24" t="s">
        <v>151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31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170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202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137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78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19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203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203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32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138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49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136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112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112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67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196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19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138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137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28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47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43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114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47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88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213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201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203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74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138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183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183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38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199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213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202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170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211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139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63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187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179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78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32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28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170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145</v>
      </c>
      <c r="C4780" s="21">
        <f t="shared" si="78"/>
        <v>0</v>
      </c>
    </row>
    <row r="4781" spans="1:238" x14ac:dyDescent="0.25">
      <c r="A4781" s="130">
        <v>45602</v>
      </c>
      <c r="B4781" s="24" t="s">
        <v>112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43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192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183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47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183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114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173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74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138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126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139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114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203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211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196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203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47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81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30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137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47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19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38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183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11</v>
      </c>
      <c r="C4806" s="21">
        <f t="shared" si="79"/>
        <v>0</v>
      </c>
    </row>
    <row r="4807" spans="1:241" x14ac:dyDescent="0.25">
      <c r="A4807" s="130">
        <v>45609</v>
      </c>
      <c r="B4807" s="24" t="s">
        <v>211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16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19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137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137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112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30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81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47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38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183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212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28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32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19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202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168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32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179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43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192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214</v>
      </c>
      <c r="C4828" s="21">
        <f t="shared" si="79"/>
        <v>157.77000000000001</v>
      </c>
      <c r="L4828" s="69" t="s">
        <v>215</v>
      </c>
      <c r="S4828" s="74">
        <v>157.77000000000001</v>
      </c>
    </row>
    <row r="4829" spans="1:214" x14ac:dyDescent="0.25">
      <c r="A4829" s="130">
        <v>45618</v>
      </c>
      <c r="B4829" s="24" t="s">
        <v>112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112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112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67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192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183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32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183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183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16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212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202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138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19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212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211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202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183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82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137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196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49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112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151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183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19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137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196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191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183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183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212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196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138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126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170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191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137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47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74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138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19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11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63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49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203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63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170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78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32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114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212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187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170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201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168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19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211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133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112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112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151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78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212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114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47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98</v>
      </c>
      <c r="C4895" s="180">
        <f t="shared" si="80"/>
        <v>-70.254999999999995</v>
      </c>
      <c r="D4895" s="181" t="s">
        <v>215</v>
      </c>
      <c r="E4895" s="304" t="s">
        <v>215</v>
      </c>
      <c r="F4895" s="109"/>
      <c r="H4895" s="181" t="s">
        <v>215</v>
      </c>
      <c r="I4895" s="181">
        <v>-11.58</v>
      </c>
      <c r="J4895" s="181" t="s">
        <v>215</v>
      </c>
      <c r="K4895" s="183"/>
      <c r="L4895" s="184"/>
      <c r="M4895" s="305" t="s">
        <v>215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05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215</v>
      </c>
      <c r="BD4895" s="184"/>
      <c r="BE4895" s="184"/>
      <c r="BF4895" s="182"/>
      <c r="BG4895" s="183"/>
      <c r="BH4895" s="69"/>
      <c r="BI4895" s="74" t="s">
        <v>215</v>
      </c>
      <c r="BJ4895" s="184"/>
      <c r="BK4895" s="184"/>
      <c r="BL4895" s="118"/>
      <c r="BM4895" s="183"/>
      <c r="BN4895" s="69"/>
      <c r="BO4895" s="74" t="s">
        <v>215</v>
      </c>
      <c r="BP4895" s="184"/>
      <c r="BQ4895" s="184"/>
      <c r="BR4895" s="118"/>
      <c r="BS4895" s="183"/>
      <c r="BT4895" s="69"/>
      <c r="BU4895" s="74" t="s">
        <v>215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215</v>
      </c>
      <c r="CG4895" s="106"/>
      <c r="CH4895" s="184"/>
      <c r="CI4895" s="184"/>
      <c r="CJ4895" s="182"/>
      <c r="CK4895" s="183"/>
      <c r="CL4895" s="184"/>
      <c r="CM4895" s="74" t="s">
        <v>215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215</v>
      </c>
      <c r="CZ4895" s="184"/>
      <c r="DA4895" s="184" t="s">
        <v>215</v>
      </c>
      <c r="DB4895" s="182"/>
      <c r="DC4895" s="183"/>
      <c r="DD4895" s="184"/>
      <c r="DE4895" s="74" t="s">
        <v>215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215</v>
      </c>
      <c r="DN4895" s="183"/>
      <c r="DO4895" s="184"/>
      <c r="DP4895" s="74" t="s">
        <v>215</v>
      </c>
      <c r="DQ4895" s="184"/>
      <c r="DR4895" s="182" t="s">
        <v>215</v>
      </c>
      <c r="DS4895" s="183">
        <v>-8.66</v>
      </c>
      <c r="DT4895" s="184" t="s">
        <v>215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215</v>
      </c>
      <c r="EH4895" s="184"/>
      <c r="EI4895" s="182"/>
      <c r="EJ4895" s="183"/>
      <c r="EK4895" s="184"/>
      <c r="EL4895" s="184"/>
      <c r="EM4895" s="182"/>
      <c r="EN4895" s="302" t="s">
        <v>215</v>
      </c>
      <c r="EO4895" s="297"/>
      <c r="EP4895" s="184" t="s">
        <v>215</v>
      </c>
      <c r="EQ4895" s="46" t="s">
        <v>215</v>
      </c>
      <c r="ER4895" s="183"/>
      <c r="ES4895" s="184"/>
      <c r="ET4895" s="184"/>
      <c r="EU4895" s="297"/>
      <c r="EV4895" s="181" t="s">
        <v>215</v>
      </c>
      <c r="EW4895" s="183"/>
      <c r="EX4895" s="183" t="s">
        <v>215</v>
      </c>
      <c r="EY4895" s="183"/>
      <c r="EZ4895" s="182"/>
      <c r="FA4895" s="302" t="s">
        <v>215</v>
      </c>
      <c r="FB4895" s="184"/>
      <c r="FC4895" s="184"/>
      <c r="FD4895" s="297"/>
      <c r="FF4895" s="183"/>
      <c r="FG4895" s="184" t="s">
        <v>215</v>
      </c>
      <c r="FH4895" s="305" t="s">
        <v>215</v>
      </c>
      <c r="FI4895" s="183"/>
      <c r="FJ4895" s="184"/>
      <c r="FK4895" s="184"/>
      <c r="FL4895" s="182"/>
      <c r="FM4895" s="183"/>
      <c r="FN4895" s="182"/>
      <c r="FO4895" s="304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215</v>
      </c>
      <c r="FY4895" s="184"/>
      <c r="FZ4895" s="182" t="s">
        <v>215</v>
      </c>
      <c r="GA4895" s="183"/>
      <c r="GB4895" s="184"/>
      <c r="GC4895" s="184"/>
      <c r="GD4895" s="182"/>
      <c r="GE4895" s="183"/>
      <c r="GF4895" s="182" t="s">
        <v>215</v>
      </c>
      <c r="GH4895" s="184" t="s">
        <v>215</v>
      </c>
      <c r="GI4895" s="302"/>
      <c r="GJ4895" s="210"/>
      <c r="GK4895" s="79"/>
      <c r="GL4895" s="183"/>
      <c r="GM4895" s="182"/>
      <c r="GO4895" s="304"/>
      <c r="GP4895" s="183"/>
      <c r="GQ4895" s="92" t="s">
        <v>215</v>
      </c>
      <c r="GT4895" s="181" t="s">
        <v>215</v>
      </c>
      <c r="GV4895" s="183"/>
      <c r="GW4895" s="182" t="s">
        <v>215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215</v>
      </c>
      <c r="HG4895" s="183"/>
      <c r="HH4895" s="184" t="s">
        <v>215</v>
      </c>
      <c r="HI4895" s="182"/>
      <c r="HJ4895" s="182" t="s">
        <v>215</v>
      </c>
      <c r="HL4895" s="183"/>
      <c r="HM4895" s="184" t="s">
        <v>215</v>
      </c>
      <c r="HN4895" s="182"/>
      <c r="HO4895" s="183"/>
      <c r="HP4895" s="182" t="s">
        <v>215</v>
      </c>
      <c r="HQ4895" s="183"/>
      <c r="HR4895" s="305" t="s">
        <v>215</v>
      </c>
      <c r="HS4895" s="181" t="s">
        <v>215</v>
      </c>
      <c r="HT4895" s="181" t="s">
        <v>215</v>
      </c>
      <c r="HU4895" s="183"/>
      <c r="HV4895" s="305">
        <v>3.95</v>
      </c>
      <c r="HW4895" s="183" t="s">
        <v>215</v>
      </c>
      <c r="HX4895" s="182"/>
      <c r="HY4895" s="181" t="s">
        <v>215</v>
      </c>
      <c r="HZ4895" s="183"/>
      <c r="IA4895" s="182" t="s">
        <v>215</v>
      </c>
      <c r="IB4895" s="183"/>
      <c r="IC4895" s="182" t="s">
        <v>215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04"/>
      <c r="IN4895" s="302"/>
      <c r="IO4895" s="182"/>
    </row>
    <row r="4896" spans="1:249" x14ac:dyDescent="0.25">
      <c r="A4896" s="130">
        <v>45638</v>
      </c>
      <c r="B4896" s="24" t="s">
        <v>57</v>
      </c>
      <c r="C4896" s="21">
        <f t="shared" si="80"/>
        <v>0</v>
      </c>
    </row>
    <row r="4897" spans="1:233" x14ac:dyDescent="0.25">
      <c r="A4897" s="130">
        <v>45638</v>
      </c>
      <c r="B4897" s="24" t="s">
        <v>183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43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47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133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126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114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183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191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19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32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49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38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151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151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179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112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112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19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183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137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138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192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43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47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112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82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183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212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138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191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187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196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43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30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74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57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211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112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212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183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49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129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189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183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47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13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183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19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112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112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212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183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126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211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52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47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183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19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38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138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191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191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183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82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196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161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19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24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201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136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43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30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19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112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74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19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67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24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132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183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183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192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138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183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32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19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74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196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212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212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126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74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202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151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212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43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192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212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151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211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112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112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16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216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23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126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78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187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137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179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19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196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49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183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132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212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212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114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47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30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168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201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19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137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191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24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126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183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212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212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112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187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211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161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114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19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191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19</v>
      </c>
      <c r="C5034" s="21">
        <f t="shared" si="82"/>
        <v>0</v>
      </c>
    </row>
    <row r="5035" spans="1:231" x14ac:dyDescent="0.25">
      <c r="A5035" s="130">
        <v>45693</v>
      </c>
      <c r="B5035" s="24" t="s">
        <v>211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32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168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212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43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183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212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138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126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19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137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112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81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183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151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187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32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191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19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16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47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136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217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201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47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217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138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211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24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49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212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212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30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49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196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32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151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19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218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74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217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112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112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212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132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30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192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161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43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191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211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19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136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145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30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217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114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78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74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138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201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32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212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212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63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145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183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126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47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19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191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168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32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38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145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49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28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145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217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16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47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183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196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191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217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187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19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170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32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112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28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102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132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183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47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74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137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23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43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212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212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192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63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19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221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121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183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16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19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192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52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74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137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121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221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114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139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201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114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168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19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137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145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217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38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212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137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19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136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192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183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74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173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23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212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196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32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24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30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19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47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220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168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212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43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192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195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32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187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81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137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19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82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220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196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112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112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112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112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19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24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187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78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74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137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126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43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212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212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192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24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111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112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191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212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170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111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217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183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183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132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47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183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32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19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217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221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221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136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196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222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212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126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138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78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49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217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138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217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112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111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223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132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183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212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222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67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24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192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183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32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19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196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161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191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19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74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38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217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82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183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47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191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161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132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172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43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112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212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67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138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19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183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217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212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126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31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173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173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112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114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196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19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212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137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187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19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183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24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191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138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74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57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23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18</v>
      </c>
      <c r="C5289" s="21">
        <f t="shared" si="86"/>
        <v>0</v>
      </c>
    </row>
    <row r="5290" spans="1:91" x14ac:dyDescent="0.25">
      <c r="A5290" s="130">
        <v>45792</v>
      </c>
      <c r="B5290" s="24" t="s">
        <v>201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223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32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212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183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183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168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19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196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212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112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151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38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217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43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223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74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191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19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138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170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63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183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212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32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191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19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114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112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112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112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114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138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183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132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168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212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196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217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223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47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78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74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212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212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137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24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16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43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183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217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32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57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126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81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32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191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19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137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151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47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23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192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217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47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212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137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49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24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112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78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196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137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19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212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223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43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183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217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19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112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32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196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23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212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212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183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191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211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47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112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112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183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183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196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47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19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151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217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212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212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183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114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67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126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30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201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211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24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137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191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112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217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30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43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201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212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112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132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192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47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183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47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196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223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19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78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114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212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133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23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112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112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43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132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47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183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172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129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126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30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183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212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172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49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192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47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112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196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191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24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137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19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212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23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32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67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172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224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43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161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183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168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192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19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137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223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112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112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47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49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183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132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212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137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172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114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168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187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211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74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32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223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47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126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16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196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201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211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30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196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82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223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191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172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112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112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112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49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38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212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212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47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132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183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170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32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74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114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217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173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112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183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211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47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19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138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139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23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183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196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170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187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24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19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212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183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183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183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212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138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47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137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217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112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225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183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191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47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224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24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161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43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192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183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132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212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217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67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81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114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112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170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132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138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183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168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150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47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23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32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212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212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38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183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24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16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212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196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183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30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204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191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217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180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23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23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19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43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224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132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170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217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112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212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224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126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19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183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16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183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47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183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196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49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137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211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32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112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112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212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47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192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183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132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225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32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217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47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43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183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126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137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47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170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212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191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74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187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47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19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16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223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47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217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67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183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211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191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49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196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223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112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223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192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47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183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196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224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19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132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212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170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23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47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137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191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170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212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47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196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217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24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134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170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112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112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47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183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132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82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212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43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19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38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78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24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47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137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217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47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47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196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161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32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228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187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112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47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19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192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223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183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32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47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47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47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47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47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126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211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229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47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47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137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212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212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47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211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170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47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112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114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183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47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47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217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212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74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57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212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230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112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47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196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137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183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23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16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67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192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217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196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183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230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223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78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187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114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47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47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170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168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201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19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43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24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126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74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137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47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126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49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112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19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138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204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196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212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212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38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112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223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187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32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228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78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137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183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196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137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223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191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74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24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217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151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47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114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212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173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201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137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19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183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170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212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126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112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112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19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132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212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23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74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173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47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183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212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19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126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11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18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81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112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24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224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137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170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19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24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224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47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161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183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183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82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183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47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232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43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132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183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112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212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217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132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137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43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192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196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74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47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126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191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183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43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212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212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19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78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47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11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78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212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183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151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196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232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82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19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112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212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234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74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137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19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138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196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38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217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47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235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150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32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151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137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49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23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170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24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112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224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183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16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43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19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191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223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173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47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196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217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212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201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181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47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32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112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183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187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196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19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236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137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217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161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191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112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112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114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19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151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183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183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139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224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212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212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192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170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223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196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212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24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23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47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19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114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47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81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19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78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47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112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112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43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151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183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217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212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137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168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223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170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137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211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74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112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151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217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137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74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211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183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182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114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23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196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212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212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137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24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211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112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63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19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204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47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43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114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47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168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47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137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223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192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38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183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114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112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201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183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183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38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19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43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74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78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212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161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19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217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47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223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16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217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47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196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137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47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217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112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137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137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151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183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132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192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43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212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19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217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183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19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211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224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24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98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16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49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112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225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132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183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212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212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217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24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212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224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23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19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23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217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47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145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19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196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137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224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74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137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132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112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47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23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187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151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132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183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212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212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217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43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191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183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170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132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57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112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112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204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151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132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183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224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191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183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19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67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16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217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170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23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47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137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170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132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132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112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112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237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183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187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137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223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16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19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38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132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212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212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183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192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67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217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126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47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43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126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196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224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112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112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182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191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238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201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43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183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183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132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224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196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191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132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212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217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49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19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137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112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112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204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224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151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32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19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49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211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212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211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168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132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137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112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191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196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183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192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16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217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24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19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47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170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183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126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47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47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114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196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224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38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43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212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137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223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32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112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112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112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217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212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191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137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211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74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183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132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183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192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212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18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126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23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23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212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196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38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47</v>
      </c>
      <c r="C6151" s="21">
        <f t="shared" si="115"/>
        <v>-7.23</v>
      </c>
      <c r="HV6151" s="92">
        <v>-7.23</v>
      </c>
    </row>
    <row r="6152" spans="1:230" x14ac:dyDescent="0.25">
      <c r="C6152" s="21">
        <f t="shared" si="115"/>
        <v>0</v>
      </c>
    </row>
    <row r="6153" spans="1:230" x14ac:dyDescent="0.25">
      <c r="C6153" s="21">
        <f t="shared" si="115"/>
        <v>0</v>
      </c>
    </row>
    <row r="6154" spans="1:230" x14ac:dyDescent="0.25">
      <c r="C6154" s="21">
        <f t="shared" si="115"/>
        <v>0</v>
      </c>
    </row>
    <row r="6155" spans="1:230" x14ac:dyDescent="0.25">
      <c r="C6155" s="21">
        <f t="shared" si="115"/>
        <v>0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G25" sqref="G25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331" t="s">
        <v>9</v>
      </c>
      <c r="C3" s="331"/>
      <c r="D3" s="250"/>
    </row>
    <row r="4" spans="1:4" ht="20.100000000000001" customHeight="1" x14ac:dyDescent="0.25">
      <c r="A4" s="250"/>
      <c r="B4" s="331"/>
      <c r="C4" s="331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Sayfa3</vt:lpstr>
      <vt:lpstr>Sayfa4</vt:lpstr>
      <vt:lpstr>Sayfa5</vt:lpstr>
      <vt:lpstr>STOK</vt:lpstr>
      <vt:lpstr>STOK DETAY</vt:lpstr>
      <vt:lpstr>ALÜMİNYUM 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2026-02-23T12:13:26Z</dcterms:modified>
</cp:coreProperties>
</file>