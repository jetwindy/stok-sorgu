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C6186" i="13" l="1"/>
  <c r="C6180" i="13" l="1"/>
  <c r="C6179" i="13"/>
  <c r="C6181" i="13"/>
  <c r="EA6185" i="13" l="1"/>
  <c r="O6163" i="13" l="1"/>
  <c r="C6163" i="13" s="1"/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82" i="13"/>
  <c r="C6183" i="13"/>
  <c r="C6184" i="13"/>
  <c r="C6185" i="13"/>
  <c r="C6187" i="13"/>
  <c r="C6188" i="13"/>
  <c r="C6189" i="13"/>
  <c r="C6190" i="13"/>
  <c r="C6191" i="13"/>
  <c r="C6192" i="13"/>
  <c r="C6194" i="13"/>
  <c r="C6195" i="13"/>
  <c r="C6193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C6504" i="13"/>
  <c r="C6505" i="13"/>
  <c r="C6506" i="13"/>
  <c r="C6507" i="13"/>
  <c r="C6508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H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I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F83" i="22"/>
  <c r="J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E96" i="22"/>
  <c r="J96" i="22" s="1"/>
  <c r="G102" i="12"/>
  <c r="E95" i="22"/>
  <c r="J95" i="22" s="1"/>
  <c r="G100" i="12"/>
  <c r="E100" i="12" s="1"/>
  <c r="E93" i="22"/>
  <c r="J93" i="22" s="1"/>
  <c r="G98" i="12"/>
  <c r="E98" i="12" s="1"/>
  <c r="E91" i="22"/>
  <c r="J91" i="22" s="1"/>
  <c r="G96" i="12"/>
  <c r="E96" i="12" s="1"/>
  <c r="E89" i="22"/>
  <c r="J89" i="22" s="1"/>
  <c r="F94" i="12"/>
  <c r="D87" i="22"/>
  <c r="J87" i="22" s="1"/>
  <c r="G92" i="12"/>
  <c r="E92" i="12" s="1"/>
  <c r="E85" i="22"/>
  <c r="J85" i="22" s="1"/>
  <c r="G101" i="12"/>
  <c r="E101" i="12" s="1"/>
  <c r="E94" i="22"/>
  <c r="J94" i="22" s="1"/>
  <c r="G99" i="12"/>
  <c r="E99" i="12" s="1"/>
  <c r="E92" i="22"/>
  <c r="J92" i="22" s="1"/>
  <c r="G97" i="12"/>
  <c r="E97" i="12" s="1"/>
  <c r="E90" i="22"/>
  <c r="J90" i="22" s="1"/>
  <c r="F95" i="12"/>
  <c r="E95" i="12" s="1"/>
  <c r="D88" i="22"/>
  <c r="J88" i="22" s="1"/>
  <c r="G93" i="12"/>
  <c r="E93" i="12" s="1"/>
  <c r="E86" i="22"/>
  <c r="J86" i="22" s="1"/>
  <c r="G91" i="12"/>
  <c r="E84" i="22"/>
  <c r="J84" i="22" s="1"/>
  <c r="E94" i="12"/>
  <c r="F104" i="12"/>
  <c r="E91" i="12"/>
  <c r="GX6" i="13"/>
  <c r="W6" i="13"/>
  <c r="G104" i="12" l="1"/>
  <c r="K14" i="12"/>
  <c r="I11" i="22"/>
  <c r="H66" i="12"/>
  <c r="E66" i="12" s="1"/>
  <c r="F61" i="22"/>
  <c r="J61" i="22" s="1"/>
  <c r="E104" i="12"/>
  <c r="BO5696" i="13"/>
  <c r="DX6" i="13" l="1"/>
  <c r="C5692" i="13"/>
  <c r="ED6" i="13"/>
  <c r="K35" i="12" l="1"/>
  <c r="I32" i="22"/>
  <c r="K34" i="12"/>
  <c r="I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D49" i="22" s="1"/>
  <c r="J52" i="12" l="1"/>
  <c r="H49" i="22"/>
  <c r="AR5560" i="13"/>
  <c r="P5560" i="13"/>
  <c r="AK6" i="13" l="1"/>
  <c r="HB6" i="13"/>
  <c r="HM5560" i="13"/>
  <c r="HY5560" i="13"/>
  <c r="FM6" i="13"/>
  <c r="C6" i="21"/>
  <c r="H18" i="12" l="1"/>
  <c r="E18" i="12" s="1"/>
  <c r="F15" i="22"/>
  <c r="J15" i="22" s="1"/>
  <c r="F47" i="12"/>
  <c r="D44" i="22"/>
  <c r="F68" i="12"/>
  <c r="E68" i="12" s="1"/>
  <c r="D63" i="22"/>
  <c r="J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H41" i="22"/>
  <c r="J41" i="22" s="1"/>
  <c r="J55" i="12"/>
  <c r="E55" i="12" s="1"/>
  <c r="H52" i="22"/>
  <c r="J52" i="22" s="1"/>
  <c r="J53" i="12"/>
  <c r="H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I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H46" i="22"/>
  <c r="J46" i="22" s="1"/>
  <c r="J47" i="12"/>
  <c r="E47" i="12" s="1"/>
  <c r="H44" i="22"/>
  <c r="J44" i="22" s="1"/>
  <c r="J48" i="12"/>
  <c r="E48" i="12" s="1"/>
  <c r="H45" i="22"/>
  <c r="J45" i="22" s="1"/>
  <c r="J56" i="12"/>
  <c r="E56" i="12" s="1"/>
  <c r="H53" i="22"/>
  <c r="J53" i="22" s="1"/>
  <c r="CU6" i="13"/>
  <c r="J29" i="12" l="1"/>
  <c r="H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G33" i="22" s="1"/>
  <c r="AJ6" i="13"/>
  <c r="I14" i="22" s="1"/>
  <c r="K17" i="12" l="1"/>
  <c r="I36" i="12"/>
  <c r="DS4920" i="13"/>
  <c r="DN4920" i="13"/>
  <c r="CY4924" i="13"/>
  <c r="CG4924" i="13"/>
  <c r="C4920" i="13" l="1"/>
  <c r="F7" i="12"/>
  <c r="CD6" i="13" l="1"/>
  <c r="I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H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H51" i="22" s="1"/>
  <c r="FW6" i="13"/>
  <c r="H48" i="22" s="1"/>
  <c r="FU6" i="13"/>
  <c r="E48" i="22" s="1"/>
  <c r="FL6" i="13"/>
  <c r="H43" i="22" s="1"/>
  <c r="FH6" i="13"/>
  <c r="H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H37" i="22" s="1"/>
  <c r="J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H40" i="22" s="1"/>
  <c r="EQ6" i="13"/>
  <c r="H35" i="22" s="1"/>
  <c r="EU6" i="13"/>
  <c r="H36" i="22" s="1"/>
  <c r="EM6" i="13"/>
  <c r="H34" i="22" s="1"/>
  <c r="EI6" i="13"/>
  <c r="H33" i="22" s="1"/>
  <c r="J36" i="12" l="1"/>
  <c r="J39" i="12"/>
  <c r="J43" i="12"/>
  <c r="J37" i="12"/>
  <c r="J38" i="12"/>
  <c r="EP4424" i="13"/>
  <c r="R6" i="13" l="1"/>
  <c r="I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H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I5" i="22" s="1"/>
  <c r="J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8" i="22" s="1"/>
  <c r="FG6" i="13"/>
  <c r="F42" i="22" s="1"/>
  <c r="H45" i="12" l="1"/>
  <c r="H11" i="12"/>
  <c r="C3328" i="13"/>
  <c r="AW3350" i="13" l="1"/>
  <c r="C3320" i="13" l="1"/>
  <c r="C3302" i="13" l="1"/>
  <c r="FS6" i="13" l="1"/>
  <c r="F47" i="22" s="1"/>
  <c r="H50" i="12" l="1"/>
  <c r="C3161" i="13"/>
  <c r="GN6" i="13" l="1"/>
  <c r="C3228" i="13" l="1"/>
  <c r="C3235" i="13"/>
  <c r="AN3253" i="13" l="1"/>
  <c r="HD6" i="13" l="1"/>
  <c r="F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I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H25" i="22" s="1"/>
  <c r="CI6" i="13"/>
  <c r="H24" i="22" s="1"/>
  <c r="BW6" i="13"/>
  <c r="H22" i="22" s="1"/>
  <c r="BK6" i="13"/>
  <c r="H20" i="22" s="1"/>
  <c r="BE6" i="13"/>
  <c r="H19" i="22" s="1"/>
  <c r="AX6" i="13"/>
  <c r="G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I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F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I62" i="22" s="1"/>
  <c r="K67" i="12" l="1"/>
  <c r="DS2738" i="13"/>
  <c r="C2716" i="13" l="1"/>
  <c r="C2710" i="13" l="1"/>
  <c r="C2584" i="13" l="1"/>
  <c r="C2669" i="13" l="1"/>
  <c r="EP6" i="13" l="1"/>
  <c r="F35" i="22" s="1"/>
  <c r="H38" i="12" l="1"/>
  <c r="HI6" i="13"/>
  <c r="I66" i="22" s="1"/>
  <c r="K71" i="12" l="1"/>
  <c r="K89" i="12" s="1"/>
  <c r="BI2618" i="13"/>
  <c r="HJ6" i="13" l="1"/>
  <c r="F67" i="22" s="1"/>
  <c r="J67" i="22" s="1"/>
  <c r="H72" i="12" l="1"/>
  <c r="E72" i="12" s="1"/>
  <c r="C2600" i="13"/>
  <c r="BI2580" i="13" l="1"/>
  <c r="C2578" i="13"/>
  <c r="GZ2436" i="13" l="1"/>
  <c r="C2436" i="13" s="1"/>
  <c r="P6" i="13" l="1"/>
  <c r="F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F54" i="22" s="1"/>
  <c r="GW6" i="13"/>
  <c r="F60" i="22" s="1"/>
  <c r="GO6" i="13"/>
  <c r="F56" i="22" s="1"/>
  <c r="J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I4" i="22" s="1"/>
  <c r="J4" i="22" s="1"/>
  <c r="K5" i="12" l="1"/>
  <c r="E5" i="12" s="1"/>
  <c r="CM2458" i="13"/>
  <c r="CG2458" i="13"/>
  <c r="N6" i="13" l="1"/>
  <c r="D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F77" i="22" s="1"/>
  <c r="J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F43" i="22" s="1"/>
  <c r="HV6" i="13"/>
  <c r="F74" i="22" s="1"/>
  <c r="H79" i="12" l="1"/>
  <c r="H46" i="12"/>
  <c r="HH6" i="13"/>
  <c r="F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F7" i="22" s="1"/>
  <c r="J7" i="22" s="1"/>
  <c r="HX6" i="13"/>
  <c r="F75" i="22" s="1"/>
  <c r="GT6" i="13"/>
  <c r="J6" i="13"/>
  <c r="H6" i="13"/>
  <c r="F6" i="22" s="1"/>
  <c r="J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F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F33" i="22" s="1"/>
  <c r="HF6" i="13"/>
  <c r="F65" i="22" s="1"/>
  <c r="HM6" i="13"/>
  <c r="F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F48" i="22" s="1"/>
  <c r="J48" i="22" s="1"/>
  <c r="AC6" i="13"/>
  <c r="F13" i="22" s="1"/>
  <c r="Z6" i="13"/>
  <c r="F12" i="22" s="1"/>
  <c r="H15" i="12" l="1"/>
  <c r="H51" i="12"/>
  <c r="H16" i="12"/>
  <c r="AR1836" i="13"/>
  <c r="C1836" i="13" s="1"/>
  <c r="C1522" i="13" l="1"/>
  <c r="EA6" i="13" l="1"/>
  <c r="F32" i="22" s="1"/>
  <c r="H35" i="12" l="1"/>
  <c r="C1812" i="13"/>
  <c r="C1714" i="13" l="1"/>
  <c r="GZ6" i="13" l="1"/>
  <c r="F62" i="22" s="1"/>
  <c r="H67" i="12" l="1"/>
  <c r="DE6" i="13"/>
  <c r="F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I49" i="22" s="1"/>
  <c r="J49" i="22" s="1"/>
  <c r="EX6" i="13"/>
  <c r="K52" i="12" l="1"/>
  <c r="CW1652" i="13"/>
  <c r="BM1652" i="13"/>
  <c r="C1652" i="13" l="1"/>
  <c r="ET6" i="13"/>
  <c r="F36" i="22" s="1"/>
  <c r="EW6" i="13"/>
  <c r="E38" i="22" s="1"/>
  <c r="J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F30" i="22" s="1"/>
  <c r="DK6" i="13"/>
  <c r="F29" i="22" s="1"/>
  <c r="H33" i="12" l="1"/>
  <c r="H32" i="12"/>
  <c r="AR1544" i="13"/>
  <c r="C1544" i="13" s="1"/>
  <c r="GU6" i="13" l="1"/>
  <c r="FC6" i="13"/>
  <c r="F40" i="22" s="1"/>
  <c r="HT6" i="13"/>
  <c r="F73" i="22" s="1"/>
  <c r="J73" i="22" s="1"/>
  <c r="H64" i="12" l="1"/>
  <c r="E64" i="12" s="1"/>
  <c r="F59" i="22"/>
  <c r="J59" i="22" s="1"/>
  <c r="H43" i="12"/>
  <c r="H78" i="12"/>
  <c r="E78" i="12" s="1"/>
  <c r="HP1490" i="13"/>
  <c r="C1490" i="13" s="1"/>
  <c r="AR6" i="13" l="1"/>
  <c r="F17" i="22" s="1"/>
  <c r="GQ6" i="13"/>
  <c r="F57" i="22" s="1"/>
  <c r="S6" i="13"/>
  <c r="F10" i="22" s="1"/>
  <c r="J10" i="22" s="1"/>
  <c r="GB6" i="13"/>
  <c r="F50" i="22" s="1"/>
  <c r="IE6" i="13"/>
  <c r="F79" i="22" s="1"/>
  <c r="GM6" i="13"/>
  <c r="F55" i="22" s="1"/>
  <c r="EZ6" i="13"/>
  <c r="F39" i="22" s="1"/>
  <c r="EL6" i="13"/>
  <c r="F34" i="22" s="1"/>
  <c r="AN6" i="13"/>
  <c r="F16" i="22" s="1"/>
  <c r="GS6" i="13"/>
  <c r="DU6" i="13"/>
  <c r="F31" i="22" s="1"/>
  <c r="V6" i="13"/>
  <c r="F11" i="22" s="1"/>
  <c r="H63" i="12" l="1"/>
  <c r="F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I2" i="22" s="1"/>
  <c r="J2" i="22" s="1"/>
  <c r="E6" i="13"/>
  <c r="I3" i="22" s="1"/>
  <c r="J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F27" i="22" s="1"/>
  <c r="CS6" i="13"/>
  <c r="F26" i="22" s="1"/>
  <c r="CG6" i="13"/>
  <c r="F24" i="22" s="1"/>
  <c r="CA6" i="13"/>
  <c r="F23" i="22" s="1"/>
  <c r="BU6" i="13"/>
  <c r="F22" i="22" s="1"/>
  <c r="BO6" i="13"/>
  <c r="F21" i="22" s="1"/>
  <c r="BI6" i="13"/>
  <c r="F20" i="22" s="1"/>
  <c r="BC6" i="13"/>
  <c r="F19" i="22" s="1"/>
  <c r="AW6" i="13"/>
  <c r="F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G25" i="22" s="1"/>
  <c r="CH6" i="13"/>
  <c r="G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G29" i="22" s="1"/>
  <c r="AE950" i="13"/>
  <c r="I32" i="12" l="1"/>
  <c r="C1010" i="13"/>
  <c r="BS876" i="13"/>
  <c r="BM876" i="13"/>
  <c r="BA876" i="13"/>
  <c r="CK800" i="13"/>
  <c r="BS814" i="13"/>
  <c r="FA6" i="13" l="1"/>
  <c r="D40" i="22" s="1"/>
  <c r="F43" i="12" l="1"/>
  <c r="X6" i="13"/>
  <c r="D12" i="22" s="1"/>
  <c r="ER6" i="13"/>
  <c r="D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D58" i="22" s="1"/>
  <c r="J58" i="22" s="1"/>
  <c r="AA6" i="13"/>
  <c r="D13" i="22" s="1"/>
  <c r="F63" i="12" l="1"/>
  <c r="E63" i="12" s="1"/>
  <c r="F16" i="12"/>
  <c r="CW8" i="13"/>
  <c r="BJ6" i="13" l="1"/>
  <c r="G20" i="22" s="1"/>
  <c r="BD6" i="13"/>
  <c r="AV399" i="13"/>
  <c r="I23" i="12" l="1"/>
  <c r="CR395" i="13"/>
  <c r="BN395" i="13"/>
  <c r="CB6" i="13" l="1"/>
  <c r="G23" i="22" s="1"/>
  <c r="BV6" i="13"/>
  <c r="G22" i="22" s="1"/>
  <c r="BP6" i="13"/>
  <c r="G21" i="22" s="1"/>
  <c r="I25" i="12" l="1"/>
  <c r="I24" i="12"/>
  <c r="I26" i="12"/>
  <c r="CC8" i="13"/>
  <c r="HG316" i="13" l="1"/>
  <c r="GL316" i="13"/>
  <c r="IH6" i="13"/>
  <c r="D82" i="22" s="1"/>
  <c r="J82" i="22" s="1"/>
  <c r="F87" i="12" l="1"/>
  <c r="E87" i="12" s="1"/>
  <c r="CE215" i="13"/>
  <c r="CX200" i="13"/>
  <c r="GJ6" i="13" l="1"/>
  <c r="D54" i="22" s="1"/>
  <c r="J54" i="22" s="1"/>
  <c r="BM127" i="13"/>
  <c r="GL6" i="13"/>
  <c r="D55" i="22" s="1"/>
  <c r="J55" i="22" s="1"/>
  <c r="EC6" i="13"/>
  <c r="H32" i="22" s="1"/>
  <c r="CE82" i="13"/>
  <c r="F60" i="12" l="1"/>
  <c r="E60" i="12" s="1"/>
  <c r="J35" i="12"/>
  <c r="F59" i="12"/>
  <c r="IG6" i="13"/>
  <c r="D81" i="22" s="1"/>
  <c r="J81" i="22" s="1"/>
  <c r="IF6" i="13"/>
  <c r="D80" i="22" s="1"/>
  <c r="J80" i="22" s="1"/>
  <c r="ID6" i="13"/>
  <c r="D79" i="22" s="1"/>
  <c r="J79" i="22" s="1"/>
  <c r="IB6" i="13"/>
  <c r="D78" i="22" s="1"/>
  <c r="J78" i="22" s="1"/>
  <c r="HZ6" i="13"/>
  <c r="HY6" i="13"/>
  <c r="D76" i="22" s="1"/>
  <c r="J76" i="22" s="1"/>
  <c r="HW6" i="13"/>
  <c r="D75" i="22" s="1"/>
  <c r="J75" i="22" s="1"/>
  <c r="HU6" i="13"/>
  <c r="D74" i="22" s="1"/>
  <c r="J74" i="22" s="1"/>
  <c r="HS6" i="13"/>
  <c r="D72" i="22" s="1"/>
  <c r="J72" i="22" s="1"/>
  <c r="HR6" i="13"/>
  <c r="F71" i="22" s="1"/>
  <c r="HQ6" i="13"/>
  <c r="D71" i="22" s="1"/>
  <c r="HP6" i="13"/>
  <c r="F70" i="22" s="1"/>
  <c r="HO6" i="13"/>
  <c r="D70" i="22" s="1"/>
  <c r="HL6" i="13"/>
  <c r="D69" i="22" s="1"/>
  <c r="J69" i="22" s="1"/>
  <c r="HK6" i="13"/>
  <c r="D68" i="22" s="1"/>
  <c r="J68" i="22" s="1"/>
  <c r="HG6" i="13"/>
  <c r="D66" i="22" s="1"/>
  <c r="J66" i="22" s="1"/>
  <c r="HE6" i="13"/>
  <c r="D65" i="22" s="1"/>
  <c r="J65" i="22" s="1"/>
  <c r="HC6" i="13"/>
  <c r="D64" i="22" s="1"/>
  <c r="J64" i="22" s="1"/>
  <c r="GY6" i="13"/>
  <c r="D62" i="22" s="1"/>
  <c r="J62" i="22" s="1"/>
  <c r="GV6" i="13"/>
  <c r="D60" i="22" s="1"/>
  <c r="J60" i="22" s="1"/>
  <c r="GE6" i="13"/>
  <c r="E51" i="22" s="1"/>
  <c r="J51" i="22" s="1"/>
  <c r="GA6" i="13"/>
  <c r="E50" i="22" s="1"/>
  <c r="J50" i="22" s="1"/>
  <c r="F52" i="12"/>
  <c r="G51" i="12"/>
  <c r="E51" i="12" s="1"/>
  <c r="FR6" i="13"/>
  <c r="E47" i="22" s="1"/>
  <c r="FQ6" i="13"/>
  <c r="D47" i="22" s="1"/>
  <c r="FJ6" i="13"/>
  <c r="E43" i="22" s="1"/>
  <c r="J43" i="22" s="1"/>
  <c r="FF6" i="13"/>
  <c r="E42" i="22" s="1"/>
  <c r="J42" i="22" s="1"/>
  <c r="FB6" i="13"/>
  <c r="E40" i="22" s="1"/>
  <c r="J40" i="22" s="1"/>
  <c r="EY6" i="13"/>
  <c r="E39" i="22" s="1"/>
  <c r="J39" i="22" s="1"/>
  <c r="G41" i="12"/>
  <c r="E41" i="12" s="1"/>
  <c r="ES6" i="13"/>
  <c r="E36" i="22" s="1"/>
  <c r="J36" i="22" s="1"/>
  <c r="EO6" i="13"/>
  <c r="E35" i="22" s="1"/>
  <c r="EN6" i="13"/>
  <c r="D35" i="22" s="1"/>
  <c r="EK6" i="13"/>
  <c r="E34" i="22" s="1"/>
  <c r="EJ6" i="13"/>
  <c r="D34" i="22" s="1"/>
  <c r="EF6" i="13"/>
  <c r="E33" i="22" s="1"/>
  <c r="EE6" i="13"/>
  <c r="D33" i="22" s="1"/>
  <c r="EB6" i="13"/>
  <c r="G32" i="22" s="1"/>
  <c r="DZ6" i="13"/>
  <c r="E32" i="22" s="1"/>
  <c r="DY6" i="13"/>
  <c r="D32" i="22" s="1"/>
  <c r="DW6" i="13"/>
  <c r="H31" i="22" s="1"/>
  <c r="DV6" i="13"/>
  <c r="G31" i="22" s="1"/>
  <c r="DT6" i="13"/>
  <c r="E31" i="22" s="1"/>
  <c r="DS6" i="13"/>
  <c r="D31" i="22" s="1"/>
  <c r="DR6" i="13"/>
  <c r="H30" i="22" s="1"/>
  <c r="DQ6" i="13"/>
  <c r="G30" i="22" s="1"/>
  <c r="DO6" i="13"/>
  <c r="E30" i="22" s="1"/>
  <c r="DN6" i="13"/>
  <c r="D30" i="22" s="1"/>
  <c r="DM6" i="13"/>
  <c r="H29" i="22" s="1"/>
  <c r="DI6" i="13"/>
  <c r="D29" i="22" s="1"/>
  <c r="DG6" i="13"/>
  <c r="H28" i="22" s="1"/>
  <c r="DF6" i="13"/>
  <c r="G28" i="22" s="1"/>
  <c r="DD6" i="13"/>
  <c r="E28" i="22" s="1"/>
  <c r="DC6" i="13"/>
  <c r="D28" i="22" s="1"/>
  <c r="DB6" i="13"/>
  <c r="I27" i="22" s="1"/>
  <c r="CZ6" i="13"/>
  <c r="G27" i="22" s="1"/>
  <c r="CX6" i="13"/>
  <c r="E27" i="22" s="1"/>
  <c r="CW6" i="13"/>
  <c r="D27" i="22" s="1"/>
  <c r="CV6" i="13"/>
  <c r="I26" i="22" s="1"/>
  <c r="CT6" i="13"/>
  <c r="G26" i="22" s="1"/>
  <c r="CR6" i="13"/>
  <c r="E26" i="22" s="1"/>
  <c r="CQ6" i="13"/>
  <c r="D26" i="22" s="1"/>
  <c r="CP6" i="13"/>
  <c r="I25" i="22" s="1"/>
  <c r="CM6" i="13"/>
  <c r="F25" i="22" s="1"/>
  <c r="CL6" i="13"/>
  <c r="E25" i="22" s="1"/>
  <c r="CK6" i="13"/>
  <c r="D25" i="22" s="1"/>
  <c r="CJ6" i="13"/>
  <c r="I24" i="22" s="1"/>
  <c r="CF6" i="13"/>
  <c r="E24" i="22" s="1"/>
  <c r="CE6" i="13"/>
  <c r="D24" i="22" s="1"/>
  <c r="CC6" i="13"/>
  <c r="H23" i="22" s="1"/>
  <c r="BZ6" i="13"/>
  <c r="E23" i="22" s="1"/>
  <c r="BY6" i="13"/>
  <c r="D23" i="22" s="1"/>
  <c r="BX6" i="13"/>
  <c r="I22" i="22" s="1"/>
  <c r="BT6" i="13"/>
  <c r="E22" i="22" s="1"/>
  <c r="BS6" i="13"/>
  <c r="D22" i="22" s="1"/>
  <c r="BR6" i="13"/>
  <c r="I21" i="22" s="1"/>
  <c r="BN6" i="13"/>
  <c r="E21" i="22" s="1"/>
  <c r="BM6" i="13"/>
  <c r="D21" i="22" s="1"/>
  <c r="BL6" i="13"/>
  <c r="I20" i="22" s="1"/>
  <c r="BH6" i="13"/>
  <c r="E20" i="22" s="1"/>
  <c r="BG6" i="13"/>
  <c r="D20" i="22" s="1"/>
  <c r="BF6" i="13"/>
  <c r="I19" i="22" s="1"/>
  <c r="BB6" i="13"/>
  <c r="E19" i="22" s="1"/>
  <c r="BA6" i="13"/>
  <c r="D19" i="22" s="1"/>
  <c r="AZ6" i="13"/>
  <c r="I18" i="22" s="1"/>
  <c r="AV6" i="13"/>
  <c r="E18" i="22" s="1"/>
  <c r="AU6" i="13"/>
  <c r="D18" i="22" s="1"/>
  <c r="AT6" i="13"/>
  <c r="H17" i="22" s="1"/>
  <c r="AS6" i="13"/>
  <c r="G17" i="22" s="1"/>
  <c r="AQ6" i="13"/>
  <c r="E17" i="22" s="1"/>
  <c r="AP6" i="13"/>
  <c r="D17" i="22" s="1"/>
  <c r="AO6" i="13"/>
  <c r="H16" i="22" s="1"/>
  <c r="AM6" i="13"/>
  <c r="E16" i="22" s="1"/>
  <c r="AL6" i="13"/>
  <c r="D16" i="22" s="1"/>
  <c r="AI6" i="13"/>
  <c r="H14" i="22" s="1"/>
  <c r="AH6" i="13"/>
  <c r="G14" i="22" s="1"/>
  <c r="AF6" i="13"/>
  <c r="E14" i="22" s="1"/>
  <c r="AE6" i="13"/>
  <c r="D14" i="22" s="1"/>
  <c r="AD6" i="13"/>
  <c r="I13" i="22" s="1"/>
  <c r="AB6" i="13"/>
  <c r="E13" i="22" s="1"/>
  <c r="Y6" i="13"/>
  <c r="E12" i="22" s="1"/>
  <c r="J12" i="22" s="1"/>
  <c r="U6" i="13"/>
  <c r="E11" i="22" s="1"/>
  <c r="T6" i="13"/>
  <c r="D11" i="22" s="1"/>
  <c r="Q6" i="13"/>
  <c r="H9" i="22" s="1"/>
  <c r="O6" i="13"/>
  <c r="E9" i="22" s="1"/>
  <c r="L6" i="13"/>
  <c r="E8" i="22" s="1"/>
  <c r="J8" i="22" s="1"/>
  <c r="K6" i="13"/>
  <c r="J33" i="22" l="1"/>
  <c r="J34" i="22"/>
  <c r="J35" i="22"/>
  <c r="J47" i="22"/>
  <c r="J9" i="22"/>
  <c r="J11" i="22"/>
  <c r="J17" i="22"/>
  <c r="J18" i="22"/>
  <c r="J20" i="22"/>
  <c r="J22" i="22"/>
  <c r="J24" i="22"/>
  <c r="J13" i="22"/>
  <c r="J16" i="22"/>
  <c r="J19" i="22"/>
  <c r="J21" i="22"/>
  <c r="J23" i="22"/>
  <c r="J26" i="22"/>
  <c r="J27" i="22"/>
  <c r="J28" i="22"/>
  <c r="J30" i="22"/>
  <c r="J31" i="22"/>
  <c r="J32" i="22"/>
  <c r="J70" i="22"/>
  <c r="J71" i="22"/>
  <c r="J25" i="22"/>
  <c r="J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D57" i="22" s="1"/>
  <c r="J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E29" i="22"/>
  <c r="J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<sst xmlns="http://schemas.openxmlformats.org/spreadsheetml/2006/main" count="7410" uniqueCount="304">
  <si>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</si>
  <si>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</si>
  <si>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</si>
  <si>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</si>
  <si>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</si>
  <si>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</si>
  <si>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</si>
  <si>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</si>
  <si>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</si>
  <si>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</si>
  <si>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</si>
  <si>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</si>
  <si>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</si>
  <si>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</si>
  <si>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</si>
  <si>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</si>
  <si>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</si>
  <si>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</si>
  <si>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</si>
  <si>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</si>
  <si>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</si>
  <si>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</si>
  <si>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</si>
  <si>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</si>
  <si>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</si>
  <si>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</si>
  <si>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</si>
  <si>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</si>
  <si>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</si>
  <si>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</si>
  <si>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</si>
  <si>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</si>
  <si>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</si>
  <si>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</si>
  <si>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</si>
  <si>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</si>
  <si>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</si>
  <si>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</si>
  <si>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</si>
  <si>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</si>
  <si>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</si>
  <si>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</si>
  <si>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</si>
  <si>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</si>
  <si>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</si>
  <si>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</si>
  <si>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</si>
  <si>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</si>
  <si>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</si>
  <si>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</si>
  <si>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</si>
  <si>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</si>
  <si>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</si>
  <si>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</si>
  <si>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</si>
  <si>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</si>
  <si>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</si>
  <si>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</si>
  <si>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</si>
  <si>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</si>
  <si>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</si>
  <si>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</si>
  <si>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</si>
  <si>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</si>
  <si>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</si>
  <si>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</si>
  <si>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</si>
  <si>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</si>
  <si>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</si>
  <si>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</si>
  <si>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</si>
  <si>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</si>
  <si>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</si>
  <si>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</si>
  <si>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</si>
  <si>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</si>
  <si>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</si>
  <si>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</si>
  <si>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</si>
  <si>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</si>
  <si>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</si>
  <si>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</si>
  <si>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</si>
  <si>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</si>
  <si>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</si>
  <si>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</si>
  <si>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</si>
  <si>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</si>
  <si>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</si>
  <si>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</si>
  <si>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</si>
  <si>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</si>
  <si>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</si>
  <si>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</si>
  <si>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</si>
  <si>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</si>
  <si>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</si>
  <si>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</si>
  <si>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</si>
  <si>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</si>
  <si>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</si>
  <si>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</si>
  <si>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</si>
  <si>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</si>
  <si>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</si>
  <si>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</si>
  <si>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</si>
  <si>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</si>
  <si>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</si>
  <si>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</si>
  <si>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</si>
  <si>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</si>
  <si>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</si>
  <si>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</si>
  <si>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</si>
  <si>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</si>
  <si>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</si>
  <si>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</si>
  <si>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</si>
  <si>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</si>
  <si>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</si>
  <si>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</si>
  <si>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</si>
  <si>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</si>
  <si>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</si>
  <si>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</si>
  <si>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</si>
  <si>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</si>
  <si>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</si>
  <si>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</si>
  <si>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</si>
  <si>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</si>
  <si>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</si>
  <si>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</si>
  <si>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</si>
  <si>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</si>
  <si>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</si>
  <si>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</si>
  <si>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</si>
  <si>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</si>
  <si>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</si>
  <si>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</si>
  <si>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</si>
  <si>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</si>
  <si>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</si>
  <si>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</si>
  <si>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</si>
  <si>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</si>
  <si>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</si>
  <si>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</si>
  <si>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</si>
  <si>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</si>
  <si>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</si>
  <si>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</si>
  <si>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</si>
  <si>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</si>
  <si>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</si>
  <si>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</si>
  <si>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</si>
  <si>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</si>
  <si>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</si>
  <si>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</si>
  <si>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</si>
  <si>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</si>
  <si>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</si>
  <si>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</si>
  <si>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</si>
  <si>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</si>
  <si>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</si>
  <si>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</si>
  <si>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</si>
  <si>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</si>
  <si>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</si>
  <si>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</si>
  <si>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</si>
  <si>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</si>
  <si>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</si>
  <si>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</si>
  <si>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</si>
  <si>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</si>
  <si>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</si>
  <si>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</si>
  <si>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</si>
  <si>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</si>
  <si>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</si>
  <si>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</si>
  <si>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</si>
  <si>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</si>
  <si>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</si>
  <si>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</si>
  <si>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</si>
  <si>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</si>
  <si>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</si>
  <si>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</si>
  <si>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</si>
  <si>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</si>
  <si>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</si>
  <si>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</si>
  <si>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</si>
  <si>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</si>
  <si>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</si>
  <si>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</si>
  <si>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</si>
  <si>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</si>
  <si>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</si>
  <si>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</si>
  <si>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</si>
  <si>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</si>
  <si>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</si>
  <si>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</si>
  <si>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</si>
  <si>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</si>
  <si>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</si>
  <si>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</si>
  <si>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</si>
  <si>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</si>
  <si>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</si>
  <si>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</si>
  <si>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</si>
  <si>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</si>
  <si>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</si>
  <si>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</si>
  <si>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</si>
  <si>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</si>
  <si>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</si>
  <si>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</si>
  <si>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</si>
  <si>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</si>
  <si>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</si>
  <si>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</si>
  <si>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</si>
  <si>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</si>
  <si>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</si>
  <si>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</si>
  <si>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</si>
  <si>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</si>
  <si>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</si>
  <si>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</si>
  <si>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</si>
  <si>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</si>
  <si>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</si>
  <si>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</si>
  <si>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</si>
  <si>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</si>
  <si>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</si>
  <si>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</si>
  <si>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</si>
  <si>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</si>
  <si>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</si>
  <si>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</si>
  <si>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</si>
  <si>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</si>
  <si>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</si>
  <si>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</si>
  <si>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</si>
  <si>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</si>
  <si>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</si>
  <si>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</si>
  <si>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</si>
  <si>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</si>
  <si>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</si>
  <si>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</si>
  <si>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</si>
  <si>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</si>
  <si>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</si>
  <si>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</si>
  <si>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</si>
  <si>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</si>
  <si>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</si>
  <si>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</si>
  <si>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</si>
  <si>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</si>
  <si>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</si>
  <si>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</si>
  <si>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</si>
  <si>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1,60</t>
  </si>
  <si>
    <t>1,70</t>
  </si>
  <si>
    <t>1,80</t>
  </si>
  <si>
    <t>1,85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</si>
  <si>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</si>
  <si>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</si>
  <si>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</si>
  <si>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</si>
  <si>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</si>
  <si>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</si>
  <si>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</si>
  <si>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</si>
  <si>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</si>
  <si>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</si>
  <si>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</si>
  <si>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0,08</t>
  </si>
  <si>
    <t>0,12</t>
  </si>
  <si>
    <t>0,14</t>
  </si>
  <si>
    <t>0,15</t>
  </si>
  <si>
    <t>0,17</t>
  </si>
  <si>
    <t>0,18</t>
  </si>
  <si>
    <t>0,19</t>
  </si>
  <si>
    <t>0,22</t>
  </si>
  <si>
    <t>0,32</t>
  </si>
  <si>
    <t>0,33</t>
  </si>
  <si>
    <t>0,38</t>
  </si>
  <si>
    <t>ARGEN YAZILIM</t>
  </si>
  <si>
    <t>KEREM AKBULUT</t>
  </si>
  <si>
    <t>YBS POMPA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</si>
</sst>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40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  <xf numFmtId="0" fontId="15" fillId="7" borderId="34" xfId="5" applyNumberFormat="1" applyBorder="1" applyAlignment="1">
      <alignment horizontal="center" vertical="center"/>
    </xf>
    <xf numFmtId="2" fontId="15" fillId="7" borderId="34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 vertical="center"/>
    </xf>
    <xf numFmtId="165" fontId="15" fillId="7" borderId="67" xfId="5" applyNumberFormat="1" applyBorder="1" applyAlignment="1">
      <alignment horizontal="center" vertical="center"/>
    </xf>
    <xf numFmtId="165" fontId="15" fillId="7" borderId="36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/>
    </xf>
    <xf numFmtId="0" fontId="14" fillId="0" borderId="25" xfId="7" applyNumberFormat="1" applyFill="1" applyBorder="1" applyAlignment="1">
      <alignment horizontal="center" vertical="center"/>
    </xf>
    <xf numFmtId="2" fontId="14" fillId="0" borderId="25" xfId="7" applyNumberFormat="1" applyFill="1" applyBorder="1" applyAlignment="1">
      <alignment horizontal="center" vertical="center"/>
    </xf>
    <xf numFmtId="165" fontId="14" fillId="0" borderId="25" xfId="7" applyNumberFormat="1" applyFill="1" applyBorder="1" applyAlignment="1">
      <alignment horizontal="center"/>
    </xf>
    <xf numFmtId="165" fontId="14" fillId="0" borderId="45" xfId="7" applyNumberFormat="1" applyFill="1" applyBorder="1" applyAlignment="1">
      <alignment horizontal="center" vertical="center"/>
    </xf>
    <xf numFmtId="165" fontId="14" fillId="0" borderId="42" xfId="7" applyNumberFormat="1" applyFill="1" applyBorder="1" applyAlignment="1">
      <alignment horizontal="center"/>
    </xf>
    <xf numFmtId="165" fontId="14" fillId="0" borderId="50" xfId="7" applyNumberFormat="1" applyFill="1" applyBorder="1" applyAlignment="1">
      <alignment horizont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 vertical="center"/>
    </xf>
    <xf numFmtId="165" fontId="15" fillId="5" borderId="42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  <xf numFmtId="165" fontId="15" fillId="5" borderId="67" xfId="3" applyNumberFormat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96" t="s">
        <v>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  <c r="O1" s="397"/>
      <c r="P1" s="397"/>
      <c r="Q1" s="397"/>
      <c r="R1" s="397"/>
      <c r="S1" s="397"/>
      <c r="T1" s="397"/>
      <c r="U1" s="397"/>
      <c r="V1" s="397"/>
      <c r="W1" s="397"/>
      <c r="X1" s="397"/>
      <c r="Y1" s="397"/>
      <c r="Z1" s="397"/>
      <c r="AA1" s="397"/>
      <c r="AB1" s="397"/>
      <c r="AC1" s="397"/>
    </row>
    <row r="2" spans="1:29" x14ac:dyDescent="0.25">
      <c r="A2" s="398"/>
      <c r="B2" s="395"/>
      <c r="C2" s="395"/>
      <c r="D2" s="395"/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5"/>
      <c r="R2" s="395"/>
      <c r="S2" s="395"/>
      <c r="T2" s="395"/>
      <c r="U2" s="395"/>
      <c r="V2" s="395"/>
      <c r="W2" s="395"/>
      <c r="X2" s="395"/>
      <c r="Y2" s="395"/>
      <c r="Z2" s="395"/>
      <c r="AA2" s="395"/>
      <c r="AB2" s="395"/>
      <c r="AC2" s="395"/>
    </row>
    <row r="3" spans="1:29" x14ac:dyDescent="0.25">
      <c r="A3" s="3">
        <v>1.8</v>
      </c>
      <c r="B3" s="393"/>
      <c r="C3" s="2">
        <v>2.2000000000000002</v>
      </c>
      <c r="D3" s="393"/>
      <c r="E3" s="2">
        <v>2.2999999999999998</v>
      </c>
      <c r="F3" s="393"/>
      <c r="G3" s="2">
        <v>2.4500000000000002</v>
      </c>
      <c r="H3" s="393"/>
      <c r="I3" s="2"/>
      <c r="J3" s="393"/>
      <c r="K3" s="2"/>
      <c r="L3" s="393"/>
      <c r="M3" s="2"/>
      <c r="N3" s="393"/>
      <c r="O3" s="2"/>
      <c r="P3" s="393"/>
      <c r="Q3" s="2"/>
      <c r="R3" s="393"/>
      <c r="S3" s="2"/>
      <c r="T3" s="393"/>
      <c r="U3" s="2"/>
      <c r="V3" s="393"/>
      <c r="W3" s="2"/>
      <c r="X3" s="393"/>
      <c r="Y3" s="2"/>
      <c r="Z3" s="393"/>
      <c r="AA3" s="2"/>
      <c r="AB3" s="395"/>
    </row>
    <row r="4" spans="1:29" ht="6" customHeight="1" x14ac:dyDescent="0.25">
      <c r="A4" s="4"/>
      <c r="B4" s="394"/>
      <c r="C4" s="5"/>
      <c r="D4" s="394"/>
      <c r="E4" s="5"/>
      <c r="F4" s="394"/>
      <c r="G4" s="5"/>
      <c r="H4" s="394"/>
      <c r="I4" s="5"/>
      <c r="J4" s="394"/>
      <c r="K4" s="5"/>
      <c r="L4" s="394"/>
      <c r="M4" s="5"/>
      <c r="N4" s="394"/>
      <c r="O4" s="5"/>
      <c r="P4" s="394"/>
      <c r="Q4" s="5"/>
      <c r="R4" s="394"/>
      <c r="S4" s="5"/>
      <c r="T4" s="394"/>
      <c r="U4" s="5"/>
      <c r="V4" s="394"/>
      <c r="W4" s="5"/>
      <c r="X4" s="394"/>
      <c r="Y4" s="5"/>
      <c r="Z4" s="394"/>
      <c r="AA4" s="5"/>
      <c r="AB4" s="395"/>
    </row>
    <row r="5" spans="1:29" x14ac:dyDescent="0.25">
      <c r="A5" s="6">
        <v>2035.8</v>
      </c>
      <c r="B5" s="394"/>
      <c r="C5" s="7">
        <v>2018.1</v>
      </c>
      <c r="D5" s="394"/>
      <c r="E5" s="7">
        <v>2056.1</v>
      </c>
      <c r="F5" s="394"/>
      <c r="G5" s="7">
        <v>1995.7</v>
      </c>
      <c r="H5" s="394"/>
      <c r="I5" s="7"/>
      <c r="J5" s="394"/>
      <c r="K5" s="7"/>
      <c r="L5" s="394"/>
      <c r="M5" s="7"/>
      <c r="N5" s="394"/>
      <c r="O5" s="7"/>
      <c r="P5" s="394"/>
      <c r="Q5" s="7"/>
      <c r="R5" s="394"/>
      <c r="S5" s="7"/>
      <c r="T5" s="394"/>
      <c r="U5" s="7"/>
      <c r="V5" s="394"/>
      <c r="W5" s="7"/>
      <c r="X5" s="394"/>
      <c r="Y5" s="7"/>
      <c r="Z5" s="394"/>
      <c r="AA5" s="7"/>
      <c r="AB5" s="395"/>
    </row>
    <row r="6" spans="1:29" x14ac:dyDescent="0.25">
      <c r="A6" s="6"/>
      <c r="B6" s="394"/>
      <c r="C6" s="7"/>
      <c r="D6" s="394"/>
      <c r="E6" s="7"/>
      <c r="F6" s="394"/>
      <c r="G6" s="7"/>
      <c r="H6" s="394"/>
      <c r="I6" s="7"/>
      <c r="J6" s="394"/>
      <c r="K6" s="7"/>
      <c r="L6" s="394"/>
      <c r="M6" s="7"/>
      <c r="N6" s="394"/>
      <c r="O6" s="7"/>
      <c r="P6" s="394"/>
      <c r="Q6" s="7"/>
      <c r="R6" s="394"/>
      <c r="S6" s="7"/>
      <c r="T6" s="394"/>
      <c r="U6" s="7"/>
      <c r="V6" s="394"/>
      <c r="W6" s="7"/>
      <c r="X6" s="394"/>
      <c r="Y6" s="7"/>
      <c r="Z6" s="394"/>
      <c r="AA6" s="7"/>
      <c r="AB6" s="395"/>
    </row>
    <row r="7" spans="1:29" x14ac:dyDescent="0.25">
      <c r="A7" s="6"/>
      <c r="B7" s="394"/>
      <c r="C7" s="7"/>
      <c r="D7" s="394"/>
      <c r="E7" s="7"/>
      <c r="F7" s="394"/>
      <c r="G7" s="7"/>
      <c r="H7" s="394"/>
      <c r="I7" s="7"/>
      <c r="J7" s="394"/>
      <c r="K7" s="7"/>
      <c r="L7" s="394"/>
      <c r="M7" s="7"/>
      <c r="N7" s="394"/>
      <c r="O7" s="7"/>
      <c r="P7" s="394"/>
      <c r="Q7" s="7"/>
      <c r="R7" s="394"/>
      <c r="S7" s="7"/>
      <c r="T7" s="394"/>
      <c r="U7" s="7"/>
      <c r="V7" s="394"/>
      <c r="W7" s="7"/>
      <c r="X7" s="394"/>
      <c r="Y7" s="7"/>
      <c r="Z7" s="394"/>
      <c r="AA7" s="7"/>
      <c r="AB7" s="395"/>
    </row>
    <row r="8" spans="1:29" x14ac:dyDescent="0.25">
      <c r="A8" s="6"/>
      <c r="B8" s="394"/>
      <c r="C8" s="7"/>
      <c r="D8" s="394"/>
      <c r="E8" s="7"/>
      <c r="F8" s="394"/>
      <c r="G8" s="7"/>
      <c r="H8" s="394"/>
      <c r="I8" s="7"/>
      <c r="J8" s="394"/>
      <c r="K8" s="7"/>
      <c r="L8" s="394"/>
      <c r="M8" s="7"/>
      <c r="N8" s="394"/>
      <c r="O8" s="7"/>
      <c r="P8" s="394"/>
      <c r="Q8" s="7"/>
      <c r="R8" s="394"/>
      <c r="S8" s="7"/>
      <c r="T8" s="394"/>
      <c r="U8" s="7"/>
      <c r="V8" s="394"/>
      <c r="W8" s="7"/>
      <c r="X8" s="394"/>
      <c r="Y8" s="7"/>
      <c r="Z8" s="394"/>
      <c r="AA8" s="7"/>
      <c r="AB8" s="395"/>
    </row>
    <row r="9" spans="1:29" x14ac:dyDescent="0.25">
      <c r="A9" s="6"/>
      <c r="B9" s="394"/>
      <c r="C9" s="7"/>
      <c r="D9" s="394"/>
      <c r="E9" s="7"/>
      <c r="F9" s="394"/>
      <c r="G9" s="7"/>
      <c r="H9" s="394"/>
      <c r="I9" s="7"/>
      <c r="J9" s="394"/>
      <c r="K9" s="7"/>
      <c r="L9" s="394"/>
      <c r="M9" s="7"/>
      <c r="N9" s="394"/>
      <c r="O9" s="7"/>
      <c r="P9" s="394"/>
      <c r="Q9" s="7"/>
      <c r="R9" s="394"/>
      <c r="S9" s="7"/>
      <c r="T9" s="394"/>
      <c r="U9" s="7"/>
      <c r="V9" s="394"/>
      <c r="W9" s="7"/>
      <c r="X9" s="394"/>
      <c r="Y9" s="7"/>
      <c r="Z9" s="394"/>
      <c r="AA9" s="7"/>
      <c r="AB9" s="395"/>
    </row>
    <row r="10" spans="1:29" x14ac:dyDescent="0.25">
      <c r="A10" s="6"/>
      <c r="B10" s="394"/>
      <c r="C10" s="7"/>
      <c r="D10" s="394"/>
      <c r="E10" s="7"/>
      <c r="F10" s="394"/>
      <c r="G10" s="7"/>
      <c r="H10" s="394"/>
      <c r="I10" s="7"/>
      <c r="J10" s="394"/>
      <c r="K10" s="7"/>
      <c r="L10" s="394"/>
      <c r="M10" s="7"/>
      <c r="N10" s="394"/>
      <c r="O10" s="7"/>
      <c r="P10" s="394"/>
      <c r="Q10" s="7"/>
      <c r="R10" s="394"/>
      <c r="S10" s="7"/>
      <c r="T10" s="394"/>
      <c r="U10" s="7"/>
      <c r="V10" s="394"/>
      <c r="W10" s="7"/>
      <c r="X10" s="394"/>
      <c r="Y10" s="7"/>
      <c r="Z10" s="394"/>
      <c r="AA10" s="7"/>
      <c r="AB10" s="395"/>
    </row>
    <row r="11" spans="1:29" x14ac:dyDescent="0.25">
      <c r="A11" s="6"/>
      <c r="B11" s="394"/>
      <c r="C11" s="7"/>
      <c r="D11" s="394"/>
      <c r="E11" s="7"/>
      <c r="F11" s="394"/>
      <c r="G11" s="7"/>
      <c r="H11" s="394"/>
      <c r="I11" s="7"/>
      <c r="J11" s="394"/>
      <c r="K11" s="7"/>
      <c r="L11" s="394"/>
      <c r="M11" s="7"/>
      <c r="N11" s="394"/>
      <c r="O11" s="7"/>
      <c r="P11" s="394"/>
      <c r="Q11" s="7"/>
      <c r="R11" s="394"/>
      <c r="S11" s="7"/>
      <c r="T11" s="394"/>
      <c r="U11" s="7"/>
      <c r="V11" s="394"/>
      <c r="W11" s="7"/>
      <c r="X11" s="394"/>
      <c r="Y11" s="7"/>
      <c r="Z11" s="394"/>
      <c r="AA11" s="7"/>
      <c r="AB11" s="395"/>
    </row>
    <row r="12" spans="1:29" x14ac:dyDescent="0.25">
      <c r="A12" s="6"/>
      <c r="B12" s="394"/>
      <c r="C12" s="7"/>
      <c r="D12" s="394"/>
      <c r="E12" s="7"/>
      <c r="F12" s="394"/>
      <c r="G12" s="7"/>
      <c r="H12" s="394"/>
      <c r="I12" s="7"/>
      <c r="J12" s="394"/>
      <c r="K12" s="7"/>
      <c r="L12" s="394"/>
      <c r="M12" s="7"/>
      <c r="N12" s="394"/>
      <c r="O12" s="7"/>
      <c r="P12" s="394"/>
      <c r="Q12" s="7"/>
      <c r="R12" s="394"/>
      <c r="S12" s="7"/>
      <c r="T12" s="394"/>
      <c r="U12" s="7"/>
      <c r="V12" s="394"/>
      <c r="W12" s="7"/>
      <c r="X12" s="394"/>
      <c r="Y12" s="7"/>
      <c r="Z12" s="394"/>
      <c r="AA12" s="7"/>
      <c r="AB12" s="395"/>
    </row>
    <row r="13" spans="1:29" x14ac:dyDescent="0.25">
      <c r="A13" s="6"/>
      <c r="B13" s="394"/>
      <c r="C13" s="7"/>
      <c r="D13" s="394"/>
      <c r="E13" s="7"/>
      <c r="F13" s="394"/>
      <c r="G13" s="7"/>
      <c r="H13" s="394"/>
      <c r="I13" s="7"/>
      <c r="J13" s="394"/>
      <c r="K13" s="7"/>
      <c r="L13" s="394"/>
      <c r="M13" s="7"/>
      <c r="N13" s="394"/>
      <c r="O13" s="7"/>
      <c r="P13" s="394"/>
      <c r="Q13" s="7"/>
      <c r="R13" s="394"/>
      <c r="S13" s="7"/>
      <c r="T13" s="394"/>
      <c r="U13" s="7"/>
      <c r="V13" s="394"/>
      <c r="W13" s="7"/>
      <c r="X13" s="394"/>
      <c r="Y13" s="7"/>
      <c r="Z13" s="394"/>
      <c r="AA13" s="7"/>
      <c r="AB13" s="395"/>
    </row>
    <row r="14" spans="1:29" x14ac:dyDescent="0.25">
      <c r="A14" s="6"/>
      <c r="B14" s="394"/>
      <c r="C14" s="7"/>
      <c r="D14" s="394"/>
      <c r="E14" s="7"/>
      <c r="F14" s="394"/>
      <c r="G14" s="7"/>
      <c r="H14" s="394"/>
      <c r="I14" s="7"/>
      <c r="J14" s="394"/>
      <c r="K14" s="7"/>
      <c r="L14" s="394"/>
      <c r="M14" s="7"/>
      <c r="N14" s="394"/>
      <c r="O14" s="7"/>
      <c r="P14" s="394"/>
      <c r="Q14" s="7"/>
      <c r="R14" s="394"/>
      <c r="S14" s="7"/>
      <c r="T14" s="394"/>
      <c r="U14" s="7"/>
      <c r="V14" s="394"/>
      <c r="W14" s="7"/>
      <c r="X14" s="394"/>
      <c r="Y14" s="7"/>
      <c r="Z14" s="394"/>
      <c r="AA14" s="7"/>
      <c r="AB14" s="395"/>
    </row>
    <row r="15" spans="1:29" x14ac:dyDescent="0.25">
      <c r="A15" s="6"/>
      <c r="B15" s="394"/>
      <c r="C15" s="7"/>
      <c r="D15" s="394"/>
      <c r="E15" s="7"/>
      <c r="F15" s="394"/>
      <c r="G15" s="7"/>
      <c r="H15" s="394"/>
      <c r="I15" s="7"/>
      <c r="J15" s="394"/>
      <c r="K15" s="7"/>
      <c r="L15" s="394"/>
      <c r="M15" s="7"/>
      <c r="N15" s="394"/>
      <c r="O15" s="7"/>
      <c r="P15" s="394"/>
      <c r="Q15" s="7"/>
      <c r="R15" s="394"/>
      <c r="S15" s="7"/>
      <c r="T15" s="394"/>
      <c r="U15" s="7"/>
      <c r="V15" s="394"/>
      <c r="W15" s="7"/>
      <c r="X15" s="394"/>
      <c r="Y15" s="7"/>
      <c r="Z15" s="394"/>
      <c r="AA15" s="7"/>
      <c r="AB15" s="395"/>
    </row>
    <row r="16" spans="1:29" x14ac:dyDescent="0.25">
      <c r="A16" s="6"/>
      <c r="B16" s="394"/>
      <c r="C16" s="7"/>
      <c r="D16" s="394"/>
      <c r="E16" s="7"/>
      <c r="F16" s="394"/>
      <c r="G16" s="7"/>
      <c r="H16" s="394"/>
      <c r="I16" s="7"/>
      <c r="J16" s="394"/>
      <c r="K16" s="7"/>
      <c r="L16" s="394"/>
      <c r="M16" s="7"/>
      <c r="N16" s="394"/>
      <c r="O16" s="7"/>
      <c r="P16" s="394"/>
      <c r="Q16" s="7"/>
      <c r="R16" s="394"/>
      <c r="S16" s="7"/>
      <c r="T16" s="394"/>
      <c r="U16" s="7"/>
      <c r="V16" s="394"/>
      <c r="W16" s="7"/>
      <c r="X16" s="394"/>
      <c r="Y16" s="7"/>
      <c r="Z16" s="394"/>
      <c r="AA16" s="7"/>
      <c r="AB16" s="395"/>
    </row>
    <row r="17" spans="1:28" x14ac:dyDescent="0.25">
      <c r="A17" s="6"/>
      <c r="B17" s="394"/>
      <c r="C17" s="7"/>
      <c r="D17" s="394"/>
      <c r="E17" s="7"/>
      <c r="F17" s="394"/>
      <c r="G17" s="7"/>
      <c r="H17" s="394"/>
      <c r="I17" s="7"/>
      <c r="J17" s="394"/>
      <c r="K17" s="7"/>
      <c r="L17" s="394"/>
      <c r="M17" s="7"/>
      <c r="N17" s="394"/>
      <c r="O17" s="7"/>
      <c r="P17" s="394"/>
      <c r="Q17" s="7"/>
      <c r="R17" s="394"/>
      <c r="S17" s="7"/>
      <c r="T17" s="394"/>
      <c r="U17" s="7"/>
      <c r="V17" s="394"/>
      <c r="W17" s="7"/>
      <c r="X17" s="394"/>
      <c r="Y17" s="7"/>
      <c r="Z17" s="394"/>
      <c r="AA17" s="7"/>
      <c r="AB17" s="395"/>
    </row>
    <row r="18" spans="1:28" x14ac:dyDescent="0.25">
      <c r="A18" s="6"/>
      <c r="B18" s="394"/>
      <c r="C18" s="7"/>
      <c r="D18" s="394"/>
      <c r="E18" s="7"/>
      <c r="F18" s="394"/>
      <c r="G18" s="7"/>
      <c r="H18" s="394"/>
      <c r="I18" s="7"/>
      <c r="J18" s="394"/>
      <c r="K18" s="7"/>
      <c r="L18" s="394"/>
      <c r="M18" s="7"/>
      <c r="N18" s="394"/>
      <c r="O18" s="7"/>
      <c r="P18" s="394"/>
      <c r="Q18" s="7"/>
      <c r="R18" s="394"/>
      <c r="S18" s="7"/>
      <c r="T18" s="394"/>
      <c r="U18" s="7"/>
      <c r="V18" s="394"/>
      <c r="W18" s="7"/>
      <c r="X18" s="394"/>
      <c r="Y18" s="7"/>
      <c r="Z18" s="394"/>
      <c r="AA18" s="7"/>
      <c r="AB18" s="395"/>
    </row>
    <row r="19" spans="1:28" x14ac:dyDescent="0.25">
      <c r="A19" s="6"/>
      <c r="B19" s="394"/>
      <c r="C19" s="7"/>
      <c r="D19" s="394"/>
      <c r="E19" s="7"/>
      <c r="F19" s="394"/>
      <c r="G19" s="7"/>
      <c r="H19" s="394"/>
      <c r="I19" s="7"/>
      <c r="J19" s="394"/>
      <c r="K19" s="7"/>
      <c r="L19" s="394"/>
      <c r="M19" s="7"/>
      <c r="N19" s="394"/>
      <c r="O19" s="7"/>
      <c r="P19" s="394"/>
      <c r="Q19" s="7"/>
      <c r="R19" s="394"/>
      <c r="S19" s="7"/>
      <c r="T19" s="394"/>
      <c r="U19" s="7"/>
      <c r="V19" s="394"/>
      <c r="W19" s="7"/>
      <c r="X19" s="394"/>
      <c r="Y19" s="7"/>
      <c r="Z19" s="394"/>
      <c r="AA19" s="7"/>
      <c r="AB19" s="395"/>
    </row>
    <row r="20" spans="1:28" x14ac:dyDescent="0.25">
      <c r="A20" s="6"/>
      <c r="B20" s="394"/>
      <c r="C20" s="7"/>
      <c r="D20" s="394"/>
      <c r="E20" s="7"/>
      <c r="F20" s="394"/>
      <c r="G20" s="7"/>
      <c r="H20" s="394"/>
      <c r="I20" s="7"/>
      <c r="J20" s="394"/>
      <c r="K20" s="7"/>
      <c r="L20" s="394"/>
      <c r="M20" s="7"/>
      <c r="N20" s="394"/>
      <c r="O20" s="7"/>
      <c r="P20" s="394"/>
      <c r="Q20" s="7"/>
      <c r="R20" s="394"/>
      <c r="S20" s="7"/>
      <c r="T20" s="394"/>
      <c r="U20" s="7"/>
      <c r="V20" s="394"/>
      <c r="W20" s="7"/>
      <c r="X20" s="394"/>
      <c r="Y20" s="7"/>
      <c r="Z20" s="394"/>
      <c r="AA20" s="7"/>
      <c r="AB20" s="395"/>
    </row>
    <row r="21" spans="1:28" ht="15.75" customHeight="1" x14ac:dyDescent="0.25">
      <c r="A21" s="6"/>
      <c r="B21" s="394"/>
      <c r="C21" s="7"/>
      <c r="D21" s="394"/>
      <c r="E21" s="7"/>
      <c r="F21" s="394"/>
      <c r="G21" s="7"/>
      <c r="H21" s="394"/>
      <c r="I21" s="7"/>
      <c r="J21" s="394"/>
      <c r="K21" s="7"/>
      <c r="L21" s="394"/>
      <c r="M21" s="7"/>
      <c r="N21" s="394"/>
      <c r="O21" s="7"/>
      <c r="P21" s="394"/>
      <c r="Q21" s="7"/>
      <c r="R21" s="394"/>
      <c r="S21" s="7"/>
      <c r="T21" s="394"/>
      <c r="U21" s="7"/>
      <c r="V21" s="394"/>
      <c r="W21" s="7"/>
      <c r="X21" s="394"/>
      <c r="Y21" s="7"/>
      <c r="Z21" s="394"/>
      <c r="AA21" s="7"/>
      <c r="AB21" s="395"/>
    </row>
    <row r="22" spans="1:28" ht="15.75" customHeight="1" x14ac:dyDescent="0.25">
      <c r="A22" s="6"/>
      <c r="B22" s="394"/>
      <c r="C22" s="7"/>
      <c r="D22" s="394"/>
      <c r="E22" s="7"/>
      <c r="F22" s="394"/>
      <c r="G22" s="7"/>
      <c r="H22" s="394"/>
      <c r="I22" s="7"/>
      <c r="J22" s="394"/>
      <c r="K22" s="7"/>
      <c r="L22" s="394"/>
      <c r="M22" s="7"/>
      <c r="N22" s="394"/>
      <c r="O22" s="7"/>
      <c r="P22" s="394"/>
      <c r="Q22" s="7"/>
      <c r="R22" s="394"/>
      <c r="S22" s="7"/>
      <c r="T22" s="394"/>
      <c r="U22" s="7"/>
      <c r="V22" s="394"/>
      <c r="W22" s="7"/>
      <c r="X22" s="394"/>
      <c r="Y22" s="7"/>
      <c r="Z22" s="394"/>
      <c r="AA22" s="7"/>
      <c r="AB22" s="395"/>
    </row>
    <row r="23" spans="1:28" ht="15.75" customHeight="1" x14ac:dyDescent="0.25">
      <c r="A23" s="6"/>
      <c r="B23" s="394"/>
      <c r="C23" s="7"/>
      <c r="D23" s="394"/>
      <c r="E23" s="7"/>
      <c r="F23" s="394"/>
      <c r="G23" s="7"/>
      <c r="H23" s="394"/>
      <c r="I23" s="7"/>
      <c r="J23" s="394"/>
      <c r="K23" s="7"/>
      <c r="L23" s="394"/>
      <c r="M23" s="7"/>
      <c r="N23" s="394"/>
      <c r="O23" s="7"/>
      <c r="P23" s="394"/>
      <c r="Q23" s="7"/>
      <c r="R23" s="394"/>
      <c r="S23" s="7"/>
      <c r="T23" s="394"/>
      <c r="U23" s="7"/>
      <c r="V23" s="394"/>
      <c r="W23" s="7"/>
      <c r="X23" s="394"/>
      <c r="Y23" s="7"/>
      <c r="Z23" s="394"/>
      <c r="AA23" s="7"/>
      <c r="AB23" s="395"/>
    </row>
    <row r="24" spans="1:28" ht="15.75" customHeight="1" x14ac:dyDescent="0.25">
      <c r="A24" s="6"/>
      <c r="B24" s="394"/>
      <c r="C24" s="7"/>
      <c r="D24" s="394"/>
      <c r="E24" s="7"/>
      <c r="F24" s="394"/>
      <c r="G24" s="7"/>
      <c r="H24" s="394"/>
      <c r="I24" s="7"/>
      <c r="J24" s="394"/>
      <c r="K24" s="7"/>
      <c r="L24" s="394"/>
      <c r="M24" s="7"/>
      <c r="N24" s="394"/>
      <c r="O24" s="7"/>
      <c r="P24" s="394"/>
      <c r="Q24" s="7"/>
      <c r="R24" s="394"/>
      <c r="S24" s="7"/>
      <c r="T24" s="394"/>
      <c r="U24" s="7"/>
      <c r="V24" s="394"/>
      <c r="W24" s="7"/>
      <c r="X24" s="394"/>
      <c r="Y24" s="7"/>
      <c r="Z24" s="394"/>
      <c r="AA24" s="7"/>
      <c r="AB24" s="395"/>
    </row>
    <row r="25" spans="1:28" ht="15.75" customHeight="1" x14ac:dyDescent="0.25">
      <c r="A25" s="6"/>
      <c r="B25" s="394"/>
      <c r="C25" s="7"/>
      <c r="D25" s="394"/>
      <c r="E25" s="7"/>
      <c r="F25" s="394"/>
      <c r="G25" s="7"/>
      <c r="H25" s="394"/>
      <c r="I25" s="7"/>
      <c r="J25" s="394"/>
      <c r="K25" s="7"/>
      <c r="L25" s="394"/>
      <c r="M25" s="7"/>
      <c r="N25" s="394"/>
      <c r="O25" s="7"/>
      <c r="P25" s="394"/>
      <c r="Q25" s="7"/>
      <c r="R25" s="394"/>
      <c r="S25" s="7"/>
      <c r="T25" s="394"/>
      <c r="U25" s="7"/>
      <c r="V25" s="394"/>
      <c r="W25" s="7"/>
      <c r="X25" s="394"/>
      <c r="Y25" s="7"/>
      <c r="Z25" s="394"/>
      <c r="AA25" s="7"/>
      <c r="AB25" s="395"/>
    </row>
    <row r="26" spans="1:28" ht="15.75" customHeight="1" x14ac:dyDescent="0.25">
      <c r="A26" s="6"/>
      <c r="B26" s="394"/>
      <c r="C26" s="7"/>
      <c r="D26" s="394"/>
      <c r="E26" s="7"/>
      <c r="F26" s="394"/>
      <c r="G26" s="7"/>
      <c r="H26" s="394"/>
      <c r="I26" s="7"/>
      <c r="J26" s="394"/>
      <c r="K26" s="7"/>
      <c r="L26" s="394"/>
      <c r="M26" s="7"/>
      <c r="N26" s="394"/>
      <c r="O26" s="7"/>
      <c r="P26" s="394"/>
      <c r="Q26" s="7"/>
      <c r="R26" s="394"/>
      <c r="S26" s="7"/>
      <c r="T26" s="394"/>
      <c r="U26" s="7"/>
      <c r="V26" s="394"/>
      <c r="W26" s="7"/>
      <c r="X26" s="394"/>
      <c r="Y26" s="7"/>
      <c r="Z26" s="394"/>
      <c r="AA26" s="7"/>
      <c r="AB26" s="395"/>
    </row>
    <row r="27" spans="1:28" ht="15.75" customHeight="1" x14ac:dyDescent="0.25">
      <c r="A27" s="6"/>
      <c r="B27" s="394"/>
      <c r="C27" s="7"/>
      <c r="D27" s="394"/>
      <c r="E27" s="7"/>
      <c r="F27" s="394"/>
      <c r="G27" s="7"/>
      <c r="H27" s="394"/>
      <c r="I27" s="7"/>
      <c r="J27" s="394"/>
      <c r="K27" s="7"/>
      <c r="L27" s="394"/>
      <c r="M27" s="7"/>
      <c r="N27" s="394"/>
      <c r="O27" s="7"/>
      <c r="P27" s="394"/>
      <c r="Q27" s="7"/>
      <c r="R27" s="394"/>
      <c r="S27" s="7"/>
      <c r="T27" s="394"/>
      <c r="U27" s="7"/>
      <c r="V27" s="394"/>
      <c r="W27" s="7"/>
      <c r="X27" s="394"/>
      <c r="Y27" s="7"/>
      <c r="Z27" s="394"/>
      <c r="AA27" s="7"/>
      <c r="AB27" s="395"/>
    </row>
    <row r="28" spans="1:28" ht="15.75" customHeight="1" x14ac:dyDescent="0.25">
      <c r="A28" s="6"/>
      <c r="B28" s="394"/>
      <c r="C28" s="7"/>
      <c r="D28" s="394"/>
      <c r="E28" s="7"/>
      <c r="F28" s="394"/>
      <c r="G28" s="7"/>
      <c r="H28" s="394"/>
      <c r="I28" s="7"/>
      <c r="J28" s="394"/>
      <c r="K28" s="7"/>
      <c r="L28" s="394"/>
      <c r="M28" s="7"/>
      <c r="N28" s="394"/>
      <c r="O28" s="7"/>
      <c r="P28" s="394"/>
      <c r="Q28" s="7"/>
      <c r="R28" s="394"/>
      <c r="S28" s="7"/>
      <c r="T28" s="394"/>
      <c r="U28" s="7"/>
      <c r="V28" s="394"/>
      <c r="W28" s="7"/>
      <c r="X28" s="394"/>
      <c r="Y28" s="7"/>
      <c r="Z28" s="394"/>
      <c r="AA28" s="7"/>
      <c r="AB28" s="395"/>
    </row>
    <row r="29" spans="1:28" ht="15.75" customHeight="1" x14ac:dyDescent="0.25">
      <c r="A29" s="6"/>
      <c r="B29" s="394"/>
      <c r="C29" s="7"/>
      <c r="D29" s="394"/>
      <c r="E29" s="7"/>
      <c r="F29" s="394"/>
      <c r="G29" s="7"/>
      <c r="H29" s="394"/>
      <c r="I29" s="7"/>
      <c r="J29" s="394"/>
      <c r="K29" s="7"/>
      <c r="L29" s="394"/>
      <c r="M29" s="7"/>
      <c r="N29" s="394"/>
      <c r="O29" s="7"/>
      <c r="P29" s="394"/>
      <c r="Q29" s="7"/>
      <c r="R29" s="394"/>
      <c r="S29" s="7"/>
      <c r="T29" s="394"/>
      <c r="U29" s="7"/>
      <c r="V29" s="394"/>
      <c r="W29" s="7"/>
      <c r="X29" s="394"/>
      <c r="Y29" s="7"/>
      <c r="Z29" s="394"/>
      <c r="AA29" s="7"/>
      <c r="AB29" s="395"/>
    </row>
    <row r="30" spans="1:28" ht="15.75" customHeight="1" x14ac:dyDescent="0.25">
      <c r="A30" s="6"/>
      <c r="B30" s="394"/>
      <c r="C30" s="7"/>
      <c r="D30" s="394"/>
      <c r="E30" s="7"/>
      <c r="F30" s="394"/>
      <c r="G30" s="7"/>
      <c r="H30" s="394"/>
      <c r="I30" s="7"/>
      <c r="J30" s="394"/>
      <c r="K30" s="7"/>
      <c r="L30" s="394"/>
      <c r="M30" s="7"/>
      <c r="N30" s="394"/>
      <c r="O30" s="7"/>
      <c r="P30" s="394"/>
      <c r="Q30" s="7"/>
      <c r="R30" s="394"/>
      <c r="S30" s="7"/>
      <c r="T30" s="394"/>
      <c r="U30" s="7"/>
      <c r="V30" s="394"/>
      <c r="W30" s="7"/>
      <c r="X30" s="394"/>
      <c r="Y30" s="7"/>
      <c r="Z30" s="394"/>
      <c r="AA30" s="7"/>
      <c r="AB30" s="395"/>
    </row>
    <row r="31" spans="1:28" ht="15.75" customHeight="1" x14ac:dyDescent="0.25">
      <c r="A31" s="6"/>
      <c r="B31" s="394"/>
      <c r="C31" s="7"/>
      <c r="D31" s="394"/>
      <c r="E31" s="7"/>
      <c r="F31" s="394"/>
      <c r="G31" s="7"/>
      <c r="H31" s="394"/>
      <c r="I31" s="7"/>
      <c r="J31" s="394"/>
      <c r="K31" s="7"/>
      <c r="L31" s="394"/>
      <c r="M31" s="7"/>
      <c r="N31" s="394"/>
      <c r="O31" s="7"/>
      <c r="P31" s="394"/>
      <c r="Q31" s="7"/>
      <c r="R31" s="394"/>
      <c r="S31" s="7"/>
      <c r="T31" s="394"/>
      <c r="U31" s="7"/>
      <c r="V31" s="394"/>
      <c r="W31" s="7"/>
      <c r="X31" s="394"/>
      <c r="Y31" s="7"/>
      <c r="Z31" s="394"/>
      <c r="AA31" s="7"/>
      <c r="AB31" s="395"/>
    </row>
    <row r="32" spans="1:28" ht="15.75" customHeight="1" x14ac:dyDescent="0.25">
      <c r="A32" s="6"/>
      <c r="B32" s="394"/>
      <c r="C32" s="7"/>
      <c r="D32" s="394"/>
      <c r="E32" s="7"/>
      <c r="F32" s="394"/>
      <c r="G32" s="7"/>
      <c r="H32" s="394"/>
      <c r="I32" s="7"/>
      <c r="J32" s="394"/>
      <c r="K32" s="7"/>
      <c r="L32" s="394"/>
      <c r="M32" s="7"/>
      <c r="N32" s="394"/>
      <c r="O32" s="7"/>
      <c r="P32" s="394"/>
      <c r="Q32" s="7"/>
      <c r="R32" s="394"/>
      <c r="S32" s="7"/>
      <c r="T32" s="394"/>
      <c r="U32" s="7"/>
      <c r="V32" s="394"/>
      <c r="W32" s="7"/>
      <c r="X32" s="394"/>
      <c r="Y32" s="7"/>
      <c r="Z32" s="394"/>
      <c r="AA32" s="7"/>
      <c r="AB32" s="395"/>
    </row>
    <row r="33" spans="1:30" ht="15.75" customHeight="1" x14ac:dyDescent="0.25">
      <c r="A33" s="6"/>
      <c r="B33" s="394"/>
      <c r="C33" s="7"/>
      <c r="D33" s="394"/>
      <c r="E33" s="7"/>
      <c r="F33" s="394"/>
      <c r="G33" s="7"/>
      <c r="H33" s="394"/>
      <c r="I33" s="7"/>
      <c r="J33" s="394"/>
      <c r="K33" s="7"/>
      <c r="L33" s="394"/>
      <c r="M33" s="7"/>
      <c r="N33" s="394"/>
      <c r="O33" s="7"/>
      <c r="P33" s="394"/>
      <c r="Q33" s="7"/>
      <c r="R33" s="394"/>
      <c r="S33" s="7"/>
      <c r="T33" s="394"/>
      <c r="U33" s="7"/>
      <c r="V33" s="394"/>
      <c r="W33" s="7"/>
      <c r="X33" s="394"/>
      <c r="Y33" s="7"/>
      <c r="Z33" s="394"/>
      <c r="AA33" s="7"/>
      <c r="AB33" s="395"/>
    </row>
    <row r="34" spans="1:30" ht="15.75" customHeight="1" x14ac:dyDescent="0.25">
      <c r="A34" s="6"/>
      <c r="B34" s="394"/>
      <c r="C34" s="7"/>
      <c r="D34" s="394"/>
      <c r="E34" s="7"/>
      <c r="F34" s="394"/>
      <c r="G34" s="7"/>
      <c r="H34" s="394"/>
      <c r="I34" s="7"/>
      <c r="J34" s="394"/>
      <c r="K34" s="7"/>
      <c r="L34" s="394"/>
      <c r="M34" s="7"/>
      <c r="N34" s="394"/>
      <c r="O34" s="7"/>
      <c r="P34" s="394"/>
      <c r="Q34" s="7"/>
      <c r="R34" s="394"/>
      <c r="S34" s="7"/>
      <c r="T34" s="394"/>
      <c r="U34" s="7"/>
      <c r="V34" s="394"/>
      <c r="W34" s="7"/>
      <c r="X34" s="394"/>
      <c r="Y34" s="7"/>
      <c r="Z34" s="394"/>
      <c r="AA34" s="7"/>
      <c r="AB34" s="395"/>
    </row>
    <row r="35" spans="1:30" ht="15.75" customHeight="1" x14ac:dyDescent="0.25">
      <c r="A35" s="6"/>
      <c r="B35" s="394"/>
      <c r="C35" s="7"/>
      <c r="D35" s="394"/>
      <c r="E35" s="7"/>
      <c r="F35" s="394"/>
      <c r="G35" s="7"/>
      <c r="H35" s="394"/>
      <c r="I35" s="7"/>
      <c r="J35" s="394"/>
      <c r="K35" s="7"/>
      <c r="L35" s="394"/>
      <c r="M35" s="7"/>
      <c r="N35" s="394"/>
      <c r="O35" s="7"/>
      <c r="P35" s="394"/>
      <c r="Q35" s="7"/>
      <c r="R35" s="394"/>
      <c r="S35" s="7"/>
      <c r="T35" s="394"/>
      <c r="U35" s="7"/>
      <c r="V35" s="394"/>
      <c r="W35" s="7"/>
      <c r="X35" s="394"/>
      <c r="Y35" s="7"/>
      <c r="Z35" s="394"/>
      <c r="AA35" s="7"/>
      <c r="AB35" s="395"/>
    </row>
    <row r="36" spans="1:30" ht="15.75" customHeight="1" x14ac:dyDescent="0.25">
      <c r="A36" s="4"/>
      <c r="B36" s="394"/>
      <c r="C36" s="5"/>
      <c r="D36" s="394"/>
      <c r="E36" s="5"/>
      <c r="F36" s="394"/>
      <c r="G36" s="5"/>
      <c r="H36" s="394"/>
      <c r="I36" s="5"/>
      <c r="J36" s="394"/>
      <c r="K36" s="5"/>
      <c r="L36" s="394"/>
      <c r="M36" s="5"/>
      <c r="N36" s="394"/>
      <c r="O36" s="5"/>
      <c r="P36" s="394"/>
      <c r="Q36" s="5"/>
      <c r="R36" s="394"/>
      <c r="S36" s="5"/>
      <c r="T36" s="394"/>
      <c r="U36" s="5"/>
      <c r="V36" s="394"/>
      <c r="W36" s="5"/>
      <c r="X36" s="394"/>
      <c r="Y36" s="5"/>
      <c r="Z36" s="394"/>
      <c r="AA36" s="5"/>
      <c r="AB36" s="395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87">
        <f>SUM(A38:AC38)</f>
        <v>8105.7</v>
      </c>
      <c r="B40" s="388"/>
      <c r="C40" s="388"/>
      <c r="D40" s="389"/>
    </row>
    <row r="41" spans="1:30" ht="15.75" customHeight="1" x14ac:dyDescent="0.25">
      <c r="A41" s="390"/>
      <c r="B41" s="391"/>
      <c r="C41" s="391"/>
      <c r="D41" s="392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99" t="s">
        <v>86</v>
      </c>
      <c r="B1" s="400"/>
      <c r="C1" s="400"/>
      <c r="D1" s="400"/>
      <c r="E1" s="400"/>
      <c r="F1" s="400"/>
      <c r="G1" s="400"/>
      <c r="H1" s="400"/>
      <c r="I1" s="400"/>
      <c r="J1" s="400"/>
      <c r="K1" s="401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411" t="s">
        <v>128</v>
      </c>
      <c r="B2" s="412"/>
      <c r="C2" s="413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17" t="s">
        <v>7</v>
      </c>
      <c r="C3" s="418"/>
      <c r="D3" s="299">
        <v>102</v>
      </c>
      <c r="E3" s="300">
        <f>SUM(F3:K3)</f>
        <v>34.064999999999998</v>
      </c>
      <c r="F3" s="301"/>
      <c r="G3" s="302"/>
      <c r="H3" s="302"/>
      <c r="I3" s="302"/>
      <c r="J3" s="302"/>
      <c r="K3" s="303">
        <f>'STOK DETAY'!D6</f>
        <v>34.064999999999998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19" t="s">
        <v>7</v>
      </c>
      <c r="C4" s="420"/>
      <c r="D4" s="305">
        <v>102</v>
      </c>
      <c r="E4" s="306">
        <f t="shared" ref="E4:E7" si="0">SUM(F4:K4)</f>
        <v>41.86</v>
      </c>
      <c r="F4" s="307"/>
      <c r="G4" s="308"/>
      <c r="H4" s="308"/>
      <c r="I4" s="308"/>
      <c r="J4" s="308"/>
      <c r="K4" s="309">
        <f>'STOK DETAY'!E6</f>
        <v>41.86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19" t="s">
        <v>7</v>
      </c>
      <c r="C5" s="420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24" t="s">
        <v>7</v>
      </c>
      <c r="C6" s="425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408" t="s">
        <v>4</v>
      </c>
      <c r="B7" s="409"/>
      <c r="C7" s="409"/>
      <c r="D7" s="410"/>
      <c r="E7" s="316">
        <f t="shared" si="0"/>
        <v>75.924999999999997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75.924999999999997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28" t="s">
        <v>55</v>
      </c>
      <c r="B8" s="429"/>
      <c r="C8" s="430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8.6150000000000002</v>
      </c>
      <c r="F12" s="329">
        <f>'STOK DETAY'!N6</f>
        <v>0</v>
      </c>
      <c r="G12" s="330">
        <f>'STOK DETAY'!O6</f>
        <v>8.6150000000000002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93.21</v>
      </c>
      <c r="F13" s="333"/>
      <c r="G13" s="330"/>
      <c r="H13" s="330">
        <f>'STOK DETAY'!S6</f>
        <v>93.21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8.3550000000000004</v>
      </c>
      <c r="F15" s="329">
        <f>'STOK DETAY'!X6</f>
        <v>0</v>
      </c>
      <c r="G15" s="330">
        <f>'STOK DETAY'!Y6</f>
        <v>0</v>
      </c>
      <c r="H15" s="330">
        <f>'STOK DETAY'!Z6</f>
        <v>8.3550000000000004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0</v>
      </c>
      <c r="F16" s="329">
        <f>'STOK DETAY'!AA6</f>
        <v>0</v>
      </c>
      <c r="G16" s="330">
        <f>'STOK DETAY'!AB6</f>
        <v>0</v>
      </c>
      <c r="H16" s="330">
        <f>'STOK DETAY'!AC6</f>
        <v>0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0</v>
      </c>
      <c r="F19" s="329">
        <f>'STOK DETAY'!AL6</f>
        <v>0</v>
      </c>
      <c r="G19" s="330">
        <f>'STOK DETAY'!AM6</f>
        <v>0</v>
      </c>
      <c r="H19" s="330">
        <f>'STOK DETAY'!AN6</f>
        <v>0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0</v>
      </c>
      <c r="F20" s="329">
        <f>'STOK DETAY'!AP6</f>
        <v>0</v>
      </c>
      <c r="G20" s="330">
        <f>'STOK DETAY'!AQ6</f>
        <v>0</v>
      </c>
      <c r="H20" s="330">
        <f>'STOK DETAY'!AR6</f>
        <v>0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33.86</v>
      </c>
      <c r="F21" s="329">
        <f>'STOK DETAY'!AU6</f>
        <v>0</v>
      </c>
      <c r="G21" s="330">
        <f>'STOK DETAY'!AV6</f>
        <v>0</v>
      </c>
      <c r="H21" s="330">
        <f>'STOK DETAY'!AW6</f>
        <v>0</v>
      </c>
      <c r="I21" s="330">
        <f>'STOK DETAY'!AX6</f>
        <v>0</v>
      </c>
      <c r="J21" s="330">
        <f>'STOK DETAY'!AY6</f>
        <v>0</v>
      </c>
      <c r="K21" s="331">
        <f>'STOK DETAY'!AZ6</f>
        <v>33.86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34.534999999999997</v>
      </c>
      <c r="F22" s="329">
        <f>'STOK DETAY'!BA6</f>
        <v>0</v>
      </c>
      <c r="G22" s="330">
        <f>'STOK DETAY'!BB6</f>
        <v>0</v>
      </c>
      <c r="H22" s="330">
        <f>'STOK DETAY'!BC6</f>
        <v>0</v>
      </c>
      <c r="I22" s="330"/>
      <c r="J22" s="330">
        <f>'STOK DETAY'!BE6</f>
        <v>0</v>
      </c>
      <c r="K22" s="331">
        <f>'STOK DETAY'!BF6</f>
        <v>34.534999999999997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69.34</v>
      </c>
      <c r="F23" s="329">
        <f>'STOK DETAY'!BG6</f>
        <v>0</v>
      </c>
      <c r="G23" s="330">
        <f>'STOK DETAY'!BH6</f>
        <v>0</v>
      </c>
      <c r="H23" s="330">
        <f>'STOK DETAY'!BI6</f>
        <v>0</v>
      </c>
      <c r="I23" s="330">
        <f>'STOK DETAY'!BJ6</f>
        <v>0</v>
      </c>
      <c r="J23" s="330">
        <f>'STOK DETAY'!BK6</f>
        <v>0</v>
      </c>
      <c r="K23" s="331">
        <f>'STOK DETAY'!BL6</f>
        <v>69.34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93.5</v>
      </c>
      <c r="F24" s="329">
        <f>'STOK DETAY'!BM6</f>
        <v>0</v>
      </c>
      <c r="G24" s="330">
        <f>'STOK DETAY'!BN6</f>
        <v>25.295000000000002</v>
      </c>
      <c r="H24" s="330">
        <f>'STOK DETAY'!BO6</f>
        <v>0</v>
      </c>
      <c r="I24" s="330">
        <f>'STOK DETAY'!BP6</f>
        <v>0</v>
      </c>
      <c r="J24" s="330">
        <f>'STOK DETAY'!BQ6</f>
        <v>0</v>
      </c>
      <c r="K24" s="331">
        <f>'STOK DETAY'!BR6</f>
        <v>68.204999999999998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69.844999999999999</v>
      </c>
      <c r="F25" s="329">
        <f>'STOK DETAY'!BS6</f>
        <v>0</v>
      </c>
      <c r="G25" s="330">
        <f>'STOK DETAY'!BT6</f>
        <v>0</v>
      </c>
      <c r="H25" s="330">
        <f>'STOK DETAY'!BU6</f>
        <v>0</v>
      </c>
      <c r="I25" s="330">
        <f>'STOK DETAY'!BV6</f>
        <v>0</v>
      </c>
      <c r="J25" s="330">
        <f>'STOK DETAY'!BW6</f>
        <v>0</v>
      </c>
      <c r="K25" s="331">
        <f>'STOK DETAY'!BX6</f>
        <v>69.844999999999999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66.625</v>
      </c>
      <c r="F26" s="329">
        <f>'STOK DETAY'!BY6</f>
        <v>0</v>
      </c>
      <c r="G26" s="330">
        <f>'STOK DETAY'!BZ6</f>
        <v>0</v>
      </c>
      <c r="H26" s="330">
        <f>'STOK DETAY'!CA6</f>
        <v>0</v>
      </c>
      <c r="I26" s="330">
        <f>'STOK DETAY'!CB6</f>
        <v>0</v>
      </c>
      <c r="J26" s="330">
        <f>'STOK DETAY'!CC6</f>
        <v>0</v>
      </c>
      <c r="K26" s="331">
        <f>'STOK DETAY'!CD6</f>
        <v>66.625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67.444999999999993</v>
      </c>
      <c r="F27" s="329">
        <f>'STOK DETAY'!CE6</f>
        <v>0</v>
      </c>
      <c r="G27" s="330">
        <f>'STOK DETAY'!CF6</f>
        <v>0</v>
      </c>
      <c r="H27" s="330">
        <f>'STOK DETAY'!CG6</f>
        <v>0</v>
      </c>
      <c r="I27" s="330">
        <f>'STOK DETAY'!CH6</f>
        <v>0</v>
      </c>
      <c r="J27" s="330">
        <f>'STOK DETAY'!CI6</f>
        <v>0</v>
      </c>
      <c r="K27" s="331">
        <f>'STOK DETAY'!CJ6</f>
        <v>67.444999999999993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42.134999999999998</v>
      </c>
      <c r="F28" s="329">
        <f>'STOK DETAY'!CK6</f>
        <v>0</v>
      </c>
      <c r="G28" s="330">
        <f>'STOK DETAY'!CL6</f>
        <v>8.6449999999999996</v>
      </c>
      <c r="H28" s="330">
        <f>'STOK DETAY'!CM6</f>
        <v>0</v>
      </c>
      <c r="I28" s="330">
        <f>'STOK DETAY'!CN6</f>
        <v>0</v>
      </c>
      <c r="J28" s="330">
        <f>'STOK DETAY'!CO6</f>
        <v>0</v>
      </c>
      <c r="K28" s="331">
        <f>'STOK DETAY'!CP6</f>
        <v>33.49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50.64</v>
      </c>
      <c r="F29" s="329">
        <f>'STOK DETAY'!CQ6</f>
        <v>0</v>
      </c>
      <c r="G29" s="330">
        <f>'STOK DETAY'!CR6</f>
        <v>8.42</v>
      </c>
      <c r="H29" s="330">
        <f>'STOK DETAY'!CS6</f>
        <v>42.22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0</v>
      </c>
      <c r="F30" s="329">
        <f>'STOK DETAY'!CW6</f>
        <v>0</v>
      </c>
      <c r="G30" s="330">
        <f>'STOK DETAY'!CX6</f>
        <v>0</v>
      </c>
      <c r="H30" s="330">
        <f>'STOK DETAY'!CY6</f>
        <v>0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25.734999999999999</v>
      </c>
      <c r="F31" s="329">
        <f>'STOK DETAY'!DC6</f>
        <v>0</v>
      </c>
      <c r="G31" s="330">
        <f>'STOK DETAY'!DD6</f>
        <v>0</v>
      </c>
      <c r="H31" s="330">
        <f>'STOK DETAY'!DE6</f>
        <v>25.734999999999999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0</v>
      </c>
      <c r="F32" s="329">
        <f>'STOK DETAY'!DI6</f>
        <v>0</v>
      </c>
      <c r="G32" s="330">
        <f>'STOK DETAY'!DJ6</f>
        <v>0</v>
      </c>
      <c r="H32" s="330">
        <f>'STOK DETAY'!DK6</f>
        <v>0</v>
      </c>
      <c r="I32" s="330">
        <f>'STOK DETAY'!DL6</f>
        <v>0</v>
      </c>
      <c r="J32" s="330">
        <f>'STOK DETAY'!DM6</f>
        <v>0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17.329999999999998</v>
      </c>
      <c r="F33" s="329">
        <f>'STOK DETAY'!DN6</f>
        <v>0</v>
      </c>
      <c r="G33" s="330">
        <f>'STOK DETAY'!DO6</f>
        <v>8.5250000000000004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8.3800000000000008</v>
      </c>
      <c r="F35" s="329">
        <f>'STOK DETAY'!DY6</f>
        <v>0</v>
      </c>
      <c r="G35" s="330">
        <f>'STOK DETAY'!DZ6</f>
        <v>0</v>
      </c>
      <c r="H35" s="330">
        <f>'STOK DETAY'!EA6</f>
        <v>8.3800000000000008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390.92</v>
      </c>
      <c r="F36" s="329">
        <f>'STOK DETAY'!EE6</f>
        <v>0</v>
      </c>
      <c r="G36" s="330">
        <f>'STOK DETAY'!EF6</f>
        <v>0</v>
      </c>
      <c r="H36" s="330">
        <f>'STOK DETAY'!EG6</f>
        <v>380.73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408" t="s">
        <v>4</v>
      </c>
      <c r="B57" s="409"/>
      <c r="C57" s="409"/>
      <c r="D57" s="410"/>
      <c r="E57" s="316">
        <f>SUM(F57:K57)</f>
        <v>1745.83</v>
      </c>
      <c r="F57" s="317">
        <f t="shared" ref="F57:K57" si="3">SUM(F9:F56)</f>
        <v>9.1999999999999993</v>
      </c>
      <c r="G57" s="318">
        <f t="shared" si="3"/>
        <v>59.5</v>
      </c>
      <c r="H57" s="318">
        <f t="shared" si="3"/>
        <v>896.995</v>
      </c>
      <c r="I57" s="318">
        <f t="shared" si="3"/>
        <v>1.75</v>
      </c>
      <c r="J57" s="318">
        <f t="shared" si="3"/>
        <v>335.04</v>
      </c>
      <c r="K57" s="319">
        <f t="shared" si="3"/>
        <v>443.34500000000003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411" t="s">
        <v>30</v>
      </c>
      <c r="B58" s="412"/>
      <c r="C58" s="413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/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405" t="s">
        <v>4</v>
      </c>
      <c r="B89" s="406"/>
      <c r="C89" s="406"/>
      <c r="D89" s="407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411" t="s">
        <v>10</v>
      </c>
      <c r="B90" s="412"/>
      <c r="C90" s="414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431"/>
      <c r="C91" s="432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433"/>
      <c r="C92" s="434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433"/>
      <c r="C93" s="434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433"/>
      <c r="C94" s="434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433"/>
      <c r="C95" s="434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433"/>
      <c r="C96" s="434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433"/>
      <c r="C97" s="434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433"/>
      <c r="C98" s="434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433"/>
      <c r="C99" s="434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433"/>
      <c r="C100" s="434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433"/>
      <c r="C101" s="434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26"/>
      <c r="C102" s="427"/>
      <c r="D102" s="346">
        <v>511</v>
      </c>
      <c r="E102" s="306">
        <f>SUM(F102:K102)</f>
        <v>0</v>
      </c>
      <c r="F102" s="345"/>
      <c r="G102" s="330">
        <f>'STOK DETAY'!IV6</f>
        <v>0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415"/>
      <c r="C103" s="416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21" t="s">
        <v>4</v>
      </c>
      <c r="B104" s="422"/>
      <c r="C104" s="422"/>
      <c r="D104" s="423"/>
      <c r="E104" s="316">
        <f>SUM(F104:K104)</f>
        <v>641.42999999999995</v>
      </c>
      <c r="F104" s="317">
        <f>SUM(F91:F103)</f>
        <v>0</v>
      </c>
      <c r="G104" s="318">
        <f t="shared" ref="G104:K104" si="7">SUM(G91:G103)</f>
        <v>184.23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402" t="s">
        <v>1</v>
      </c>
      <c r="B105" s="403"/>
      <c r="C105" s="403"/>
      <c r="D105" s="404"/>
      <c r="E105" s="351">
        <f>SUM(F105:K105)</f>
        <v>3185.2930000000001</v>
      </c>
      <c r="F105" s="352">
        <f t="shared" ref="F105:K105" si="8">F7+F57+F89+F104</f>
        <v>366.9</v>
      </c>
      <c r="G105" s="353">
        <f t="shared" si="8"/>
        <v>243.73</v>
      </c>
      <c r="H105" s="353">
        <f t="shared" si="8"/>
        <v>1248.0830000000001</v>
      </c>
      <c r="I105" s="353">
        <f t="shared" si="8"/>
        <v>1.75</v>
      </c>
      <c r="J105" s="353">
        <f t="shared" si="8"/>
        <v>335.04</v>
      </c>
      <c r="K105" s="354">
        <f t="shared" si="8"/>
        <v>989.79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B96:C96"/>
    <mergeCell ref="B97:C97"/>
    <mergeCell ref="B100:C100"/>
    <mergeCell ref="B101:C101"/>
    <mergeCell ref="B98:C98"/>
    <mergeCell ref="B99:C99"/>
    <mergeCell ref="B91:C91"/>
    <mergeCell ref="B92:C92"/>
    <mergeCell ref="B93:C93"/>
    <mergeCell ref="B94:C94"/>
    <mergeCell ref="B95:C95"/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8"/>
  <sheetViews>
    <sheetView showGridLines="0" zoomScaleNormal="100" workbookViewId="0">
      <pane ySplit="6" topLeftCell="A6172" activePane="bottomLeft" state="frozen"/>
      <selection activeCell="C37" sqref="C37"/>
      <selection pane="bottomLeft" activeCell="A6197" sqref="A6197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5" width="12.7109375" style="386" customWidth="1"/>
    <col min="6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375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106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106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106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106" customWidth="1"/>
    <col min="50" max="50" width="12.7109375" style="121" customWidth="1"/>
    <col min="51" max="51" width="12.7109375" style="126" customWidth="1"/>
    <col min="52" max="52" width="12.7109375" style="182" customWidth="1"/>
    <col min="53" max="53" width="12.7109375" style="42" customWidth="1"/>
    <col min="54" max="54" width="12.7109375" style="69" customWidth="1"/>
    <col min="55" max="55" width="12.7109375" style="106" customWidth="1"/>
    <col min="56" max="56" width="12.7109375" style="121" customWidth="1"/>
    <col min="57" max="57" width="12.7109375" style="126" customWidth="1"/>
    <col min="58" max="58" width="12.7109375" style="182" customWidth="1"/>
    <col min="59" max="59" width="12.7109375" style="42" customWidth="1"/>
    <col min="60" max="60" width="12.7109375" style="69" customWidth="1"/>
    <col min="61" max="61" width="12.7109375" style="106" customWidth="1"/>
    <col min="62" max="62" width="12.7109375" style="121" customWidth="1"/>
    <col min="63" max="63" width="12.7109375" style="126" customWidth="1"/>
    <col min="64" max="64" width="12.7109375" style="182" customWidth="1"/>
    <col min="65" max="65" width="12.7109375" style="88" customWidth="1"/>
    <col min="66" max="66" width="12.7109375" style="69" customWidth="1"/>
    <col min="67" max="67" width="12.7109375" style="106" customWidth="1"/>
    <col min="68" max="68" width="12.7109375" style="121" customWidth="1"/>
    <col min="69" max="69" width="12.7109375" style="126" customWidth="1"/>
    <col min="70" max="70" width="12.7109375" style="182" customWidth="1"/>
    <col min="71" max="71" width="12.7109375" style="42" customWidth="1"/>
    <col min="72" max="72" width="12.7109375" style="69" customWidth="1"/>
    <col min="73" max="73" width="12.7109375" style="106" customWidth="1"/>
    <col min="74" max="74" width="12.7109375" style="121" customWidth="1"/>
    <col min="75" max="75" width="12.7109375" style="126" customWidth="1"/>
    <col min="76" max="76" width="12.7109375" style="182" customWidth="1"/>
    <col min="77" max="77" width="12.7109375" style="42" customWidth="1"/>
    <col min="78" max="78" width="12.7109375" style="69" customWidth="1"/>
    <col min="79" max="79" width="12.7109375" style="106" customWidth="1"/>
    <col min="80" max="80" width="12.7109375" style="121" customWidth="1"/>
    <col min="81" max="81" width="12.7109375" style="126" customWidth="1"/>
    <col min="82" max="82" width="12.7109375" style="182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1" customWidth="1"/>
    <col min="87" max="87" width="12.7109375" style="126" customWidth="1"/>
    <col min="88" max="88" width="12.7109375" style="182" customWidth="1"/>
    <col min="89" max="89" width="12.7109375" style="42" customWidth="1"/>
    <col min="90" max="90" width="12.7109375" style="69" customWidth="1"/>
    <col min="91" max="91" width="12.7109375" style="106" customWidth="1"/>
    <col min="92" max="92" width="12.7109375" style="121" customWidth="1"/>
    <col min="93" max="93" width="12.7109375" style="126" customWidth="1"/>
    <col min="94" max="94" width="12.7109375" style="182" customWidth="1"/>
    <col min="95" max="95" width="12.7109375" style="42" customWidth="1"/>
    <col min="96" max="96" width="12.7109375" style="375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106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106" customWidth="1"/>
    <col min="116" max="116" width="12.7109375" style="121" customWidth="1"/>
    <col min="117" max="117" width="12.7109375" style="46" customWidth="1"/>
    <col min="118" max="118" width="12.7109375" style="42" customWidth="1"/>
    <col min="119" max="119" width="12.7109375" style="375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5" width="12.7109375" style="262" customWidth="1"/>
    <col min="256" max="256" width="12.7109375" style="378" customWidth="1"/>
    <col min="257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37" t="s">
        <v>86</v>
      </c>
      <c r="B1" s="437"/>
      <c r="C1" s="101" t="s">
        <v>157</v>
      </c>
      <c r="D1" s="382" t="s">
        <v>115</v>
      </c>
      <c r="E1" s="382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370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102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102" t="s">
        <v>113</v>
      </c>
      <c r="AO1" s="43" t="s">
        <v>6</v>
      </c>
      <c r="AP1" s="39" t="s">
        <v>2</v>
      </c>
      <c r="AQ1" s="65" t="s">
        <v>3</v>
      </c>
      <c r="AR1" s="102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102" t="s">
        <v>113</v>
      </c>
      <c r="AX1" s="117" t="s">
        <v>5</v>
      </c>
      <c r="AY1" s="122" t="s">
        <v>6</v>
      </c>
      <c r="AZ1" s="181" t="s">
        <v>115</v>
      </c>
      <c r="BA1" s="39" t="s">
        <v>2</v>
      </c>
      <c r="BB1" s="65" t="s">
        <v>3</v>
      </c>
      <c r="BC1" s="102" t="s">
        <v>113</v>
      </c>
      <c r="BD1" s="117" t="s">
        <v>5</v>
      </c>
      <c r="BE1" s="122" t="s">
        <v>6</v>
      </c>
      <c r="BF1" s="181" t="s">
        <v>115</v>
      </c>
      <c r="BG1" s="39" t="s">
        <v>2</v>
      </c>
      <c r="BH1" s="65" t="s">
        <v>3</v>
      </c>
      <c r="BI1" s="102" t="s">
        <v>113</v>
      </c>
      <c r="BJ1" s="117" t="s">
        <v>5</v>
      </c>
      <c r="BK1" s="122" t="s">
        <v>6</v>
      </c>
      <c r="BL1" s="181" t="s">
        <v>115</v>
      </c>
      <c r="BM1" s="85" t="s">
        <v>2</v>
      </c>
      <c r="BN1" s="65" t="s">
        <v>3</v>
      </c>
      <c r="BO1" s="102" t="s">
        <v>113</v>
      </c>
      <c r="BP1" s="117" t="s">
        <v>5</v>
      </c>
      <c r="BQ1" s="122" t="s">
        <v>6</v>
      </c>
      <c r="BR1" s="181" t="s">
        <v>115</v>
      </c>
      <c r="BS1" s="39" t="s">
        <v>2</v>
      </c>
      <c r="BT1" s="65" t="s">
        <v>3</v>
      </c>
      <c r="BU1" s="102" t="s">
        <v>113</v>
      </c>
      <c r="BV1" s="117" t="s">
        <v>5</v>
      </c>
      <c r="BW1" s="122" t="s">
        <v>6</v>
      </c>
      <c r="BX1" s="181" t="s">
        <v>115</v>
      </c>
      <c r="BY1" s="39" t="s">
        <v>2</v>
      </c>
      <c r="BZ1" s="65" t="s">
        <v>3</v>
      </c>
      <c r="CA1" s="102" t="s">
        <v>113</v>
      </c>
      <c r="CB1" s="117" t="s">
        <v>5</v>
      </c>
      <c r="CC1" s="122" t="s">
        <v>6</v>
      </c>
      <c r="CD1" s="181" t="s">
        <v>115</v>
      </c>
      <c r="CE1" s="39" t="s">
        <v>2</v>
      </c>
      <c r="CF1" s="65" t="s">
        <v>3</v>
      </c>
      <c r="CG1" s="102" t="s">
        <v>113</v>
      </c>
      <c r="CH1" s="117" t="s">
        <v>5</v>
      </c>
      <c r="CI1" s="122" t="s">
        <v>6</v>
      </c>
      <c r="CJ1" s="181" t="s">
        <v>115</v>
      </c>
      <c r="CK1" s="39" t="s">
        <v>2</v>
      </c>
      <c r="CL1" s="65" t="s">
        <v>3</v>
      </c>
      <c r="CM1" s="102" t="s">
        <v>113</v>
      </c>
      <c r="CN1" s="117" t="s">
        <v>5</v>
      </c>
      <c r="CO1" s="122" t="s">
        <v>6</v>
      </c>
      <c r="CP1" s="181" t="s">
        <v>115</v>
      </c>
      <c r="CQ1" s="39" t="s">
        <v>2</v>
      </c>
      <c r="CR1" s="370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102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102" t="s">
        <v>113</v>
      </c>
      <c r="DL1" s="117" t="s">
        <v>5</v>
      </c>
      <c r="DM1" s="43" t="s">
        <v>6</v>
      </c>
      <c r="DN1" s="39" t="s">
        <v>2</v>
      </c>
      <c r="DO1" s="370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376" t="s">
        <v>232</v>
      </c>
      <c r="IW1" s="257" t="s">
        <v>232</v>
      </c>
    </row>
    <row r="2" spans="1:257" s="24" customFormat="1" ht="20.100000000000001" customHeight="1" x14ac:dyDescent="0.25">
      <c r="A2" s="437"/>
      <c r="B2" s="437"/>
      <c r="C2" s="101" t="s">
        <v>158</v>
      </c>
      <c r="D2" s="382" t="s">
        <v>7</v>
      </c>
      <c r="E2" s="382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370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102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102" t="s">
        <v>7</v>
      </c>
      <c r="AO2" s="43" t="s">
        <v>7</v>
      </c>
      <c r="AP2" s="39" t="s">
        <v>7</v>
      </c>
      <c r="AQ2" s="65" t="s">
        <v>7</v>
      </c>
      <c r="AR2" s="102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102" t="s">
        <v>7</v>
      </c>
      <c r="AX2" s="117" t="s">
        <v>7</v>
      </c>
      <c r="AY2" s="122" t="s">
        <v>7</v>
      </c>
      <c r="AZ2" s="181" t="s">
        <v>7</v>
      </c>
      <c r="BA2" s="39" t="s">
        <v>7</v>
      </c>
      <c r="BB2" s="65" t="s">
        <v>7</v>
      </c>
      <c r="BC2" s="102" t="s">
        <v>7</v>
      </c>
      <c r="BD2" s="117" t="s">
        <v>7</v>
      </c>
      <c r="BE2" s="122" t="s">
        <v>7</v>
      </c>
      <c r="BF2" s="181" t="s">
        <v>7</v>
      </c>
      <c r="BG2" s="39" t="s">
        <v>7</v>
      </c>
      <c r="BH2" s="65" t="s">
        <v>7</v>
      </c>
      <c r="BI2" s="102" t="s">
        <v>7</v>
      </c>
      <c r="BJ2" s="117" t="s">
        <v>7</v>
      </c>
      <c r="BK2" s="122" t="s">
        <v>7</v>
      </c>
      <c r="BL2" s="181" t="s">
        <v>7</v>
      </c>
      <c r="BM2" s="85" t="s">
        <v>7</v>
      </c>
      <c r="BN2" s="65" t="s">
        <v>7</v>
      </c>
      <c r="BO2" s="102" t="s">
        <v>7</v>
      </c>
      <c r="BP2" s="117" t="s">
        <v>7</v>
      </c>
      <c r="BQ2" s="122" t="s">
        <v>7</v>
      </c>
      <c r="BR2" s="181" t="s">
        <v>7</v>
      </c>
      <c r="BS2" s="39" t="s">
        <v>7</v>
      </c>
      <c r="BT2" s="65" t="s">
        <v>7</v>
      </c>
      <c r="BU2" s="102" t="s">
        <v>7</v>
      </c>
      <c r="BV2" s="117" t="s">
        <v>7</v>
      </c>
      <c r="BW2" s="122" t="s">
        <v>7</v>
      </c>
      <c r="BX2" s="181" t="s">
        <v>7</v>
      </c>
      <c r="BY2" s="39" t="s">
        <v>7</v>
      </c>
      <c r="BZ2" s="65" t="s">
        <v>7</v>
      </c>
      <c r="CA2" s="102" t="s">
        <v>7</v>
      </c>
      <c r="CB2" s="117" t="s">
        <v>7</v>
      </c>
      <c r="CC2" s="122" t="s">
        <v>7</v>
      </c>
      <c r="CD2" s="181" t="s">
        <v>7</v>
      </c>
      <c r="CE2" s="39" t="s">
        <v>7</v>
      </c>
      <c r="CF2" s="65" t="s">
        <v>7</v>
      </c>
      <c r="CG2" s="102" t="s">
        <v>7</v>
      </c>
      <c r="CH2" s="117" t="s">
        <v>7</v>
      </c>
      <c r="CI2" s="122" t="s">
        <v>7</v>
      </c>
      <c r="CJ2" s="181" t="s">
        <v>7</v>
      </c>
      <c r="CK2" s="39" t="s">
        <v>7</v>
      </c>
      <c r="CL2" s="65" t="s">
        <v>7</v>
      </c>
      <c r="CM2" s="102" t="s">
        <v>7</v>
      </c>
      <c r="CN2" s="117" t="s">
        <v>7</v>
      </c>
      <c r="CO2" s="122" t="s">
        <v>7</v>
      </c>
      <c r="CP2" s="181" t="s">
        <v>7</v>
      </c>
      <c r="CQ2" s="39" t="s">
        <v>7</v>
      </c>
      <c r="CR2" s="370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102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102" t="s">
        <v>7</v>
      </c>
      <c r="DL2" s="117" t="s">
        <v>7</v>
      </c>
      <c r="DM2" s="43" t="s">
        <v>7</v>
      </c>
      <c r="DN2" s="39" t="s">
        <v>7</v>
      </c>
      <c r="DO2" s="370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376" t="s">
        <v>232</v>
      </c>
      <c r="IW2" s="257" t="s">
        <v>232</v>
      </c>
    </row>
    <row r="3" spans="1:257" s="24" customFormat="1" ht="20.100000000000001" customHeight="1" x14ac:dyDescent="0.25">
      <c r="A3" s="437"/>
      <c r="B3" s="437"/>
      <c r="C3" s="101" t="s">
        <v>159</v>
      </c>
      <c r="D3" s="382" t="s">
        <v>128</v>
      </c>
      <c r="E3" s="382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370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102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102" t="s">
        <v>55</v>
      </c>
      <c r="AO3" s="43" t="s">
        <v>55</v>
      </c>
      <c r="AP3" s="39" t="s">
        <v>55</v>
      </c>
      <c r="AQ3" s="65" t="s">
        <v>55</v>
      </c>
      <c r="AR3" s="102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102" t="s">
        <v>55</v>
      </c>
      <c r="AX3" s="117" t="s">
        <v>55</v>
      </c>
      <c r="AY3" s="122" t="s">
        <v>55</v>
      </c>
      <c r="AZ3" s="181" t="s">
        <v>55</v>
      </c>
      <c r="BA3" s="39" t="s">
        <v>55</v>
      </c>
      <c r="BB3" s="65" t="s">
        <v>55</v>
      </c>
      <c r="BC3" s="102" t="s">
        <v>55</v>
      </c>
      <c r="BD3" s="117" t="s">
        <v>55</v>
      </c>
      <c r="BE3" s="122" t="s">
        <v>55</v>
      </c>
      <c r="BF3" s="181" t="s">
        <v>55</v>
      </c>
      <c r="BG3" s="39" t="s">
        <v>55</v>
      </c>
      <c r="BH3" s="65" t="s">
        <v>55</v>
      </c>
      <c r="BI3" s="102" t="s">
        <v>55</v>
      </c>
      <c r="BJ3" s="117" t="s">
        <v>55</v>
      </c>
      <c r="BK3" s="122" t="s">
        <v>55</v>
      </c>
      <c r="BL3" s="181" t="s">
        <v>55</v>
      </c>
      <c r="BM3" s="85" t="s">
        <v>55</v>
      </c>
      <c r="BN3" s="65" t="s">
        <v>55</v>
      </c>
      <c r="BO3" s="102" t="s">
        <v>55</v>
      </c>
      <c r="BP3" s="117" t="s">
        <v>55</v>
      </c>
      <c r="BQ3" s="122" t="s">
        <v>55</v>
      </c>
      <c r="BR3" s="181" t="s">
        <v>55</v>
      </c>
      <c r="BS3" s="39" t="s">
        <v>55</v>
      </c>
      <c r="BT3" s="65" t="s">
        <v>55</v>
      </c>
      <c r="BU3" s="102" t="s">
        <v>55</v>
      </c>
      <c r="BV3" s="117" t="s">
        <v>55</v>
      </c>
      <c r="BW3" s="122" t="s">
        <v>55</v>
      </c>
      <c r="BX3" s="181" t="s">
        <v>55</v>
      </c>
      <c r="BY3" s="39" t="s">
        <v>55</v>
      </c>
      <c r="BZ3" s="65" t="s">
        <v>55</v>
      </c>
      <c r="CA3" s="102" t="s">
        <v>55</v>
      </c>
      <c r="CB3" s="117" t="s">
        <v>55</v>
      </c>
      <c r="CC3" s="122" t="s">
        <v>55</v>
      </c>
      <c r="CD3" s="181" t="s">
        <v>55</v>
      </c>
      <c r="CE3" s="39" t="s">
        <v>55</v>
      </c>
      <c r="CF3" s="65" t="s">
        <v>55</v>
      </c>
      <c r="CG3" s="102" t="s">
        <v>55</v>
      </c>
      <c r="CH3" s="117" t="s">
        <v>55</v>
      </c>
      <c r="CI3" s="122" t="s">
        <v>55</v>
      </c>
      <c r="CJ3" s="181" t="s">
        <v>55</v>
      </c>
      <c r="CK3" s="39" t="s">
        <v>55</v>
      </c>
      <c r="CL3" s="65" t="s">
        <v>55</v>
      </c>
      <c r="CM3" s="102" t="s">
        <v>55</v>
      </c>
      <c r="CN3" s="117" t="s">
        <v>55</v>
      </c>
      <c r="CO3" s="122" t="s">
        <v>55</v>
      </c>
      <c r="CP3" s="181" t="s">
        <v>55</v>
      </c>
      <c r="CQ3" s="39" t="s">
        <v>55</v>
      </c>
      <c r="CR3" s="370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102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102" t="s">
        <v>55</v>
      </c>
      <c r="DL3" s="117" t="s">
        <v>55</v>
      </c>
      <c r="DM3" s="43" t="s">
        <v>55</v>
      </c>
      <c r="DN3" s="39" t="s">
        <v>55</v>
      </c>
      <c r="DO3" s="370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376" t="s">
        <v>10</v>
      </c>
      <c r="IW3" s="257" t="s">
        <v>10</v>
      </c>
    </row>
    <row r="4" spans="1:257" s="25" customFormat="1" ht="30" customHeight="1" x14ac:dyDescent="0.25">
      <c r="A4" s="437"/>
      <c r="B4" s="437"/>
      <c r="C4" s="101" t="s">
        <v>160</v>
      </c>
      <c r="D4" s="383">
        <v>0.4</v>
      </c>
      <c r="E4" s="383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371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103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103">
        <v>0.5</v>
      </c>
      <c r="AO4" s="44">
        <v>0.5</v>
      </c>
      <c r="AP4" s="40">
        <v>0.55000000000000004</v>
      </c>
      <c r="AQ4" s="66">
        <v>0.55000000000000004</v>
      </c>
      <c r="AR4" s="103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103">
        <v>0.6</v>
      </c>
      <c r="AX4" s="118">
        <v>0.6</v>
      </c>
      <c r="AY4" s="123">
        <v>0.6</v>
      </c>
      <c r="AZ4" s="151">
        <v>0.6</v>
      </c>
      <c r="BA4" s="40">
        <v>0.65</v>
      </c>
      <c r="BB4" s="66">
        <v>0.65</v>
      </c>
      <c r="BC4" s="103">
        <v>0.65</v>
      </c>
      <c r="BD4" s="118">
        <v>0.65</v>
      </c>
      <c r="BE4" s="123">
        <v>0.65</v>
      </c>
      <c r="BF4" s="151">
        <v>0.65</v>
      </c>
      <c r="BG4" s="40">
        <v>0.7</v>
      </c>
      <c r="BH4" s="66">
        <v>0.7</v>
      </c>
      <c r="BI4" s="103">
        <v>0.7</v>
      </c>
      <c r="BJ4" s="118">
        <v>0.7</v>
      </c>
      <c r="BK4" s="123">
        <v>0.7</v>
      </c>
      <c r="BL4" s="151">
        <v>0.7</v>
      </c>
      <c r="BM4" s="86">
        <v>0.75</v>
      </c>
      <c r="BN4" s="66">
        <v>0.75</v>
      </c>
      <c r="BO4" s="103">
        <v>0.75</v>
      </c>
      <c r="BP4" s="118">
        <v>0.75</v>
      </c>
      <c r="BQ4" s="123">
        <v>0.75</v>
      </c>
      <c r="BR4" s="151">
        <v>0.75</v>
      </c>
      <c r="BS4" s="40">
        <v>0.8</v>
      </c>
      <c r="BT4" s="66">
        <v>0.8</v>
      </c>
      <c r="BU4" s="103">
        <v>0.8</v>
      </c>
      <c r="BV4" s="118">
        <v>0.8</v>
      </c>
      <c r="BW4" s="123">
        <v>0.8</v>
      </c>
      <c r="BX4" s="151">
        <v>0.8</v>
      </c>
      <c r="BY4" s="40">
        <v>0.85</v>
      </c>
      <c r="BZ4" s="66">
        <v>0.85</v>
      </c>
      <c r="CA4" s="103">
        <v>0.85</v>
      </c>
      <c r="CB4" s="118">
        <v>0.85</v>
      </c>
      <c r="CC4" s="123">
        <v>0.85</v>
      </c>
      <c r="CD4" s="151">
        <v>0.85</v>
      </c>
      <c r="CE4" s="40">
        <v>0.9</v>
      </c>
      <c r="CF4" s="66">
        <v>0.9</v>
      </c>
      <c r="CG4" s="103">
        <v>0.9</v>
      </c>
      <c r="CH4" s="118">
        <v>0.9</v>
      </c>
      <c r="CI4" s="123">
        <v>0.9</v>
      </c>
      <c r="CJ4" s="151">
        <v>0.9</v>
      </c>
      <c r="CK4" s="40">
        <v>0.95</v>
      </c>
      <c r="CL4" s="66">
        <v>0.95</v>
      </c>
      <c r="CM4" s="103">
        <v>0.95</v>
      </c>
      <c r="CN4" s="118">
        <v>0.95</v>
      </c>
      <c r="CO4" s="123">
        <v>0.95</v>
      </c>
      <c r="CP4" s="151">
        <v>0.95</v>
      </c>
      <c r="CQ4" s="40">
        <v>1</v>
      </c>
      <c r="CR4" s="371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103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103">
        <v>1.1499999999999999</v>
      </c>
      <c r="DL4" s="118">
        <v>1.1499999999999999</v>
      </c>
      <c r="DM4" s="44">
        <v>1.1499999999999999</v>
      </c>
      <c r="DN4" s="40">
        <v>1.2</v>
      </c>
      <c r="DO4" s="371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377">
        <v>1.8</v>
      </c>
      <c r="IW4" s="259">
        <v>3.5</v>
      </c>
    </row>
    <row r="5" spans="1:257" ht="6.75" customHeight="1" x14ac:dyDescent="0.65">
      <c r="A5" s="437"/>
      <c r="B5" s="437"/>
      <c r="C5" s="99"/>
      <c r="D5" s="152"/>
      <c r="E5" s="384"/>
      <c r="F5" s="143"/>
      <c r="G5" s="143"/>
      <c r="H5" s="82"/>
      <c r="I5" s="82"/>
      <c r="J5" s="108"/>
      <c r="K5" s="41"/>
      <c r="L5" s="67"/>
      <c r="M5" s="91"/>
      <c r="N5" s="41"/>
      <c r="O5" s="372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104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104"/>
      <c r="AO5" s="45"/>
      <c r="AP5" s="41"/>
      <c r="AQ5" s="67"/>
      <c r="AR5" s="104"/>
      <c r="AS5" s="119"/>
      <c r="AT5" s="45"/>
      <c r="AU5" s="41"/>
      <c r="AV5" s="67"/>
      <c r="AW5" s="104"/>
      <c r="AX5" s="119"/>
      <c r="AY5" s="124"/>
      <c r="AZ5" s="152"/>
      <c r="BA5" s="41"/>
      <c r="BB5" s="67"/>
      <c r="BC5" s="104"/>
      <c r="BD5" s="119"/>
      <c r="BE5" s="124"/>
      <c r="BF5" s="152"/>
      <c r="BG5" s="41"/>
      <c r="BH5" s="67"/>
      <c r="BI5" s="104"/>
      <c r="BJ5" s="119"/>
      <c r="BK5" s="124"/>
      <c r="BL5" s="152"/>
      <c r="BM5" s="87"/>
      <c r="BN5" s="67"/>
      <c r="BO5" s="104"/>
      <c r="BP5" s="119"/>
      <c r="BQ5" s="124"/>
      <c r="BR5" s="152"/>
      <c r="BS5" s="41"/>
      <c r="BT5" s="67"/>
      <c r="BU5" s="104"/>
      <c r="BV5" s="119"/>
      <c r="BW5" s="124"/>
      <c r="BX5" s="152"/>
      <c r="BY5" s="41"/>
      <c r="BZ5" s="67"/>
      <c r="CA5" s="104"/>
      <c r="CB5" s="119"/>
      <c r="CC5" s="124"/>
      <c r="CD5" s="152"/>
      <c r="CE5" s="41"/>
      <c r="CF5" s="67"/>
      <c r="CG5" s="104"/>
      <c r="CH5" s="119"/>
      <c r="CI5" s="124"/>
      <c r="CJ5" s="152"/>
      <c r="CK5" s="41"/>
      <c r="CL5" s="67"/>
      <c r="CM5" s="104"/>
      <c r="CN5" s="119"/>
      <c r="CO5" s="124"/>
      <c r="CP5" s="152"/>
      <c r="CQ5" s="41"/>
      <c r="CR5" s="372"/>
      <c r="CS5" s="72"/>
      <c r="CT5" s="119"/>
      <c r="CU5" s="124"/>
      <c r="CV5" s="113"/>
      <c r="CW5" s="41"/>
      <c r="CX5" s="67"/>
      <c r="CY5" s="104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104"/>
      <c r="DL5" s="119"/>
      <c r="DM5" s="45"/>
      <c r="DN5" s="41"/>
      <c r="DO5" s="372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3185.2930000000001</v>
      </c>
      <c r="D6" s="213">
        <f t="shared" ref="D6:BO6" si="0">SUM(D8:D1048576)</f>
        <v>34.064999999999998</v>
      </c>
      <c r="E6" s="213">
        <f t="shared" si="0"/>
        <v>41.86</v>
      </c>
      <c r="F6" s="214">
        <f t="shared" si="0"/>
        <v>0</v>
      </c>
      <c r="G6" s="214">
        <f t="shared" si="0"/>
        <v>0</v>
      </c>
      <c r="H6" s="215">
        <f t="shared" si="0"/>
        <v>92.75</v>
      </c>
      <c r="I6" s="215">
        <f t="shared" si="0"/>
        <v>38.11</v>
      </c>
      <c r="J6" s="234">
        <f t="shared" si="0"/>
        <v>0</v>
      </c>
      <c r="K6" s="216">
        <f t="shared" si="0"/>
        <v>0</v>
      </c>
      <c r="L6" s="217">
        <f t="shared" si="0"/>
        <v>0</v>
      </c>
      <c r="M6" s="218">
        <f t="shared" si="0"/>
        <v>0</v>
      </c>
      <c r="N6" s="216">
        <f t="shared" si="0"/>
        <v>0</v>
      </c>
      <c r="O6" s="373">
        <f t="shared" si="0"/>
        <v>8.6150000000000002</v>
      </c>
      <c r="P6" s="228">
        <f t="shared" si="0"/>
        <v>0</v>
      </c>
      <c r="Q6" s="221">
        <f t="shared" si="0"/>
        <v>0</v>
      </c>
      <c r="R6" s="214">
        <f t="shared" si="0"/>
        <v>0</v>
      </c>
      <c r="S6" s="220">
        <f t="shared" si="0"/>
        <v>93.21</v>
      </c>
      <c r="T6" s="216">
        <f t="shared" si="0"/>
        <v>0</v>
      </c>
      <c r="U6" s="217">
        <f t="shared" si="0"/>
        <v>0</v>
      </c>
      <c r="V6" s="220">
        <f t="shared" si="0"/>
        <v>54.594999999999999</v>
      </c>
      <c r="W6" s="221">
        <f t="shared" si="0"/>
        <v>0</v>
      </c>
      <c r="X6" s="216">
        <f t="shared" si="0"/>
        <v>0</v>
      </c>
      <c r="Y6" s="217">
        <f t="shared" si="0"/>
        <v>0</v>
      </c>
      <c r="Z6" s="219">
        <f t="shared" si="0"/>
        <v>8.3550000000000004</v>
      </c>
      <c r="AA6" s="216">
        <f t="shared" si="0"/>
        <v>0</v>
      </c>
      <c r="AB6" s="217">
        <f t="shared" si="0"/>
        <v>0</v>
      </c>
      <c r="AC6" s="228">
        <f t="shared" si="0"/>
        <v>0</v>
      </c>
      <c r="AD6" s="214">
        <f t="shared" si="0"/>
        <v>0</v>
      </c>
      <c r="AE6" s="216">
        <f t="shared" si="0"/>
        <v>0</v>
      </c>
      <c r="AF6" s="217">
        <f t="shared" si="0"/>
        <v>0</v>
      </c>
      <c r="AG6" s="228">
        <f t="shared" si="0"/>
        <v>0</v>
      </c>
      <c r="AH6" s="222">
        <f t="shared" si="0"/>
        <v>0</v>
      </c>
      <c r="AI6" s="223">
        <f t="shared" si="0"/>
        <v>0</v>
      </c>
      <c r="AJ6" s="221">
        <f t="shared" si="0"/>
        <v>0</v>
      </c>
      <c r="AK6" s="244">
        <f t="shared" si="0"/>
        <v>24.27</v>
      </c>
      <c r="AL6" s="216">
        <f t="shared" si="0"/>
        <v>0</v>
      </c>
      <c r="AM6" s="217">
        <f t="shared" si="0"/>
        <v>0</v>
      </c>
      <c r="AN6" s="228">
        <f t="shared" si="0"/>
        <v>0</v>
      </c>
      <c r="AO6" s="224">
        <f t="shared" si="0"/>
        <v>0</v>
      </c>
      <c r="AP6" s="216">
        <f t="shared" si="0"/>
        <v>0</v>
      </c>
      <c r="AQ6" s="217">
        <f t="shared" si="0"/>
        <v>0</v>
      </c>
      <c r="AR6" s="228">
        <f t="shared" si="0"/>
        <v>0</v>
      </c>
      <c r="AS6" s="222">
        <f t="shared" si="0"/>
        <v>0</v>
      </c>
      <c r="AT6" s="224">
        <f t="shared" si="0"/>
        <v>0</v>
      </c>
      <c r="AU6" s="216">
        <f t="shared" si="0"/>
        <v>0</v>
      </c>
      <c r="AV6" s="217">
        <f t="shared" si="0"/>
        <v>0</v>
      </c>
      <c r="AW6" s="228">
        <f t="shared" si="0"/>
        <v>0</v>
      </c>
      <c r="AX6" s="222">
        <f t="shared" si="0"/>
        <v>0</v>
      </c>
      <c r="AY6" s="223">
        <f t="shared" si="0"/>
        <v>0</v>
      </c>
      <c r="AZ6" s="213">
        <f t="shared" si="0"/>
        <v>33.86</v>
      </c>
      <c r="BA6" s="216">
        <f t="shared" si="0"/>
        <v>0</v>
      </c>
      <c r="BB6" s="217">
        <f t="shared" si="0"/>
        <v>0</v>
      </c>
      <c r="BC6" s="228">
        <f t="shared" si="0"/>
        <v>0</v>
      </c>
      <c r="BD6" s="222">
        <f t="shared" si="0"/>
        <v>0</v>
      </c>
      <c r="BE6" s="223">
        <f t="shared" si="0"/>
        <v>0</v>
      </c>
      <c r="BF6" s="213">
        <f t="shared" si="0"/>
        <v>34.534999999999997</v>
      </c>
      <c r="BG6" s="216">
        <f t="shared" si="0"/>
        <v>0</v>
      </c>
      <c r="BH6" s="217">
        <f t="shared" si="0"/>
        <v>0</v>
      </c>
      <c r="BI6" s="228">
        <f t="shared" si="0"/>
        <v>0</v>
      </c>
      <c r="BJ6" s="222">
        <f t="shared" si="0"/>
        <v>0</v>
      </c>
      <c r="BK6" s="223">
        <f t="shared" si="0"/>
        <v>0</v>
      </c>
      <c r="BL6" s="213">
        <f t="shared" si="0"/>
        <v>69.34</v>
      </c>
      <c r="BM6" s="225">
        <f t="shared" si="0"/>
        <v>0</v>
      </c>
      <c r="BN6" s="217">
        <f t="shared" si="0"/>
        <v>25.295000000000002</v>
      </c>
      <c r="BO6" s="228">
        <f t="shared" si="0"/>
        <v>0</v>
      </c>
      <c r="BP6" s="222">
        <f t="shared" ref="BP6:EA6" si="1">SUM(BP8:BP1048576)</f>
        <v>0</v>
      </c>
      <c r="BQ6" s="223">
        <f t="shared" si="1"/>
        <v>0</v>
      </c>
      <c r="BR6" s="213">
        <f t="shared" si="1"/>
        <v>68.204999999999998</v>
      </c>
      <c r="BS6" s="216">
        <f t="shared" si="1"/>
        <v>0</v>
      </c>
      <c r="BT6" s="217">
        <f t="shared" si="1"/>
        <v>0</v>
      </c>
      <c r="BU6" s="228">
        <f t="shared" si="1"/>
        <v>0</v>
      </c>
      <c r="BV6" s="222">
        <f t="shared" si="1"/>
        <v>0</v>
      </c>
      <c r="BW6" s="223">
        <f t="shared" si="1"/>
        <v>0</v>
      </c>
      <c r="BX6" s="213">
        <f t="shared" si="1"/>
        <v>69.844999999999999</v>
      </c>
      <c r="BY6" s="216">
        <f t="shared" si="1"/>
        <v>0</v>
      </c>
      <c r="BZ6" s="217">
        <f t="shared" si="1"/>
        <v>0</v>
      </c>
      <c r="CA6" s="228">
        <f t="shared" si="1"/>
        <v>0</v>
      </c>
      <c r="CB6" s="222">
        <f t="shared" si="1"/>
        <v>0</v>
      </c>
      <c r="CC6" s="223">
        <f t="shared" si="1"/>
        <v>0</v>
      </c>
      <c r="CD6" s="439">
        <f t="shared" si="1"/>
        <v>66.625</v>
      </c>
      <c r="CE6" s="216">
        <f t="shared" si="1"/>
        <v>0</v>
      </c>
      <c r="CF6" s="217">
        <f t="shared" si="1"/>
        <v>0</v>
      </c>
      <c r="CG6" s="228">
        <f t="shared" si="1"/>
        <v>0</v>
      </c>
      <c r="CH6" s="222">
        <f t="shared" si="1"/>
        <v>0</v>
      </c>
      <c r="CI6" s="223">
        <f t="shared" si="1"/>
        <v>0</v>
      </c>
      <c r="CJ6" s="213">
        <f t="shared" si="1"/>
        <v>67.444999999999993</v>
      </c>
      <c r="CK6" s="216">
        <f t="shared" si="1"/>
        <v>0</v>
      </c>
      <c r="CL6" s="217">
        <f t="shared" si="1"/>
        <v>8.6449999999999996</v>
      </c>
      <c r="CM6" s="228">
        <f t="shared" si="1"/>
        <v>0</v>
      </c>
      <c r="CN6" s="222">
        <f t="shared" si="1"/>
        <v>0</v>
      </c>
      <c r="CO6" s="223">
        <f t="shared" si="1"/>
        <v>0</v>
      </c>
      <c r="CP6" s="213">
        <f t="shared" si="1"/>
        <v>33.49</v>
      </c>
      <c r="CQ6" s="216">
        <f t="shared" si="1"/>
        <v>0</v>
      </c>
      <c r="CR6" s="373">
        <f t="shared" si="1"/>
        <v>8.42</v>
      </c>
      <c r="CS6" s="220">
        <f t="shared" si="1"/>
        <v>42.22</v>
      </c>
      <c r="CT6" s="222">
        <f t="shared" si="1"/>
        <v>0</v>
      </c>
      <c r="CU6" s="223">
        <f t="shared" si="1"/>
        <v>0</v>
      </c>
      <c r="CV6" s="214">
        <f t="shared" si="1"/>
        <v>0</v>
      </c>
      <c r="CW6" s="216">
        <f t="shared" si="1"/>
        <v>0</v>
      </c>
      <c r="CX6" s="217">
        <f t="shared" si="1"/>
        <v>0</v>
      </c>
      <c r="CY6" s="228">
        <f t="shared" si="1"/>
        <v>0</v>
      </c>
      <c r="CZ6" s="222">
        <f t="shared" si="1"/>
        <v>0</v>
      </c>
      <c r="DA6" s="223">
        <f t="shared" si="1"/>
        <v>0</v>
      </c>
      <c r="DB6" s="214">
        <f t="shared" si="1"/>
        <v>0</v>
      </c>
      <c r="DC6" s="216">
        <f t="shared" si="1"/>
        <v>0</v>
      </c>
      <c r="DD6" s="217">
        <f t="shared" si="1"/>
        <v>0</v>
      </c>
      <c r="DE6" s="220">
        <f t="shared" si="1"/>
        <v>25.734999999999999</v>
      </c>
      <c r="DF6" s="222">
        <f t="shared" si="1"/>
        <v>0</v>
      </c>
      <c r="DG6" s="223">
        <f t="shared" si="1"/>
        <v>0</v>
      </c>
      <c r="DH6" s="214">
        <f t="shared" si="1"/>
        <v>0</v>
      </c>
      <c r="DI6" s="216">
        <f t="shared" si="1"/>
        <v>0</v>
      </c>
      <c r="DJ6" s="217">
        <f t="shared" si="1"/>
        <v>0</v>
      </c>
      <c r="DK6" s="228">
        <f t="shared" si="1"/>
        <v>0</v>
      </c>
      <c r="DL6" s="222">
        <f t="shared" si="1"/>
        <v>0</v>
      </c>
      <c r="DM6" s="224">
        <f t="shared" si="1"/>
        <v>0</v>
      </c>
      <c r="DN6" s="216">
        <f t="shared" si="1"/>
        <v>0</v>
      </c>
      <c r="DO6" s="373">
        <f t="shared" si="1"/>
        <v>8.5250000000000004</v>
      </c>
      <c r="DP6" s="220">
        <f t="shared" si="1"/>
        <v>8.8049999999999997</v>
      </c>
      <c r="DQ6" s="222">
        <f t="shared" si="1"/>
        <v>0</v>
      </c>
      <c r="DR6" s="224">
        <f t="shared" si="1"/>
        <v>0</v>
      </c>
      <c r="DS6" s="216">
        <f t="shared" si="1"/>
        <v>0</v>
      </c>
      <c r="DT6" s="217">
        <f t="shared" si="1"/>
        <v>0</v>
      </c>
      <c r="DU6" s="228">
        <f t="shared" si="1"/>
        <v>0</v>
      </c>
      <c r="DV6" s="222">
        <f t="shared" si="1"/>
        <v>0</v>
      </c>
      <c r="DW6" s="223">
        <f t="shared" si="1"/>
        <v>0</v>
      </c>
      <c r="DX6" s="221">
        <f t="shared" si="1"/>
        <v>0</v>
      </c>
      <c r="DY6" s="216">
        <f t="shared" si="1"/>
        <v>0</v>
      </c>
      <c r="DZ6" s="217">
        <f t="shared" si="1"/>
        <v>0</v>
      </c>
      <c r="EA6" s="220">
        <f t="shared" si="1"/>
        <v>8.3800000000000008</v>
      </c>
      <c r="EB6" s="222">
        <f t="shared" ref="EB6:GM6" si="2">SUM(EB8:EB1048576)</f>
        <v>0</v>
      </c>
      <c r="EC6" s="223">
        <f t="shared" si="2"/>
        <v>0</v>
      </c>
      <c r="ED6" s="214">
        <f t="shared" si="2"/>
        <v>0</v>
      </c>
      <c r="EE6" s="216">
        <f t="shared" si="2"/>
        <v>0</v>
      </c>
      <c r="EF6" s="217">
        <f t="shared" si="2"/>
        <v>0</v>
      </c>
      <c r="EG6" s="220">
        <f t="shared" si="2"/>
        <v>380.73</v>
      </c>
      <c r="EH6" s="229">
        <f t="shared" si="2"/>
        <v>1.75</v>
      </c>
      <c r="EI6" s="227">
        <f t="shared" si="2"/>
        <v>8.44</v>
      </c>
      <c r="EJ6" s="216">
        <f t="shared" si="2"/>
        <v>0</v>
      </c>
      <c r="EK6" s="217">
        <f t="shared" si="2"/>
        <v>0</v>
      </c>
      <c r="EL6" s="228">
        <f t="shared" si="2"/>
        <v>0</v>
      </c>
      <c r="EM6" s="226">
        <f t="shared" si="2"/>
        <v>68.8</v>
      </c>
      <c r="EN6" s="216">
        <f t="shared" si="2"/>
        <v>0</v>
      </c>
      <c r="EO6" s="217">
        <f t="shared" si="2"/>
        <v>0</v>
      </c>
      <c r="EP6" s="220">
        <f t="shared" si="2"/>
        <v>16.170000000000002</v>
      </c>
      <c r="EQ6" s="224">
        <f t="shared" si="2"/>
        <v>0</v>
      </c>
      <c r="ER6" s="216">
        <f t="shared" si="2"/>
        <v>0</v>
      </c>
      <c r="ES6" s="217">
        <f t="shared" si="2"/>
        <v>0</v>
      </c>
      <c r="ET6" s="228">
        <f t="shared" si="2"/>
        <v>0</v>
      </c>
      <c r="EU6" s="223">
        <f t="shared" si="2"/>
        <v>0</v>
      </c>
      <c r="EV6" s="231">
        <f t="shared" si="2"/>
        <v>27.65</v>
      </c>
      <c r="EW6" s="225">
        <f t="shared" si="2"/>
        <v>0</v>
      </c>
      <c r="EX6" s="249">
        <f t="shared" si="2"/>
        <v>0</v>
      </c>
      <c r="EY6" s="225">
        <f t="shared" si="2"/>
        <v>0</v>
      </c>
      <c r="EZ6" s="218">
        <f t="shared" si="2"/>
        <v>0</v>
      </c>
      <c r="FA6" s="216">
        <f t="shared" si="2"/>
        <v>0</v>
      </c>
      <c r="FB6" s="217">
        <f t="shared" si="2"/>
        <v>0</v>
      </c>
      <c r="FC6" s="228">
        <f t="shared" si="2"/>
        <v>0</v>
      </c>
      <c r="FD6" s="223">
        <f t="shared" si="2"/>
        <v>0</v>
      </c>
      <c r="FE6" s="231">
        <f t="shared" si="2"/>
        <v>28</v>
      </c>
      <c r="FF6" s="225">
        <f t="shared" si="2"/>
        <v>0</v>
      </c>
      <c r="FG6" s="220">
        <f t="shared" si="2"/>
        <v>103.66500000000001</v>
      </c>
      <c r="FH6" s="224">
        <f t="shared" si="2"/>
        <v>0</v>
      </c>
      <c r="FI6" s="216">
        <f t="shared" si="2"/>
        <v>0</v>
      </c>
      <c r="FJ6" s="217">
        <f t="shared" si="2"/>
        <v>0</v>
      </c>
      <c r="FK6" s="228">
        <f t="shared" si="2"/>
        <v>0</v>
      </c>
      <c r="FL6" s="224">
        <f t="shared" si="2"/>
        <v>0</v>
      </c>
      <c r="FM6" s="216">
        <f t="shared" si="2"/>
        <v>0</v>
      </c>
      <c r="FN6" s="227">
        <f t="shared" si="2"/>
        <v>45.85</v>
      </c>
      <c r="FO6" s="224">
        <f t="shared" si="2"/>
        <v>0</v>
      </c>
      <c r="FP6" s="224">
        <f t="shared" si="2"/>
        <v>0</v>
      </c>
      <c r="FQ6" s="216">
        <f t="shared" si="2"/>
        <v>0</v>
      </c>
      <c r="FR6" s="217">
        <f t="shared" si="2"/>
        <v>0</v>
      </c>
      <c r="FS6" s="228">
        <f t="shared" si="2"/>
        <v>0</v>
      </c>
      <c r="FT6" s="214">
        <f t="shared" si="2"/>
        <v>0</v>
      </c>
      <c r="FU6" s="225">
        <f t="shared" si="2"/>
        <v>0</v>
      </c>
      <c r="FV6" s="228">
        <f t="shared" si="2"/>
        <v>0</v>
      </c>
      <c r="FW6" s="227">
        <f t="shared" si="2"/>
        <v>45.4</v>
      </c>
      <c r="FX6" s="230">
        <f t="shared" si="2"/>
        <v>9.1999999999999993</v>
      </c>
      <c r="FY6" s="223">
        <f t="shared" si="2"/>
        <v>0</v>
      </c>
      <c r="FZ6" s="214">
        <f t="shared" si="2"/>
        <v>0</v>
      </c>
      <c r="GA6" s="225">
        <f t="shared" si="2"/>
        <v>0</v>
      </c>
      <c r="GB6" s="228">
        <f t="shared" si="2"/>
        <v>0</v>
      </c>
      <c r="GC6" s="226">
        <f t="shared" si="2"/>
        <v>89.45</v>
      </c>
      <c r="GD6" s="214">
        <f t="shared" si="2"/>
        <v>0</v>
      </c>
      <c r="GE6" s="225">
        <f t="shared" si="2"/>
        <v>0</v>
      </c>
      <c r="GF6" s="227">
        <f t="shared" si="2"/>
        <v>21.45</v>
      </c>
      <c r="GG6" s="224">
        <f t="shared" si="2"/>
        <v>0</v>
      </c>
      <c r="GH6" s="228">
        <f t="shared" si="2"/>
        <v>0</v>
      </c>
      <c r="GI6" s="356">
        <f t="shared" si="2"/>
        <v>0</v>
      </c>
      <c r="GJ6" s="232">
        <f t="shared" si="2"/>
        <v>0</v>
      </c>
      <c r="GK6" s="219">
        <f t="shared" si="2"/>
        <v>76.703000000000003</v>
      </c>
      <c r="GL6" s="216">
        <f t="shared" si="2"/>
        <v>0</v>
      </c>
      <c r="GM6" s="218">
        <f t="shared" si="2"/>
        <v>0</v>
      </c>
      <c r="GN6" s="218">
        <f t="shared" ref="GN6:IW6" si="3">SUM(GN8:GN1048576)</f>
        <v>0</v>
      </c>
      <c r="GO6" s="234">
        <f t="shared" si="3"/>
        <v>0</v>
      </c>
      <c r="GP6" s="216">
        <f t="shared" si="3"/>
        <v>0</v>
      </c>
      <c r="GQ6" s="218">
        <f t="shared" si="3"/>
        <v>0</v>
      </c>
      <c r="GR6" s="233">
        <f t="shared" si="3"/>
        <v>0</v>
      </c>
      <c r="GS6" s="234">
        <f t="shared" si="3"/>
        <v>0</v>
      </c>
      <c r="GT6" s="234">
        <f t="shared" si="3"/>
        <v>0</v>
      </c>
      <c r="GU6" s="234">
        <f t="shared" si="3"/>
        <v>0</v>
      </c>
      <c r="GV6" s="216">
        <f t="shared" si="3"/>
        <v>0</v>
      </c>
      <c r="GW6" s="218">
        <f t="shared" si="3"/>
        <v>0</v>
      </c>
      <c r="GX6" s="218">
        <f t="shared" si="3"/>
        <v>0</v>
      </c>
      <c r="GY6" s="216">
        <f t="shared" si="3"/>
        <v>0</v>
      </c>
      <c r="GZ6" s="228">
        <f t="shared" si="3"/>
        <v>0</v>
      </c>
      <c r="HA6" s="214">
        <f t="shared" si="3"/>
        <v>0</v>
      </c>
      <c r="HB6" s="275">
        <f t="shared" si="3"/>
        <v>0</v>
      </c>
      <c r="HC6" s="216">
        <f t="shared" si="3"/>
        <v>0</v>
      </c>
      <c r="HD6" s="218">
        <f t="shared" si="3"/>
        <v>0</v>
      </c>
      <c r="HE6" s="216">
        <f t="shared" si="3"/>
        <v>0</v>
      </c>
      <c r="HF6" s="219">
        <f t="shared" si="3"/>
        <v>67.03</v>
      </c>
      <c r="HG6" s="216">
        <f t="shared" si="3"/>
        <v>0</v>
      </c>
      <c r="HH6" s="228">
        <f t="shared" si="3"/>
        <v>0</v>
      </c>
      <c r="HI6" s="213">
        <f t="shared" si="3"/>
        <v>13.32</v>
      </c>
      <c r="HJ6" s="219">
        <f t="shared" si="3"/>
        <v>8.9849999999999994</v>
      </c>
      <c r="HK6" s="233">
        <f t="shared" si="3"/>
        <v>0</v>
      </c>
      <c r="HL6" s="216">
        <f t="shared" si="3"/>
        <v>0</v>
      </c>
      <c r="HM6" s="228">
        <f t="shared" si="3"/>
        <v>0</v>
      </c>
      <c r="HN6" s="214">
        <f t="shared" si="3"/>
        <v>0</v>
      </c>
      <c r="HO6" s="216">
        <f t="shared" si="3"/>
        <v>0</v>
      </c>
      <c r="HP6" s="219">
        <f t="shared" si="3"/>
        <v>51.43</v>
      </c>
      <c r="HQ6" s="216">
        <f t="shared" si="3"/>
        <v>0</v>
      </c>
      <c r="HR6" s="218">
        <f t="shared" si="3"/>
        <v>0</v>
      </c>
      <c r="HS6" s="235">
        <f t="shared" si="3"/>
        <v>93.39</v>
      </c>
      <c r="HT6" s="215">
        <f t="shared" si="3"/>
        <v>31.1</v>
      </c>
      <c r="HU6" s="216">
        <f t="shared" si="3"/>
        <v>0</v>
      </c>
      <c r="HV6" s="218">
        <f t="shared" si="3"/>
        <v>0</v>
      </c>
      <c r="HW6" s="216">
        <f t="shared" si="3"/>
        <v>0</v>
      </c>
      <c r="HX6" s="218">
        <f t="shared" si="3"/>
        <v>0</v>
      </c>
      <c r="HY6" s="235">
        <f t="shared" si="3"/>
        <v>8.94</v>
      </c>
      <c r="HZ6" s="216">
        <f t="shared" si="3"/>
        <v>0</v>
      </c>
      <c r="IA6" s="219">
        <f t="shared" si="3"/>
        <v>83.82</v>
      </c>
      <c r="IB6" s="216">
        <f t="shared" si="3"/>
        <v>0</v>
      </c>
      <c r="IC6" s="218">
        <f t="shared" si="3"/>
        <v>0</v>
      </c>
      <c r="ID6" s="216">
        <f t="shared" si="3"/>
        <v>0</v>
      </c>
      <c r="IE6" s="219">
        <f t="shared" si="3"/>
        <v>2.42</v>
      </c>
      <c r="IF6" s="233">
        <f t="shared" si="3"/>
        <v>0</v>
      </c>
      <c r="IG6" s="235">
        <f t="shared" si="3"/>
        <v>127.11</v>
      </c>
      <c r="IH6" s="230">
        <f t="shared" si="3"/>
        <v>128.26</v>
      </c>
      <c r="II6" s="285">
        <f t="shared" si="3"/>
        <v>29.6</v>
      </c>
      <c r="IJ6" s="284">
        <f t="shared" si="3"/>
        <v>3.28</v>
      </c>
      <c r="IK6" s="263">
        <f t="shared" si="3"/>
        <v>63.54</v>
      </c>
      <c r="IL6" s="263">
        <f t="shared" si="3"/>
        <v>10.45</v>
      </c>
      <c r="IM6" s="233">
        <f t="shared" si="3"/>
        <v>0</v>
      </c>
      <c r="IN6" s="216">
        <f t="shared" si="3"/>
        <v>0</v>
      </c>
      <c r="IO6" s="213">
        <f t="shared" si="3"/>
        <v>457.2</v>
      </c>
      <c r="IP6" s="263">
        <f t="shared" si="3"/>
        <v>2.5</v>
      </c>
      <c r="IQ6" s="263">
        <f t="shared" si="3"/>
        <v>14.7</v>
      </c>
      <c r="IR6" s="263">
        <f t="shared" si="3"/>
        <v>2.85</v>
      </c>
      <c r="IS6" s="263">
        <f t="shared" si="3"/>
        <v>6.83</v>
      </c>
      <c r="IT6" s="263">
        <f t="shared" si="3"/>
        <v>9.2200000000000006</v>
      </c>
      <c r="IU6" s="263">
        <f t="shared" si="3"/>
        <v>18.5</v>
      </c>
      <c r="IV6" s="379">
        <f t="shared" si="3"/>
        <v>0</v>
      </c>
      <c r="IW6" s="263">
        <f t="shared" si="3"/>
        <v>52.36</v>
      </c>
    </row>
    <row r="7" spans="1:257" s="63" customFormat="1" ht="6.75" customHeight="1" x14ac:dyDescent="0.25">
      <c r="A7" s="128"/>
      <c r="B7" s="56"/>
      <c r="C7" s="57"/>
      <c r="D7" s="385"/>
      <c r="E7" s="385"/>
      <c r="F7" s="144"/>
      <c r="G7" s="144"/>
      <c r="H7" s="83"/>
      <c r="I7" s="83"/>
      <c r="J7" s="109"/>
      <c r="K7" s="60"/>
      <c r="L7" s="68"/>
      <c r="M7" s="94"/>
      <c r="N7" s="60"/>
      <c r="O7" s="374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105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105"/>
      <c r="AO7" s="59"/>
      <c r="AP7" s="60"/>
      <c r="AQ7" s="68"/>
      <c r="AR7" s="105"/>
      <c r="AS7" s="120"/>
      <c r="AT7" s="59"/>
      <c r="AU7" s="60"/>
      <c r="AV7" s="68"/>
      <c r="AW7" s="105"/>
      <c r="AX7" s="120"/>
      <c r="AY7" s="125"/>
      <c r="AZ7" s="290"/>
      <c r="BA7" s="60"/>
      <c r="BB7" s="68"/>
      <c r="BC7" s="105"/>
      <c r="BD7" s="120"/>
      <c r="BE7" s="125"/>
      <c r="BF7" s="290"/>
      <c r="BG7" s="60"/>
      <c r="BH7" s="68"/>
      <c r="BI7" s="105"/>
      <c r="BJ7" s="120"/>
      <c r="BK7" s="125"/>
      <c r="BL7" s="290"/>
      <c r="BM7" s="93"/>
      <c r="BN7" s="68"/>
      <c r="BO7" s="105"/>
      <c r="BP7" s="120"/>
      <c r="BQ7" s="125"/>
      <c r="BR7" s="290"/>
      <c r="BS7" s="60"/>
      <c r="BT7" s="68"/>
      <c r="BU7" s="105"/>
      <c r="BV7" s="120"/>
      <c r="BW7" s="125"/>
      <c r="BX7" s="290"/>
      <c r="BY7" s="60"/>
      <c r="BZ7" s="68"/>
      <c r="CA7" s="105"/>
      <c r="CB7" s="120"/>
      <c r="CC7" s="125"/>
      <c r="CD7" s="290"/>
      <c r="CE7" s="60"/>
      <c r="CF7" s="68"/>
      <c r="CG7" s="105"/>
      <c r="CH7" s="120"/>
      <c r="CI7" s="125"/>
      <c r="CJ7" s="290"/>
      <c r="CK7" s="60"/>
      <c r="CL7" s="68"/>
      <c r="CM7" s="105"/>
      <c r="CN7" s="120"/>
      <c r="CO7" s="125"/>
      <c r="CP7" s="290"/>
      <c r="CQ7" s="60"/>
      <c r="CR7" s="374"/>
      <c r="CS7" s="73"/>
      <c r="CT7" s="120"/>
      <c r="CU7" s="125"/>
      <c r="CV7" s="114"/>
      <c r="CW7" s="60"/>
      <c r="CX7" s="68"/>
      <c r="CY7" s="105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105"/>
      <c r="DL7" s="120"/>
      <c r="DM7" s="59"/>
      <c r="DN7" s="60"/>
      <c r="DO7" s="374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1"/>
      <c r="IN7" s="362"/>
      <c r="IO7" s="287"/>
      <c r="IP7" s="266"/>
      <c r="IQ7" s="266"/>
      <c r="IR7" s="266"/>
      <c r="IS7" s="266"/>
      <c r="IT7" s="266"/>
      <c r="IU7" s="266"/>
      <c r="IV7" s="380"/>
      <c r="IW7" s="266"/>
    </row>
    <row r="8" spans="1:257" x14ac:dyDescent="0.25">
      <c r="A8" s="129">
        <v>44316</v>
      </c>
      <c r="B8" s="19" t="s">
        <v>36</v>
      </c>
      <c r="C8" s="21">
        <f t="shared" ref="C8:C71" si="4">SUM(I8:JT8)</f>
        <v>27884.78</v>
      </c>
      <c r="D8" s="384"/>
      <c r="E8" s="384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372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104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104"/>
      <c r="AO8" s="45">
        <v>44.15</v>
      </c>
      <c r="AP8" s="41">
        <v>352.52</v>
      </c>
      <c r="AQ8" s="67">
        <v>0</v>
      </c>
      <c r="AR8" s="104"/>
      <c r="AS8" s="119">
        <v>25.25</v>
      </c>
      <c r="AT8" s="45">
        <v>22.73</v>
      </c>
      <c r="AU8" s="41">
        <v>0</v>
      </c>
      <c r="AV8" s="67">
        <v>555.73500000000001</v>
      </c>
      <c r="AW8" s="104"/>
      <c r="AX8" s="119"/>
      <c r="AY8" s="124"/>
      <c r="AZ8" s="152">
        <v>17.079999999999998</v>
      </c>
      <c r="BA8" s="41">
        <v>121.93</v>
      </c>
      <c r="BB8" s="67">
        <v>0</v>
      </c>
      <c r="BC8" s="104"/>
      <c r="BD8" s="119"/>
      <c r="BE8" s="124"/>
      <c r="BF8" s="152">
        <v>22.81</v>
      </c>
      <c r="BG8" s="41">
        <v>8.43</v>
      </c>
      <c r="BH8" s="67"/>
      <c r="BI8" s="104"/>
      <c r="BJ8" s="119"/>
      <c r="BK8" s="124"/>
      <c r="BL8" s="152">
        <v>42.34</v>
      </c>
      <c r="BM8" s="87">
        <v>76.819999999999993</v>
      </c>
      <c r="BN8" s="67">
        <v>34.104999999999997</v>
      </c>
      <c r="BO8" s="104"/>
      <c r="BP8" s="119"/>
      <c r="BQ8" s="124"/>
      <c r="BR8" s="152">
        <v>49.48</v>
      </c>
      <c r="BS8" s="41">
        <v>375.55</v>
      </c>
      <c r="BT8" s="67">
        <v>8.51</v>
      </c>
      <c r="BU8" s="104"/>
      <c r="BV8" s="119"/>
      <c r="BW8" s="124"/>
      <c r="BX8" s="152">
        <v>0</v>
      </c>
      <c r="BY8" s="41">
        <v>662.91</v>
      </c>
      <c r="BZ8" s="67">
        <v>0</v>
      </c>
      <c r="CA8" s="104"/>
      <c r="CB8" s="119"/>
      <c r="CC8" s="124">
        <f>16.27-8.73</f>
        <v>7.54</v>
      </c>
      <c r="CD8" s="152"/>
      <c r="CE8" s="41">
        <v>365.38</v>
      </c>
      <c r="CF8" s="67">
        <v>0</v>
      </c>
      <c r="CG8" s="104"/>
      <c r="CH8" s="119"/>
      <c r="CI8" s="124"/>
      <c r="CJ8" s="152">
        <v>0</v>
      </c>
      <c r="CK8" s="41">
        <v>325.45999999999998</v>
      </c>
      <c r="CL8" s="67">
        <v>0</v>
      </c>
      <c r="CM8" s="104">
        <v>0</v>
      </c>
      <c r="CN8" s="119"/>
      <c r="CO8" s="124"/>
      <c r="CP8" s="152">
        <v>25.14</v>
      </c>
      <c r="CQ8" s="41">
        <v>494.4</v>
      </c>
      <c r="CR8" s="372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104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104"/>
      <c r="DL8" s="119"/>
      <c r="DM8" s="45">
        <v>67.69</v>
      </c>
      <c r="DN8" s="41">
        <v>387.94</v>
      </c>
      <c r="DO8" s="372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4"/>
        <v>0</v>
      </c>
      <c r="D9" s="384"/>
      <c r="E9" s="384"/>
      <c r="F9" s="143"/>
      <c r="G9" s="143"/>
      <c r="H9" s="82"/>
      <c r="I9" s="82"/>
      <c r="J9" s="108"/>
      <c r="K9" s="41"/>
      <c r="L9" s="67"/>
      <c r="M9" s="91"/>
      <c r="N9" s="41"/>
      <c r="O9" s="372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104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104"/>
      <c r="AO9" s="45"/>
      <c r="AP9" s="41"/>
      <c r="AQ9" s="67"/>
      <c r="AR9" s="104"/>
      <c r="AS9" s="119"/>
      <c r="AT9" s="45"/>
      <c r="AU9" s="41"/>
      <c r="AV9" s="67"/>
      <c r="AW9" s="104"/>
      <c r="AX9" s="119"/>
      <c r="AY9" s="124"/>
      <c r="AZ9" s="152"/>
      <c r="BA9" s="41"/>
      <c r="BB9" s="67"/>
      <c r="BC9" s="104"/>
      <c r="BD9" s="119"/>
      <c r="BE9" s="124"/>
      <c r="BF9" s="152"/>
      <c r="BG9" s="41"/>
      <c r="BH9" s="67"/>
      <c r="BI9" s="104"/>
      <c r="BJ9" s="119"/>
      <c r="BK9" s="124"/>
      <c r="BL9" s="152"/>
      <c r="BM9" s="87"/>
      <c r="BN9" s="67"/>
      <c r="BO9" s="104"/>
      <c r="BP9" s="119"/>
      <c r="BQ9" s="124"/>
      <c r="BR9" s="152"/>
      <c r="BS9" s="41"/>
      <c r="BT9" s="67"/>
      <c r="BU9" s="104"/>
      <c r="BV9" s="119"/>
      <c r="BW9" s="124"/>
      <c r="BX9" s="152"/>
      <c r="BY9" s="41"/>
      <c r="BZ9" s="67"/>
      <c r="CA9" s="104"/>
      <c r="CB9" s="119"/>
      <c r="CC9" s="124"/>
      <c r="CD9" s="152"/>
      <c r="CE9" s="41"/>
      <c r="CF9" s="67"/>
      <c r="CG9" s="104"/>
      <c r="CH9" s="119"/>
      <c r="CI9" s="124"/>
      <c r="CJ9" s="152"/>
      <c r="CK9" s="41"/>
      <c r="CL9" s="67"/>
      <c r="CM9" s="104"/>
      <c r="CN9" s="119"/>
      <c r="CO9" s="124"/>
      <c r="CP9" s="152"/>
      <c r="CQ9" s="41"/>
      <c r="CR9" s="372"/>
      <c r="CS9" s="72"/>
      <c r="CT9" s="119"/>
      <c r="CU9" s="124"/>
      <c r="CV9" s="113"/>
      <c r="CW9" s="41"/>
      <c r="CX9" s="67"/>
      <c r="CY9" s="104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104"/>
      <c r="DL9" s="119"/>
      <c r="DM9" s="45"/>
      <c r="DN9" s="41"/>
      <c r="DO9" s="372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4"/>
        <v>-8.31</v>
      </c>
      <c r="D10" s="384"/>
      <c r="E10" s="384"/>
      <c r="F10" s="143"/>
      <c r="G10" s="143"/>
      <c r="H10" s="82"/>
      <c r="I10" s="82"/>
      <c r="J10" s="108"/>
      <c r="K10" s="41"/>
      <c r="L10" s="67"/>
      <c r="M10" s="91"/>
      <c r="N10" s="41"/>
      <c r="O10" s="372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104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104"/>
      <c r="AO10" s="45"/>
      <c r="AP10" s="41"/>
      <c r="AQ10" s="67"/>
      <c r="AR10" s="104"/>
      <c r="AS10" s="119"/>
      <c r="AT10" s="45"/>
      <c r="AU10" s="41"/>
      <c r="AV10" s="67"/>
      <c r="AW10" s="104"/>
      <c r="AX10" s="119"/>
      <c r="AY10" s="124"/>
      <c r="AZ10" s="152"/>
      <c r="BA10" s="41"/>
      <c r="BB10" s="67"/>
      <c r="BC10" s="104"/>
      <c r="BD10" s="119"/>
      <c r="BE10" s="124"/>
      <c r="BF10" s="152"/>
      <c r="BG10" s="41"/>
      <c r="BH10" s="67"/>
      <c r="BI10" s="104"/>
      <c r="BJ10" s="119"/>
      <c r="BK10" s="124"/>
      <c r="BL10" s="152"/>
      <c r="BM10" s="87"/>
      <c r="BN10" s="67"/>
      <c r="BO10" s="104"/>
      <c r="BP10" s="119"/>
      <c r="BQ10" s="124"/>
      <c r="BR10" s="152"/>
      <c r="BS10" s="41"/>
      <c r="BT10" s="67"/>
      <c r="BU10" s="104"/>
      <c r="BV10" s="119"/>
      <c r="BW10" s="124"/>
      <c r="BX10" s="152"/>
      <c r="BY10" s="41"/>
      <c r="BZ10" s="67"/>
      <c r="CA10" s="104"/>
      <c r="CB10" s="119"/>
      <c r="CC10" s="124"/>
      <c r="CD10" s="152"/>
      <c r="CE10" s="41"/>
      <c r="CF10" s="67"/>
      <c r="CG10" s="104"/>
      <c r="CH10" s="119"/>
      <c r="CI10" s="124"/>
      <c r="CJ10" s="152"/>
      <c r="CK10" s="41"/>
      <c r="CL10" s="67"/>
      <c r="CM10" s="104"/>
      <c r="CN10" s="119"/>
      <c r="CO10" s="124"/>
      <c r="CP10" s="152">
        <v>-8.31</v>
      </c>
      <c r="CQ10" s="41"/>
      <c r="CR10" s="372"/>
      <c r="CS10" s="72"/>
      <c r="CT10" s="119"/>
      <c r="CU10" s="124"/>
      <c r="CV10" s="113"/>
      <c r="CW10" s="41"/>
      <c r="CX10" s="67"/>
      <c r="CY10" s="104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104"/>
      <c r="DL10" s="119"/>
      <c r="DM10" s="45"/>
      <c r="DN10" s="41"/>
      <c r="DO10" s="372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4"/>
        <v>-35.799999999999997</v>
      </c>
      <c r="D11" s="384"/>
      <c r="E11" s="384"/>
      <c r="F11" s="143"/>
      <c r="G11" s="143"/>
      <c r="H11" s="82"/>
      <c r="I11" s="82"/>
      <c r="J11" s="108"/>
      <c r="K11" s="41"/>
      <c r="L11" s="67"/>
      <c r="M11" s="91"/>
      <c r="N11" s="41"/>
      <c r="O11" s="372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104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104"/>
      <c r="AO11" s="45"/>
      <c r="AP11" s="41"/>
      <c r="AQ11" s="67"/>
      <c r="AR11" s="104"/>
      <c r="AS11" s="119"/>
      <c r="AT11" s="45"/>
      <c r="AU11" s="41"/>
      <c r="AV11" s="67"/>
      <c r="AW11" s="104"/>
      <c r="AX11" s="119"/>
      <c r="AY11" s="124"/>
      <c r="AZ11" s="152"/>
      <c r="BA11" s="41"/>
      <c r="BB11" s="67"/>
      <c r="BC11" s="104"/>
      <c r="BD11" s="119"/>
      <c r="BE11" s="124"/>
      <c r="BF11" s="152"/>
      <c r="BG11" s="41"/>
      <c r="BH11" s="67"/>
      <c r="BI11" s="104"/>
      <c r="BJ11" s="119"/>
      <c r="BK11" s="124"/>
      <c r="BL11" s="152"/>
      <c r="BM11" s="87"/>
      <c r="BN11" s="67"/>
      <c r="BO11" s="104"/>
      <c r="BP11" s="119"/>
      <c r="BQ11" s="124"/>
      <c r="BR11" s="152"/>
      <c r="BS11" s="41"/>
      <c r="BT11" s="67"/>
      <c r="BU11" s="104"/>
      <c r="BV11" s="119"/>
      <c r="BW11" s="124"/>
      <c r="BX11" s="152"/>
      <c r="BY11" s="41"/>
      <c r="BZ11" s="67"/>
      <c r="CA11" s="104"/>
      <c r="CB11" s="119"/>
      <c r="CC11" s="124"/>
      <c r="CD11" s="152"/>
      <c r="CE11" s="41"/>
      <c r="CF11" s="67"/>
      <c r="CG11" s="104"/>
      <c r="CH11" s="119"/>
      <c r="CI11" s="124"/>
      <c r="CJ11" s="152"/>
      <c r="CK11" s="41"/>
      <c r="CL11" s="67"/>
      <c r="CM11" s="104"/>
      <c r="CN11" s="119"/>
      <c r="CO11" s="124"/>
      <c r="CP11" s="152"/>
      <c r="CQ11" s="41"/>
      <c r="CR11" s="372"/>
      <c r="CS11" s="72"/>
      <c r="CT11" s="119"/>
      <c r="CU11" s="124"/>
      <c r="CV11" s="113"/>
      <c r="CW11" s="41"/>
      <c r="CX11" s="67"/>
      <c r="CY11" s="104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104"/>
      <c r="DL11" s="119"/>
      <c r="DM11" s="45"/>
      <c r="DN11" s="41"/>
      <c r="DO11" s="372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4"/>
        <v>-33.814999999999998</v>
      </c>
      <c r="D12" s="384"/>
      <c r="E12" s="384"/>
      <c r="F12" s="143"/>
      <c r="G12" s="143"/>
      <c r="H12" s="82"/>
      <c r="I12" s="82"/>
      <c r="J12" s="108"/>
      <c r="K12" s="41"/>
      <c r="L12" s="67"/>
      <c r="M12" s="91"/>
      <c r="N12" s="41"/>
      <c r="O12" s="372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104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104"/>
      <c r="AO12" s="45"/>
      <c r="AP12" s="41"/>
      <c r="AQ12" s="67"/>
      <c r="AR12" s="104"/>
      <c r="AS12" s="119"/>
      <c r="AT12" s="45"/>
      <c r="AU12" s="41"/>
      <c r="AV12" s="67">
        <v>-17.074999999999999</v>
      </c>
      <c r="AW12" s="104"/>
      <c r="AX12" s="119"/>
      <c r="AY12" s="124"/>
      <c r="AZ12" s="152"/>
      <c r="BA12" s="41"/>
      <c r="BB12" s="67"/>
      <c r="BC12" s="104"/>
      <c r="BD12" s="119"/>
      <c r="BE12" s="124"/>
      <c r="BF12" s="152"/>
      <c r="BG12" s="41"/>
      <c r="BH12" s="67"/>
      <c r="BI12" s="104"/>
      <c r="BJ12" s="119"/>
      <c r="BK12" s="124"/>
      <c r="BL12" s="152"/>
      <c r="BM12" s="87"/>
      <c r="BN12" s="67"/>
      <c r="BO12" s="104"/>
      <c r="BP12" s="119"/>
      <c r="BQ12" s="124"/>
      <c r="BR12" s="152"/>
      <c r="BS12" s="41"/>
      <c r="BT12" s="67"/>
      <c r="BU12" s="104"/>
      <c r="BV12" s="119"/>
      <c r="BW12" s="124"/>
      <c r="BX12" s="152"/>
      <c r="BY12" s="41"/>
      <c r="BZ12" s="67"/>
      <c r="CA12" s="104"/>
      <c r="CB12" s="119"/>
      <c r="CC12" s="124"/>
      <c r="CD12" s="152"/>
      <c r="CE12" s="41"/>
      <c r="CF12" s="67"/>
      <c r="CG12" s="104"/>
      <c r="CH12" s="119"/>
      <c r="CI12" s="124"/>
      <c r="CJ12" s="152"/>
      <c r="CK12" s="41"/>
      <c r="CL12" s="67"/>
      <c r="CM12" s="104"/>
      <c r="CN12" s="119"/>
      <c r="CO12" s="124"/>
      <c r="CP12" s="152"/>
      <c r="CQ12" s="41"/>
      <c r="CR12" s="372"/>
      <c r="CS12" s="72"/>
      <c r="CT12" s="119"/>
      <c r="CU12" s="124"/>
      <c r="CV12" s="113"/>
      <c r="CW12" s="41"/>
      <c r="CX12" s="67"/>
      <c r="CY12" s="104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104"/>
      <c r="DL12" s="119"/>
      <c r="DM12" s="45"/>
      <c r="DN12" s="41"/>
      <c r="DO12" s="372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4"/>
        <v>-34.299999999999997</v>
      </c>
      <c r="D13" s="384"/>
      <c r="E13" s="384"/>
      <c r="F13" s="143"/>
      <c r="G13" s="143"/>
      <c r="H13" s="82"/>
      <c r="I13" s="82"/>
      <c r="J13" s="108"/>
      <c r="K13" s="41"/>
      <c r="L13" s="67"/>
      <c r="M13" s="91"/>
      <c r="N13" s="41"/>
      <c r="O13" s="372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104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104"/>
      <c r="AO13" s="45"/>
      <c r="AP13" s="41"/>
      <c r="AQ13" s="67"/>
      <c r="AR13" s="104"/>
      <c r="AS13" s="119"/>
      <c r="AT13" s="45"/>
      <c r="AU13" s="41"/>
      <c r="AV13" s="67"/>
      <c r="AW13" s="104"/>
      <c r="AX13" s="119"/>
      <c r="AY13" s="124"/>
      <c r="AZ13" s="152"/>
      <c r="BA13" s="41"/>
      <c r="BB13" s="67"/>
      <c r="BC13" s="104"/>
      <c r="BD13" s="119"/>
      <c r="BE13" s="124"/>
      <c r="BF13" s="152"/>
      <c r="BG13" s="41"/>
      <c r="BH13" s="67"/>
      <c r="BI13" s="104"/>
      <c r="BJ13" s="119"/>
      <c r="BK13" s="124"/>
      <c r="BL13" s="152"/>
      <c r="BM13" s="87"/>
      <c r="BN13" s="67"/>
      <c r="BO13" s="104"/>
      <c r="BP13" s="119"/>
      <c r="BQ13" s="124"/>
      <c r="BR13" s="152"/>
      <c r="BS13" s="41"/>
      <c r="BT13" s="67"/>
      <c r="BU13" s="104"/>
      <c r="BV13" s="119"/>
      <c r="BW13" s="124"/>
      <c r="BX13" s="152"/>
      <c r="BY13" s="41"/>
      <c r="BZ13" s="67"/>
      <c r="CA13" s="104"/>
      <c r="CB13" s="119"/>
      <c r="CC13" s="124"/>
      <c r="CD13" s="152"/>
      <c r="CE13" s="41"/>
      <c r="CF13" s="67"/>
      <c r="CG13" s="104"/>
      <c r="CH13" s="119"/>
      <c r="CI13" s="124"/>
      <c r="CJ13" s="152"/>
      <c r="CK13" s="41"/>
      <c r="CL13" s="67"/>
      <c r="CM13" s="104"/>
      <c r="CN13" s="119"/>
      <c r="CO13" s="124"/>
      <c r="CP13" s="152"/>
      <c r="CQ13" s="41"/>
      <c r="CR13" s="372"/>
      <c r="CS13" s="72"/>
      <c r="CT13" s="119"/>
      <c r="CU13" s="124"/>
      <c r="CV13" s="113"/>
      <c r="CW13" s="41"/>
      <c r="CX13" s="67"/>
      <c r="CY13" s="104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104"/>
      <c r="DL13" s="119"/>
      <c r="DM13" s="45"/>
      <c r="DN13" s="41">
        <v>-34.299999999999997</v>
      </c>
      <c r="DO13" s="372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4"/>
        <v>-52.06</v>
      </c>
      <c r="D14" s="384"/>
      <c r="E14" s="384"/>
      <c r="F14" s="143"/>
      <c r="G14" s="143"/>
      <c r="H14" s="82"/>
      <c r="I14" s="82"/>
      <c r="J14" s="108"/>
      <c r="K14" s="41"/>
      <c r="L14" s="67"/>
      <c r="M14" s="91"/>
      <c r="N14" s="41"/>
      <c r="O14" s="372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104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104"/>
      <c r="AO14" s="45"/>
      <c r="AP14" s="41"/>
      <c r="AQ14" s="67"/>
      <c r="AR14" s="104"/>
      <c r="AS14" s="119"/>
      <c r="AT14" s="45"/>
      <c r="AU14" s="41"/>
      <c r="AV14" s="67"/>
      <c r="AW14" s="104"/>
      <c r="AX14" s="119"/>
      <c r="AY14" s="124"/>
      <c r="AZ14" s="152"/>
      <c r="BA14" s="41">
        <v>-8.7899999999999991</v>
      </c>
      <c r="BB14" s="67"/>
      <c r="BC14" s="104"/>
      <c r="BD14" s="119"/>
      <c r="BE14" s="124"/>
      <c r="BF14" s="152"/>
      <c r="BG14" s="41">
        <v>-8.43</v>
      </c>
      <c r="BH14" s="67"/>
      <c r="BI14" s="104"/>
      <c r="BJ14" s="119"/>
      <c r="BK14" s="124"/>
      <c r="BL14" s="152"/>
      <c r="BM14" s="87">
        <v>-8.77</v>
      </c>
      <c r="BN14" s="67"/>
      <c r="BO14" s="104"/>
      <c r="BP14" s="119"/>
      <c r="BQ14" s="124"/>
      <c r="BR14" s="152"/>
      <c r="BS14" s="41"/>
      <c r="BT14" s="67">
        <v>-8.27</v>
      </c>
      <c r="BU14" s="104"/>
      <c r="BV14" s="119"/>
      <c r="BW14" s="124"/>
      <c r="BX14" s="152"/>
      <c r="BY14" s="41"/>
      <c r="BZ14" s="67"/>
      <c r="CA14" s="104"/>
      <c r="CB14" s="119"/>
      <c r="CC14" s="124"/>
      <c r="CD14" s="152"/>
      <c r="CE14" s="41"/>
      <c r="CF14" s="67"/>
      <c r="CG14" s="104"/>
      <c r="CH14" s="119"/>
      <c r="CI14" s="124"/>
      <c r="CJ14" s="152"/>
      <c r="CK14" s="41"/>
      <c r="CL14" s="67"/>
      <c r="CM14" s="104"/>
      <c r="CN14" s="119"/>
      <c r="CO14" s="124"/>
      <c r="CP14" s="152"/>
      <c r="CQ14" s="41">
        <v>-9.09</v>
      </c>
      <c r="CR14" s="372"/>
      <c r="CS14" s="72"/>
      <c r="CT14" s="119"/>
      <c r="CU14" s="124"/>
      <c r="CV14" s="113"/>
      <c r="CW14" s="41">
        <v>-8.7100000000000009</v>
      </c>
      <c r="CX14" s="67"/>
      <c r="CY14" s="104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104"/>
      <c r="DL14" s="119"/>
      <c r="DM14" s="45"/>
      <c r="DN14" s="41"/>
      <c r="DO14" s="372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4"/>
        <v>6039.39</v>
      </c>
      <c r="D15" s="384"/>
      <c r="E15" s="384"/>
      <c r="F15" s="143"/>
      <c r="G15" s="143"/>
      <c r="H15" s="82"/>
      <c r="I15" s="82"/>
      <c r="J15" s="108"/>
      <c r="K15" s="41"/>
      <c r="L15" s="67"/>
      <c r="M15" s="91"/>
      <c r="N15" s="41"/>
      <c r="O15" s="372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104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104"/>
      <c r="AO15" s="45"/>
      <c r="AP15" s="41"/>
      <c r="AQ15" s="67"/>
      <c r="AR15" s="104"/>
      <c r="AS15" s="119"/>
      <c r="AT15" s="45"/>
      <c r="AU15" s="41"/>
      <c r="AV15" s="67"/>
      <c r="AW15" s="104"/>
      <c r="AX15" s="119"/>
      <c r="AY15" s="124"/>
      <c r="AZ15" s="152"/>
      <c r="BA15" s="41"/>
      <c r="BB15" s="67"/>
      <c r="BC15" s="104"/>
      <c r="BD15" s="119"/>
      <c r="BE15" s="124"/>
      <c r="BF15" s="152"/>
      <c r="BG15" s="41"/>
      <c r="BH15" s="67">
        <v>1010.05</v>
      </c>
      <c r="BI15" s="104"/>
      <c r="BJ15" s="119"/>
      <c r="BK15" s="124"/>
      <c r="BL15" s="152"/>
      <c r="BM15" s="87"/>
      <c r="BN15" s="67">
        <v>1004.44</v>
      </c>
      <c r="BO15" s="104"/>
      <c r="BP15" s="119"/>
      <c r="BQ15" s="124"/>
      <c r="BR15" s="152"/>
      <c r="BS15" s="41"/>
      <c r="BT15" s="67">
        <v>499.99</v>
      </c>
      <c r="BU15" s="104"/>
      <c r="BV15" s="119"/>
      <c r="BW15" s="124"/>
      <c r="BX15" s="152"/>
      <c r="BY15" s="41"/>
      <c r="BZ15" s="67">
        <v>503.08</v>
      </c>
      <c r="CA15" s="104"/>
      <c r="CB15" s="119"/>
      <c r="CC15" s="124"/>
      <c r="CD15" s="152"/>
      <c r="CE15" s="41"/>
      <c r="CF15" s="67">
        <v>509.55</v>
      </c>
      <c r="CG15" s="104"/>
      <c r="CH15" s="119"/>
      <c r="CI15" s="124"/>
      <c r="CJ15" s="152"/>
      <c r="CK15" s="41"/>
      <c r="CL15" s="67">
        <v>504.61</v>
      </c>
      <c r="CM15" s="104"/>
      <c r="CN15" s="119"/>
      <c r="CO15" s="124"/>
      <c r="CP15" s="152"/>
      <c r="CQ15" s="41"/>
      <c r="CR15" s="372">
        <v>500.3</v>
      </c>
      <c r="CS15" s="72"/>
      <c r="CT15" s="119"/>
      <c r="CU15" s="124"/>
      <c r="CV15" s="113"/>
      <c r="CW15" s="41"/>
      <c r="CX15" s="67"/>
      <c r="CY15" s="104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104"/>
      <c r="DL15" s="119"/>
      <c r="DM15" s="45"/>
      <c r="DN15" s="41"/>
      <c r="DO15" s="372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4"/>
        <v>-397.34</v>
      </c>
      <c r="D16" s="384"/>
      <c r="E16" s="384"/>
      <c r="F16" s="143"/>
      <c r="G16" s="143"/>
      <c r="H16" s="82"/>
      <c r="I16" s="82"/>
      <c r="J16" s="108"/>
      <c r="K16" s="41"/>
      <c r="L16" s="67"/>
      <c r="M16" s="91"/>
      <c r="N16" s="41"/>
      <c r="O16" s="372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104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104"/>
      <c r="AO16" s="45"/>
      <c r="AP16" s="41"/>
      <c r="AQ16" s="67"/>
      <c r="AR16" s="104"/>
      <c r="AS16" s="119"/>
      <c r="AT16" s="45"/>
      <c r="AU16" s="41"/>
      <c r="AV16" s="67">
        <v>-68.215000000000003</v>
      </c>
      <c r="AW16" s="104"/>
      <c r="AX16" s="119"/>
      <c r="AY16" s="124"/>
      <c r="AZ16" s="152"/>
      <c r="BA16" s="41"/>
      <c r="BB16" s="67"/>
      <c r="BC16" s="104"/>
      <c r="BD16" s="119"/>
      <c r="BE16" s="124"/>
      <c r="BF16" s="152"/>
      <c r="BG16" s="41"/>
      <c r="BH16" s="67">
        <v>-102.30500000000001</v>
      </c>
      <c r="BI16" s="104"/>
      <c r="BJ16" s="119"/>
      <c r="BK16" s="124"/>
      <c r="BL16" s="152"/>
      <c r="BM16" s="87">
        <v>-58.45</v>
      </c>
      <c r="BN16" s="67">
        <v>-34</v>
      </c>
      <c r="BO16" s="104"/>
      <c r="BP16" s="119"/>
      <c r="BQ16" s="124"/>
      <c r="BR16" s="152"/>
      <c r="BS16" s="41"/>
      <c r="BT16" s="67"/>
      <c r="BU16" s="104"/>
      <c r="BV16" s="119"/>
      <c r="BW16" s="124"/>
      <c r="BX16" s="152"/>
      <c r="BY16" s="41"/>
      <c r="BZ16" s="67"/>
      <c r="CA16" s="104"/>
      <c r="CB16" s="119"/>
      <c r="CC16" s="124"/>
      <c r="CD16" s="152"/>
      <c r="CE16" s="41"/>
      <c r="CF16" s="67"/>
      <c r="CG16" s="104"/>
      <c r="CH16" s="119"/>
      <c r="CI16" s="124"/>
      <c r="CJ16" s="152"/>
      <c r="CK16" s="41"/>
      <c r="CL16" s="67"/>
      <c r="CM16" s="104"/>
      <c r="CN16" s="119"/>
      <c r="CO16" s="124"/>
      <c r="CP16" s="152"/>
      <c r="CQ16" s="41"/>
      <c r="CR16" s="372"/>
      <c r="CS16" s="72"/>
      <c r="CT16" s="119"/>
      <c r="CU16" s="124"/>
      <c r="CV16" s="113"/>
      <c r="CW16" s="41"/>
      <c r="CX16" s="67"/>
      <c r="CY16" s="104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104"/>
      <c r="DL16" s="119"/>
      <c r="DM16" s="45"/>
      <c r="DN16" s="41"/>
      <c r="DO16" s="372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4"/>
        <v>-26.02</v>
      </c>
      <c r="D17" s="384"/>
      <c r="E17" s="384"/>
      <c r="F17" s="143"/>
      <c r="G17" s="143"/>
      <c r="H17" s="82"/>
      <c r="I17" s="82"/>
      <c r="J17" s="108"/>
      <c r="K17" s="41"/>
      <c r="L17" s="67"/>
      <c r="M17" s="91"/>
      <c r="N17" s="41"/>
      <c r="O17" s="372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104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104"/>
      <c r="AO17" s="45"/>
      <c r="AP17" s="41"/>
      <c r="AQ17" s="67"/>
      <c r="AR17" s="104"/>
      <c r="AS17" s="119"/>
      <c r="AT17" s="45"/>
      <c r="AU17" s="41"/>
      <c r="AV17" s="67"/>
      <c r="AW17" s="104"/>
      <c r="AX17" s="119"/>
      <c r="AY17" s="124"/>
      <c r="AZ17" s="152"/>
      <c r="BA17" s="41"/>
      <c r="BB17" s="67"/>
      <c r="BC17" s="104"/>
      <c r="BD17" s="119"/>
      <c r="BE17" s="124"/>
      <c r="BF17" s="152"/>
      <c r="BG17" s="41"/>
      <c r="BH17" s="67"/>
      <c r="BI17" s="104"/>
      <c r="BJ17" s="119"/>
      <c r="BK17" s="124"/>
      <c r="BL17" s="152"/>
      <c r="BM17" s="87"/>
      <c r="BN17" s="67"/>
      <c r="BO17" s="104"/>
      <c r="BP17" s="119"/>
      <c r="BQ17" s="124"/>
      <c r="BR17" s="152"/>
      <c r="BS17" s="41"/>
      <c r="BT17" s="67"/>
      <c r="BU17" s="104"/>
      <c r="BV17" s="119"/>
      <c r="BW17" s="124"/>
      <c r="BX17" s="152"/>
      <c r="BY17" s="41"/>
      <c r="BZ17" s="67"/>
      <c r="CA17" s="104"/>
      <c r="CB17" s="119"/>
      <c r="CC17" s="124"/>
      <c r="CD17" s="152"/>
      <c r="CE17" s="41"/>
      <c r="CF17" s="67"/>
      <c r="CG17" s="104"/>
      <c r="CH17" s="119"/>
      <c r="CI17" s="124"/>
      <c r="CJ17" s="152"/>
      <c r="CK17" s="41"/>
      <c r="CL17" s="67"/>
      <c r="CM17" s="104"/>
      <c r="CN17" s="119"/>
      <c r="CO17" s="124"/>
      <c r="CP17" s="152"/>
      <c r="CQ17" s="41"/>
      <c r="CR17" s="372"/>
      <c r="CS17" s="72"/>
      <c r="CT17" s="119"/>
      <c r="CU17" s="124"/>
      <c r="CV17" s="113"/>
      <c r="CW17" s="41"/>
      <c r="CX17" s="67"/>
      <c r="CY17" s="104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104"/>
      <c r="DL17" s="119"/>
      <c r="DM17" s="45"/>
      <c r="DN17" s="41"/>
      <c r="DO17" s="372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4"/>
        <v>-24.05</v>
      </c>
      <c r="D18" s="384"/>
      <c r="E18" s="384"/>
      <c r="F18" s="143"/>
      <c r="G18" s="143"/>
      <c r="H18" s="82"/>
      <c r="I18" s="82"/>
      <c r="J18" s="108"/>
      <c r="K18" s="41"/>
      <c r="L18" s="67"/>
      <c r="M18" s="91"/>
      <c r="N18" s="41"/>
      <c r="O18" s="372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104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104"/>
      <c r="AO18" s="45"/>
      <c r="AP18" s="41"/>
      <c r="AQ18" s="67"/>
      <c r="AR18" s="104"/>
      <c r="AS18" s="119"/>
      <c r="AT18" s="45"/>
      <c r="AU18" s="41"/>
      <c r="AV18" s="67"/>
      <c r="AW18" s="104"/>
      <c r="AX18" s="119"/>
      <c r="AY18" s="124"/>
      <c r="AZ18" s="152"/>
      <c r="BA18" s="41"/>
      <c r="BB18" s="67"/>
      <c r="BC18" s="104"/>
      <c r="BD18" s="119"/>
      <c r="BE18" s="124"/>
      <c r="BF18" s="152"/>
      <c r="BG18" s="41"/>
      <c r="BH18" s="67"/>
      <c r="BI18" s="104"/>
      <c r="BJ18" s="119"/>
      <c r="BK18" s="124"/>
      <c r="BL18" s="152"/>
      <c r="BM18" s="87"/>
      <c r="BN18" s="67"/>
      <c r="BO18" s="104"/>
      <c r="BP18" s="119"/>
      <c r="BQ18" s="124"/>
      <c r="BR18" s="152">
        <v>-8.1999999999999993</v>
      </c>
      <c r="BS18" s="41"/>
      <c r="BT18" s="67"/>
      <c r="BU18" s="104"/>
      <c r="BV18" s="119"/>
      <c r="BW18" s="124"/>
      <c r="BX18" s="152"/>
      <c r="BY18" s="41"/>
      <c r="BZ18" s="67"/>
      <c r="CA18" s="104"/>
      <c r="CB18" s="119"/>
      <c r="CC18" s="124"/>
      <c r="CD18" s="152"/>
      <c r="CE18" s="41"/>
      <c r="CF18" s="67"/>
      <c r="CG18" s="104"/>
      <c r="CH18" s="119"/>
      <c r="CI18" s="124"/>
      <c r="CJ18" s="152"/>
      <c r="CK18" s="41"/>
      <c r="CL18" s="67"/>
      <c r="CM18" s="104"/>
      <c r="CN18" s="119"/>
      <c r="CO18" s="124"/>
      <c r="CP18" s="152"/>
      <c r="CQ18" s="41"/>
      <c r="CR18" s="372"/>
      <c r="CS18" s="72"/>
      <c r="CT18" s="119"/>
      <c r="CU18" s="124"/>
      <c r="CV18" s="113"/>
      <c r="CW18" s="41"/>
      <c r="CX18" s="67"/>
      <c r="CY18" s="104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104"/>
      <c r="DL18" s="119"/>
      <c r="DM18" s="45"/>
      <c r="DN18" s="41"/>
      <c r="DO18" s="372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4"/>
        <v>-25.73</v>
      </c>
      <c r="D19" s="384"/>
      <c r="E19" s="384"/>
      <c r="F19" s="143"/>
      <c r="G19" s="143"/>
      <c r="H19" s="82"/>
      <c r="I19" s="82"/>
      <c r="J19" s="108"/>
      <c r="K19" s="41"/>
      <c r="L19" s="67"/>
      <c r="M19" s="91"/>
      <c r="N19" s="41"/>
      <c r="O19" s="372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104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104"/>
      <c r="AO19" s="45"/>
      <c r="AP19" s="41"/>
      <c r="AQ19" s="67"/>
      <c r="AR19" s="104"/>
      <c r="AS19" s="119"/>
      <c r="AT19" s="45"/>
      <c r="AU19" s="41"/>
      <c r="AV19" s="67"/>
      <c r="AW19" s="104"/>
      <c r="AX19" s="119"/>
      <c r="AY19" s="124"/>
      <c r="AZ19" s="152"/>
      <c r="BA19" s="41">
        <v>-8.7899999999999991</v>
      </c>
      <c r="BB19" s="67"/>
      <c r="BC19" s="104"/>
      <c r="BD19" s="119"/>
      <c r="BE19" s="124"/>
      <c r="BF19" s="152"/>
      <c r="BG19" s="41"/>
      <c r="BH19" s="67">
        <v>-8.5950000000000006</v>
      </c>
      <c r="BI19" s="104"/>
      <c r="BJ19" s="119"/>
      <c r="BK19" s="124"/>
      <c r="BL19" s="152"/>
      <c r="BM19" s="87"/>
      <c r="BN19" s="67"/>
      <c r="BO19" s="104"/>
      <c r="BP19" s="119"/>
      <c r="BQ19" s="124"/>
      <c r="BR19" s="152"/>
      <c r="BS19" s="41"/>
      <c r="BT19" s="67">
        <v>-8.3450000000000006</v>
      </c>
      <c r="BU19" s="104"/>
      <c r="BV19" s="119"/>
      <c r="BW19" s="124"/>
      <c r="BX19" s="152"/>
      <c r="BY19" s="41"/>
      <c r="BZ19" s="67"/>
      <c r="CA19" s="104"/>
      <c r="CB19" s="119"/>
      <c r="CC19" s="124"/>
      <c r="CD19" s="152"/>
      <c r="CE19" s="41"/>
      <c r="CF19" s="67"/>
      <c r="CG19" s="104"/>
      <c r="CH19" s="119"/>
      <c r="CI19" s="124"/>
      <c r="CJ19" s="152"/>
      <c r="CK19" s="41"/>
      <c r="CL19" s="67"/>
      <c r="CM19" s="104"/>
      <c r="CN19" s="119"/>
      <c r="CO19" s="124"/>
      <c r="CP19" s="152"/>
      <c r="CQ19" s="41"/>
      <c r="CR19" s="372"/>
      <c r="CS19" s="72"/>
      <c r="CT19" s="119"/>
      <c r="CU19" s="124"/>
      <c r="CV19" s="113"/>
      <c r="CW19" s="41"/>
      <c r="CX19" s="67"/>
      <c r="CY19" s="104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104"/>
      <c r="DL19" s="119"/>
      <c r="DM19" s="45"/>
      <c r="DN19" s="41"/>
      <c r="DO19" s="372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4"/>
        <v>-8.75</v>
      </c>
      <c r="D20" s="384"/>
      <c r="E20" s="384"/>
      <c r="F20" s="143"/>
      <c r="G20" s="143"/>
      <c r="H20" s="82"/>
      <c r="I20" s="82"/>
      <c r="J20" s="108"/>
      <c r="K20" s="41"/>
      <c r="L20" s="67"/>
      <c r="M20" s="91"/>
      <c r="N20" s="41"/>
      <c r="O20" s="372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104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104"/>
      <c r="AO20" s="45"/>
      <c r="AP20" s="41"/>
      <c r="AQ20" s="67"/>
      <c r="AR20" s="104"/>
      <c r="AS20" s="119"/>
      <c r="AT20" s="45"/>
      <c r="AU20" s="41"/>
      <c r="AV20" s="67"/>
      <c r="AW20" s="104"/>
      <c r="AX20" s="119"/>
      <c r="AY20" s="124"/>
      <c r="AZ20" s="152"/>
      <c r="BA20" s="41">
        <v>-8.75</v>
      </c>
      <c r="BB20" s="67"/>
      <c r="BC20" s="104"/>
      <c r="BD20" s="119"/>
      <c r="BE20" s="124"/>
      <c r="BF20" s="152"/>
      <c r="BG20" s="41"/>
      <c r="BH20" s="67"/>
      <c r="BI20" s="104"/>
      <c r="BJ20" s="119"/>
      <c r="BK20" s="124"/>
      <c r="BL20" s="152"/>
      <c r="BM20" s="87"/>
      <c r="BN20" s="67"/>
      <c r="BO20" s="104"/>
      <c r="BP20" s="119"/>
      <c r="BQ20" s="124"/>
      <c r="BR20" s="152"/>
      <c r="BS20" s="41"/>
      <c r="BT20" s="67"/>
      <c r="BU20" s="104"/>
      <c r="BV20" s="119"/>
      <c r="BW20" s="124"/>
      <c r="BX20" s="152"/>
      <c r="BY20" s="41"/>
      <c r="BZ20" s="67"/>
      <c r="CA20" s="104"/>
      <c r="CB20" s="119"/>
      <c r="CC20" s="124"/>
      <c r="CD20" s="152"/>
      <c r="CE20" s="41"/>
      <c r="CF20" s="67"/>
      <c r="CG20" s="104"/>
      <c r="CH20" s="119"/>
      <c r="CI20" s="124"/>
      <c r="CJ20" s="152"/>
      <c r="CK20" s="41"/>
      <c r="CL20" s="67"/>
      <c r="CM20" s="104"/>
      <c r="CN20" s="119"/>
      <c r="CO20" s="124"/>
      <c r="CP20" s="152"/>
      <c r="CQ20" s="41"/>
      <c r="CR20" s="372"/>
      <c r="CS20" s="72"/>
      <c r="CT20" s="119"/>
      <c r="CU20" s="124"/>
      <c r="CV20" s="113"/>
      <c r="CW20" s="41"/>
      <c r="CX20" s="67"/>
      <c r="CY20" s="104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104"/>
      <c r="DL20" s="119"/>
      <c r="DM20" s="45"/>
      <c r="DN20" s="41"/>
      <c r="DO20" s="372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4"/>
        <v>18.5</v>
      </c>
      <c r="D21" s="384"/>
      <c r="E21" s="384"/>
      <c r="F21" s="143"/>
      <c r="G21" s="143"/>
      <c r="H21" s="82"/>
      <c r="I21" s="82"/>
      <c r="J21" s="108"/>
      <c r="K21" s="41"/>
      <c r="L21" s="67"/>
      <c r="M21" s="91"/>
      <c r="N21" s="41"/>
      <c r="O21" s="372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104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104"/>
      <c r="AO21" s="45"/>
      <c r="AP21" s="41"/>
      <c r="AQ21" s="67"/>
      <c r="AR21" s="104"/>
      <c r="AS21" s="119"/>
      <c r="AT21" s="45"/>
      <c r="AU21" s="41"/>
      <c r="AV21" s="67"/>
      <c r="AW21" s="104"/>
      <c r="AX21" s="119"/>
      <c r="AY21" s="124"/>
      <c r="AZ21" s="152"/>
      <c r="BA21" s="41"/>
      <c r="BB21" s="67"/>
      <c r="BC21" s="104"/>
      <c r="BD21" s="119"/>
      <c r="BE21" s="124"/>
      <c r="BF21" s="152"/>
      <c r="BG21" s="41"/>
      <c r="BH21" s="67"/>
      <c r="BI21" s="104"/>
      <c r="BJ21" s="119"/>
      <c r="BK21" s="124"/>
      <c r="BL21" s="152"/>
      <c r="BM21" s="87"/>
      <c r="BN21" s="67"/>
      <c r="BO21" s="104"/>
      <c r="BP21" s="119"/>
      <c r="BQ21" s="124"/>
      <c r="BR21" s="152"/>
      <c r="BS21" s="41"/>
      <c r="BT21" s="67"/>
      <c r="BU21" s="104"/>
      <c r="BV21" s="119"/>
      <c r="BW21" s="124"/>
      <c r="BX21" s="152"/>
      <c r="BY21" s="41"/>
      <c r="BZ21" s="67"/>
      <c r="CA21" s="104"/>
      <c r="CB21" s="119"/>
      <c r="CC21" s="124"/>
      <c r="CD21" s="152"/>
      <c r="CE21" s="41"/>
      <c r="CF21" s="67"/>
      <c r="CG21" s="104"/>
      <c r="CH21" s="119"/>
      <c r="CI21" s="124"/>
      <c r="CJ21" s="152"/>
      <c r="CK21" s="41"/>
      <c r="CL21" s="67"/>
      <c r="CM21" s="104"/>
      <c r="CN21" s="119"/>
      <c r="CO21" s="124"/>
      <c r="CP21" s="152"/>
      <c r="CQ21" s="41"/>
      <c r="CR21" s="372"/>
      <c r="CS21" s="72"/>
      <c r="CT21" s="119"/>
      <c r="CU21" s="124"/>
      <c r="CV21" s="113"/>
      <c r="CW21" s="41"/>
      <c r="CX21" s="67"/>
      <c r="CY21" s="104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104"/>
      <c r="DL21" s="119"/>
      <c r="DM21" s="45"/>
      <c r="DN21" s="41"/>
      <c r="DO21" s="372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4"/>
        <v>-133.63999999999999</v>
      </c>
      <c r="D22" s="384"/>
      <c r="E22" s="384"/>
      <c r="F22" s="143"/>
      <c r="G22" s="143"/>
      <c r="H22" s="82"/>
      <c r="I22" s="82"/>
      <c r="J22" s="108"/>
      <c r="K22" s="41"/>
      <c r="L22" s="67"/>
      <c r="M22" s="91"/>
      <c r="N22" s="41"/>
      <c r="O22" s="372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104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104"/>
      <c r="AO22" s="45"/>
      <c r="AP22" s="41"/>
      <c r="AQ22" s="67"/>
      <c r="AR22" s="104"/>
      <c r="AS22" s="119"/>
      <c r="AT22" s="45"/>
      <c r="AU22" s="41"/>
      <c r="AV22" s="67"/>
      <c r="AW22" s="104"/>
      <c r="AX22" s="119"/>
      <c r="AY22" s="124"/>
      <c r="AZ22" s="152"/>
      <c r="BA22" s="41"/>
      <c r="BB22" s="67"/>
      <c r="BC22" s="104"/>
      <c r="BD22" s="119"/>
      <c r="BE22" s="124"/>
      <c r="BF22" s="152"/>
      <c r="BG22" s="41"/>
      <c r="BH22" s="67"/>
      <c r="BI22" s="104"/>
      <c r="BJ22" s="119"/>
      <c r="BK22" s="124"/>
      <c r="BL22" s="152"/>
      <c r="BM22" s="87"/>
      <c r="BN22" s="67"/>
      <c r="BO22" s="104"/>
      <c r="BP22" s="119"/>
      <c r="BQ22" s="124"/>
      <c r="BR22" s="152"/>
      <c r="BS22" s="41"/>
      <c r="BT22" s="67"/>
      <c r="BU22" s="104"/>
      <c r="BV22" s="119"/>
      <c r="BW22" s="124"/>
      <c r="BX22" s="152"/>
      <c r="BY22" s="41"/>
      <c r="BZ22" s="67">
        <v>-63.67</v>
      </c>
      <c r="CA22" s="104"/>
      <c r="CB22" s="119"/>
      <c r="CC22" s="124"/>
      <c r="CD22" s="152"/>
      <c r="CE22" s="41"/>
      <c r="CF22" s="67"/>
      <c r="CG22" s="104"/>
      <c r="CH22" s="119"/>
      <c r="CI22" s="124"/>
      <c r="CJ22" s="152"/>
      <c r="CK22" s="41"/>
      <c r="CL22" s="67"/>
      <c r="CM22" s="104"/>
      <c r="CN22" s="119"/>
      <c r="CO22" s="124"/>
      <c r="CP22" s="152"/>
      <c r="CQ22" s="41"/>
      <c r="CR22" s="372"/>
      <c r="CS22" s="72"/>
      <c r="CT22" s="119"/>
      <c r="CU22" s="124"/>
      <c r="CV22" s="113"/>
      <c r="CW22" s="41"/>
      <c r="CX22" s="67"/>
      <c r="CY22" s="104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104"/>
      <c r="DL22" s="119"/>
      <c r="DM22" s="45"/>
      <c r="DN22" s="41"/>
      <c r="DO22" s="372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4"/>
        <v>-51.3</v>
      </c>
      <c r="D23" s="384"/>
      <c r="E23" s="384"/>
      <c r="F23" s="143"/>
      <c r="G23" s="143"/>
      <c r="H23" s="82"/>
      <c r="I23" s="82"/>
      <c r="J23" s="108"/>
      <c r="K23" s="41"/>
      <c r="L23" s="67"/>
      <c r="M23" s="91"/>
      <c r="N23" s="41"/>
      <c r="O23" s="372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104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104"/>
      <c r="AO23" s="45"/>
      <c r="AP23" s="41"/>
      <c r="AQ23" s="67"/>
      <c r="AR23" s="104"/>
      <c r="AS23" s="119"/>
      <c r="AT23" s="45"/>
      <c r="AU23" s="41"/>
      <c r="AV23" s="67"/>
      <c r="AW23" s="104"/>
      <c r="AX23" s="119"/>
      <c r="AY23" s="124"/>
      <c r="AZ23" s="152"/>
      <c r="BA23" s="41"/>
      <c r="BB23" s="67"/>
      <c r="BC23" s="104"/>
      <c r="BD23" s="119"/>
      <c r="BE23" s="124"/>
      <c r="BF23" s="152"/>
      <c r="BG23" s="41"/>
      <c r="BH23" s="67">
        <v>-8.5850000000000009</v>
      </c>
      <c r="BI23" s="104"/>
      <c r="BJ23" s="119"/>
      <c r="BK23" s="124"/>
      <c r="BL23" s="152"/>
      <c r="BM23" s="87">
        <v>-8.7799999999999994</v>
      </c>
      <c r="BN23" s="67"/>
      <c r="BO23" s="104"/>
      <c r="BP23" s="119"/>
      <c r="BQ23" s="124"/>
      <c r="BR23" s="152"/>
      <c r="BS23" s="41"/>
      <c r="BT23" s="67">
        <v>-16.594999999999999</v>
      </c>
      <c r="BU23" s="104"/>
      <c r="BV23" s="119"/>
      <c r="BW23" s="124"/>
      <c r="BX23" s="152"/>
      <c r="BY23" s="41">
        <v>-8.59</v>
      </c>
      <c r="BZ23" s="67"/>
      <c r="CA23" s="104"/>
      <c r="CB23" s="119"/>
      <c r="CC23" s="124"/>
      <c r="CD23" s="152"/>
      <c r="CE23" s="41">
        <v>-8.75</v>
      </c>
      <c r="CF23" s="67"/>
      <c r="CG23" s="104"/>
      <c r="CH23" s="119"/>
      <c r="CI23" s="124"/>
      <c r="CJ23" s="152"/>
      <c r="CK23" s="41"/>
      <c r="CL23" s="67"/>
      <c r="CM23" s="104"/>
      <c r="CN23" s="119"/>
      <c r="CO23" s="124"/>
      <c r="CP23" s="152"/>
      <c r="CQ23" s="41"/>
      <c r="CR23" s="372"/>
      <c r="CS23" s="72"/>
      <c r="CT23" s="119"/>
      <c r="CU23" s="124"/>
      <c r="CV23" s="113"/>
      <c r="CW23" s="41"/>
      <c r="CX23" s="67"/>
      <c r="CY23" s="104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104"/>
      <c r="DL23" s="119"/>
      <c r="DM23" s="45"/>
      <c r="DN23" s="41"/>
      <c r="DO23" s="372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4"/>
        <v>-270.26</v>
      </c>
      <c r="D24" s="384"/>
      <c r="E24" s="384"/>
      <c r="F24" s="143"/>
      <c r="G24" s="143"/>
      <c r="H24" s="82"/>
      <c r="I24" s="82"/>
      <c r="J24" s="108"/>
      <c r="K24" s="41"/>
      <c r="L24" s="67"/>
      <c r="M24" s="91"/>
      <c r="N24" s="41"/>
      <c r="O24" s="372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104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104"/>
      <c r="AO24" s="45"/>
      <c r="AP24" s="41"/>
      <c r="AQ24" s="67"/>
      <c r="AR24" s="104"/>
      <c r="AS24" s="119"/>
      <c r="AT24" s="45"/>
      <c r="AU24" s="41"/>
      <c r="AV24" s="67"/>
      <c r="AW24" s="104"/>
      <c r="AX24" s="119"/>
      <c r="AY24" s="124"/>
      <c r="AZ24" s="152"/>
      <c r="BA24" s="41"/>
      <c r="BB24" s="67"/>
      <c r="BC24" s="104"/>
      <c r="BD24" s="119"/>
      <c r="BE24" s="124"/>
      <c r="BF24" s="152"/>
      <c r="BG24" s="41"/>
      <c r="BH24" s="67"/>
      <c r="BI24" s="104"/>
      <c r="BJ24" s="119"/>
      <c r="BK24" s="124"/>
      <c r="BL24" s="152"/>
      <c r="BM24" s="87"/>
      <c r="BN24" s="67">
        <v>-66.86</v>
      </c>
      <c r="BO24" s="104"/>
      <c r="BP24" s="119"/>
      <c r="BQ24" s="124"/>
      <c r="BR24" s="152"/>
      <c r="BS24" s="41"/>
      <c r="BT24" s="67">
        <v>-66.784999999999997</v>
      </c>
      <c r="BU24" s="104"/>
      <c r="BV24" s="119"/>
      <c r="BW24" s="124"/>
      <c r="BX24" s="152"/>
      <c r="BY24" s="41">
        <v>-69.13</v>
      </c>
      <c r="BZ24" s="67"/>
      <c r="CA24" s="104"/>
      <c r="CB24" s="119"/>
      <c r="CC24" s="124"/>
      <c r="CD24" s="152"/>
      <c r="CE24" s="41"/>
      <c r="CF24" s="67">
        <v>-34.005000000000003</v>
      </c>
      <c r="CG24" s="104"/>
      <c r="CH24" s="119"/>
      <c r="CI24" s="124"/>
      <c r="CJ24" s="152"/>
      <c r="CK24" s="41"/>
      <c r="CL24" s="67">
        <v>-33.479999999999997</v>
      </c>
      <c r="CM24" s="104"/>
      <c r="CN24" s="119"/>
      <c r="CO24" s="124"/>
      <c r="CP24" s="152"/>
      <c r="CQ24" s="41"/>
      <c r="CR24" s="372"/>
      <c r="CS24" s="72"/>
      <c r="CT24" s="119"/>
      <c r="CU24" s="124"/>
      <c r="CV24" s="113"/>
      <c r="CW24" s="41"/>
      <c r="CX24" s="67"/>
      <c r="CY24" s="104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104"/>
      <c r="DL24" s="119"/>
      <c r="DM24" s="45"/>
      <c r="DN24" s="41"/>
      <c r="DO24" s="372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4"/>
        <v>-375.46499999999997</v>
      </c>
      <c r="D25" s="384"/>
      <c r="E25" s="384"/>
      <c r="F25" s="143"/>
      <c r="G25" s="143"/>
      <c r="H25" s="82"/>
      <c r="I25" s="82"/>
      <c r="J25" s="108"/>
      <c r="K25" s="41"/>
      <c r="L25" s="67"/>
      <c r="M25" s="91"/>
      <c r="N25" s="41"/>
      <c r="O25" s="372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104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104"/>
      <c r="AO25" s="45"/>
      <c r="AP25" s="41">
        <v>-32.31</v>
      </c>
      <c r="AQ25" s="67"/>
      <c r="AR25" s="104"/>
      <c r="AS25" s="119"/>
      <c r="AT25" s="45"/>
      <c r="AU25" s="41"/>
      <c r="AV25" s="67"/>
      <c r="AW25" s="104"/>
      <c r="AX25" s="119"/>
      <c r="AY25" s="124"/>
      <c r="AZ25" s="152"/>
      <c r="BA25" s="41">
        <v>-34.82</v>
      </c>
      <c r="BB25" s="67"/>
      <c r="BC25" s="104"/>
      <c r="BD25" s="119"/>
      <c r="BE25" s="124"/>
      <c r="BF25" s="152"/>
      <c r="BG25" s="41"/>
      <c r="BH25" s="67">
        <v>-33.604999999999997</v>
      </c>
      <c r="BI25" s="104"/>
      <c r="BJ25" s="119"/>
      <c r="BK25" s="124"/>
      <c r="BL25" s="152"/>
      <c r="BM25" s="87"/>
      <c r="BN25" s="67">
        <v>-33.479999999999997</v>
      </c>
      <c r="BO25" s="104"/>
      <c r="BP25" s="119"/>
      <c r="BQ25" s="124"/>
      <c r="BR25" s="152"/>
      <c r="BS25" s="41">
        <v>-34.9</v>
      </c>
      <c r="BT25" s="67"/>
      <c r="BU25" s="104"/>
      <c r="BV25" s="119"/>
      <c r="BW25" s="124"/>
      <c r="BX25" s="152"/>
      <c r="BY25" s="41"/>
      <c r="BZ25" s="67">
        <v>-33.924999999999997</v>
      </c>
      <c r="CA25" s="104"/>
      <c r="CB25" s="119"/>
      <c r="CC25" s="124"/>
      <c r="CD25" s="152"/>
      <c r="CE25" s="41"/>
      <c r="CF25" s="67"/>
      <c r="CG25" s="104"/>
      <c r="CH25" s="119"/>
      <c r="CI25" s="124"/>
      <c r="CJ25" s="152"/>
      <c r="CK25" s="41"/>
      <c r="CL25" s="67">
        <v>-33.965000000000003</v>
      </c>
      <c r="CM25" s="104"/>
      <c r="CN25" s="119"/>
      <c r="CO25" s="124"/>
      <c r="CP25" s="152"/>
      <c r="CQ25" s="41"/>
      <c r="CR25" s="372"/>
      <c r="CS25" s="72"/>
      <c r="CT25" s="119"/>
      <c r="CU25" s="124"/>
      <c r="CV25" s="113"/>
      <c r="CW25" s="41">
        <v>-68.94</v>
      </c>
      <c r="CX25" s="67"/>
      <c r="CY25" s="104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104"/>
      <c r="DL25" s="119"/>
      <c r="DM25" s="45"/>
      <c r="DN25" s="41"/>
      <c r="DO25" s="372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4"/>
        <v>-102.55</v>
      </c>
      <c r="D26" s="384"/>
      <c r="E26" s="384"/>
      <c r="F26" s="143"/>
      <c r="G26" s="143"/>
      <c r="H26" s="82"/>
      <c r="I26" s="82"/>
      <c r="J26" s="108"/>
      <c r="K26" s="41"/>
      <c r="L26" s="67"/>
      <c r="M26" s="91"/>
      <c r="N26" s="41"/>
      <c r="O26" s="372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104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104"/>
      <c r="AO26" s="45"/>
      <c r="AP26" s="41"/>
      <c r="AQ26" s="67"/>
      <c r="AR26" s="104"/>
      <c r="AS26" s="119"/>
      <c r="AT26" s="45"/>
      <c r="AU26" s="41"/>
      <c r="AV26" s="67"/>
      <c r="AW26" s="104"/>
      <c r="AX26" s="119"/>
      <c r="AY26" s="124"/>
      <c r="AZ26" s="152"/>
      <c r="BA26" s="41"/>
      <c r="BB26" s="67"/>
      <c r="BC26" s="104"/>
      <c r="BD26" s="119"/>
      <c r="BE26" s="124"/>
      <c r="BF26" s="152"/>
      <c r="BG26" s="41"/>
      <c r="BH26" s="67">
        <v>-33.47</v>
      </c>
      <c r="BI26" s="104"/>
      <c r="BJ26" s="119"/>
      <c r="BK26" s="124"/>
      <c r="BL26" s="152"/>
      <c r="BM26" s="87"/>
      <c r="BN26" s="67">
        <v>-33.54</v>
      </c>
      <c r="BO26" s="104"/>
      <c r="BP26" s="119"/>
      <c r="BQ26" s="124"/>
      <c r="BR26" s="152"/>
      <c r="BS26" s="41"/>
      <c r="BT26" s="67"/>
      <c r="BU26" s="104"/>
      <c r="BV26" s="119"/>
      <c r="BW26" s="124"/>
      <c r="BX26" s="152"/>
      <c r="BY26" s="41">
        <v>-35.54</v>
      </c>
      <c r="BZ26" s="67"/>
      <c r="CA26" s="104"/>
      <c r="CB26" s="119"/>
      <c r="CC26" s="124"/>
      <c r="CD26" s="152"/>
      <c r="CE26" s="41"/>
      <c r="CF26" s="67"/>
      <c r="CG26" s="104"/>
      <c r="CH26" s="119"/>
      <c r="CI26" s="124"/>
      <c r="CJ26" s="152"/>
      <c r="CK26" s="41"/>
      <c r="CL26" s="67"/>
      <c r="CM26" s="104"/>
      <c r="CN26" s="119"/>
      <c r="CO26" s="124"/>
      <c r="CP26" s="152"/>
      <c r="CQ26" s="41"/>
      <c r="CR26" s="372"/>
      <c r="CS26" s="72"/>
      <c r="CT26" s="119"/>
      <c r="CU26" s="124"/>
      <c r="CV26" s="113"/>
      <c r="CW26" s="41"/>
      <c r="CX26" s="67"/>
      <c r="CY26" s="104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104"/>
      <c r="DL26" s="119"/>
      <c r="DM26" s="45"/>
      <c r="DN26" s="41"/>
      <c r="DO26" s="372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4"/>
        <v>-50.914999999999999</v>
      </c>
      <c r="D27" s="384"/>
      <c r="E27" s="384"/>
      <c r="F27" s="143"/>
      <c r="G27" s="143"/>
      <c r="H27" s="82"/>
      <c r="I27" s="82"/>
      <c r="J27" s="108"/>
      <c r="K27" s="41"/>
      <c r="L27" s="67"/>
      <c r="M27" s="91"/>
      <c r="N27" s="41"/>
      <c r="O27" s="372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104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104"/>
      <c r="AO27" s="45"/>
      <c r="AP27" s="41"/>
      <c r="AQ27" s="67"/>
      <c r="AR27" s="104"/>
      <c r="AS27" s="119"/>
      <c r="AT27" s="45"/>
      <c r="AU27" s="41"/>
      <c r="AV27" s="67"/>
      <c r="AW27" s="104"/>
      <c r="AX27" s="119"/>
      <c r="AY27" s="124"/>
      <c r="AZ27" s="152"/>
      <c r="BA27" s="41">
        <v>-16.91</v>
      </c>
      <c r="BB27" s="67"/>
      <c r="BC27" s="104"/>
      <c r="BD27" s="119"/>
      <c r="BE27" s="124"/>
      <c r="BF27" s="152"/>
      <c r="BG27" s="41"/>
      <c r="BH27" s="67">
        <v>-17.184999999999999</v>
      </c>
      <c r="BI27" s="104"/>
      <c r="BJ27" s="119"/>
      <c r="BK27" s="124"/>
      <c r="BL27" s="152"/>
      <c r="BM27" s="87"/>
      <c r="BN27" s="67"/>
      <c r="BO27" s="104"/>
      <c r="BP27" s="119"/>
      <c r="BQ27" s="124"/>
      <c r="BR27" s="152"/>
      <c r="BS27" s="41">
        <v>-8.34</v>
      </c>
      <c r="BT27" s="67"/>
      <c r="BU27" s="104"/>
      <c r="BV27" s="119"/>
      <c r="BW27" s="124"/>
      <c r="BX27" s="152"/>
      <c r="BY27" s="41"/>
      <c r="BZ27" s="67">
        <v>-8.48</v>
      </c>
      <c r="CA27" s="104"/>
      <c r="CB27" s="119"/>
      <c r="CC27" s="124"/>
      <c r="CD27" s="152"/>
      <c r="CE27" s="41"/>
      <c r="CF27" s="67"/>
      <c r="CG27" s="104"/>
      <c r="CH27" s="119"/>
      <c r="CI27" s="124"/>
      <c r="CJ27" s="152"/>
      <c r="CK27" s="41"/>
      <c r="CL27" s="67"/>
      <c r="CM27" s="104"/>
      <c r="CN27" s="119"/>
      <c r="CO27" s="124"/>
      <c r="CP27" s="152"/>
      <c r="CQ27" s="41"/>
      <c r="CR27" s="372"/>
      <c r="CS27" s="72"/>
      <c r="CT27" s="119"/>
      <c r="CU27" s="124"/>
      <c r="CV27" s="113"/>
      <c r="CW27" s="41"/>
      <c r="CX27" s="67"/>
      <c r="CY27" s="104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104"/>
      <c r="DL27" s="119"/>
      <c r="DM27" s="45"/>
      <c r="DN27" s="41"/>
      <c r="DO27" s="372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4"/>
        <v>-375.34</v>
      </c>
      <c r="D28" s="384"/>
      <c r="E28" s="384"/>
      <c r="F28" s="143"/>
      <c r="G28" s="143"/>
      <c r="H28" s="82"/>
      <c r="I28" s="82"/>
      <c r="J28" s="108"/>
      <c r="K28" s="41"/>
      <c r="L28" s="67"/>
      <c r="M28" s="91"/>
      <c r="N28" s="41"/>
      <c r="O28" s="372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104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104"/>
      <c r="AO28" s="45"/>
      <c r="AP28" s="41"/>
      <c r="AQ28" s="67"/>
      <c r="AR28" s="104"/>
      <c r="AS28" s="119"/>
      <c r="AT28" s="45"/>
      <c r="AU28" s="41"/>
      <c r="AV28" s="67"/>
      <c r="AW28" s="104"/>
      <c r="AX28" s="119"/>
      <c r="AY28" s="124"/>
      <c r="AZ28" s="152"/>
      <c r="BA28" s="41"/>
      <c r="BB28" s="67"/>
      <c r="BC28" s="104"/>
      <c r="BD28" s="119"/>
      <c r="BE28" s="124"/>
      <c r="BF28" s="152"/>
      <c r="BG28" s="41"/>
      <c r="BH28" s="67"/>
      <c r="BI28" s="104"/>
      <c r="BJ28" s="119"/>
      <c r="BK28" s="124"/>
      <c r="BL28" s="152"/>
      <c r="BM28" s="87"/>
      <c r="BN28" s="67"/>
      <c r="BO28" s="104"/>
      <c r="BP28" s="119"/>
      <c r="BQ28" s="124"/>
      <c r="BR28" s="152"/>
      <c r="BS28" s="41">
        <v>-70.02</v>
      </c>
      <c r="BT28" s="67"/>
      <c r="BU28" s="104"/>
      <c r="BV28" s="119"/>
      <c r="BW28" s="124"/>
      <c r="BX28" s="152"/>
      <c r="BY28" s="41">
        <v>-68.47</v>
      </c>
      <c r="BZ28" s="67"/>
      <c r="CA28" s="104"/>
      <c r="CB28" s="119"/>
      <c r="CC28" s="124"/>
      <c r="CD28" s="152"/>
      <c r="CE28" s="41">
        <v>-69.599999999999994</v>
      </c>
      <c r="CF28" s="67"/>
      <c r="CG28" s="104"/>
      <c r="CH28" s="119"/>
      <c r="CI28" s="124"/>
      <c r="CJ28" s="152"/>
      <c r="CK28" s="41">
        <v>-64.760000000000005</v>
      </c>
      <c r="CL28" s="67"/>
      <c r="CM28" s="104"/>
      <c r="CN28" s="119"/>
      <c r="CO28" s="124"/>
      <c r="CP28" s="152"/>
      <c r="CQ28" s="41"/>
      <c r="CR28" s="372"/>
      <c r="CS28" s="72"/>
      <c r="CT28" s="119"/>
      <c r="CU28" s="124"/>
      <c r="CV28" s="113"/>
      <c r="CW28" s="41"/>
      <c r="CX28" s="67"/>
      <c r="CY28" s="104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104"/>
      <c r="DL28" s="119"/>
      <c r="DM28" s="45"/>
      <c r="DN28" s="41"/>
      <c r="DO28" s="372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4"/>
        <v>-875.60500000000002</v>
      </c>
      <c r="D29" s="384"/>
      <c r="E29" s="384"/>
      <c r="F29" s="143"/>
      <c r="G29" s="143"/>
      <c r="H29" s="82"/>
      <c r="I29" s="82"/>
      <c r="J29" s="108"/>
      <c r="K29" s="41"/>
      <c r="L29" s="67"/>
      <c r="M29" s="91"/>
      <c r="N29" s="41"/>
      <c r="O29" s="372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104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104"/>
      <c r="AO29" s="45"/>
      <c r="AP29" s="41"/>
      <c r="AQ29" s="67"/>
      <c r="AR29" s="104"/>
      <c r="AS29" s="119"/>
      <c r="AT29" s="45"/>
      <c r="AU29" s="41"/>
      <c r="AV29" s="67"/>
      <c r="AW29" s="104"/>
      <c r="AX29" s="119"/>
      <c r="AY29" s="124"/>
      <c r="AZ29" s="152"/>
      <c r="BA29" s="41"/>
      <c r="BB29" s="67"/>
      <c r="BC29" s="104"/>
      <c r="BD29" s="119"/>
      <c r="BE29" s="124"/>
      <c r="BF29" s="152"/>
      <c r="BG29" s="41"/>
      <c r="BH29" s="67">
        <v>-99.47</v>
      </c>
      <c r="BI29" s="104"/>
      <c r="BJ29" s="119"/>
      <c r="BK29" s="124"/>
      <c r="BL29" s="152"/>
      <c r="BM29" s="87"/>
      <c r="BN29" s="67">
        <v>-234.44</v>
      </c>
      <c r="BO29" s="104"/>
      <c r="BP29" s="119"/>
      <c r="BQ29" s="124"/>
      <c r="BR29" s="152"/>
      <c r="BS29" s="41"/>
      <c r="BT29" s="67">
        <v>-100.005</v>
      </c>
      <c r="BU29" s="104"/>
      <c r="BV29" s="119"/>
      <c r="BW29" s="124"/>
      <c r="BX29" s="152"/>
      <c r="BY29" s="41"/>
      <c r="BZ29" s="67">
        <v>-101.495</v>
      </c>
      <c r="CA29" s="104"/>
      <c r="CB29" s="119"/>
      <c r="CC29" s="124"/>
      <c r="CD29" s="152"/>
      <c r="CE29" s="41"/>
      <c r="CF29" s="67">
        <v>-102.185</v>
      </c>
      <c r="CG29" s="104"/>
      <c r="CH29" s="119"/>
      <c r="CI29" s="124"/>
      <c r="CJ29" s="152"/>
      <c r="CK29" s="41"/>
      <c r="CL29" s="67">
        <v>-33.634999999999998</v>
      </c>
      <c r="CM29" s="104"/>
      <c r="CN29" s="119"/>
      <c r="CO29" s="124"/>
      <c r="CP29" s="152"/>
      <c r="CQ29" s="41"/>
      <c r="CR29" s="372">
        <v>-33.685000000000002</v>
      </c>
      <c r="CS29" s="72"/>
      <c r="CT29" s="119"/>
      <c r="CU29" s="124"/>
      <c r="CV29" s="113"/>
      <c r="CW29" s="41">
        <v>-34.42</v>
      </c>
      <c r="CX29" s="67"/>
      <c r="CY29" s="104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104"/>
      <c r="DL29" s="119"/>
      <c r="DM29" s="45"/>
      <c r="DN29" s="41"/>
      <c r="DO29" s="372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4"/>
        <v>522.38</v>
      </c>
      <c r="D30" s="384"/>
      <c r="E30" s="384"/>
      <c r="F30" s="143"/>
      <c r="G30" s="143"/>
      <c r="H30" s="82"/>
      <c r="I30" s="82"/>
      <c r="J30" s="108"/>
      <c r="K30" s="41"/>
      <c r="L30" s="67"/>
      <c r="M30" s="91"/>
      <c r="N30" s="41"/>
      <c r="O30" s="372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104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104"/>
      <c r="AO30" s="45"/>
      <c r="AP30" s="41"/>
      <c r="AQ30" s="67"/>
      <c r="AR30" s="104"/>
      <c r="AS30" s="119"/>
      <c r="AT30" s="45"/>
      <c r="AU30" s="41"/>
      <c r="AV30" s="67"/>
      <c r="AW30" s="104"/>
      <c r="AX30" s="119"/>
      <c r="AY30" s="124"/>
      <c r="AZ30" s="152"/>
      <c r="BA30" s="41"/>
      <c r="BB30" s="67"/>
      <c r="BC30" s="104"/>
      <c r="BD30" s="119"/>
      <c r="BE30" s="124"/>
      <c r="BF30" s="152"/>
      <c r="BG30" s="41"/>
      <c r="BH30" s="67"/>
      <c r="BI30" s="104"/>
      <c r="BJ30" s="119"/>
      <c r="BK30" s="124"/>
      <c r="BL30" s="152"/>
      <c r="BM30" s="87"/>
      <c r="BN30" s="67"/>
      <c r="BO30" s="104"/>
      <c r="BP30" s="119"/>
      <c r="BQ30" s="124"/>
      <c r="BR30" s="152"/>
      <c r="BS30" s="41"/>
      <c r="BT30" s="67"/>
      <c r="BU30" s="104"/>
      <c r="BV30" s="119"/>
      <c r="BW30" s="124"/>
      <c r="BX30" s="152"/>
      <c r="BY30" s="41"/>
      <c r="BZ30" s="67"/>
      <c r="CA30" s="104"/>
      <c r="CB30" s="119"/>
      <c r="CC30" s="124"/>
      <c r="CD30" s="152"/>
      <c r="CE30" s="41"/>
      <c r="CF30" s="67"/>
      <c r="CG30" s="104"/>
      <c r="CH30" s="119"/>
      <c r="CI30" s="124"/>
      <c r="CJ30" s="152"/>
      <c r="CK30" s="41"/>
      <c r="CL30" s="67"/>
      <c r="CM30" s="104"/>
      <c r="CN30" s="119"/>
      <c r="CO30" s="124"/>
      <c r="CP30" s="152"/>
      <c r="CQ30" s="41"/>
      <c r="CR30" s="372"/>
      <c r="CS30" s="72"/>
      <c r="CT30" s="119"/>
      <c r="CU30" s="124"/>
      <c r="CV30" s="113"/>
      <c r="CW30" s="41"/>
      <c r="CX30" s="67"/>
      <c r="CY30" s="104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104"/>
      <c r="DL30" s="119"/>
      <c r="DM30" s="45"/>
      <c r="DN30" s="41"/>
      <c r="DO30" s="372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4"/>
        <v>-24.08</v>
      </c>
      <c r="D31" s="384"/>
      <c r="E31" s="384"/>
      <c r="F31" s="143"/>
      <c r="G31" s="143"/>
      <c r="H31" s="82"/>
      <c r="I31" s="82"/>
      <c r="J31" s="108"/>
      <c r="K31" s="41"/>
      <c r="L31" s="67"/>
      <c r="M31" s="91"/>
      <c r="N31" s="41"/>
      <c r="O31" s="372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104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104"/>
      <c r="AO31" s="45">
        <v>-8.19</v>
      </c>
      <c r="AP31" s="41"/>
      <c r="AQ31" s="67"/>
      <c r="AR31" s="104"/>
      <c r="AS31" s="119"/>
      <c r="AT31" s="45">
        <v>-7.58</v>
      </c>
      <c r="AU31" s="41"/>
      <c r="AV31" s="67"/>
      <c r="AW31" s="104"/>
      <c r="AX31" s="119"/>
      <c r="AY31" s="124"/>
      <c r="AZ31" s="152"/>
      <c r="BA31" s="41"/>
      <c r="BB31" s="67"/>
      <c r="BC31" s="104"/>
      <c r="BD31" s="119"/>
      <c r="BE31" s="124"/>
      <c r="BF31" s="152"/>
      <c r="BG31" s="41"/>
      <c r="BH31" s="67"/>
      <c r="BI31" s="104"/>
      <c r="BJ31" s="119"/>
      <c r="BK31" s="124"/>
      <c r="BL31" s="152">
        <v>-8.31</v>
      </c>
      <c r="BM31" s="87"/>
      <c r="BN31" s="67"/>
      <c r="BO31" s="104"/>
      <c r="BP31" s="119"/>
      <c r="BQ31" s="124"/>
      <c r="BR31" s="152"/>
      <c r="BS31" s="41"/>
      <c r="BT31" s="67"/>
      <c r="BU31" s="104"/>
      <c r="BV31" s="119"/>
      <c r="BW31" s="124"/>
      <c r="BX31" s="152"/>
      <c r="BY31" s="41"/>
      <c r="BZ31" s="67"/>
      <c r="CA31" s="104"/>
      <c r="CB31" s="119"/>
      <c r="CC31" s="124"/>
      <c r="CD31" s="152"/>
      <c r="CE31" s="41"/>
      <c r="CF31" s="67"/>
      <c r="CG31" s="104"/>
      <c r="CH31" s="119"/>
      <c r="CI31" s="124"/>
      <c r="CJ31" s="152"/>
      <c r="CK31" s="41"/>
      <c r="CL31" s="67"/>
      <c r="CM31" s="104"/>
      <c r="CN31" s="119"/>
      <c r="CO31" s="124"/>
      <c r="CP31" s="152"/>
      <c r="CQ31" s="41"/>
      <c r="CR31" s="372"/>
      <c r="CS31" s="72"/>
      <c r="CT31" s="119"/>
      <c r="CU31" s="124"/>
      <c r="CV31" s="113"/>
      <c r="CW31" s="41"/>
      <c r="CX31" s="67"/>
      <c r="CY31" s="104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104"/>
      <c r="DL31" s="119"/>
      <c r="DM31" s="45"/>
      <c r="DN31" s="41"/>
      <c r="DO31" s="372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4"/>
        <v>-17.54</v>
      </c>
      <c r="D32" s="384"/>
      <c r="E32" s="384"/>
      <c r="F32" s="143"/>
      <c r="G32" s="143"/>
      <c r="H32" s="82"/>
      <c r="I32" s="82"/>
      <c r="J32" s="108"/>
      <c r="K32" s="41"/>
      <c r="L32" s="67"/>
      <c r="M32" s="91"/>
      <c r="N32" s="41"/>
      <c r="O32" s="372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104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104"/>
      <c r="AO32" s="45"/>
      <c r="AP32" s="41"/>
      <c r="AQ32" s="67"/>
      <c r="AR32" s="104"/>
      <c r="AS32" s="119"/>
      <c r="AT32" s="45"/>
      <c r="AU32" s="41"/>
      <c r="AV32" s="67"/>
      <c r="AW32" s="104"/>
      <c r="AX32" s="119"/>
      <c r="AY32" s="124"/>
      <c r="AZ32" s="152"/>
      <c r="BA32" s="41"/>
      <c r="BB32" s="67"/>
      <c r="BC32" s="104"/>
      <c r="BD32" s="119"/>
      <c r="BE32" s="124"/>
      <c r="BF32" s="152"/>
      <c r="BG32" s="41"/>
      <c r="BH32" s="67"/>
      <c r="BI32" s="104"/>
      <c r="BJ32" s="119"/>
      <c r="BK32" s="124"/>
      <c r="BL32" s="152"/>
      <c r="BM32" s="87">
        <v>-8.7899999999999991</v>
      </c>
      <c r="BN32" s="67"/>
      <c r="BO32" s="104"/>
      <c r="BP32" s="119"/>
      <c r="BQ32" s="124"/>
      <c r="BR32" s="152"/>
      <c r="BS32" s="41"/>
      <c r="BT32" s="67">
        <v>-8.75</v>
      </c>
      <c r="BU32" s="104"/>
      <c r="BV32" s="119"/>
      <c r="BW32" s="124"/>
      <c r="BX32" s="152"/>
      <c r="BY32" s="41"/>
      <c r="BZ32" s="67"/>
      <c r="CA32" s="104"/>
      <c r="CB32" s="119"/>
      <c r="CC32" s="124"/>
      <c r="CD32" s="152"/>
      <c r="CE32" s="41"/>
      <c r="CF32" s="67"/>
      <c r="CG32" s="104"/>
      <c r="CH32" s="119"/>
      <c r="CI32" s="124"/>
      <c r="CJ32" s="152"/>
      <c r="CK32" s="41"/>
      <c r="CL32" s="67"/>
      <c r="CM32" s="104"/>
      <c r="CN32" s="119"/>
      <c r="CO32" s="124"/>
      <c r="CP32" s="152"/>
      <c r="CQ32" s="41"/>
      <c r="CR32" s="372"/>
      <c r="CS32" s="72"/>
      <c r="CT32" s="119"/>
      <c r="CU32" s="124"/>
      <c r="CV32" s="113"/>
      <c r="CW32" s="41"/>
      <c r="CX32" s="67"/>
      <c r="CY32" s="104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104"/>
      <c r="DL32" s="119"/>
      <c r="DM32" s="45"/>
      <c r="DN32" s="41"/>
      <c r="DO32" s="372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4"/>
        <v>5556.7049999999999</v>
      </c>
      <c r="D33" s="384"/>
      <c r="E33" s="384"/>
      <c r="F33" s="143"/>
      <c r="G33" s="143"/>
      <c r="H33" s="82"/>
      <c r="I33" s="82"/>
      <c r="J33" s="108"/>
      <c r="K33" s="41"/>
      <c r="L33" s="67"/>
      <c r="M33" s="91"/>
      <c r="N33" s="41"/>
      <c r="O33" s="372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104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104"/>
      <c r="AO33" s="45"/>
      <c r="AP33" s="41"/>
      <c r="AQ33" s="67"/>
      <c r="AR33" s="104"/>
      <c r="AS33" s="119"/>
      <c r="AT33" s="45"/>
      <c r="AU33" s="41"/>
      <c r="AV33" s="67"/>
      <c r="AW33" s="104"/>
      <c r="AX33" s="119"/>
      <c r="AY33" s="124"/>
      <c r="AZ33" s="152"/>
      <c r="BA33" s="41"/>
      <c r="BB33" s="67">
        <v>1018.41</v>
      </c>
      <c r="BC33" s="104"/>
      <c r="BD33" s="119"/>
      <c r="BE33" s="124"/>
      <c r="BF33" s="152"/>
      <c r="BG33" s="41"/>
      <c r="BH33" s="67">
        <v>504.59500000000003</v>
      </c>
      <c r="BI33" s="104"/>
      <c r="BJ33" s="119"/>
      <c r="BK33" s="124"/>
      <c r="BL33" s="152"/>
      <c r="BM33" s="87"/>
      <c r="BN33" s="67">
        <v>499.01</v>
      </c>
      <c r="BO33" s="104"/>
      <c r="BP33" s="119"/>
      <c r="BQ33" s="124"/>
      <c r="BR33" s="152"/>
      <c r="BS33" s="41"/>
      <c r="BT33" s="67">
        <v>506.17</v>
      </c>
      <c r="BU33" s="104"/>
      <c r="BV33" s="119"/>
      <c r="BW33" s="124"/>
      <c r="BX33" s="152"/>
      <c r="BY33" s="41"/>
      <c r="BZ33" s="67"/>
      <c r="CA33" s="104"/>
      <c r="CB33" s="119"/>
      <c r="CC33" s="124"/>
      <c r="CD33" s="152"/>
      <c r="CE33" s="41"/>
      <c r="CF33" s="67">
        <v>506.935</v>
      </c>
      <c r="CG33" s="104"/>
      <c r="CH33" s="119"/>
      <c r="CI33" s="124"/>
      <c r="CJ33" s="152"/>
      <c r="CK33" s="41"/>
      <c r="CL33" s="67">
        <v>505.91500000000002</v>
      </c>
      <c r="CM33" s="104"/>
      <c r="CN33" s="119"/>
      <c r="CO33" s="124"/>
      <c r="CP33" s="152"/>
      <c r="CQ33" s="41"/>
      <c r="CR33" s="372"/>
      <c r="CS33" s="72"/>
      <c r="CT33" s="119"/>
      <c r="CU33" s="124"/>
      <c r="CV33" s="113"/>
      <c r="CW33" s="41"/>
      <c r="CX33" s="67">
        <v>502.16</v>
      </c>
      <c r="CY33" s="104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104"/>
      <c r="DL33" s="119"/>
      <c r="DM33" s="45"/>
      <c r="DN33" s="41"/>
      <c r="DO33" s="372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4"/>
        <v>-268.12</v>
      </c>
      <c r="D34" s="384"/>
      <c r="E34" s="384"/>
      <c r="F34" s="143"/>
      <c r="G34" s="143"/>
      <c r="H34" s="82"/>
      <c r="I34" s="82"/>
      <c r="J34" s="108"/>
      <c r="K34" s="41"/>
      <c r="L34" s="67"/>
      <c r="M34" s="91"/>
      <c r="N34" s="41"/>
      <c r="O34" s="372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104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104"/>
      <c r="AO34" s="45"/>
      <c r="AP34" s="41"/>
      <c r="AQ34" s="67"/>
      <c r="AR34" s="104"/>
      <c r="AS34" s="119"/>
      <c r="AT34" s="45"/>
      <c r="AU34" s="41"/>
      <c r="AV34" s="67"/>
      <c r="AW34" s="104"/>
      <c r="AX34" s="119"/>
      <c r="AY34" s="124"/>
      <c r="AZ34" s="152"/>
      <c r="BA34" s="41"/>
      <c r="BB34" s="67"/>
      <c r="BC34" s="104"/>
      <c r="BD34" s="119"/>
      <c r="BE34" s="124"/>
      <c r="BF34" s="152"/>
      <c r="BG34" s="41"/>
      <c r="BH34" s="67">
        <v>-32.704999999999998</v>
      </c>
      <c r="BI34" s="104"/>
      <c r="BJ34" s="119"/>
      <c r="BK34" s="124"/>
      <c r="BL34" s="152"/>
      <c r="BM34" s="87"/>
      <c r="BN34" s="67">
        <v>-33.340000000000003</v>
      </c>
      <c r="BO34" s="104"/>
      <c r="BP34" s="119"/>
      <c r="BQ34" s="124"/>
      <c r="BR34" s="152"/>
      <c r="BS34" s="41"/>
      <c r="BT34" s="67">
        <v>-33.375</v>
      </c>
      <c r="BU34" s="104"/>
      <c r="BV34" s="119"/>
      <c r="BW34" s="124"/>
      <c r="BX34" s="152"/>
      <c r="BY34" s="41"/>
      <c r="BZ34" s="67">
        <v>-33.744999999999997</v>
      </c>
      <c r="CA34" s="104"/>
      <c r="CB34" s="119"/>
      <c r="CC34" s="124"/>
      <c r="CD34" s="152"/>
      <c r="CE34" s="41"/>
      <c r="CF34" s="67"/>
      <c r="CG34" s="104"/>
      <c r="CH34" s="119"/>
      <c r="CI34" s="124"/>
      <c r="CJ34" s="152"/>
      <c r="CK34" s="41"/>
      <c r="CL34" s="67"/>
      <c r="CM34" s="104"/>
      <c r="CN34" s="119"/>
      <c r="CO34" s="124"/>
      <c r="CP34" s="152"/>
      <c r="CQ34" s="41"/>
      <c r="CR34" s="372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104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104"/>
      <c r="DL34" s="119"/>
      <c r="DM34" s="45"/>
      <c r="DN34" s="41"/>
      <c r="DO34" s="372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4"/>
        <v>-200.83500000000001</v>
      </c>
      <c r="D35" s="384"/>
      <c r="E35" s="384"/>
      <c r="F35" s="143"/>
      <c r="G35" s="143"/>
      <c r="H35" s="82"/>
      <c r="I35" s="82"/>
      <c r="J35" s="108"/>
      <c r="K35" s="41"/>
      <c r="L35" s="67"/>
      <c r="M35" s="91"/>
      <c r="N35" s="41"/>
      <c r="O35" s="372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104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104"/>
      <c r="AO35" s="45"/>
      <c r="AP35" s="41">
        <v>-32.28</v>
      </c>
      <c r="AQ35" s="67"/>
      <c r="AR35" s="104"/>
      <c r="AS35" s="119"/>
      <c r="AT35" s="45"/>
      <c r="AU35" s="41"/>
      <c r="AV35" s="67"/>
      <c r="AW35" s="104"/>
      <c r="AX35" s="119"/>
      <c r="AY35" s="124"/>
      <c r="AZ35" s="152"/>
      <c r="BA35" s="41"/>
      <c r="BB35" s="67">
        <v>-33.965000000000003</v>
      </c>
      <c r="BC35" s="104"/>
      <c r="BD35" s="119"/>
      <c r="BE35" s="124"/>
      <c r="BF35" s="152"/>
      <c r="BG35" s="41"/>
      <c r="BH35" s="67">
        <v>-33.695</v>
      </c>
      <c r="BI35" s="104"/>
      <c r="BJ35" s="119"/>
      <c r="BK35" s="124"/>
      <c r="BL35" s="152"/>
      <c r="BM35" s="87"/>
      <c r="BN35" s="67"/>
      <c r="BO35" s="104"/>
      <c r="BP35" s="119"/>
      <c r="BQ35" s="124"/>
      <c r="BR35" s="152"/>
      <c r="BS35" s="41"/>
      <c r="BT35" s="67">
        <v>-33.284999999999997</v>
      </c>
      <c r="BU35" s="104"/>
      <c r="BV35" s="119"/>
      <c r="BW35" s="124"/>
      <c r="BX35" s="152"/>
      <c r="BY35" s="41"/>
      <c r="BZ35" s="67">
        <v>-33.74</v>
      </c>
      <c r="CA35" s="104"/>
      <c r="CB35" s="119"/>
      <c r="CC35" s="124"/>
      <c r="CD35" s="152"/>
      <c r="CE35" s="41"/>
      <c r="CF35" s="67">
        <v>-33.869999999999997</v>
      </c>
      <c r="CG35" s="104"/>
      <c r="CH35" s="119"/>
      <c r="CI35" s="124"/>
      <c r="CJ35" s="152"/>
      <c r="CK35" s="41"/>
      <c r="CL35" s="67"/>
      <c r="CM35" s="104"/>
      <c r="CN35" s="119"/>
      <c r="CO35" s="124"/>
      <c r="CP35" s="152"/>
      <c r="CQ35" s="41"/>
      <c r="CR35" s="372"/>
      <c r="CS35" s="72"/>
      <c r="CT35" s="119"/>
      <c r="CU35" s="124"/>
      <c r="CV35" s="113"/>
      <c r="CW35" s="41"/>
      <c r="CX35" s="67"/>
      <c r="CY35" s="104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104"/>
      <c r="DL35" s="119"/>
      <c r="DM35" s="45"/>
      <c r="DN35" s="41"/>
      <c r="DO35" s="372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4"/>
        <v>-243.85</v>
      </c>
      <c r="D36" s="384"/>
      <c r="E36" s="384"/>
      <c r="F36" s="143"/>
      <c r="G36" s="143"/>
      <c r="H36" s="82"/>
      <c r="I36" s="82"/>
      <c r="J36" s="108"/>
      <c r="K36" s="41"/>
      <c r="L36" s="67"/>
      <c r="M36" s="91"/>
      <c r="N36" s="41"/>
      <c r="O36" s="372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104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104"/>
      <c r="AO36" s="45"/>
      <c r="AP36" s="41">
        <v>-15.61</v>
      </c>
      <c r="AQ36" s="67"/>
      <c r="AR36" s="104"/>
      <c r="AS36" s="119"/>
      <c r="AT36" s="45"/>
      <c r="AU36" s="41"/>
      <c r="AV36" s="67"/>
      <c r="AW36" s="104"/>
      <c r="AX36" s="119"/>
      <c r="AY36" s="124"/>
      <c r="AZ36" s="152"/>
      <c r="BA36" s="41">
        <v>-35.08</v>
      </c>
      <c r="BB36" s="67"/>
      <c r="BC36" s="104"/>
      <c r="BD36" s="119"/>
      <c r="BE36" s="124"/>
      <c r="BF36" s="152"/>
      <c r="BG36" s="41"/>
      <c r="BH36" s="67">
        <v>-32.840000000000003</v>
      </c>
      <c r="BI36" s="104"/>
      <c r="BJ36" s="119"/>
      <c r="BK36" s="124"/>
      <c r="BL36" s="152"/>
      <c r="BM36" s="87"/>
      <c r="BN36" s="67"/>
      <c r="BO36" s="104"/>
      <c r="BP36" s="119"/>
      <c r="BQ36" s="124"/>
      <c r="BR36" s="152"/>
      <c r="BS36" s="41">
        <v>-34.57</v>
      </c>
      <c r="BT36" s="67"/>
      <c r="BU36" s="104"/>
      <c r="BV36" s="119"/>
      <c r="BW36" s="124"/>
      <c r="BX36" s="152"/>
      <c r="BY36" s="41">
        <v>-34.49</v>
      </c>
      <c r="BZ36" s="67"/>
      <c r="CA36" s="104"/>
      <c r="CB36" s="119"/>
      <c r="CC36" s="124"/>
      <c r="CD36" s="152"/>
      <c r="CE36" s="41"/>
      <c r="CF36" s="67"/>
      <c r="CG36" s="104"/>
      <c r="CH36" s="119"/>
      <c r="CI36" s="124"/>
      <c r="CJ36" s="152"/>
      <c r="CK36" s="41">
        <v>-14.58</v>
      </c>
      <c r="CL36" s="67"/>
      <c r="CM36" s="104"/>
      <c r="CN36" s="119"/>
      <c r="CO36" s="124"/>
      <c r="CP36" s="152"/>
      <c r="CQ36" s="41"/>
      <c r="CR36" s="372">
        <v>-8.1</v>
      </c>
      <c r="CS36" s="72"/>
      <c r="CT36" s="119"/>
      <c r="CU36" s="124"/>
      <c r="CV36" s="113"/>
      <c r="CW36" s="41"/>
      <c r="CX36" s="67"/>
      <c r="CY36" s="104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104"/>
      <c r="DL36" s="119"/>
      <c r="DM36" s="45"/>
      <c r="DN36" s="41"/>
      <c r="DO36" s="372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4"/>
        <v>-137.05500000000001</v>
      </c>
      <c r="D37" s="384"/>
      <c r="E37" s="384"/>
      <c r="F37" s="143"/>
      <c r="G37" s="143"/>
      <c r="H37" s="82"/>
      <c r="I37" s="82"/>
      <c r="J37" s="108"/>
      <c r="K37" s="41"/>
      <c r="L37" s="67"/>
      <c r="M37" s="91"/>
      <c r="N37" s="41"/>
      <c r="O37" s="372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104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104"/>
      <c r="AO37" s="45"/>
      <c r="AP37" s="41"/>
      <c r="AQ37" s="67"/>
      <c r="AR37" s="104"/>
      <c r="AS37" s="119"/>
      <c r="AT37" s="45"/>
      <c r="AU37" s="41"/>
      <c r="AV37" s="67">
        <v>-34.185000000000002</v>
      </c>
      <c r="AW37" s="104"/>
      <c r="AX37" s="119"/>
      <c r="AY37" s="124"/>
      <c r="AZ37" s="152"/>
      <c r="BA37" s="41"/>
      <c r="BB37" s="67"/>
      <c r="BC37" s="104"/>
      <c r="BD37" s="119"/>
      <c r="BE37" s="124"/>
      <c r="BF37" s="152"/>
      <c r="BG37" s="41"/>
      <c r="BH37" s="67"/>
      <c r="BI37" s="104"/>
      <c r="BJ37" s="119"/>
      <c r="BK37" s="124"/>
      <c r="BL37" s="152"/>
      <c r="BM37" s="87"/>
      <c r="BN37" s="67">
        <v>-33.25</v>
      </c>
      <c r="BO37" s="104"/>
      <c r="BP37" s="119"/>
      <c r="BQ37" s="124"/>
      <c r="BR37" s="152"/>
      <c r="BS37" s="41"/>
      <c r="BT37" s="67"/>
      <c r="BU37" s="104"/>
      <c r="BV37" s="119"/>
      <c r="BW37" s="124"/>
      <c r="BX37" s="152"/>
      <c r="BY37" s="41"/>
      <c r="BZ37" s="67"/>
      <c r="CA37" s="104"/>
      <c r="CB37" s="119"/>
      <c r="CC37" s="124"/>
      <c r="CD37" s="152"/>
      <c r="CE37" s="41"/>
      <c r="CF37" s="67"/>
      <c r="CG37" s="104"/>
      <c r="CH37" s="119"/>
      <c r="CI37" s="124"/>
      <c r="CJ37" s="152"/>
      <c r="CK37" s="41"/>
      <c r="CL37" s="67"/>
      <c r="CM37" s="104"/>
      <c r="CN37" s="119"/>
      <c r="CO37" s="124"/>
      <c r="CP37" s="152"/>
      <c r="CQ37" s="41"/>
      <c r="CR37" s="372"/>
      <c r="CS37" s="72"/>
      <c r="CT37" s="119"/>
      <c r="CU37" s="124"/>
      <c r="CV37" s="113"/>
      <c r="CW37" s="41">
        <v>-34.5</v>
      </c>
      <c r="CX37" s="67"/>
      <c r="CY37" s="104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104"/>
      <c r="DL37" s="119"/>
      <c r="DM37" s="45"/>
      <c r="DN37" s="41">
        <v>-35.119999999999997</v>
      </c>
      <c r="DO37" s="372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4"/>
        <v>0</v>
      </c>
      <c r="D38" s="384"/>
      <c r="E38" s="384"/>
      <c r="F38" s="143"/>
      <c r="G38" s="143"/>
      <c r="H38" s="82"/>
      <c r="I38" s="82"/>
      <c r="J38" s="108"/>
      <c r="K38" s="41"/>
      <c r="L38" s="67"/>
      <c r="M38" s="91"/>
      <c r="N38" s="41"/>
      <c r="O38" s="372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104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104"/>
      <c r="AO38" s="45"/>
      <c r="AP38" s="41"/>
      <c r="AQ38" s="67"/>
      <c r="AR38" s="104"/>
      <c r="AS38" s="119"/>
      <c r="AT38" s="45"/>
      <c r="AU38" s="41"/>
      <c r="AV38" s="67"/>
      <c r="AW38" s="104"/>
      <c r="AX38" s="119"/>
      <c r="AY38" s="124"/>
      <c r="AZ38" s="152"/>
      <c r="BA38" s="41"/>
      <c r="BB38" s="67"/>
      <c r="BC38" s="104"/>
      <c r="BD38" s="119"/>
      <c r="BE38" s="124"/>
      <c r="BF38" s="152"/>
      <c r="BG38" s="41"/>
      <c r="BH38" s="67"/>
      <c r="BI38" s="104"/>
      <c r="BJ38" s="119"/>
      <c r="BK38" s="124"/>
      <c r="BL38" s="152"/>
      <c r="BM38" s="87"/>
      <c r="BN38" s="67"/>
      <c r="BO38" s="104"/>
      <c r="BP38" s="119"/>
      <c r="BQ38" s="124"/>
      <c r="BR38" s="152"/>
      <c r="BS38" s="41"/>
      <c r="BT38" s="67"/>
      <c r="BU38" s="104"/>
      <c r="BV38" s="119"/>
      <c r="BW38" s="124"/>
      <c r="BX38" s="152"/>
      <c r="BY38" s="41"/>
      <c r="BZ38" s="67"/>
      <c r="CA38" s="104"/>
      <c r="CB38" s="119"/>
      <c r="CC38" s="124"/>
      <c r="CD38" s="152"/>
      <c r="CE38" s="41"/>
      <c r="CF38" s="67"/>
      <c r="CG38" s="104"/>
      <c r="CH38" s="119"/>
      <c r="CI38" s="124"/>
      <c r="CJ38" s="152"/>
      <c r="CK38" s="41"/>
      <c r="CL38" s="67"/>
      <c r="CM38" s="104"/>
      <c r="CN38" s="119"/>
      <c r="CO38" s="124"/>
      <c r="CP38" s="152"/>
      <c r="CQ38" s="41"/>
      <c r="CR38" s="372"/>
      <c r="CS38" s="72"/>
      <c r="CT38" s="119"/>
      <c r="CU38" s="124"/>
      <c r="CV38" s="113"/>
      <c r="CW38" s="41"/>
      <c r="CX38" s="67"/>
      <c r="CY38" s="104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104"/>
      <c r="DL38" s="119"/>
      <c r="DM38" s="45"/>
      <c r="DN38" s="41"/>
      <c r="DO38" s="372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4"/>
        <v>-135.22499999999999</v>
      </c>
      <c r="D39" s="384"/>
      <c r="E39" s="384"/>
      <c r="F39" s="143"/>
      <c r="G39" s="143"/>
      <c r="H39" s="82"/>
      <c r="I39" s="82"/>
      <c r="J39" s="108"/>
      <c r="K39" s="41"/>
      <c r="L39" s="67"/>
      <c r="M39" s="91"/>
      <c r="N39" s="41"/>
      <c r="O39" s="372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104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104"/>
      <c r="AO39" s="45"/>
      <c r="AP39" s="41"/>
      <c r="AQ39" s="67"/>
      <c r="AR39" s="104"/>
      <c r="AS39" s="119"/>
      <c r="AT39" s="45"/>
      <c r="AU39" s="41"/>
      <c r="AV39" s="67">
        <v>-34.229999999999997</v>
      </c>
      <c r="AW39" s="104"/>
      <c r="AX39" s="119"/>
      <c r="AY39" s="124"/>
      <c r="AZ39" s="152"/>
      <c r="BA39" s="41"/>
      <c r="BB39" s="67">
        <v>-34.005000000000003</v>
      </c>
      <c r="BC39" s="104"/>
      <c r="BD39" s="119"/>
      <c r="BE39" s="124"/>
      <c r="BF39" s="152"/>
      <c r="BG39" s="41"/>
      <c r="BH39" s="67">
        <v>-33.68</v>
      </c>
      <c r="BI39" s="104"/>
      <c r="BJ39" s="119"/>
      <c r="BK39" s="124"/>
      <c r="BL39" s="152"/>
      <c r="BM39" s="87"/>
      <c r="BN39" s="67">
        <v>-33.31</v>
      </c>
      <c r="BO39" s="104"/>
      <c r="BP39" s="119"/>
      <c r="BQ39" s="124"/>
      <c r="BR39" s="152"/>
      <c r="BS39" s="41"/>
      <c r="BT39" s="67"/>
      <c r="BU39" s="104"/>
      <c r="BV39" s="119"/>
      <c r="BW39" s="124"/>
      <c r="BX39" s="152"/>
      <c r="BY39" s="41"/>
      <c r="BZ39" s="67"/>
      <c r="CA39" s="104"/>
      <c r="CB39" s="119"/>
      <c r="CC39" s="124"/>
      <c r="CD39" s="152"/>
      <c r="CE39" s="41"/>
      <c r="CF39" s="67"/>
      <c r="CG39" s="104"/>
      <c r="CH39" s="119"/>
      <c r="CI39" s="124"/>
      <c r="CJ39" s="152"/>
      <c r="CK39" s="41"/>
      <c r="CL39" s="67"/>
      <c r="CM39" s="104"/>
      <c r="CN39" s="119"/>
      <c r="CO39" s="124"/>
      <c r="CP39" s="152"/>
      <c r="CQ39" s="41"/>
      <c r="CR39" s="372"/>
      <c r="CS39" s="72"/>
      <c r="CT39" s="119"/>
      <c r="CU39" s="124"/>
      <c r="CV39" s="113"/>
      <c r="CW39" s="41"/>
      <c r="CX39" s="67"/>
      <c r="CY39" s="104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104"/>
      <c r="DL39" s="119"/>
      <c r="DM39" s="45"/>
      <c r="DN39" s="41"/>
      <c r="DO39" s="372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4"/>
        <v>-43.155000000000001</v>
      </c>
      <c r="D40" s="384"/>
      <c r="E40" s="384"/>
      <c r="F40" s="143"/>
      <c r="G40" s="143"/>
      <c r="H40" s="82"/>
      <c r="I40" s="82"/>
      <c r="J40" s="108"/>
      <c r="K40" s="41"/>
      <c r="L40" s="67"/>
      <c r="M40" s="91"/>
      <c r="N40" s="41"/>
      <c r="O40" s="372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104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104"/>
      <c r="AO40" s="45"/>
      <c r="AP40" s="41"/>
      <c r="AQ40" s="67"/>
      <c r="AR40" s="104"/>
      <c r="AS40" s="119"/>
      <c r="AT40" s="45"/>
      <c r="AU40" s="41"/>
      <c r="AV40" s="67"/>
      <c r="AW40" s="104"/>
      <c r="AX40" s="119"/>
      <c r="AY40" s="124"/>
      <c r="AZ40" s="152"/>
      <c r="BA40" s="41"/>
      <c r="BB40" s="67"/>
      <c r="BC40" s="104"/>
      <c r="BD40" s="119"/>
      <c r="BE40" s="124"/>
      <c r="BF40" s="152"/>
      <c r="BG40" s="41"/>
      <c r="BH40" s="67"/>
      <c r="BI40" s="104"/>
      <c r="BJ40" s="119"/>
      <c r="BK40" s="124"/>
      <c r="BL40" s="152"/>
      <c r="BM40" s="87"/>
      <c r="BN40" s="67"/>
      <c r="BO40" s="104"/>
      <c r="BP40" s="119"/>
      <c r="BQ40" s="124"/>
      <c r="BR40" s="152"/>
      <c r="BS40" s="41"/>
      <c r="BT40" s="67"/>
      <c r="BU40" s="104"/>
      <c r="BV40" s="119"/>
      <c r="BW40" s="124"/>
      <c r="BX40" s="152"/>
      <c r="BY40" s="41"/>
      <c r="BZ40" s="67"/>
      <c r="CA40" s="104"/>
      <c r="CB40" s="119"/>
      <c r="CC40" s="124"/>
      <c r="CD40" s="152"/>
      <c r="CE40" s="41"/>
      <c r="CF40" s="67"/>
      <c r="CG40" s="104"/>
      <c r="CH40" s="119"/>
      <c r="CI40" s="124"/>
      <c r="CJ40" s="152"/>
      <c r="CK40" s="41"/>
      <c r="CL40" s="67"/>
      <c r="CM40" s="104"/>
      <c r="CN40" s="119"/>
      <c r="CO40" s="124"/>
      <c r="CP40" s="152"/>
      <c r="CQ40" s="41"/>
      <c r="CR40" s="372"/>
      <c r="CS40" s="72"/>
      <c r="CT40" s="119"/>
      <c r="CU40" s="124"/>
      <c r="CV40" s="113"/>
      <c r="CW40" s="41"/>
      <c r="CX40" s="67"/>
      <c r="CY40" s="104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104"/>
      <c r="DL40" s="119"/>
      <c r="DM40" s="45"/>
      <c r="DN40" s="41"/>
      <c r="DO40" s="372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4"/>
        <v>-168.755</v>
      </c>
      <c r="D41" s="384"/>
      <c r="E41" s="384"/>
      <c r="F41" s="143"/>
      <c r="G41" s="143"/>
      <c r="H41" s="82"/>
      <c r="I41" s="82"/>
      <c r="J41" s="108"/>
      <c r="K41" s="41"/>
      <c r="L41" s="67"/>
      <c r="M41" s="91"/>
      <c r="N41" s="41"/>
      <c r="O41" s="372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104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104"/>
      <c r="AO41" s="45"/>
      <c r="AP41" s="41"/>
      <c r="AQ41" s="67"/>
      <c r="AR41" s="104"/>
      <c r="AS41" s="119"/>
      <c r="AT41" s="45"/>
      <c r="AU41" s="41"/>
      <c r="AV41" s="67">
        <v>-34.274999999999999</v>
      </c>
      <c r="AW41" s="104"/>
      <c r="AX41" s="119"/>
      <c r="AY41" s="124"/>
      <c r="AZ41" s="152"/>
      <c r="BA41" s="41"/>
      <c r="BB41" s="67">
        <v>-33.954999999999998</v>
      </c>
      <c r="BC41" s="104"/>
      <c r="BD41" s="119"/>
      <c r="BE41" s="124"/>
      <c r="BF41" s="152"/>
      <c r="BG41" s="41"/>
      <c r="BH41" s="67">
        <v>-33.585000000000001</v>
      </c>
      <c r="BI41" s="104"/>
      <c r="BJ41" s="119"/>
      <c r="BK41" s="124"/>
      <c r="BL41" s="152"/>
      <c r="BM41" s="87"/>
      <c r="BN41" s="67"/>
      <c r="BO41" s="104"/>
      <c r="BP41" s="119"/>
      <c r="BQ41" s="124"/>
      <c r="BR41" s="152"/>
      <c r="BS41" s="41"/>
      <c r="BT41" s="67">
        <v>-33.454999999999998</v>
      </c>
      <c r="BU41" s="104"/>
      <c r="BV41" s="119"/>
      <c r="BW41" s="124"/>
      <c r="BX41" s="152"/>
      <c r="BY41" s="41"/>
      <c r="BZ41" s="67"/>
      <c r="CA41" s="104"/>
      <c r="CB41" s="119"/>
      <c r="CC41" s="124"/>
      <c r="CD41" s="152"/>
      <c r="CE41" s="41"/>
      <c r="CF41" s="67"/>
      <c r="CG41" s="104"/>
      <c r="CH41" s="119"/>
      <c r="CI41" s="124"/>
      <c r="CJ41" s="152"/>
      <c r="CK41" s="41"/>
      <c r="CL41" s="67"/>
      <c r="CM41" s="104"/>
      <c r="CN41" s="119"/>
      <c r="CO41" s="124"/>
      <c r="CP41" s="152"/>
      <c r="CQ41" s="41"/>
      <c r="CR41" s="372"/>
      <c r="CS41" s="72"/>
      <c r="CT41" s="119"/>
      <c r="CU41" s="124"/>
      <c r="CV41" s="113"/>
      <c r="CW41" s="41"/>
      <c r="CX41" s="67"/>
      <c r="CY41" s="104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104"/>
      <c r="DL41" s="119"/>
      <c r="DM41" s="45"/>
      <c r="DN41" s="41"/>
      <c r="DO41" s="372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4"/>
        <v>-742.01</v>
      </c>
      <c r="D42" s="384"/>
      <c r="E42" s="384"/>
      <c r="F42" s="143"/>
      <c r="G42" s="143"/>
      <c r="H42" s="82"/>
      <c r="I42" s="82"/>
      <c r="J42" s="108"/>
      <c r="K42" s="41"/>
      <c r="L42" s="67"/>
      <c r="M42" s="91"/>
      <c r="N42" s="41"/>
      <c r="O42" s="372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104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104"/>
      <c r="AO42" s="45"/>
      <c r="AP42" s="41">
        <v>-64.650000000000006</v>
      </c>
      <c r="AQ42" s="67"/>
      <c r="AR42" s="104"/>
      <c r="AS42" s="119"/>
      <c r="AT42" s="45"/>
      <c r="AU42" s="41"/>
      <c r="AV42" s="67"/>
      <c r="AW42" s="104"/>
      <c r="AX42" s="119"/>
      <c r="AY42" s="124"/>
      <c r="AZ42" s="152"/>
      <c r="BA42" s="41"/>
      <c r="BB42" s="67">
        <v>-101.89</v>
      </c>
      <c r="BC42" s="104"/>
      <c r="BD42" s="119"/>
      <c r="BE42" s="124"/>
      <c r="BF42" s="152"/>
      <c r="BG42" s="41"/>
      <c r="BH42" s="67"/>
      <c r="BI42" s="104"/>
      <c r="BJ42" s="119"/>
      <c r="BK42" s="124"/>
      <c r="BL42" s="152"/>
      <c r="BM42" s="87"/>
      <c r="BN42" s="67">
        <v>-33.28</v>
      </c>
      <c r="BO42" s="104"/>
      <c r="BP42" s="119"/>
      <c r="BQ42" s="124"/>
      <c r="BR42" s="152"/>
      <c r="BS42" s="41">
        <v>-70.09</v>
      </c>
      <c r="BT42" s="67"/>
      <c r="BU42" s="104"/>
      <c r="BV42" s="119"/>
      <c r="BW42" s="124"/>
      <c r="BX42" s="152"/>
      <c r="BY42" s="41"/>
      <c r="BZ42" s="67">
        <v>-67.36</v>
      </c>
      <c r="CA42" s="104"/>
      <c r="CB42" s="119"/>
      <c r="CC42" s="124"/>
      <c r="CD42" s="152"/>
      <c r="CE42" s="41"/>
      <c r="CF42" s="67">
        <v>-101.49</v>
      </c>
      <c r="CG42" s="104"/>
      <c r="CH42" s="119"/>
      <c r="CI42" s="124"/>
      <c r="CJ42" s="152"/>
      <c r="CK42" s="41"/>
      <c r="CL42" s="67">
        <v>-33.56</v>
      </c>
      <c r="CM42" s="104"/>
      <c r="CN42" s="119"/>
      <c r="CO42" s="124"/>
      <c r="CP42" s="152"/>
      <c r="CQ42" s="41"/>
      <c r="CR42" s="372">
        <v>-66.594999999999999</v>
      </c>
      <c r="CS42" s="72"/>
      <c r="CT42" s="119"/>
      <c r="CU42" s="124"/>
      <c r="CV42" s="113"/>
      <c r="CW42" s="41"/>
      <c r="CX42" s="67"/>
      <c r="CY42" s="104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104"/>
      <c r="DL42" s="119"/>
      <c r="DM42" s="45"/>
      <c r="DN42" s="41"/>
      <c r="DO42" s="372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4"/>
        <v>-8.5350000000000001</v>
      </c>
      <c r="D43" s="384"/>
      <c r="E43" s="384"/>
      <c r="F43" s="143"/>
      <c r="G43" s="143"/>
      <c r="H43" s="82"/>
      <c r="I43" s="82"/>
      <c r="J43" s="108"/>
      <c r="K43" s="41"/>
      <c r="L43" s="67"/>
      <c r="M43" s="91"/>
      <c r="N43" s="41"/>
      <c r="O43" s="372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104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104"/>
      <c r="AO43" s="45"/>
      <c r="AP43" s="41"/>
      <c r="AQ43" s="67"/>
      <c r="AR43" s="104"/>
      <c r="AS43" s="119"/>
      <c r="AT43" s="45"/>
      <c r="AU43" s="41"/>
      <c r="AV43" s="67">
        <v>-8.5350000000000001</v>
      </c>
      <c r="AW43" s="104"/>
      <c r="AX43" s="119"/>
      <c r="AY43" s="124"/>
      <c r="AZ43" s="152"/>
      <c r="BA43" s="41"/>
      <c r="BB43" s="67"/>
      <c r="BC43" s="104"/>
      <c r="BD43" s="119"/>
      <c r="BE43" s="124"/>
      <c r="BF43" s="152"/>
      <c r="BG43" s="41"/>
      <c r="BH43" s="67"/>
      <c r="BI43" s="104"/>
      <c r="BJ43" s="119"/>
      <c r="BK43" s="124"/>
      <c r="BL43" s="152"/>
      <c r="BM43" s="87"/>
      <c r="BN43" s="67"/>
      <c r="BO43" s="104"/>
      <c r="BP43" s="119"/>
      <c r="BQ43" s="124"/>
      <c r="BR43" s="152"/>
      <c r="BS43" s="41"/>
      <c r="BT43" s="67"/>
      <c r="BU43" s="104"/>
      <c r="BV43" s="119"/>
      <c r="BW43" s="124"/>
      <c r="BX43" s="152"/>
      <c r="BY43" s="41"/>
      <c r="BZ43" s="67"/>
      <c r="CA43" s="104"/>
      <c r="CB43" s="119"/>
      <c r="CC43" s="124"/>
      <c r="CD43" s="152"/>
      <c r="CE43" s="41"/>
      <c r="CF43" s="67"/>
      <c r="CG43" s="104"/>
      <c r="CH43" s="119"/>
      <c r="CI43" s="124"/>
      <c r="CJ43" s="152"/>
      <c r="CK43" s="41"/>
      <c r="CL43" s="67"/>
      <c r="CM43" s="104"/>
      <c r="CN43" s="119"/>
      <c r="CO43" s="124"/>
      <c r="CP43" s="152"/>
      <c r="CQ43" s="41"/>
      <c r="CR43" s="372"/>
      <c r="CS43" s="72"/>
      <c r="CT43" s="119"/>
      <c r="CU43" s="124"/>
      <c r="CV43" s="113"/>
      <c r="CW43" s="41"/>
      <c r="CX43" s="67"/>
      <c r="CY43" s="104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104"/>
      <c r="DL43" s="119"/>
      <c r="DM43" s="45"/>
      <c r="DN43" s="41"/>
      <c r="DO43" s="372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3"/>
      <c r="IN43" s="364"/>
      <c r="IO43" s="288"/>
      <c r="IP43" s="267"/>
      <c r="IQ43" s="267"/>
      <c r="IR43" s="267"/>
      <c r="IS43" s="267"/>
      <c r="IT43" s="267"/>
      <c r="IU43" s="267"/>
      <c r="IV43" s="381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4"/>
        <v>-134.60499999999999</v>
      </c>
      <c r="D44" s="384"/>
      <c r="E44" s="384"/>
      <c r="F44" s="143"/>
      <c r="G44" s="143"/>
      <c r="H44" s="82"/>
      <c r="I44" s="82"/>
      <c r="J44" s="108"/>
      <c r="K44" s="41"/>
      <c r="L44" s="67"/>
      <c r="M44" s="91"/>
      <c r="N44" s="41"/>
      <c r="O44" s="372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104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104"/>
      <c r="AO44" s="45"/>
      <c r="AP44" s="41"/>
      <c r="AQ44" s="67"/>
      <c r="AR44" s="104"/>
      <c r="AS44" s="119"/>
      <c r="AT44" s="45"/>
      <c r="AU44" s="41"/>
      <c r="AV44" s="67"/>
      <c r="AW44" s="104"/>
      <c r="AX44" s="119"/>
      <c r="AY44" s="124"/>
      <c r="AZ44" s="152"/>
      <c r="BA44" s="41"/>
      <c r="BB44" s="67">
        <v>-33.975000000000001</v>
      </c>
      <c r="BC44" s="104"/>
      <c r="BD44" s="119"/>
      <c r="BE44" s="124"/>
      <c r="BF44" s="152"/>
      <c r="BG44" s="41"/>
      <c r="BH44" s="67"/>
      <c r="BI44" s="104"/>
      <c r="BJ44" s="119"/>
      <c r="BK44" s="124"/>
      <c r="BL44" s="152"/>
      <c r="BM44" s="87"/>
      <c r="BN44" s="67"/>
      <c r="BO44" s="104"/>
      <c r="BP44" s="119"/>
      <c r="BQ44" s="124"/>
      <c r="BR44" s="152"/>
      <c r="BS44" s="41"/>
      <c r="BT44" s="67">
        <v>-100.63</v>
      </c>
      <c r="BU44" s="104"/>
      <c r="BV44" s="119"/>
      <c r="BW44" s="124"/>
      <c r="BX44" s="152"/>
      <c r="BY44" s="41"/>
      <c r="BZ44" s="67"/>
      <c r="CA44" s="104"/>
      <c r="CB44" s="119"/>
      <c r="CC44" s="124"/>
      <c r="CD44" s="152"/>
      <c r="CE44" s="41"/>
      <c r="CF44" s="67"/>
      <c r="CG44" s="104"/>
      <c r="CH44" s="119"/>
      <c r="CI44" s="124"/>
      <c r="CJ44" s="152"/>
      <c r="CK44" s="41"/>
      <c r="CL44" s="67"/>
      <c r="CM44" s="104"/>
      <c r="CN44" s="119"/>
      <c r="CO44" s="124"/>
      <c r="CP44" s="152"/>
      <c r="CQ44" s="41"/>
      <c r="CR44" s="372"/>
      <c r="CS44" s="72"/>
      <c r="CT44" s="119"/>
      <c r="CU44" s="124"/>
      <c r="CV44" s="113"/>
      <c r="CW44" s="41"/>
      <c r="CX44" s="67"/>
      <c r="CY44" s="104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104"/>
      <c r="DL44" s="119"/>
      <c r="DM44" s="45"/>
      <c r="DN44" s="41"/>
      <c r="DO44" s="372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3"/>
      <c r="IN44" s="364"/>
      <c r="IO44" s="288"/>
      <c r="IP44" s="267"/>
      <c r="IQ44" s="267"/>
      <c r="IR44" s="267"/>
      <c r="IS44" s="267"/>
      <c r="IT44" s="267"/>
      <c r="IU44" s="267"/>
      <c r="IV44" s="381"/>
      <c r="IW44" s="269"/>
    </row>
    <row r="45" spans="1:257" x14ac:dyDescent="0.25">
      <c r="A45" s="130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4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4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375">
        <v>-30.625</v>
      </c>
    </row>
    <row r="57" spans="1:229" x14ac:dyDescent="0.25">
      <c r="A57" s="127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4"/>
        <v>-58.22</v>
      </c>
      <c r="AZ61" s="182">
        <v>-8.06</v>
      </c>
      <c r="BF61" s="182">
        <v>-8.32</v>
      </c>
      <c r="BL61" s="182">
        <v>-8.19</v>
      </c>
      <c r="BR61" s="182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4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4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375">
        <v>-168.25</v>
      </c>
      <c r="CX64" s="69">
        <v>-133.47499999999999</v>
      </c>
      <c r="DD64" s="69">
        <v>-133.79499999999999</v>
      </c>
      <c r="DO64" s="375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4"/>
        <v>-838.375</v>
      </c>
      <c r="L65" s="69">
        <v>-8.44</v>
      </c>
      <c r="O65" s="375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375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4"/>
        <v>0</v>
      </c>
    </row>
    <row r="68" spans="1:241" x14ac:dyDescent="0.25">
      <c r="A68" s="127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375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4"/>
        <v>0</v>
      </c>
    </row>
    <row r="71" spans="1:241" x14ac:dyDescent="0.25">
      <c r="A71" s="127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5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5"/>
        <v>-49.85</v>
      </c>
      <c r="DM74" s="46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5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5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375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375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5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5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375">
        <v>-101.66</v>
      </c>
    </row>
    <row r="90" spans="1:241" x14ac:dyDescent="0.25">
      <c r="A90" s="127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5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5"/>
        <v>0</v>
      </c>
    </row>
    <row r="93" spans="1:241" x14ac:dyDescent="0.25">
      <c r="A93" s="127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5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5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5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5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5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375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375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5"/>
        <v>-34.225000000000001</v>
      </c>
      <c r="AZ108" s="182">
        <v>-9.02</v>
      </c>
      <c r="BB108" s="69">
        <v>-8.42</v>
      </c>
      <c r="BR108" s="182">
        <v>-8.39</v>
      </c>
      <c r="DO108" s="375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5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375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5"/>
        <v>-1223.2750000000001</v>
      </c>
      <c r="O115" s="375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375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5"/>
        <v>302.20999999999998</v>
      </c>
      <c r="AT118" s="46">
        <v>31.27</v>
      </c>
      <c r="AZ118" s="182">
        <v>33.54</v>
      </c>
      <c r="BF118" s="182">
        <v>34.25</v>
      </c>
      <c r="BL118" s="182">
        <v>33.520000000000003</v>
      </c>
      <c r="BX118" s="182">
        <v>33.69</v>
      </c>
      <c r="CC118" s="126">
        <v>33.96</v>
      </c>
      <c r="CJ118" s="182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5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5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375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5"/>
        <v>-1863.65</v>
      </c>
      <c r="O125" s="375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375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375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375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5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375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5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5"/>
        <v>-8.34</v>
      </c>
      <c r="BR131" s="182">
        <v>-8.34</v>
      </c>
    </row>
    <row r="132" spans="1:234" x14ac:dyDescent="0.25">
      <c r="A132" s="127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5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375">
        <v>-23.13</v>
      </c>
    </row>
    <row r="141" spans="1:234" x14ac:dyDescent="0.25">
      <c r="A141" s="127">
        <v>44363</v>
      </c>
      <c r="B141" s="23" t="s">
        <v>12</v>
      </c>
      <c r="C141" s="21">
        <f t="shared" si="6"/>
        <v>0</v>
      </c>
    </row>
    <row r="142" spans="1:234" x14ac:dyDescent="0.25">
      <c r="A142" s="127">
        <v>44363</v>
      </c>
      <c r="B142" s="23" t="s">
        <v>57</v>
      </c>
      <c r="C142" s="21">
        <f t="shared" si="6"/>
        <v>-17.170000000000002</v>
      </c>
      <c r="DO142" s="375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6"/>
        <v>-33.784999999999997</v>
      </c>
      <c r="CR145" s="375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6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375">
        <v>-33.375</v>
      </c>
      <c r="CX150" s="69">
        <v>-33.284999999999997</v>
      </c>
      <c r="DJ150" s="69">
        <v>-33.375</v>
      </c>
      <c r="DO150" s="375">
        <v>-34.03</v>
      </c>
    </row>
    <row r="151" spans="1:241" x14ac:dyDescent="0.25">
      <c r="A151" s="127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375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6"/>
        <v>0</v>
      </c>
    </row>
    <row r="154" spans="1:241" x14ac:dyDescent="0.25">
      <c r="A154" s="127">
        <v>44364</v>
      </c>
      <c r="B154" s="23" t="s">
        <v>2</v>
      </c>
      <c r="C154" s="21">
        <f t="shared" si="6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6"/>
        <v>-41.33</v>
      </c>
      <c r="BF157" s="182">
        <v>-8.68</v>
      </c>
      <c r="BL157" s="182">
        <v>-7.96</v>
      </c>
      <c r="BR157" s="182">
        <v>-8.23</v>
      </c>
      <c r="CC157" s="126">
        <v>-7.86</v>
      </c>
      <c r="CP157" s="182">
        <v>-8.6</v>
      </c>
    </row>
    <row r="158" spans="1:241" x14ac:dyDescent="0.25">
      <c r="A158" s="127">
        <v>44368</v>
      </c>
      <c r="B158" s="23" t="s">
        <v>2</v>
      </c>
      <c r="C158" s="21">
        <f t="shared" si="6"/>
        <v>0</v>
      </c>
    </row>
    <row r="159" spans="1:241" x14ac:dyDescent="0.25">
      <c r="A159" s="127">
        <v>44368</v>
      </c>
      <c r="B159" s="23" t="s">
        <v>12</v>
      </c>
      <c r="C159" s="21">
        <f t="shared" si="6"/>
        <v>0</v>
      </c>
    </row>
    <row r="160" spans="1:241" x14ac:dyDescent="0.25">
      <c r="A160" s="127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6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6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375">
        <v>-33.774999999999999</v>
      </c>
      <c r="CX168" s="69">
        <v>-33.274999999999999</v>
      </c>
      <c r="DJ168" s="69">
        <v>-33.72</v>
      </c>
      <c r="DO168" s="375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375">
        <v>-33.655000000000001</v>
      </c>
      <c r="CX171" s="69">
        <v>-33.130000000000003</v>
      </c>
      <c r="DJ171" s="69">
        <v>-33.625</v>
      </c>
      <c r="DO171" s="375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6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375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6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6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375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375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6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6"/>
        <v>0</v>
      </c>
    </row>
    <row r="186" spans="1:238" x14ac:dyDescent="0.25">
      <c r="A186" s="127">
        <v>44371</v>
      </c>
      <c r="B186" s="23" t="s">
        <v>23</v>
      </c>
      <c r="C186" s="21">
        <f t="shared" si="6"/>
        <v>0</v>
      </c>
    </row>
    <row r="187" spans="1:238" x14ac:dyDescent="0.25">
      <c r="A187" s="127">
        <v>44371</v>
      </c>
      <c r="B187" s="23" t="s">
        <v>38</v>
      </c>
      <c r="C187" s="21">
        <f t="shared" si="6"/>
        <v>-100.565</v>
      </c>
      <c r="DO187" s="375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82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6"/>
        <v>631.24</v>
      </c>
      <c r="AI195" s="126">
        <v>32.79</v>
      </c>
      <c r="AO195" s="46">
        <v>34.799999999999997</v>
      </c>
      <c r="AZ195" s="182">
        <v>68.11</v>
      </c>
      <c r="BL195" s="182">
        <v>50.25</v>
      </c>
      <c r="BR195" s="182">
        <v>66.290000000000006</v>
      </c>
      <c r="BX195" s="182">
        <v>68.959999999999994</v>
      </c>
      <c r="CC195" s="126">
        <v>84.74</v>
      </c>
      <c r="CJ195" s="182">
        <v>101.37</v>
      </c>
      <c r="CP195" s="182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6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82">
        <v>-8.27</v>
      </c>
      <c r="CP197" s="182">
        <v>-8.23</v>
      </c>
    </row>
    <row r="198" spans="1:223" x14ac:dyDescent="0.25">
      <c r="A198" s="127">
        <v>44373</v>
      </c>
      <c r="B198" s="23" t="s">
        <v>12</v>
      </c>
      <c r="C198" s="21">
        <f t="shared" si="6"/>
        <v>0</v>
      </c>
    </row>
    <row r="199" spans="1:223" x14ac:dyDescent="0.25">
      <c r="A199" s="127">
        <v>44375</v>
      </c>
      <c r="B199" s="23" t="s">
        <v>15</v>
      </c>
      <c r="C199" s="21">
        <f t="shared" si="6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375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7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375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7"/>
        <v>-17.32</v>
      </c>
      <c r="BX207" s="182">
        <v>-8.7100000000000009</v>
      </c>
      <c r="CJ207" s="182">
        <v>-8.61</v>
      </c>
    </row>
    <row r="208" spans="1:223" x14ac:dyDescent="0.25">
      <c r="A208" s="127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7"/>
        <v>-24.855</v>
      </c>
      <c r="AV209" s="69">
        <v>-8.3849999999999998</v>
      </c>
      <c r="BR209" s="182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7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375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7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7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7"/>
        <v>-168.51</v>
      </c>
      <c r="BF217" s="182">
        <v>-34.25</v>
      </c>
      <c r="BH217" s="69">
        <v>-34.119999999999997</v>
      </c>
      <c r="BR217" s="182">
        <v>-32.14</v>
      </c>
      <c r="BX217" s="182">
        <v>-68</v>
      </c>
    </row>
    <row r="218" spans="1:242" x14ac:dyDescent="0.25">
      <c r="A218" s="127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82">
        <v>-7.64</v>
      </c>
      <c r="BY218" s="42">
        <v>-8.74</v>
      </c>
      <c r="DO218" s="375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7"/>
        <v>-17.21</v>
      </c>
      <c r="BR219" s="182">
        <v>-17.21</v>
      </c>
    </row>
    <row r="220" spans="1:242" x14ac:dyDescent="0.25">
      <c r="A220" s="127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7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7"/>
        <v>-34.270000000000003</v>
      </c>
      <c r="AL226" s="42">
        <v>-8.64</v>
      </c>
      <c r="AT226" s="46">
        <v>-7.57</v>
      </c>
      <c r="BR226" s="182">
        <v>-9.1999999999999993</v>
      </c>
      <c r="BX226" s="182">
        <v>-8.86</v>
      </c>
    </row>
    <row r="227" spans="1:236" x14ac:dyDescent="0.25">
      <c r="A227" s="127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7"/>
        <v>0</v>
      </c>
    </row>
    <row r="231" spans="1:236" x14ac:dyDescent="0.25">
      <c r="A231" s="127">
        <v>44377</v>
      </c>
      <c r="B231" s="23" t="s">
        <v>15</v>
      </c>
      <c r="C231" s="21">
        <f t="shared" si="7"/>
        <v>-33.56</v>
      </c>
      <c r="BX231" s="182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7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7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7"/>
        <v>396.38</v>
      </c>
      <c r="BF238" s="182">
        <v>96.4</v>
      </c>
      <c r="BL238" s="182">
        <v>104.71</v>
      </c>
      <c r="BR238" s="182">
        <v>95.59</v>
      </c>
      <c r="BX238" s="182">
        <v>99.68</v>
      </c>
    </row>
    <row r="239" spans="1:236" x14ac:dyDescent="0.25">
      <c r="A239" s="127">
        <v>44385</v>
      </c>
      <c r="B239" s="23" t="s">
        <v>12</v>
      </c>
      <c r="C239" s="21">
        <f t="shared" si="7"/>
        <v>0</v>
      </c>
    </row>
    <row r="240" spans="1:236" x14ac:dyDescent="0.25">
      <c r="A240" s="127">
        <v>44385</v>
      </c>
      <c r="B240" s="23" t="s">
        <v>2</v>
      </c>
      <c r="C240" s="21">
        <f t="shared" si="7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7"/>
        <v>-16.3</v>
      </c>
      <c r="BX241" s="182">
        <v>-16.3</v>
      </c>
    </row>
    <row r="242" spans="1:241" x14ac:dyDescent="0.25">
      <c r="A242" s="127">
        <v>44385</v>
      </c>
      <c r="B242" s="23" t="s">
        <v>45</v>
      </c>
      <c r="C242" s="21">
        <f t="shared" si="7"/>
        <v>-16.12</v>
      </c>
      <c r="BF242" s="182">
        <v>-8</v>
      </c>
      <c r="BL242" s="182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375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7"/>
        <v>-59.75</v>
      </c>
      <c r="AL244" s="42">
        <v>-8.66</v>
      </c>
      <c r="BF244" s="182">
        <v>-7.98</v>
      </c>
      <c r="BG244" s="42">
        <v>-7.15</v>
      </c>
      <c r="BR244" s="182">
        <v>-9.7799999999999994</v>
      </c>
      <c r="BX244" s="182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7"/>
        <v>-56.77</v>
      </c>
      <c r="BF245" s="182">
        <v>-8.06</v>
      </c>
      <c r="BL245" s="182">
        <v>-8.4700000000000006</v>
      </c>
      <c r="BX245" s="182">
        <v>-7.53</v>
      </c>
      <c r="CP245" s="182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7"/>
        <v>0</v>
      </c>
    </row>
    <row r="248" spans="1:241" x14ac:dyDescent="0.25">
      <c r="A248" s="127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7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7"/>
        <v>-34.090000000000003</v>
      </c>
      <c r="BL250" s="182">
        <v>-8.35</v>
      </c>
      <c r="BR250" s="182">
        <v>-8.85</v>
      </c>
      <c r="BX250" s="182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7"/>
        <v>-52.41</v>
      </c>
      <c r="BR252" s="182">
        <v>-9.5500000000000007</v>
      </c>
      <c r="DO252" s="375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7"/>
        <v>-16.739999999999998</v>
      </c>
      <c r="BF253" s="182">
        <v>-8.01</v>
      </c>
      <c r="BL253" s="182">
        <v>-8.73</v>
      </c>
    </row>
    <row r="254" spans="1:241" x14ac:dyDescent="0.25">
      <c r="A254" s="127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375">
        <v>-68.31</v>
      </c>
    </row>
    <row r="255" spans="1:241" x14ac:dyDescent="0.25">
      <c r="A255" s="127">
        <v>44390</v>
      </c>
      <c r="B255" s="23" t="s">
        <v>26</v>
      </c>
      <c r="C255" s="21">
        <f t="shared" si="7"/>
        <v>-25.05</v>
      </c>
      <c r="AE255" s="42">
        <v>-8.65</v>
      </c>
      <c r="BF255" s="182">
        <v>-8.0299999999999994</v>
      </c>
      <c r="BX255" s="182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7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7"/>
        <v>-34.68</v>
      </c>
      <c r="BF258" s="182">
        <v>-16.059999999999999</v>
      </c>
      <c r="BL258" s="182">
        <v>-9.83</v>
      </c>
      <c r="BR258" s="182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7"/>
        <v>-66.540000000000006</v>
      </c>
      <c r="O260" s="375">
        <v>-8.61</v>
      </c>
      <c r="AQ260" s="69">
        <v>-8.52</v>
      </c>
      <c r="AV260" s="69">
        <v>-8.39</v>
      </c>
      <c r="BF260" s="182">
        <v>-8.07</v>
      </c>
      <c r="BL260" s="182">
        <v>-16.38</v>
      </c>
      <c r="BR260" s="182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7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7"/>
        <v>0</v>
      </c>
    </row>
    <row r="263" spans="1:229" x14ac:dyDescent="0.25">
      <c r="A263" s="127">
        <v>44403</v>
      </c>
      <c r="B263" s="23" t="s">
        <v>45</v>
      </c>
      <c r="C263" s="21">
        <f t="shared" si="7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8">SUM(I264:JT264)</f>
        <v>-134.77000000000001</v>
      </c>
      <c r="AF264" s="69">
        <v>-33.265000000000001</v>
      </c>
      <c r="AV264" s="69">
        <v>-33.284999999999997</v>
      </c>
      <c r="BF264" s="182">
        <v>-32.19</v>
      </c>
      <c r="BR264" s="182">
        <v>-36.03</v>
      </c>
    </row>
    <row r="265" spans="1:229" x14ac:dyDescent="0.25">
      <c r="A265" s="127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8"/>
        <v>-33.625</v>
      </c>
      <c r="CR266" s="375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8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8"/>
        <v>-17.36</v>
      </c>
      <c r="BL269" s="182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8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375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8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375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8"/>
        <v>-135.49</v>
      </c>
      <c r="CL277" s="69">
        <v>-68.03</v>
      </c>
      <c r="CR277" s="375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8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8"/>
        <v>-172.76</v>
      </c>
      <c r="AZ282" s="182">
        <v>-16.95</v>
      </c>
      <c r="BL282" s="182">
        <v>-16.68</v>
      </c>
      <c r="BR282" s="182">
        <v>-14.65</v>
      </c>
      <c r="BX282" s="182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8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8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8"/>
        <v>-33.950000000000003</v>
      </c>
      <c r="DO287" s="375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8"/>
        <v>-49.26</v>
      </c>
      <c r="AD289" s="115">
        <v>-8.24</v>
      </c>
      <c r="AT289" s="46">
        <v>-7.58</v>
      </c>
      <c r="AZ289" s="182">
        <v>-8.35</v>
      </c>
      <c r="BN289" s="69">
        <v>-8.52</v>
      </c>
      <c r="BX289" s="182">
        <v>-8.34</v>
      </c>
      <c r="CJ289" s="182">
        <v>-8.23</v>
      </c>
    </row>
    <row r="290" spans="1:177" x14ac:dyDescent="0.25">
      <c r="A290" s="127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8"/>
        <v>-59.244999999999997</v>
      </c>
      <c r="AZ291" s="182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375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8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375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8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8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375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375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8"/>
        <v>0</v>
      </c>
    </row>
    <row r="301" spans="1:177" x14ac:dyDescent="0.25">
      <c r="A301" s="127">
        <v>44408</v>
      </c>
      <c r="B301" s="23" t="s">
        <v>44</v>
      </c>
      <c r="C301" s="21">
        <f t="shared" si="8"/>
        <v>0</v>
      </c>
    </row>
    <row r="302" spans="1:177" x14ac:dyDescent="0.25">
      <c r="A302" s="127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8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8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375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8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375">
        <v>-34.115000000000002</v>
      </c>
      <c r="CX311" s="69">
        <v>-68.16</v>
      </c>
      <c r="DD311" s="69">
        <v>-34.28</v>
      </c>
      <c r="DO311" s="375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8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8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82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8"/>
        <v>-124.73</v>
      </c>
      <c r="CJ319" s="182">
        <v>-16.8</v>
      </c>
      <c r="CV319" s="115">
        <v>-16.239999999999998</v>
      </c>
      <c r="DB319" s="115">
        <v>-17.23</v>
      </c>
      <c r="DG319" s="126">
        <v>-25.6</v>
      </c>
      <c r="DM319" s="46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8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8"/>
        <v>0</v>
      </c>
    </row>
    <row r="322" spans="1:223" x14ac:dyDescent="0.25">
      <c r="A322" s="127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8"/>
        <v>-58.115000000000002</v>
      </c>
      <c r="DO323" s="375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8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8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9"/>
        <v>-99.74</v>
      </c>
      <c r="O329" s="375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375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9"/>
        <v>-58.89</v>
      </c>
      <c r="AZ335" s="182">
        <v>-8.02</v>
      </c>
      <c r="BA335" s="42">
        <v>-7.45</v>
      </c>
      <c r="BL335" s="182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9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9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9"/>
        <v>0</v>
      </c>
    </row>
    <row r="340" spans="1:229" x14ac:dyDescent="0.25">
      <c r="A340" s="127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9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9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9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9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375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375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9"/>
        <v>-99.38</v>
      </c>
      <c r="BA362" s="42">
        <v>-49.41</v>
      </c>
      <c r="BL362" s="182">
        <v>-49.97</v>
      </c>
    </row>
    <row r="363" spans="1:236" x14ac:dyDescent="0.25">
      <c r="A363" s="127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9"/>
        <v>-171.86500000000001</v>
      </c>
      <c r="O364" s="375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9"/>
        <v>-8.5150000000000006</v>
      </c>
      <c r="O365" s="375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9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375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9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9"/>
        <v>-49.06</v>
      </c>
      <c r="BA370" s="42">
        <v>-6.86</v>
      </c>
      <c r="BL370" s="182">
        <v>-9.39</v>
      </c>
      <c r="BV370" s="121">
        <v>-7.39</v>
      </c>
      <c r="CB370" s="121">
        <v>-8.26</v>
      </c>
      <c r="CJ370" s="182">
        <v>-8.81</v>
      </c>
      <c r="CP370" s="182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9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9"/>
        <v>-39.840000000000003</v>
      </c>
      <c r="BL379" s="182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375">
        <v>496.01</v>
      </c>
      <c r="DJ381" s="69">
        <v>503.53</v>
      </c>
      <c r="DO381" s="375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9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9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375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375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375">
        <v>-64.295000000000002</v>
      </c>
      <c r="CW400" s="42">
        <v>-34.54</v>
      </c>
      <c r="DD400" s="69">
        <v>-32.520000000000003</v>
      </c>
      <c r="DJ400" s="69">
        <v>-31.295000000000002</v>
      </c>
      <c r="DO400" s="375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82">
        <v>-9.14</v>
      </c>
      <c r="BN401" s="69">
        <v>-8.2650000000000006</v>
      </c>
      <c r="BS401" s="42">
        <v>-8.73</v>
      </c>
      <c r="CP401" s="182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10"/>
        <v>-61.145000000000003</v>
      </c>
      <c r="AP402" s="42">
        <v>-8.32</v>
      </c>
      <c r="BL402" s="182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82">
        <v>-8.42</v>
      </c>
    </row>
    <row r="405" spans="1:223" x14ac:dyDescent="0.25">
      <c r="A405" s="127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375">
        <v>-165.595</v>
      </c>
    </row>
    <row r="406" spans="1:223" x14ac:dyDescent="0.25">
      <c r="A406" s="127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10"/>
        <v>0</v>
      </c>
    </row>
    <row r="409" spans="1:223" x14ac:dyDescent="0.25">
      <c r="A409" s="127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10"/>
        <v>-24.405000000000001</v>
      </c>
      <c r="BL412" s="182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10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10"/>
        <v>376.05</v>
      </c>
      <c r="BD415" s="121">
        <v>65.760000000000005</v>
      </c>
      <c r="BJ415" s="121">
        <v>23.15</v>
      </c>
      <c r="BL415" s="182">
        <v>33.08</v>
      </c>
      <c r="BP415" s="121">
        <v>59.39</v>
      </c>
      <c r="BV415" s="121">
        <v>31.44</v>
      </c>
      <c r="BX415" s="182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10"/>
        <v>0</v>
      </c>
    </row>
    <row r="423" spans="1:158" x14ac:dyDescent="0.25">
      <c r="A423" s="127">
        <v>44439</v>
      </c>
      <c r="B423" s="23" t="s">
        <v>68</v>
      </c>
      <c r="C423" s="21">
        <f t="shared" si="10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10"/>
        <v>0</v>
      </c>
    </row>
    <row r="425" spans="1:158" x14ac:dyDescent="0.25">
      <c r="A425" s="127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82">
        <v>-35.229999999999997</v>
      </c>
      <c r="CR426" s="375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10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10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10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10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10"/>
        <v>-16.940000000000001</v>
      </c>
      <c r="CJ441" s="182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10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10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10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10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10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375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375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11"/>
        <v>0</v>
      </c>
    </row>
    <row r="466" spans="1:225" x14ac:dyDescent="0.25">
      <c r="A466" s="127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11"/>
        <v>-66.42</v>
      </c>
      <c r="AZ467" s="182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11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11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375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11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11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11"/>
        <v>-69.355000000000004</v>
      </c>
      <c r="BA485" s="42">
        <v>-34.89</v>
      </c>
      <c r="BG485" s="42">
        <v>-17.739999999999998</v>
      </c>
      <c r="CR485" s="375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11"/>
        <v>-40.06</v>
      </c>
      <c r="AZ488" s="182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11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11"/>
        <v>-42.494999999999997</v>
      </c>
      <c r="O495" s="375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11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11"/>
        <v>510.87</v>
      </c>
      <c r="BN499" s="69">
        <v>102.39</v>
      </c>
      <c r="BZ499" s="69">
        <v>102.55</v>
      </c>
      <c r="CL499" s="69">
        <v>101.51</v>
      </c>
      <c r="CR499" s="375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82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375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11"/>
        <v>-66.58</v>
      </c>
      <c r="BG502" s="42">
        <v>-8.66</v>
      </c>
      <c r="BL502" s="182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11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11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82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375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375">
        <v>-8</v>
      </c>
    </row>
    <row r="506" spans="1:223" x14ac:dyDescent="0.25">
      <c r="A506" s="127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11"/>
        <v>-76.525000000000006</v>
      </c>
      <c r="BN508" s="69">
        <v>-8.5350000000000001</v>
      </c>
      <c r="CR508" s="375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375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11"/>
        <v>-23.91</v>
      </c>
      <c r="BD515" s="121">
        <v>-8.74</v>
      </c>
      <c r="BX515" s="182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375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12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375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12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12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82">
        <v>-17.579999999999998</v>
      </c>
      <c r="BS522" s="42">
        <v>-24.01</v>
      </c>
      <c r="BY522" s="42">
        <v>-26.31</v>
      </c>
      <c r="CJ522" s="182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12"/>
        <v>928.79</v>
      </c>
      <c r="AT524" s="46">
        <v>36.119999999999997</v>
      </c>
      <c r="AZ524" s="182">
        <v>67.650000000000006</v>
      </c>
      <c r="BD524" s="121">
        <v>23.13</v>
      </c>
      <c r="BF524" s="182">
        <v>70.53</v>
      </c>
      <c r="BL524" s="182">
        <v>70.19</v>
      </c>
      <c r="BP524" s="121">
        <v>32.1</v>
      </c>
      <c r="BR524" s="182">
        <v>62.03</v>
      </c>
      <c r="BX524" s="182">
        <v>35.39</v>
      </c>
      <c r="CB524" s="121">
        <v>33.54</v>
      </c>
      <c r="CC524" s="126">
        <v>66.150000000000006</v>
      </c>
      <c r="CJ524" s="182">
        <v>66.42</v>
      </c>
      <c r="CP524" s="182">
        <v>66.23</v>
      </c>
      <c r="CV524" s="115">
        <v>63.86</v>
      </c>
      <c r="DB524" s="115">
        <v>32.72</v>
      </c>
      <c r="DG524" s="126">
        <v>32.49</v>
      </c>
      <c r="DM524" s="46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12"/>
        <v>-106.395</v>
      </c>
      <c r="BD528" s="121">
        <v>-7.85</v>
      </c>
      <c r="BL528" s="182">
        <v>-26.29</v>
      </c>
      <c r="CJ528" s="182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12"/>
        <v>-50.725000000000001</v>
      </c>
      <c r="BL531" s="182">
        <v>-8.77</v>
      </c>
      <c r="CL531" s="69">
        <v>-8.5399999999999991</v>
      </c>
      <c r="CR531" s="375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12"/>
        <v>-33.25</v>
      </c>
      <c r="BL532" s="182">
        <v>-8.6999999999999993</v>
      </c>
      <c r="CB532" s="121">
        <v>-8.17</v>
      </c>
      <c r="CP532" s="182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12"/>
        <v>-119.22</v>
      </c>
      <c r="DI533" s="42">
        <v>-51.94</v>
      </c>
      <c r="DO533" s="375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12"/>
        <v>-7.59</v>
      </c>
      <c r="CJ534" s="182">
        <v>-7.59</v>
      </c>
    </row>
    <row r="535" spans="1:223" x14ac:dyDescent="0.25">
      <c r="A535" s="127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12"/>
        <v>-66.290000000000006</v>
      </c>
      <c r="BD536" s="121">
        <v>-7.41</v>
      </c>
      <c r="BL536" s="182">
        <v>-8.7799999999999994</v>
      </c>
      <c r="BN536" s="69">
        <v>-8.5350000000000001</v>
      </c>
      <c r="BX536" s="182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12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12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12"/>
        <v>-40.03</v>
      </c>
      <c r="BL542" s="182">
        <v>-7.0000000000000007E-2</v>
      </c>
      <c r="BP542" s="121">
        <v>-7.16</v>
      </c>
      <c r="BX542" s="182">
        <v>-16.68</v>
      </c>
      <c r="CJ542" s="182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12"/>
        <v>-8.43</v>
      </c>
      <c r="CJ543" s="182">
        <v>-8.43</v>
      </c>
    </row>
    <row r="544" spans="1:223" x14ac:dyDescent="0.25">
      <c r="A544" s="127">
        <v>44468</v>
      </c>
      <c r="B544" s="23" t="s">
        <v>15</v>
      </c>
      <c r="C544" s="21">
        <f t="shared" si="12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12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12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12"/>
        <v>-33.1</v>
      </c>
      <c r="DM554" s="46">
        <v>-33.1</v>
      </c>
    </row>
    <row r="555" spans="1:242" x14ac:dyDescent="0.25">
      <c r="A555" s="127">
        <v>44470</v>
      </c>
      <c r="B555" s="23" t="s">
        <v>75</v>
      </c>
      <c r="C555" s="21">
        <f t="shared" si="12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12"/>
        <v>0</v>
      </c>
    </row>
    <row r="558" spans="1:242" x14ac:dyDescent="0.25">
      <c r="A558" s="127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12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12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82">
        <v>-9.83</v>
      </c>
      <c r="BX561" s="182">
        <v>-9.11</v>
      </c>
    </row>
    <row r="562" spans="1:220" x14ac:dyDescent="0.25">
      <c r="A562" s="127">
        <v>44470</v>
      </c>
      <c r="B562" s="23" t="s">
        <v>59</v>
      </c>
      <c r="C562" s="21">
        <f t="shared" si="12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12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12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12"/>
        <v>0</v>
      </c>
    </row>
    <row r="572" spans="1:220" x14ac:dyDescent="0.25">
      <c r="A572" s="127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12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12"/>
        <v>-210.245</v>
      </c>
      <c r="O575" s="375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12"/>
        <v>0</v>
      </c>
    </row>
    <row r="581" spans="1:145" x14ac:dyDescent="0.25">
      <c r="A581" s="127">
        <v>44475</v>
      </c>
      <c r="B581" s="23" t="s">
        <v>20</v>
      </c>
      <c r="C581" s="21">
        <f t="shared" si="12"/>
        <v>-34.64</v>
      </c>
      <c r="O581" s="375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82">
        <v>-8.82</v>
      </c>
      <c r="BX582" s="182">
        <v>-9.11</v>
      </c>
      <c r="CB582" s="121">
        <v>-8.58</v>
      </c>
      <c r="CJ582" s="182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12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375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13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375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375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13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13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13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13"/>
        <v>-17.184999999999999</v>
      </c>
      <c r="BT593" s="69">
        <v>-8.4550000000000001</v>
      </c>
      <c r="BX593" s="182">
        <v>-8.73</v>
      </c>
    </row>
    <row r="594" spans="1:225" x14ac:dyDescent="0.25">
      <c r="A594" s="127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375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375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13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82">
        <v>-18.88</v>
      </c>
      <c r="CP599" s="182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13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375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13"/>
        <v>-295.02</v>
      </c>
      <c r="O604" s="375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13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13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13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375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13"/>
        <v>-17.12</v>
      </c>
      <c r="O616" s="375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13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13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13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13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375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13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13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375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13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13"/>
        <v>-17.175000000000001</v>
      </c>
      <c r="CL636" s="69">
        <v>-8.61</v>
      </c>
      <c r="CR636" s="375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13"/>
        <v>164.97</v>
      </c>
      <c r="BL639" s="182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13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375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13"/>
        <v>0</v>
      </c>
    </row>
    <row r="646" spans="1:215" x14ac:dyDescent="0.25">
      <c r="A646" s="127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375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4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4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4"/>
        <v>0</v>
      </c>
    </row>
    <row r="657" spans="1:225" x14ac:dyDescent="0.25">
      <c r="A657" s="131">
        <v>44492</v>
      </c>
      <c r="B657" s="23" t="s">
        <v>45</v>
      </c>
      <c r="C657" s="21">
        <f t="shared" si="14"/>
        <v>-16.16</v>
      </c>
      <c r="BX657" s="182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4"/>
        <v>-8.32</v>
      </c>
      <c r="CP661" s="182">
        <v>-8.32</v>
      </c>
    </row>
    <row r="662" spans="1:225" x14ac:dyDescent="0.25">
      <c r="A662" s="127">
        <v>44496</v>
      </c>
      <c r="B662" s="23" t="s">
        <v>2</v>
      </c>
      <c r="C662" s="21">
        <f t="shared" si="14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4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4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4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375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4"/>
        <v>-148.97499999999999</v>
      </c>
      <c r="O668" s="375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4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4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4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4"/>
        <v>-173.87</v>
      </c>
      <c r="AV679" s="69">
        <v>-8.59</v>
      </c>
      <c r="BZ679" s="69">
        <v>-17.079999999999998</v>
      </c>
      <c r="CF679" s="69">
        <v>-51.48</v>
      </c>
      <c r="CR679" s="375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4"/>
        <v>-78.25</v>
      </c>
      <c r="O684" s="375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4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4"/>
        <v>-27.15</v>
      </c>
      <c r="BL687" s="182">
        <v>-7.51</v>
      </c>
      <c r="BR687" s="182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4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4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4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375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4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4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4"/>
        <v>0</v>
      </c>
    </row>
    <row r="708" spans="1:240" x14ac:dyDescent="0.25">
      <c r="A708" s="127">
        <v>44508</v>
      </c>
      <c r="B708" s="23" t="s">
        <v>15</v>
      </c>
      <c r="C708" s="21">
        <f t="shared" si="14"/>
        <v>-59.76</v>
      </c>
      <c r="O708" s="375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4"/>
        <v>-8.4749999999999996</v>
      </c>
      <c r="O709" s="375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5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5"/>
        <v>-25.02</v>
      </c>
      <c r="AT717" s="46">
        <v>-7.81</v>
      </c>
      <c r="AZ717" s="182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5"/>
        <v>-382.35</v>
      </c>
      <c r="K720" s="42">
        <v>-34.6</v>
      </c>
      <c r="O720" s="375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82">
        <v>56.74</v>
      </c>
      <c r="BX723" s="182">
        <v>67.650000000000006</v>
      </c>
      <c r="CE723" s="42">
        <v>34.74</v>
      </c>
      <c r="CJ723" s="182">
        <v>26.35</v>
      </c>
    </row>
    <row r="724" spans="1:236" x14ac:dyDescent="0.25">
      <c r="A724" s="127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5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82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5"/>
        <v>-101.58</v>
      </c>
      <c r="BG726" s="42">
        <v>-26.22</v>
      </c>
      <c r="BP726" s="121">
        <v>-8.33</v>
      </c>
      <c r="BR726" s="182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5"/>
        <v>-209.33</v>
      </c>
      <c r="AM738" s="69">
        <v>-16.739999999999998</v>
      </c>
      <c r="AU738" s="42">
        <v>-34.68</v>
      </c>
      <c r="BA738" s="42">
        <v>-34.92</v>
      </c>
      <c r="BL738" s="182">
        <v>-24.22</v>
      </c>
      <c r="BP738" s="121">
        <v>-32.1</v>
      </c>
      <c r="BX738" s="182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5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5"/>
        <v>-31.7</v>
      </c>
      <c r="AT741" s="46">
        <v>-7.82</v>
      </c>
      <c r="BR741" s="182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5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5"/>
        <v>0</v>
      </c>
    </row>
    <row r="746" spans="1:173" x14ac:dyDescent="0.25">
      <c r="A746" s="127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5"/>
        <v>0</v>
      </c>
    </row>
    <row r="748" spans="1:173" x14ac:dyDescent="0.25">
      <c r="A748" s="127">
        <v>44519</v>
      </c>
      <c r="B748" s="23" t="s">
        <v>23</v>
      </c>
      <c r="C748" s="21">
        <f t="shared" si="15"/>
        <v>0</v>
      </c>
    </row>
    <row r="749" spans="1:173" x14ac:dyDescent="0.25">
      <c r="A749" s="127">
        <v>44519</v>
      </c>
      <c r="B749" s="23" t="s">
        <v>64</v>
      </c>
      <c r="C749" s="21">
        <f t="shared" si="15"/>
        <v>0</v>
      </c>
    </row>
    <row r="750" spans="1:173" x14ac:dyDescent="0.25">
      <c r="A750" s="127">
        <v>44519</v>
      </c>
      <c r="B750" s="23" t="s">
        <v>78</v>
      </c>
      <c r="C750" s="21">
        <f t="shared" si="15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5"/>
        <v>0</v>
      </c>
    </row>
    <row r="755" spans="1:198" x14ac:dyDescent="0.25">
      <c r="A755" s="127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5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5"/>
        <v>0</v>
      </c>
    </row>
    <row r="758" spans="1:198" x14ac:dyDescent="0.25">
      <c r="A758" s="127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5"/>
        <v>-57.51</v>
      </c>
      <c r="AU759" s="42">
        <v>-7.58</v>
      </c>
      <c r="BD759" s="121">
        <v>-7.71</v>
      </c>
      <c r="BR759" s="182">
        <v>-8.27</v>
      </c>
      <c r="BX759" s="182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82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5"/>
        <v>-34.03</v>
      </c>
      <c r="AU762" s="42">
        <v>-8.7799999999999994</v>
      </c>
      <c r="BR762" s="182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82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5"/>
        <v>-43.25</v>
      </c>
      <c r="BX764" s="182">
        <v>-17.62</v>
      </c>
      <c r="CC764" s="126">
        <v>-16.579999999999998</v>
      </c>
      <c r="CP764" s="182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5"/>
        <v>0</v>
      </c>
    </row>
    <row r="766" spans="1:198" x14ac:dyDescent="0.25">
      <c r="A766" s="127">
        <v>44525</v>
      </c>
      <c r="B766" s="23" t="s">
        <v>45</v>
      </c>
      <c r="C766" s="21">
        <f t="shared" si="15"/>
        <v>-16.8</v>
      </c>
      <c r="AU766" s="42">
        <v>-8.15</v>
      </c>
      <c r="BF766" s="182">
        <v>-8.65</v>
      </c>
    </row>
    <row r="767" spans="1:198" x14ac:dyDescent="0.25">
      <c r="A767" s="127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5"/>
        <v>0</v>
      </c>
    </row>
    <row r="769" spans="1:234" x14ac:dyDescent="0.25">
      <c r="A769" s="127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375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5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5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6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6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6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375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6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6"/>
        <v>0</v>
      </c>
    </row>
    <row r="793" spans="1:242" x14ac:dyDescent="0.25">
      <c r="A793" s="127">
        <v>44532</v>
      </c>
      <c r="B793" s="23" t="s">
        <v>68</v>
      </c>
      <c r="C793" s="21">
        <f t="shared" si="16"/>
        <v>-34.43</v>
      </c>
      <c r="BB793" s="69">
        <v>-25.59</v>
      </c>
      <c r="BF793" s="182">
        <v>-8.84</v>
      </c>
    </row>
    <row r="794" spans="1:242" x14ac:dyDescent="0.25">
      <c r="A794" s="127">
        <v>44532</v>
      </c>
      <c r="B794" s="23" t="s">
        <v>59</v>
      </c>
      <c r="C794" s="21">
        <f t="shared" si="16"/>
        <v>-8.3000000000000007</v>
      </c>
      <c r="CJ794" s="182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6"/>
        <v>0</v>
      </c>
    </row>
    <row r="799" spans="1:242" x14ac:dyDescent="0.25">
      <c r="A799" s="127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6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6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6"/>
        <v>-33.380000000000003</v>
      </c>
      <c r="AD809" s="115">
        <v>-7.72</v>
      </c>
      <c r="BR809" s="182">
        <v>-8.44</v>
      </c>
      <c r="DM809" s="46">
        <v>-17.22</v>
      </c>
    </row>
    <row r="810" spans="1:238" x14ac:dyDescent="0.25">
      <c r="A810" s="127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6"/>
        <v>-137.995</v>
      </c>
      <c r="O814" s="375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6"/>
        <v>0</v>
      </c>
    </row>
    <row r="817" spans="1:225" x14ac:dyDescent="0.25">
      <c r="A817" s="127">
        <v>44539</v>
      </c>
      <c r="B817" s="23" t="s">
        <v>80</v>
      </c>
      <c r="C817" s="21">
        <f t="shared" si="16"/>
        <v>0</v>
      </c>
    </row>
    <row r="818" spans="1:225" x14ac:dyDescent="0.25">
      <c r="A818" s="127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6"/>
        <v>-25.614999999999998</v>
      </c>
      <c r="O819" s="375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6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6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375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6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375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6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6"/>
        <v>-68.709999999999994</v>
      </c>
      <c r="AU833" s="42">
        <v>-8.0299999999999994</v>
      </c>
      <c r="BM833" s="88">
        <v>-8.41</v>
      </c>
      <c r="BR833" s="182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7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7"/>
        <v>-44.05</v>
      </c>
      <c r="AZ843" s="182">
        <v>-8.9</v>
      </c>
      <c r="BF843" s="182">
        <v>-9.01</v>
      </c>
      <c r="BR843" s="182">
        <v>-8.07</v>
      </c>
      <c r="BT843" s="69">
        <v>-8.5500000000000007</v>
      </c>
      <c r="CP843" s="182">
        <v>-9.52</v>
      </c>
    </row>
    <row r="844" spans="1:240" x14ac:dyDescent="0.25">
      <c r="A844" s="127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82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7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7"/>
        <v>-16.16</v>
      </c>
      <c r="O849" s="375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7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7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7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7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7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7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56" x14ac:dyDescent="0.25">
      <c r="A881" s="127">
        <v>44557</v>
      </c>
      <c r="B881" s="23" t="s">
        <v>78</v>
      </c>
      <c r="C881" s="21">
        <f t="shared" si="17"/>
        <v>-59.744999999999997</v>
      </c>
      <c r="O881" s="375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56" x14ac:dyDescent="0.25">
      <c r="A882" s="127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56" x14ac:dyDescent="0.25">
      <c r="A883" s="127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56" x14ac:dyDescent="0.25">
      <c r="A884" s="127">
        <v>44557</v>
      </c>
      <c r="B884" s="23" t="s">
        <v>78</v>
      </c>
      <c r="C884" s="21">
        <f t="shared" si="17"/>
        <v>-69.319999999999993</v>
      </c>
      <c r="AU884" s="42">
        <v>-17.55</v>
      </c>
      <c r="BG884" s="42">
        <v>-33.770000000000003</v>
      </c>
      <c r="CK884" s="42">
        <v>-18</v>
      </c>
    </row>
    <row r="885" spans="1:256" x14ac:dyDescent="0.25">
      <c r="A885" s="127">
        <v>44557</v>
      </c>
      <c r="B885" s="23" t="s">
        <v>94</v>
      </c>
      <c r="C885" s="21">
        <f t="shared" si="17"/>
        <v>0</v>
      </c>
    </row>
    <row r="886" spans="1:256" x14ac:dyDescent="0.25">
      <c r="A886" s="127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56" x14ac:dyDescent="0.25">
      <c r="A887" s="127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56" x14ac:dyDescent="0.25">
      <c r="A888" s="127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56" x14ac:dyDescent="0.25">
      <c r="A889" s="127">
        <v>44560</v>
      </c>
      <c r="B889" s="23" t="s">
        <v>25</v>
      </c>
      <c r="C889" s="21">
        <f t="shared" si="17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56" x14ac:dyDescent="0.25">
      <c r="A890" s="127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56" x14ac:dyDescent="0.25">
      <c r="A891" s="127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56" x14ac:dyDescent="0.25">
      <c r="A892" s="127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56" x14ac:dyDescent="0.25">
      <c r="A893" s="127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56" x14ac:dyDescent="0.25">
      <c r="A894" s="127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56" x14ac:dyDescent="0.25">
      <c r="A895" s="127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56" s="52" customFormat="1" x14ac:dyDescent="0.25">
      <c r="A896" s="435" t="s">
        <v>105</v>
      </c>
      <c r="B896" s="436"/>
      <c r="C896" s="270">
        <f>SUM(D896:JT896)</f>
        <v>38.545999999999999</v>
      </c>
      <c r="D896" s="386">
        <v>-1.37</v>
      </c>
      <c r="E896" s="386">
        <v>0.57999999999999996</v>
      </c>
      <c r="F896" s="365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37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106">
        <v>-19.344999999999999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106">
        <v>-27.215</v>
      </c>
      <c r="AO896" s="359">
        <v>-8.76</v>
      </c>
      <c r="AP896" s="53">
        <v>-51.27</v>
      </c>
      <c r="AQ896" s="55">
        <v>34.31</v>
      </c>
      <c r="AR896" s="106">
        <v>33.19</v>
      </c>
      <c r="AS896" s="55"/>
      <c r="AT896" s="54"/>
      <c r="AU896" s="53">
        <v>9.3000000000000007</v>
      </c>
      <c r="AV896" s="55">
        <v>2.46</v>
      </c>
      <c r="AW896" s="360">
        <v>105.715</v>
      </c>
      <c r="AX896" s="55"/>
      <c r="AY896" s="55"/>
      <c r="AZ896" s="182">
        <v>-64.674999999999997</v>
      </c>
      <c r="BA896" s="53">
        <v>-59.19</v>
      </c>
      <c r="BB896" s="55">
        <v>34.715000000000003</v>
      </c>
      <c r="BC896" s="106">
        <v>-19.7</v>
      </c>
      <c r="BD896" s="55">
        <v>-7.15</v>
      </c>
      <c r="BE896" s="55"/>
      <c r="BF896" s="182"/>
      <c r="BG896" s="53">
        <v>-8.19</v>
      </c>
      <c r="BH896" s="55">
        <v>1.21</v>
      </c>
      <c r="BI896" s="106">
        <v>-136.55500000000001</v>
      </c>
      <c r="BJ896" s="55">
        <v>-5.71</v>
      </c>
      <c r="BK896" s="55"/>
      <c r="BL896" s="182"/>
      <c r="BM896" s="53">
        <v>-2.7</v>
      </c>
      <c r="BN896" s="55">
        <v>1.585</v>
      </c>
      <c r="BO896" s="106">
        <v>-42.73</v>
      </c>
      <c r="BP896" s="55"/>
      <c r="BQ896" s="55"/>
      <c r="BR896" s="182"/>
      <c r="BS896" s="53">
        <v>-24.015000000000001</v>
      </c>
      <c r="BT896" s="69">
        <v>6.5750000000000002</v>
      </c>
      <c r="BU896" s="106">
        <v>-70.84</v>
      </c>
      <c r="BV896" s="55">
        <v>16.649999999999999</v>
      </c>
      <c r="BW896" s="55">
        <v>-0.105</v>
      </c>
      <c r="BX896" s="182">
        <v>-32.270000000000003</v>
      </c>
      <c r="BY896" s="53">
        <v>-0.06</v>
      </c>
      <c r="BZ896" s="55">
        <v>8.5549999999999997</v>
      </c>
      <c r="CA896" s="106">
        <v>-161.595</v>
      </c>
      <c r="CB896" s="55"/>
      <c r="CC896" s="55"/>
      <c r="CD896" s="182"/>
      <c r="CE896" s="53">
        <v>-24.18</v>
      </c>
      <c r="CF896" s="55">
        <v>-14.414999999999999</v>
      </c>
      <c r="CG896" s="106">
        <v>-46.875</v>
      </c>
      <c r="CH896" s="55"/>
      <c r="CI896" s="55"/>
      <c r="CJ896" s="182">
        <v>-24.52</v>
      </c>
      <c r="CK896" s="53">
        <v>-9.51</v>
      </c>
      <c r="CL896" s="55">
        <v>-19.100000000000001</v>
      </c>
      <c r="CM896" s="360">
        <v>-83.765000000000001</v>
      </c>
      <c r="CN896" s="55">
        <v>0.09</v>
      </c>
      <c r="CO896" s="55"/>
      <c r="CP896" s="182">
        <v>-7.11</v>
      </c>
      <c r="CQ896" s="53">
        <v>-7.75</v>
      </c>
      <c r="CR896" s="375">
        <v>-7.3949999999999996</v>
      </c>
      <c r="CS896" s="74">
        <v>-42.66</v>
      </c>
      <c r="CT896" s="55">
        <v>0.2</v>
      </c>
      <c r="CU896" s="55"/>
      <c r="CV896" s="54"/>
      <c r="CW896" s="53">
        <v>49.77</v>
      </c>
      <c r="CX896" s="55">
        <v>-0.01</v>
      </c>
      <c r="CY896" s="106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360">
        <f>-80.11+8.265</f>
        <v>-71.844999999999999</v>
      </c>
      <c r="DL896" s="55">
        <v>0.1</v>
      </c>
      <c r="DM896" s="359"/>
      <c r="DN896" s="53">
        <v>-0.35</v>
      </c>
      <c r="DO896" s="37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5"/>
      <c r="IN896" s="366"/>
      <c r="IO896" s="54"/>
      <c r="IV896" s="365"/>
    </row>
    <row r="897" spans="1:213" x14ac:dyDescent="0.25">
      <c r="A897" s="127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7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7"/>
        <v>0</v>
      </c>
    </row>
    <row r="900" spans="1:213" x14ac:dyDescent="0.25">
      <c r="A900" s="127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7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7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7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8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8"/>
        <v>-25.75</v>
      </c>
      <c r="BF909" s="182">
        <v>-8.8699999999999992</v>
      </c>
      <c r="BS909" s="42">
        <v>-8.49</v>
      </c>
      <c r="CP909" s="182">
        <v>-8.39</v>
      </c>
    </row>
    <row r="910" spans="1:213" x14ac:dyDescent="0.25">
      <c r="A910" s="127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8"/>
        <v>-48.954999999999998</v>
      </c>
      <c r="O912" s="375">
        <v>-8.4949999999999992</v>
      </c>
      <c r="AT912" s="46">
        <v>-7.83</v>
      </c>
      <c r="BA912" s="42">
        <v>-8.43</v>
      </c>
      <c r="BR912" s="182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8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8"/>
        <v>94.77</v>
      </c>
      <c r="BJ921" s="121">
        <v>31.88</v>
      </c>
      <c r="BR921" s="182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8"/>
        <v>0</v>
      </c>
    </row>
    <row r="923" spans="1:231" x14ac:dyDescent="0.25">
      <c r="A923" s="127">
        <v>44568</v>
      </c>
      <c r="B923" s="23" t="s">
        <v>23</v>
      </c>
      <c r="C923" s="21">
        <f t="shared" si="18"/>
        <v>0</v>
      </c>
    </row>
    <row r="924" spans="1:231" x14ac:dyDescent="0.25">
      <c r="A924" s="127">
        <v>44568</v>
      </c>
      <c r="B924" s="23" t="s">
        <v>79</v>
      </c>
      <c r="C924" s="21">
        <f t="shared" si="18"/>
        <v>-32.380000000000003</v>
      </c>
      <c r="BJ924" s="121">
        <v>-15.76</v>
      </c>
      <c r="BR924" s="182">
        <v>-16.62</v>
      </c>
    </row>
    <row r="925" spans="1:231" x14ac:dyDescent="0.25">
      <c r="A925" s="127">
        <v>44568</v>
      </c>
      <c r="B925" s="23" t="s">
        <v>27</v>
      </c>
      <c r="C925" s="21">
        <f t="shared" si="18"/>
        <v>-16.13</v>
      </c>
      <c r="BJ925" s="121">
        <v>-8.16</v>
      </c>
      <c r="BR925" s="182">
        <v>-7.97</v>
      </c>
    </row>
    <row r="926" spans="1:231" x14ac:dyDescent="0.25">
      <c r="A926" s="127">
        <v>44568</v>
      </c>
      <c r="B926" s="23" t="s">
        <v>20</v>
      </c>
      <c r="C926" s="21">
        <f t="shared" si="18"/>
        <v>-16.73</v>
      </c>
      <c r="BJ926" s="121">
        <v>-7.96</v>
      </c>
      <c r="BR926" s="182">
        <v>-8.77</v>
      </c>
    </row>
    <row r="927" spans="1:231" x14ac:dyDescent="0.25">
      <c r="A927" s="127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8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8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8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8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8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8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8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9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9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9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9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9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9"/>
        <v>165.76</v>
      </c>
      <c r="BJ988" s="121">
        <v>32.99</v>
      </c>
      <c r="BR988" s="182">
        <v>34.51</v>
      </c>
      <c r="BX988" s="182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9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9"/>
        <v>-181.07499999999999</v>
      </c>
      <c r="O991" s="375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9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9"/>
        <v>-13.61</v>
      </c>
      <c r="Y996" s="69">
        <v>-5.2</v>
      </c>
      <c r="CJ996" s="182">
        <v>-8.41</v>
      </c>
    </row>
    <row r="997" spans="1:225" x14ac:dyDescent="0.25">
      <c r="A997" s="127">
        <v>44589</v>
      </c>
      <c r="B997" s="23" t="s">
        <v>95</v>
      </c>
      <c r="C997" s="21">
        <f t="shared" si="19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82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9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9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82">
        <v>-8.86</v>
      </c>
    </row>
    <row r="1013" spans="1:229" x14ac:dyDescent="0.25">
      <c r="A1013" s="132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9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9"/>
        <v>-42.11</v>
      </c>
      <c r="BF1016" s="182">
        <v>-8.59</v>
      </c>
      <c r="BM1016" s="88">
        <v>-8.43</v>
      </c>
      <c r="CC1016" s="126">
        <v>-7.64</v>
      </c>
      <c r="CJ1016" s="182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9"/>
        <v>-32.29</v>
      </c>
      <c r="BJ1017" s="121">
        <v>-8.6</v>
      </c>
      <c r="BR1017" s="182">
        <v>-7.77</v>
      </c>
      <c r="BV1017" s="121">
        <v>-7.06</v>
      </c>
      <c r="CJ1017" s="182">
        <v>-8.86</v>
      </c>
    </row>
    <row r="1018" spans="1:229" x14ac:dyDescent="0.25">
      <c r="A1018" s="127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9"/>
        <v>-30.065000000000001</v>
      </c>
      <c r="O1021" s="375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9"/>
        <v>-25.13</v>
      </c>
      <c r="BF1024" s="182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9"/>
        <v>0</v>
      </c>
    </row>
    <row r="1026" spans="1:238" x14ac:dyDescent="0.25">
      <c r="A1026" s="131">
        <v>44596</v>
      </c>
      <c r="B1026" s="23" t="s">
        <v>23</v>
      </c>
      <c r="C1026" s="21">
        <f t="shared" si="19"/>
        <v>0</v>
      </c>
    </row>
    <row r="1027" spans="1:238" x14ac:dyDescent="0.25">
      <c r="A1027" s="127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375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9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20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20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20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20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20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375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20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20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20"/>
        <v>-210.51499999999999</v>
      </c>
      <c r="O1047" s="375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375">
        <v>-17.03</v>
      </c>
    </row>
    <row r="1048" spans="1:238" x14ac:dyDescent="0.25">
      <c r="A1048" s="127">
        <v>44601</v>
      </c>
      <c r="B1048" s="24" t="s">
        <v>15</v>
      </c>
      <c r="C1048" s="21">
        <f t="shared" si="20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20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20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20"/>
        <v>0</v>
      </c>
    </row>
    <row r="1064" spans="1:231" x14ac:dyDescent="0.25">
      <c r="A1064" s="127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20"/>
        <v>0</v>
      </c>
    </row>
    <row r="1068" spans="1:231" x14ac:dyDescent="0.25">
      <c r="A1068" s="127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375">
        <v>8.57</v>
      </c>
      <c r="DD1070" s="69">
        <v>16.59</v>
      </c>
      <c r="DJ1070" s="69">
        <v>16.97</v>
      </c>
      <c r="DO1070" s="375">
        <v>33.79</v>
      </c>
    </row>
    <row r="1071" spans="1:231" x14ac:dyDescent="0.25">
      <c r="A1071" s="127">
        <v>44607</v>
      </c>
      <c r="B1071" s="24" t="s">
        <v>95</v>
      </c>
      <c r="C1071" s="21">
        <f t="shared" si="20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20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375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20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20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20"/>
        <v>0</v>
      </c>
    </row>
    <row r="1082" spans="1:223" x14ac:dyDescent="0.25">
      <c r="A1082" s="127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20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20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20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20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375">
        <v>-25.425000000000001</v>
      </c>
      <c r="Y1096" s="69">
        <v>-102.49</v>
      </c>
      <c r="DN1096" s="42">
        <v>-133.44999999999999</v>
      </c>
      <c r="DO1096" s="375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21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21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21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21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21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21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21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21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21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21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21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375">
        <v>169.4</v>
      </c>
      <c r="CX1133" s="69">
        <v>170.09</v>
      </c>
      <c r="DO1133" s="375">
        <v>169.05</v>
      </c>
    </row>
    <row r="1134" spans="1:225" x14ac:dyDescent="0.25">
      <c r="A1134" s="127">
        <v>44622</v>
      </c>
      <c r="B1134" s="24" t="s">
        <v>12</v>
      </c>
      <c r="C1134" s="21">
        <f t="shared" si="21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375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375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375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375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21"/>
        <v>-77.59</v>
      </c>
      <c r="AZ1139" s="182">
        <v>-8.2899999999999991</v>
      </c>
      <c r="BF1139" s="182">
        <v>-8.9600000000000009</v>
      </c>
      <c r="BR1139" s="182">
        <v>-8.84</v>
      </c>
      <c r="BV1139" s="121">
        <v>-6.99</v>
      </c>
      <c r="CB1139" s="121">
        <v>-18.13</v>
      </c>
      <c r="CE1139" s="42">
        <v>-17.190000000000001</v>
      </c>
      <c r="CJ1139" s="182">
        <v>-9.19</v>
      </c>
    </row>
    <row r="1140" spans="1:238" x14ac:dyDescent="0.25">
      <c r="A1140" s="127">
        <v>44623</v>
      </c>
      <c r="B1140" s="24" t="s">
        <v>75</v>
      </c>
      <c r="C1140" s="21">
        <f t="shared" si="21"/>
        <v>-33.965000000000003</v>
      </c>
      <c r="BZ1140" s="69">
        <v>-8.4499999999999993</v>
      </c>
      <c r="CE1140" s="42">
        <v>-8.59</v>
      </c>
      <c r="CK1140" s="42">
        <v>-8.44</v>
      </c>
      <c r="CR1140" s="375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375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375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21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21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375">
        <v>-33.945</v>
      </c>
    </row>
    <row r="1150" spans="1:238" x14ac:dyDescent="0.25">
      <c r="A1150" s="127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21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375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21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21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375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22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22"/>
        <v>0</v>
      </c>
    </row>
    <row r="1165" spans="1:231" x14ac:dyDescent="0.25">
      <c r="A1165" s="127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22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22"/>
        <v>-99.325000000000003</v>
      </c>
      <c r="AZ1172" s="182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375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22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375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22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82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22"/>
        <v>-135.035</v>
      </c>
      <c r="DJ1176" s="69">
        <v>-33.74</v>
      </c>
      <c r="DO1176" s="375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22"/>
        <v>-9.34</v>
      </c>
      <c r="BR1181" s="182">
        <v>-9.34</v>
      </c>
    </row>
    <row r="1182" spans="1:241" x14ac:dyDescent="0.25">
      <c r="A1182" s="127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22"/>
        <v>0</v>
      </c>
    </row>
    <row r="1184" spans="1:241" x14ac:dyDescent="0.25">
      <c r="A1184" s="127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22"/>
        <v>3192.05</v>
      </c>
      <c r="O1187" s="375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375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22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375">
        <v>-34.625</v>
      </c>
    </row>
    <row r="1190" spans="1:241" x14ac:dyDescent="0.25">
      <c r="A1190" s="127">
        <v>44636</v>
      </c>
      <c r="B1190" s="24" t="s">
        <v>13</v>
      </c>
      <c r="C1190" s="21">
        <f t="shared" si="22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22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22"/>
        <v>-34.094999999999999</v>
      </c>
      <c r="DO1194" s="375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22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22"/>
        <v>-69.23</v>
      </c>
      <c r="O1196" s="375">
        <v>-69.23</v>
      </c>
    </row>
    <row r="1197" spans="1:241" x14ac:dyDescent="0.25">
      <c r="A1197" s="127">
        <v>44636</v>
      </c>
      <c r="B1197" s="24" t="s">
        <v>19</v>
      </c>
      <c r="C1197" s="21">
        <f t="shared" si="22"/>
        <v>497.66</v>
      </c>
      <c r="BD1197" s="121">
        <v>28.08</v>
      </c>
      <c r="BJ1197" s="121">
        <v>31.31</v>
      </c>
      <c r="BL1197" s="182">
        <v>35.72</v>
      </c>
      <c r="BR1197" s="182">
        <v>68.28</v>
      </c>
      <c r="BV1197" s="121">
        <v>31.51</v>
      </c>
      <c r="BX1197" s="182">
        <v>32.47</v>
      </c>
      <c r="CC1197" s="126">
        <v>65.87</v>
      </c>
      <c r="CJ1197" s="182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22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22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22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22"/>
        <v>-16.27</v>
      </c>
      <c r="BR1204" s="182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22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22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22"/>
        <v>680.75</v>
      </c>
      <c r="O1210" s="375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22"/>
        <v>808.36</v>
      </c>
      <c r="O1216" s="375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22"/>
        <v>-25.62</v>
      </c>
      <c r="CR1218" s="375">
        <v>-25.62</v>
      </c>
    </row>
    <row r="1219" spans="1:229" x14ac:dyDescent="0.25">
      <c r="A1219" s="127">
        <v>44642</v>
      </c>
      <c r="B1219" s="24" t="s">
        <v>2</v>
      </c>
      <c r="C1219" s="21">
        <f t="shared" si="22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22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23"/>
        <v>801.75</v>
      </c>
      <c r="O1226" s="375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23"/>
        <v>-8.6449999999999996</v>
      </c>
      <c r="O1229" s="375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23"/>
        <v>-8.1300000000000008</v>
      </c>
      <c r="AZ1233" s="182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23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23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23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23"/>
        <v>-16.47</v>
      </c>
      <c r="BX1243" s="182">
        <v>-16.47</v>
      </c>
    </row>
    <row r="1244" spans="1:219" x14ac:dyDescent="0.25">
      <c r="A1244" s="127">
        <v>44645</v>
      </c>
      <c r="B1244" s="24" t="s">
        <v>78</v>
      </c>
      <c r="C1244" s="21">
        <f t="shared" si="23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375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375">
        <v>-34.299999999999997</v>
      </c>
      <c r="CX1245" s="69">
        <v>-33.6</v>
      </c>
      <c r="DD1245" s="69">
        <v>-33.645000000000003</v>
      </c>
      <c r="DJ1245" s="69">
        <v>-33.82</v>
      </c>
      <c r="DO1245" s="375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23"/>
        <v>-237.09</v>
      </c>
      <c r="CF1250" s="69">
        <v>-34.674999999999997</v>
      </c>
      <c r="CR1250" s="375">
        <v>-34.134999999999998</v>
      </c>
      <c r="DD1250" s="69">
        <v>-33.450000000000003</v>
      </c>
      <c r="DJ1250" s="69">
        <v>-67.5</v>
      </c>
      <c r="DO1250" s="375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23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375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375">
        <v>-34.83</v>
      </c>
    </row>
    <row r="1259" spans="1:198" x14ac:dyDescent="0.25">
      <c r="A1259" s="127">
        <v>44648</v>
      </c>
      <c r="B1259" s="24" t="s">
        <v>15</v>
      </c>
      <c r="C1259" s="21">
        <f t="shared" si="23"/>
        <v>-66.995000000000005</v>
      </c>
      <c r="BJ1259" s="121">
        <v>-15.89</v>
      </c>
      <c r="BR1259" s="182">
        <v>-17.18</v>
      </c>
      <c r="CL1259" s="69">
        <v>-8.5500000000000007</v>
      </c>
      <c r="DJ1259" s="69">
        <v>-16.895</v>
      </c>
      <c r="DO1259" s="375">
        <v>-8.48</v>
      </c>
    </row>
    <row r="1260" spans="1:198" x14ac:dyDescent="0.25">
      <c r="A1260" s="127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23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375">
        <v>-17.09</v>
      </c>
    </row>
    <row r="1265" spans="1:234" x14ac:dyDescent="0.25">
      <c r="A1265" s="127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23"/>
        <v>-25.574999999999999</v>
      </c>
      <c r="O1266" s="375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23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23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82">
        <v>-25.26</v>
      </c>
      <c r="CL1270" s="69">
        <v>-25.405000000000001</v>
      </c>
      <c r="CR1270" s="375">
        <v>-16.96</v>
      </c>
    </row>
    <row r="1271" spans="1:234" x14ac:dyDescent="0.25">
      <c r="A1271" s="127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23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23"/>
        <v>0</v>
      </c>
    </row>
    <row r="1274" spans="1:234" x14ac:dyDescent="0.25">
      <c r="A1274" s="127">
        <v>44651</v>
      </c>
      <c r="B1274" s="24" t="s">
        <v>18</v>
      </c>
      <c r="C1274" s="21">
        <f t="shared" si="23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23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23"/>
        <v>-7.45</v>
      </c>
      <c r="BX1277" s="182">
        <v>-7.45</v>
      </c>
    </row>
    <row r="1278" spans="1:234" x14ac:dyDescent="0.25">
      <c r="A1278" s="127">
        <v>44653</v>
      </c>
      <c r="B1278" s="29" t="s">
        <v>31</v>
      </c>
      <c r="C1278" s="21">
        <f t="shared" si="23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23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23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375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23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4"/>
        <v>-40.204999999999998</v>
      </c>
      <c r="BD1290" s="121">
        <v>-6.68</v>
      </c>
      <c r="BR1290" s="182">
        <v>-8.4499999999999993</v>
      </c>
      <c r="BX1290" s="182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4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4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4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4"/>
        <v>0</v>
      </c>
    </row>
    <row r="1300" spans="1:241" x14ac:dyDescent="0.25">
      <c r="A1300" s="127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4"/>
        <v>-25.81</v>
      </c>
      <c r="BR1301" s="182">
        <v>-25.81</v>
      </c>
    </row>
    <row r="1302" spans="1:241" x14ac:dyDescent="0.25">
      <c r="A1302" s="127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4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4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4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4"/>
        <v>-34.06</v>
      </c>
      <c r="CR1308" s="375">
        <v>-34.06</v>
      </c>
    </row>
    <row r="1309" spans="1:241" x14ac:dyDescent="0.25">
      <c r="A1309" s="127">
        <v>44662</v>
      </c>
      <c r="B1309" s="24" t="s">
        <v>17</v>
      </c>
      <c r="C1309" s="21">
        <f t="shared" si="24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4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4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4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4"/>
        <v>-39.93</v>
      </c>
      <c r="AZ1317" s="182">
        <v>-8.5</v>
      </c>
      <c r="BD1317" s="121">
        <v>-6.99</v>
      </c>
      <c r="BJ1317" s="121">
        <f>-8.01-7.83</f>
        <v>-15.84</v>
      </c>
      <c r="BR1317" s="182">
        <v>-8.6</v>
      </c>
    </row>
    <row r="1318" spans="1:242" x14ac:dyDescent="0.25">
      <c r="A1318" s="127">
        <v>44666</v>
      </c>
      <c r="B1318" s="24" t="s">
        <v>113</v>
      </c>
      <c r="C1318" s="21">
        <f t="shared" si="24"/>
        <v>1989.52</v>
      </c>
      <c r="AW1318" s="106">
        <v>321.27999999999997</v>
      </c>
      <c r="BC1318" s="106">
        <v>318.20999999999998</v>
      </c>
      <c r="BI1318" s="106">
        <v>322.31</v>
      </c>
      <c r="BO1318" s="106">
        <v>338.5</v>
      </c>
      <c r="CS1318" s="74">
        <v>338.47</v>
      </c>
      <c r="CY1318" s="106">
        <v>350.75</v>
      </c>
    </row>
    <row r="1319" spans="1:242" x14ac:dyDescent="0.25">
      <c r="A1319" s="127">
        <v>44666</v>
      </c>
      <c r="B1319" s="24" t="s">
        <v>25</v>
      </c>
      <c r="C1319" s="21">
        <f t="shared" si="24"/>
        <v>-25.524999999999999</v>
      </c>
      <c r="BO1319" s="106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106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4"/>
        <v>-25.35</v>
      </c>
      <c r="AW1322" s="106">
        <v>-25.35</v>
      </c>
    </row>
    <row r="1323" spans="1:242" x14ac:dyDescent="0.25">
      <c r="A1323" s="127">
        <v>44667</v>
      </c>
      <c r="B1323" s="24" t="s">
        <v>32</v>
      </c>
      <c r="C1323" s="21">
        <f t="shared" si="24"/>
        <v>-24.35</v>
      </c>
      <c r="CS1323" s="74">
        <v>-8.36</v>
      </c>
      <c r="CY1323" s="106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375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4"/>
        <v>-153.255</v>
      </c>
      <c r="O1325" s="375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106">
        <v>-8.41</v>
      </c>
      <c r="BI1325" s="106">
        <f>-8.28-8.67-8.29</f>
        <v>-25.24</v>
      </c>
      <c r="BO1325" s="106">
        <f>-8.55-8.55</f>
        <v>-17.100000000000001</v>
      </c>
      <c r="CL1325" s="69">
        <f>-8.49-8.48-8.445-8.485</f>
        <v>-33.9</v>
      </c>
      <c r="CR1325" s="375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4"/>
        <v>-25.19</v>
      </c>
      <c r="AW1329" s="106">
        <v>-8.42</v>
      </c>
      <c r="BC1329" s="106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106">
        <v>-33.869999999999997</v>
      </c>
      <c r="BO1330" s="106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4"/>
        <v>-8.67</v>
      </c>
      <c r="O1331" s="375">
        <v>-8.67</v>
      </c>
    </row>
    <row r="1332" spans="1:204" x14ac:dyDescent="0.25">
      <c r="A1332" s="127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4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106">
        <v>-34.01</v>
      </c>
      <c r="BC1334" s="106">
        <v>-42.19</v>
      </c>
      <c r="BI1334" s="106">
        <v>-33.049999999999997</v>
      </c>
      <c r="BO1334" s="106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4"/>
        <v>-80.61</v>
      </c>
      <c r="AW1335" s="106">
        <v>-8.43</v>
      </c>
      <c r="BA1335" s="42">
        <v>-8.51</v>
      </c>
      <c r="BI1335" s="106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4"/>
        <v>-33.909999999999997</v>
      </c>
      <c r="BI1336" s="106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4"/>
        <v>-242.47</v>
      </c>
      <c r="AW1337" s="106">
        <v>-33.880000000000003</v>
      </c>
      <c r="BC1337" s="106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4"/>
        <v>-202.255</v>
      </c>
      <c r="AW1338" s="106">
        <v>-33.76</v>
      </c>
      <c r="BC1338" s="106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4"/>
        <v>-245.64</v>
      </c>
      <c r="BI1339" s="106">
        <v>-34.56</v>
      </c>
      <c r="BO1339" s="106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4"/>
        <v>-102.99</v>
      </c>
      <c r="AW1341" s="106">
        <v>-33.950000000000003</v>
      </c>
      <c r="BC1341" s="106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4"/>
        <v>-102.89</v>
      </c>
      <c r="AW1342" s="106">
        <v>-33.68</v>
      </c>
      <c r="BC1342" s="106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4"/>
        <v>-170.17</v>
      </c>
      <c r="AW1343" s="106">
        <v>-33.74</v>
      </c>
      <c r="BC1343" s="106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106">
        <v>-17</v>
      </c>
      <c r="BC1344" s="106">
        <v>-16.71</v>
      </c>
      <c r="BI1344" s="106">
        <v>-17.29</v>
      </c>
      <c r="BO1344" s="106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4"/>
        <v>-312.11</v>
      </c>
      <c r="AP1346" s="42">
        <v>-34.479999999999997</v>
      </c>
      <c r="AW1346" s="106">
        <v>-33.700000000000003</v>
      </c>
      <c r="BA1346" s="42">
        <v>-34.75</v>
      </c>
      <c r="BI1346" s="106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4"/>
        <v>-173.36</v>
      </c>
      <c r="AW1348" s="106">
        <v>-16.88</v>
      </c>
      <c r="BC1348" s="106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106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4"/>
        <v>-51.29</v>
      </c>
      <c r="AP1350" s="42">
        <v>-8.43</v>
      </c>
      <c r="AW1350" s="106">
        <v>-8.48</v>
      </c>
      <c r="BC1350" s="106">
        <v>-8.4499999999999993</v>
      </c>
      <c r="BI1350" s="106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4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5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106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5"/>
        <v>-16.93</v>
      </c>
      <c r="AZ1359" s="182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5"/>
        <v>-51.62</v>
      </c>
      <c r="AP1360" s="42">
        <v>-8.31</v>
      </c>
      <c r="BI1360" s="106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5"/>
        <v>0</v>
      </c>
    </row>
    <row r="1363" spans="1:241" x14ac:dyDescent="0.25">
      <c r="A1363" s="127">
        <v>44672</v>
      </c>
      <c r="B1363" s="24" t="s">
        <v>14</v>
      </c>
      <c r="C1363" s="21">
        <f t="shared" si="25"/>
        <v>-164.44</v>
      </c>
      <c r="Y1363" s="69">
        <v>-8.59</v>
      </c>
      <c r="BC1363" s="106">
        <v>-33.4</v>
      </c>
      <c r="BI1363" s="106">
        <v>-34.909999999999997</v>
      </c>
      <c r="BO1363" s="106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5"/>
        <v>-8.89</v>
      </c>
      <c r="CY1366" s="106">
        <v>-8.89</v>
      </c>
    </row>
    <row r="1367" spans="1:241" x14ac:dyDescent="0.25">
      <c r="A1367" s="127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106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5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5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5"/>
        <v>0</v>
      </c>
    </row>
    <row r="1380" spans="1:101" x14ac:dyDescent="0.25">
      <c r="A1380" s="127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5"/>
        <v>0</v>
      </c>
    </row>
    <row r="1384" spans="1:101" x14ac:dyDescent="0.25">
      <c r="A1384" s="127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106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5"/>
        <v>-34.47</v>
      </c>
      <c r="BC1386" s="106">
        <v>-8.4700000000000006</v>
      </c>
      <c r="BG1386" s="42">
        <v>-8.73</v>
      </c>
      <c r="BO1386" s="106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5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106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5"/>
        <v>1076.98</v>
      </c>
      <c r="BU1390" s="106">
        <v>353.75</v>
      </c>
      <c r="BZ1390" s="69">
        <v>376.75</v>
      </c>
      <c r="CG1390" s="106">
        <v>346.48</v>
      </c>
    </row>
    <row r="1391" spans="1:101" x14ac:dyDescent="0.25">
      <c r="A1391" s="127">
        <v>44680</v>
      </c>
      <c r="B1391" s="24" t="s">
        <v>33</v>
      </c>
      <c r="C1391" s="21">
        <f t="shared" si="25"/>
        <v>-19.7</v>
      </c>
      <c r="O1391" s="375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5"/>
        <v>-200.08</v>
      </c>
      <c r="BA1394" s="42">
        <v>-33.15</v>
      </c>
      <c r="BU1394" s="106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5"/>
        <v>-99.56</v>
      </c>
      <c r="AU1396" s="42">
        <v>-17.850000000000001</v>
      </c>
      <c r="BA1396" s="42">
        <v>-8.7799999999999994</v>
      </c>
      <c r="BG1396" s="42">
        <v>-7.61</v>
      </c>
      <c r="BO1396" s="106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106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106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106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5"/>
        <v>-67.819999999999993</v>
      </c>
      <c r="BU1402" s="106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5"/>
        <v>-222.14</v>
      </c>
      <c r="BA1403" s="42">
        <v>-34.9</v>
      </c>
      <c r="BG1403" s="42">
        <v>-27.39</v>
      </c>
      <c r="BM1403" s="88">
        <v>-34.799999999999997</v>
      </c>
      <c r="BU1403" s="106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106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5"/>
        <v>-34.9</v>
      </c>
      <c r="BU1405" s="106">
        <v>-34.9</v>
      </c>
    </row>
    <row r="1406" spans="1:229" x14ac:dyDescent="0.25">
      <c r="A1406" s="127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82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5"/>
        <v>-81.19</v>
      </c>
      <c r="BJ1414" s="121">
        <v>-7.76</v>
      </c>
      <c r="BU1414" s="106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5"/>
        <v>-25.63</v>
      </c>
      <c r="BL1415" s="182">
        <v>-8.73</v>
      </c>
      <c r="BM1415" s="88">
        <v>-8.65</v>
      </c>
      <c r="BU1415" s="106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82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6"/>
        <v>-42.4</v>
      </c>
      <c r="BU1417" s="106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6"/>
        <v>-182.1</v>
      </c>
      <c r="AL1418" s="42">
        <v>-35.590000000000003</v>
      </c>
      <c r="BU1418" s="106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6"/>
        <v>-211.255</v>
      </c>
      <c r="BZ1419" s="69">
        <v>-34.450000000000003</v>
      </c>
      <c r="CE1419" s="42">
        <v>-34.99</v>
      </c>
      <c r="CR1419" s="375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6"/>
        <v>0</v>
      </c>
    </row>
    <row r="1423" spans="1:187" x14ac:dyDescent="0.25">
      <c r="A1423" s="127">
        <v>44692</v>
      </c>
      <c r="B1423" s="24" t="s">
        <v>45</v>
      </c>
      <c r="C1423" s="21">
        <f t="shared" si="26"/>
        <v>-23.77</v>
      </c>
      <c r="O1423" s="375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6"/>
        <v>0</v>
      </c>
    </row>
    <row r="1431" spans="1:219" x14ac:dyDescent="0.25">
      <c r="A1431" s="127">
        <v>44694</v>
      </c>
      <c r="B1431" s="24" t="s">
        <v>32</v>
      </c>
      <c r="C1431" s="21">
        <f t="shared" si="26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6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6"/>
        <v>-34.71</v>
      </c>
      <c r="BL1433" s="182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6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6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106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6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6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106">
        <v>-8.77</v>
      </c>
    </row>
    <row r="1441" spans="1:240" x14ac:dyDescent="0.25">
      <c r="A1441" s="127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6"/>
        <v>-41.945</v>
      </c>
      <c r="BN1443" s="69">
        <v>-8.3849999999999998</v>
      </c>
      <c r="BT1443" s="69">
        <v>-8.5</v>
      </c>
      <c r="CQ1443" s="42">
        <v>-8.73</v>
      </c>
      <c r="CY1443" s="106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6"/>
        <v>-8.75</v>
      </c>
      <c r="BU1449" s="106">
        <v>-8.75</v>
      </c>
    </row>
    <row r="1450" spans="1:240" x14ac:dyDescent="0.25">
      <c r="A1450" s="127">
        <v>44699</v>
      </c>
      <c r="B1450" s="24" t="s">
        <v>80</v>
      </c>
      <c r="C1450" s="21">
        <f t="shared" si="26"/>
        <v>-8.75</v>
      </c>
      <c r="BU1450" s="106">
        <v>-8.75</v>
      </c>
    </row>
    <row r="1451" spans="1:240" x14ac:dyDescent="0.25">
      <c r="A1451" s="127">
        <v>44699</v>
      </c>
      <c r="B1451" s="24" t="s">
        <v>15</v>
      </c>
      <c r="C1451" s="21">
        <f t="shared" si="26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6"/>
        <v>-17.309999999999999</v>
      </c>
      <c r="AQ1452" s="69">
        <v>-8.49</v>
      </c>
      <c r="CG1452" s="106">
        <v>-8.82</v>
      </c>
    </row>
    <row r="1453" spans="1:240" x14ac:dyDescent="0.25">
      <c r="A1453" s="127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6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7">SUM(D1457:JT1457)</f>
        <v>700.95</v>
      </c>
      <c r="D1457" s="386">
        <v>206.86</v>
      </c>
      <c r="E1457" s="386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375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106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106"/>
      <c r="AO1457" s="46"/>
      <c r="AP1457" s="139"/>
      <c r="AQ1457" s="69"/>
      <c r="AR1457" s="106"/>
      <c r="AS1457" s="140"/>
      <c r="AT1457" s="138"/>
      <c r="AU1457" s="139"/>
      <c r="AV1457" s="69"/>
      <c r="AW1457" s="106"/>
      <c r="AX1457" s="183"/>
      <c r="AY1457" s="126"/>
      <c r="AZ1457" s="182"/>
      <c r="BA1457" s="42"/>
      <c r="BB1457" s="69"/>
      <c r="BC1457" s="106"/>
      <c r="BD1457" s="140"/>
      <c r="BE1457" s="140"/>
      <c r="BF1457" s="182"/>
      <c r="BG1457" s="185"/>
      <c r="BH1457" s="69"/>
      <c r="BI1457" s="106"/>
      <c r="BJ1457" s="140"/>
      <c r="BK1457" s="140"/>
      <c r="BL1457" s="182"/>
      <c r="BM1457" s="88">
        <v>34</v>
      </c>
      <c r="BN1457" s="69"/>
      <c r="BO1457" s="106"/>
      <c r="BP1457" s="140"/>
      <c r="BQ1457" s="126"/>
      <c r="BR1457" s="182"/>
      <c r="BS1457" s="139"/>
      <c r="BT1457" s="69"/>
      <c r="BU1457" s="106"/>
      <c r="BV1457" s="140"/>
      <c r="BW1457" s="126"/>
      <c r="BX1457" s="182"/>
      <c r="BY1457" s="42"/>
      <c r="BZ1457" s="69"/>
      <c r="CA1457" s="106"/>
      <c r="CB1457" s="140"/>
      <c r="CC1457" s="140"/>
      <c r="CD1457" s="182"/>
      <c r="CE1457" s="42"/>
      <c r="CF1457" s="69"/>
      <c r="CG1457" s="106">
        <v>-11.43</v>
      </c>
      <c r="CH1457" s="140"/>
      <c r="CI1457" s="140"/>
      <c r="CJ1457" s="182"/>
      <c r="CK1457" s="42">
        <v>34.93</v>
      </c>
      <c r="CL1457" s="69"/>
      <c r="CM1457" s="106"/>
      <c r="CN1457" s="140"/>
      <c r="CO1457" s="126"/>
      <c r="CP1457" s="182"/>
      <c r="CQ1457" s="139">
        <v>-34.200000000000003</v>
      </c>
      <c r="CR1457" s="375"/>
      <c r="CS1457" s="74"/>
      <c r="CT1457" s="140"/>
      <c r="CU1457" s="126"/>
      <c r="CV1457" s="138"/>
      <c r="CW1457" s="42">
        <v>8.0500000000000007</v>
      </c>
      <c r="CX1457" s="69"/>
      <c r="CY1457" s="106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106"/>
      <c r="DL1457" s="121"/>
      <c r="DM1457" s="46"/>
      <c r="DN1457" s="139">
        <v>0.35</v>
      </c>
      <c r="DO1457" s="375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378"/>
      <c r="IW1457" s="262"/>
    </row>
    <row r="1458" spans="1:257" x14ac:dyDescent="0.25">
      <c r="A1458" s="127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106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7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6">
        <v>-7.92</v>
      </c>
      <c r="CG1466" s="106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7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7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7"/>
        <v>-8.65</v>
      </c>
      <c r="O1472" s="375">
        <v>-8.65</v>
      </c>
    </row>
    <row r="1473" spans="1:239" x14ac:dyDescent="0.25">
      <c r="A1473" s="127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7"/>
        <v>576.9</v>
      </c>
      <c r="S1475" s="74">
        <v>20.52</v>
      </c>
      <c r="V1475" s="74">
        <v>89.65</v>
      </c>
      <c r="AN1475" s="106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7"/>
        <v>224.6</v>
      </c>
      <c r="AN1476" s="106">
        <v>30.8</v>
      </c>
      <c r="AR1476" s="106">
        <v>72.650000000000006</v>
      </c>
      <c r="AW1476" s="106">
        <v>59</v>
      </c>
      <c r="BO1476" s="106">
        <v>62.15</v>
      </c>
    </row>
    <row r="1477" spans="1:239" x14ac:dyDescent="0.25">
      <c r="A1477" s="127">
        <v>44707</v>
      </c>
      <c r="B1477" s="29" t="s">
        <v>15</v>
      </c>
      <c r="C1477" s="21">
        <f t="shared" si="27"/>
        <v>-41.42</v>
      </c>
      <c r="BO1477" s="106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27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7"/>
        <v>-31.05</v>
      </c>
      <c r="BO1481" s="106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7"/>
        <v>-7.8</v>
      </c>
      <c r="BO1482" s="106">
        <v>-7.8</v>
      </c>
    </row>
    <row r="1483" spans="1:239" x14ac:dyDescent="0.25">
      <c r="A1483" s="127">
        <v>44711</v>
      </c>
      <c r="B1483" s="24" t="s">
        <v>130</v>
      </c>
      <c r="C1483" s="21">
        <f t="shared" si="27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7"/>
        <v>-406.77499999999998</v>
      </c>
      <c r="Y1487" s="69">
        <v>-8.7349999999999994</v>
      </c>
      <c r="AR1487" s="106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7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7"/>
        <v>-34.21</v>
      </c>
      <c r="BG1493" s="42">
        <v>-8.51</v>
      </c>
      <c r="BO1493" s="106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7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7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7"/>
        <v>0</v>
      </c>
    </row>
    <row r="1501" spans="1:229" x14ac:dyDescent="0.25">
      <c r="A1501" s="127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106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7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7"/>
        <v>-167.84</v>
      </c>
      <c r="AN1506" s="106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7"/>
        <v>-66</v>
      </c>
      <c r="AN1507" s="106">
        <v>-66</v>
      </c>
    </row>
    <row r="1508" spans="1:240" x14ac:dyDescent="0.25">
      <c r="A1508" s="127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7"/>
        <v>-337.94</v>
      </c>
      <c r="O1510" s="375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7"/>
        <v>0</v>
      </c>
    </row>
    <row r="1512" spans="1:240" x14ac:dyDescent="0.25">
      <c r="A1512" s="127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7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8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8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8"/>
        <v>-128.6</v>
      </c>
      <c r="AE1524" s="42">
        <v>-7.54</v>
      </c>
      <c r="AR1524" s="106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8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8"/>
        <v>-25.7</v>
      </c>
      <c r="E1527" s="386">
        <v>-25.7</v>
      </c>
    </row>
    <row r="1528" spans="1:228" x14ac:dyDescent="0.25">
      <c r="A1528" s="127">
        <v>44718</v>
      </c>
      <c r="B1528" s="24" t="s">
        <v>20</v>
      </c>
      <c r="C1528" s="21">
        <f t="shared" si="28"/>
        <v>-23.12</v>
      </c>
      <c r="O1528" s="375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8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8"/>
        <v>0</v>
      </c>
    </row>
    <row r="1532" spans="1:228" x14ac:dyDescent="0.25">
      <c r="A1532" s="127">
        <v>44719</v>
      </c>
      <c r="B1532" s="24" t="s">
        <v>113</v>
      </c>
      <c r="C1532" s="21">
        <f t="shared" si="28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106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8"/>
        <v>0</v>
      </c>
    </row>
    <row r="1538" spans="1:228" x14ac:dyDescent="0.25">
      <c r="A1538" s="127">
        <v>44719</v>
      </c>
      <c r="B1538" s="24" t="s">
        <v>75</v>
      </c>
      <c r="C1538" s="21">
        <f t="shared" si="28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8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8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8"/>
        <v>-227</v>
      </c>
      <c r="AB1544" s="69">
        <v>-8.4600000000000009</v>
      </c>
      <c r="AQ1544" s="69">
        <v>-8.4949999999999992</v>
      </c>
      <c r="AR1544" s="106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8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8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8"/>
        <v>0</v>
      </c>
    </row>
    <row r="1555" spans="1:186" x14ac:dyDescent="0.25">
      <c r="A1555" s="127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8"/>
        <v>0</v>
      </c>
    </row>
    <row r="1560" spans="1:186" x14ac:dyDescent="0.25">
      <c r="A1560" s="127">
        <v>44726</v>
      </c>
      <c r="B1560" s="24" t="s">
        <v>84</v>
      </c>
      <c r="C1560" s="21">
        <f t="shared" si="28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8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8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8"/>
        <v>0</v>
      </c>
    </row>
    <row r="1565" spans="1:186" x14ac:dyDescent="0.25">
      <c r="A1565" s="127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8"/>
        <v>856.49</v>
      </c>
      <c r="AR1568" s="106">
        <v>102.37</v>
      </c>
      <c r="BC1568" s="106">
        <v>94.6</v>
      </c>
      <c r="BI1568" s="106">
        <v>162.35</v>
      </c>
      <c r="BO1568" s="106">
        <v>158.4</v>
      </c>
      <c r="BU1568" s="106">
        <v>154.05000000000001</v>
      </c>
      <c r="CA1568" s="106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8"/>
        <v>-77.13</v>
      </c>
      <c r="AE1569" s="42">
        <v>-8.39</v>
      </c>
      <c r="AW1569" s="106">
        <v>-8.0500000000000007</v>
      </c>
      <c r="BA1569" s="42">
        <v>-8.85</v>
      </c>
      <c r="BG1569" s="42">
        <v>-8.83</v>
      </c>
      <c r="BO1569" s="106">
        <v>-8.15</v>
      </c>
      <c r="BS1569" s="42">
        <v>-8.6300000000000008</v>
      </c>
      <c r="CA1569" s="106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8"/>
        <v>-59.11</v>
      </c>
      <c r="AR1570" s="106">
        <v>-8.51</v>
      </c>
      <c r="BO1570" s="106">
        <v>-16.3</v>
      </c>
      <c r="BU1570" s="106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8"/>
        <v>-8.15</v>
      </c>
      <c r="BO1571" s="106">
        <v>-8.15</v>
      </c>
    </row>
    <row r="1572" spans="1:223" x14ac:dyDescent="0.25">
      <c r="A1572" s="127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8"/>
        <v>-132.1</v>
      </c>
      <c r="BC1573" s="106">
        <v>-31.05</v>
      </c>
      <c r="BI1573" s="106">
        <v>-35.85</v>
      </c>
      <c r="CA1573" s="106">
        <v>-31.96</v>
      </c>
      <c r="CG1573" s="106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8"/>
        <v>-17.309999999999999</v>
      </c>
      <c r="BO1574" s="106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8"/>
        <v>-295.06</v>
      </c>
      <c r="AE1575" s="42">
        <v>-8.42</v>
      </c>
      <c r="BC1575" s="106">
        <v>-32.4</v>
      </c>
      <c r="BI1575" s="106">
        <v>-62.35</v>
      </c>
      <c r="BO1575" s="106">
        <v>-31.25</v>
      </c>
      <c r="BU1575" s="106">
        <v>-34.65</v>
      </c>
      <c r="CA1575" s="106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8"/>
        <v>0</v>
      </c>
    </row>
    <row r="1577" spans="1:223" x14ac:dyDescent="0.25">
      <c r="A1577" s="127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106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8"/>
        <v>-41.75</v>
      </c>
      <c r="BC1578" s="106">
        <v>-17.149999999999999</v>
      </c>
      <c r="BI1578" s="106">
        <v>-16.100000000000001</v>
      </c>
      <c r="BO1578" s="106">
        <v>-8.5</v>
      </c>
    </row>
    <row r="1579" spans="1:223" x14ac:dyDescent="0.25">
      <c r="A1579" s="127">
        <v>44730</v>
      </c>
      <c r="B1579" s="24" t="s">
        <v>78</v>
      </c>
      <c r="C1579" s="21">
        <f t="shared" si="28"/>
        <v>-15.99</v>
      </c>
      <c r="AW1579" s="106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8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8"/>
        <v>-16.95</v>
      </c>
      <c r="AR1582" s="106">
        <v>-16.95</v>
      </c>
    </row>
    <row r="1583" spans="1:223" x14ac:dyDescent="0.25">
      <c r="A1583" s="127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106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9"/>
        <v>-44.23</v>
      </c>
      <c r="BC1589" s="106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106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9"/>
        <v>-53.68</v>
      </c>
      <c r="AB1592" s="69">
        <v>-8.48</v>
      </c>
      <c r="AW1592" s="106">
        <v>-7.1</v>
      </c>
      <c r="BC1592" s="106">
        <v>-6.55</v>
      </c>
      <c r="BI1592" s="106">
        <v>-8.25</v>
      </c>
      <c r="BO1592" s="106">
        <v>-8.4</v>
      </c>
      <c r="BU1592" s="106">
        <v>-7.85</v>
      </c>
      <c r="CA1592" s="106">
        <v>-7.05</v>
      </c>
    </row>
    <row r="1593" spans="1:207" x14ac:dyDescent="0.25">
      <c r="A1593" s="127">
        <v>44733</v>
      </c>
      <c r="B1593" s="24" t="s">
        <v>75</v>
      </c>
      <c r="C1593" s="21">
        <f t="shared" si="29"/>
        <v>-16.350000000000001</v>
      </c>
      <c r="BU1593" s="106">
        <v>-8</v>
      </c>
      <c r="CA1593" s="106">
        <v>-8.35</v>
      </c>
    </row>
    <row r="1594" spans="1:207" x14ac:dyDescent="0.25">
      <c r="A1594" s="127">
        <v>44733</v>
      </c>
      <c r="B1594" s="24" t="s">
        <v>138</v>
      </c>
      <c r="C1594" s="21">
        <f t="shared" si="29"/>
        <v>-25.09</v>
      </c>
      <c r="AB1594" s="69">
        <v>-8.48</v>
      </c>
      <c r="AL1594" s="42">
        <v>-8.0500000000000007</v>
      </c>
      <c r="AR1594" s="106">
        <v>-8.56</v>
      </c>
    </row>
    <row r="1595" spans="1:207" x14ac:dyDescent="0.25">
      <c r="A1595" s="127">
        <v>44733</v>
      </c>
      <c r="B1595" s="24" t="s">
        <v>137</v>
      </c>
      <c r="C1595" s="21">
        <f t="shared" si="29"/>
        <v>-32.18</v>
      </c>
      <c r="AW1595" s="106">
        <v>-7.6</v>
      </c>
      <c r="BI1595" s="106">
        <v>-7.2</v>
      </c>
      <c r="BO1595" s="106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9"/>
        <v>-22.63</v>
      </c>
      <c r="Y1596" s="69">
        <v>-5.5149999999999997</v>
      </c>
      <c r="AB1596" s="69">
        <v>-8.4649999999999999</v>
      </c>
      <c r="BU1596" s="106">
        <v>-8.65</v>
      </c>
    </row>
    <row r="1597" spans="1:207" x14ac:dyDescent="0.25">
      <c r="A1597" s="127">
        <v>44733</v>
      </c>
      <c r="B1597" s="24" t="s">
        <v>58</v>
      </c>
      <c r="C1597" s="21">
        <f t="shared" si="29"/>
        <v>0</v>
      </c>
    </row>
    <row r="1598" spans="1:207" x14ac:dyDescent="0.25">
      <c r="A1598" s="127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9"/>
        <v>-35.119999999999997</v>
      </c>
      <c r="BU1600" s="106">
        <v>-17.25</v>
      </c>
      <c r="CY1600" s="106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9"/>
        <v>-76.290000000000006</v>
      </c>
      <c r="O1602" s="375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9"/>
        <v>-23.85</v>
      </c>
      <c r="AW1604" s="106">
        <v>-15.2</v>
      </c>
      <c r="BU1604" s="106">
        <v>-8.65</v>
      </c>
    </row>
    <row r="1605" spans="1:238" x14ac:dyDescent="0.25">
      <c r="A1605" s="127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106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9"/>
        <v>-34.36</v>
      </c>
      <c r="BU1610" s="106">
        <v>-8.65</v>
      </c>
      <c r="CA1610" s="106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9"/>
        <v>151.65</v>
      </c>
      <c r="DK1611" s="106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9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9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106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9"/>
        <v>-39.92</v>
      </c>
      <c r="BI1617" s="106">
        <v>-7.65</v>
      </c>
      <c r="BO1617" s="106">
        <v>-6.4</v>
      </c>
      <c r="BU1617" s="106">
        <v>-8.6999999999999993</v>
      </c>
      <c r="CA1617" s="106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106">
        <v>-7.6</v>
      </c>
      <c r="BI1618" s="106">
        <v>-7.9</v>
      </c>
      <c r="BO1618" s="106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9"/>
        <v>-1138.4100000000001</v>
      </c>
      <c r="AR1620" s="106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106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9"/>
        <v>-8.5500000000000007</v>
      </c>
      <c r="AR1621" s="106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9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</v>
      </c>
      <c r="BU1624" s="106">
        <f>-8.65-8.7</f>
        <v>-17.350000000000001</v>
      </c>
      <c r="CA1624" s="106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9"/>
        <v>-77.03</v>
      </c>
      <c r="O1625" s="375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9"/>
        <v>-25.6</v>
      </c>
      <c r="AR1626" s="106">
        <v>-8.5500000000000007</v>
      </c>
      <c r="BI1626" s="106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9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9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9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9"/>
        <v>153.22999999999999</v>
      </c>
      <c r="BD1633" s="121">
        <v>27.57</v>
      </c>
      <c r="BL1633" s="182">
        <v>33.83</v>
      </c>
      <c r="BR1633" s="182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9"/>
        <v>34.6</v>
      </c>
      <c r="CA1634" s="106">
        <f>8.55+8.6</f>
        <v>17.149999999999999</v>
      </c>
      <c r="CY1634" s="106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9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9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106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106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9"/>
        <v>-25.76</v>
      </c>
      <c r="D1642" s="386">
        <v>-25.76</v>
      </c>
    </row>
    <row r="1643" spans="1:198" x14ac:dyDescent="0.25">
      <c r="A1643" s="127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9"/>
        <v>-14.77</v>
      </c>
      <c r="BM1644" s="88">
        <v>-8.42</v>
      </c>
      <c r="BO1644" s="106">
        <v>-6.35</v>
      </c>
    </row>
    <row r="1645" spans="1:198" x14ac:dyDescent="0.25">
      <c r="A1645" s="127">
        <v>44743</v>
      </c>
      <c r="B1645" s="24" t="s">
        <v>95</v>
      </c>
      <c r="C1645" s="21">
        <f t="shared" si="29"/>
        <v>-383.04500000000002</v>
      </c>
      <c r="AR1645" s="106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106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106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30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30"/>
        <v>-25.9</v>
      </c>
      <c r="DK1651" s="106">
        <v>-25.9</v>
      </c>
    </row>
    <row r="1652" spans="1:231" x14ac:dyDescent="0.25">
      <c r="A1652" s="133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30"/>
        <v>376.32</v>
      </c>
      <c r="BD1653" s="121">
        <v>27.34</v>
      </c>
      <c r="BR1653" s="182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82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30"/>
        <v>0</v>
      </c>
    </row>
    <row r="1658" spans="1:231" x14ac:dyDescent="0.25">
      <c r="A1658" s="127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30"/>
        <v>354.05</v>
      </c>
      <c r="CY1664" s="106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30"/>
        <v>0</v>
      </c>
    </row>
    <row r="1666" spans="1:242" x14ac:dyDescent="0.25">
      <c r="A1666" s="133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30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106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30"/>
        <v>0</v>
      </c>
    </row>
    <row r="1671" spans="1:242" x14ac:dyDescent="0.25">
      <c r="A1671" s="133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30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30"/>
        <v>-46.63</v>
      </c>
      <c r="AW1673" s="106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106">
        <v>-7.9</v>
      </c>
    </row>
    <row r="1674" spans="1:242" x14ac:dyDescent="0.25">
      <c r="A1674" s="133">
        <v>44761</v>
      </c>
      <c r="B1674" s="64" t="s">
        <v>127</v>
      </c>
      <c r="C1674" s="21">
        <f t="shared" si="30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30"/>
        <v>-25.62</v>
      </c>
      <c r="D1682" s="386">
        <v>-25.62</v>
      </c>
    </row>
    <row r="1683" spans="1:238" x14ac:dyDescent="0.25">
      <c r="A1683" s="133">
        <v>44761</v>
      </c>
      <c r="B1683" s="64" t="s">
        <v>75</v>
      </c>
      <c r="C1683" s="21">
        <f t="shared" si="30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30"/>
        <v>-19.46</v>
      </c>
      <c r="T1684" s="42">
        <v>-3.38</v>
      </c>
      <c r="BL1684" s="182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30"/>
        <v>-49.36</v>
      </c>
      <c r="BA1687" s="42">
        <v>-8.49</v>
      </c>
      <c r="BL1687" s="182">
        <v>-8.9700000000000006</v>
      </c>
      <c r="BO1687" s="106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30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30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30"/>
        <v>-24.07</v>
      </c>
      <c r="BO1692" s="106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106">
        <v>-66.27</v>
      </c>
    </row>
    <row r="1694" spans="1:238" x14ac:dyDescent="0.25">
      <c r="A1694" s="133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30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30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30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30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106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30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30"/>
        <v>0</v>
      </c>
    </row>
    <row r="1709" spans="1:122" x14ac:dyDescent="0.25">
      <c r="A1709" s="127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30"/>
        <v>-16.7</v>
      </c>
      <c r="BH1710" s="69">
        <v>-8.49</v>
      </c>
      <c r="BL1710" s="182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30"/>
        <v>-16.875</v>
      </c>
      <c r="BO1711" s="106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106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31">SUM(D1713:JT1713)</f>
        <v>-15.1</v>
      </c>
      <c r="CY1713" s="106">
        <v>-15.1</v>
      </c>
    </row>
    <row r="1714" spans="1:229" x14ac:dyDescent="0.25">
      <c r="A1714" s="127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106">
        <v>-8.25</v>
      </c>
    </row>
    <row r="1716" spans="1:229" x14ac:dyDescent="0.25">
      <c r="A1716" s="127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82">
        <v>-8.85</v>
      </c>
    </row>
    <row r="1718" spans="1:229" x14ac:dyDescent="0.25">
      <c r="A1718" s="127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106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31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31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82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31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1">
        <v>-6.79</v>
      </c>
      <c r="BH1738" s="69">
        <v>-8.4350000000000005</v>
      </c>
      <c r="BR1738" s="182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375">
        <v>339.77</v>
      </c>
    </row>
    <row r="1740" spans="1:238" x14ac:dyDescent="0.25">
      <c r="A1740" s="127">
        <v>44775</v>
      </c>
      <c r="B1740" s="24" t="s">
        <v>2</v>
      </c>
      <c r="C1740" s="21">
        <f t="shared" si="31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31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106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31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31"/>
        <v>0</v>
      </c>
    </row>
    <row r="1744" spans="1:238" x14ac:dyDescent="0.25">
      <c r="A1744" s="127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82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31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82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31"/>
        <v>0</v>
      </c>
    </row>
    <row r="1749" spans="1:240" x14ac:dyDescent="0.25">
      <c r="A1749" s="127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31"/>
        <v>-29.88</v>
      </c>
      <c r="D1750" s="386">
        <v>-25.73</v>
      </c>
      <c r="E1750" s="386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31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31"/>
        <v>2362.09</v>
      </c>
      <c r="AN1753" s="106">
        <v>378.85</v>
      </c>
      <c r="AR1753" s="106">
        <v>335.58</v>
      </c>
      <c r="AW1753" s="106">
        <v>264.27999999999997</v>
      </c>
      <c r="BI1753" s="106">
        <v>538.54999999999995</v>
      </c>
      <c r="CA1753" s="106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31"/>
        <v>-590.995</v>
      </c>
      <c r="AN1754" s="106">
        <v>-98.7</v>
      </c>
      <c r="AR1754" s="106">
        <v>-104.84</v>
      </c>
      <c r="AW1754" s="106">
        <v>-99.71</v>
      </c>
      <c r="BI1754" s="106">
        <v>-121.8</v>
      </c>
      <c r="CA1754" s="106">
        <v>-33.549999999999997</v>
      </c>
      <c r="CG1754" s="106">
        <v>-62.71</v>
      </c>
      <c r="CR1754" s="375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31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106">
        <v>-30.8</v>
      </c>
      <c r="CF1755" s="69">
        <v>-33.924999999999997</v>
      </c>
      <c r="CR1755" s="375">
        <v>-34.36</v>
      </c>
    </row>
    <row r="1756" spans="1:240" x14ac:dyDescent="0.25">
      <c r="A1756" s="127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375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31"/>
        <v>-474.065</v>
      </c>
      <c r="AE1757" s="42">
        <v>-33.76</v>
      </c>
      <c r="BH1757" s="69">
        <v>-67.805000000000007</v>
      </c>
      <c r="CA1757" s="106">
        <v>-67</v>
      </c>
      <c r="CG1757" s="106">
        <v>-66.7</v>
      </c>
      <c r="CR1757" s="375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31"/>
        <v>-17.21</v>
      </c>
      <c r="BI1759" s="106">
        <v>-8.6999999999999993</v>
      </c>
      <c r="CG1759" s="106">
        <v>-8.51</v>
      </c>
    </row>
    <row r="1760" spans="1:240" x14ac:dyDescent="0.25">
      <c r="A1760" s="127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82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31"/>
        <v>-34.85</v>
      </c>
      <c r="BI1763" s="106">
        <v>-34.85</v>
      </c>
    </row>
    <row r="1764" spans="1:238" x14ac:dyDescent="0.25">
      <c r="A1764" s="127">
        <v>44778</v>
      </c>
      <c r="B1764" s="24" t="s">
        <v>113</v>
      </c>
      <c r="C1764" s="21">
        <f t="shared" si="31"/>
        <v>1094.67</v>
      </c>
      <c r="BO1764" s="106">
        <v>165.22</v>
      </c>
      <c r="CA1764" s="106">
        <v>169.8</v>
      </c>
      <c r="CM1764" s="106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31"/>
        <v>-142.37</v>
      </c>
      <c r="AW1765" s="106">
        <v>-16.63</v>
      </c>
      <c r="BI1765" s="106">
        <v>-18.25</v>
      </c>
      <c r="BO1765" s="106">
        <v>-14.58</v>
      </c>
      <c r="CA1765" s="106">
        <v>-16.899999999999999</v>
      </c>
      <c r="CG1765" s="106">
        <v>-15.38</v>
      </c>
      <c r="CM1765" s="106">
        <v>-16.75</v>
      </c>
      <c r="CR1765" s="375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31"/>
        <v>-15.81</v>
      </c>
      <c r="BO1767" s="106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31"/>
        <v>-193.095</v>
      </c>
      <c r="BZ1768" s="69">
        <v>-8.4949999999999992</v>
      </c>
      <c r="CM1768" s="106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106">
        <v>-60.9</v>
      </c>
      <c r="BO1769" s="106">
        <v>-32.65</v>
      </c>
      <c r="CA1769" s="106">
        <v>-34.35</v>
      </c>
      <c r="CG1769" s="106">
        <v>-48</v>
      </c>
    </row>
    <row r="1770" spans="1:238" x14ac:dyDescent="0.25">
      <c r="A1770" s="127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31"/>
        <v>-304.54000000000002</v>
      </c>
      <c r="BI1773" s="106">
        <v>-103.4</v>
      </c>
      <c r="CG1773" s="106">
        <v>-66.37</v>
      </c>
      <c r="CM1773" s="106">
        <v>-66.95</v>
      </c>
      <c r="CR1773" s="375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31"/>
        <v>-171.06</v>
      </c>
      <c r="AN1774" s="106">
        <v>-17.29</v>
      </c>
      <c r="AQ1774" s="69">
        <v>-8.4700000000000006</v>
      </c>
      <c r="AW1774" s="106">
        <v>-16.5</v>
      </c>
      <c r="BI1774" s="106">
        <v>-34.6</v>
      </c>
      <c r="BO1774" s="106">
        <v>-27.3</v>
      </c>
      <c r="CA1774" s="106">
        <v>-25.55</v>
      </c>
      <c r="CG1774" s="106">
        <v>-24.55</v>
      </c>
      <c r="CM1774" s="106">
        <v>-16.8</v>
      </c>
    </row>
    <row r="1775" spans="1:238" x14ac:dyDescent="0.25">
      <c r="A1775" s="127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31"/>
        <v>-15.7</v>
      </c>
      <c r="BI1776" s="106">
        <v>-8.6999999999999993</v>
      </c>
      <c r="BO1776" s="106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32"/>
        <v>-66.355000000000004</v>
      </c>
      <c r="BI1779" s="106">
        <v>-8.6999999999999993</v>
      </c>
      <c r="BO1779" s="106">
        <v>-6.75</v>
      </c>
      <c r="CG1779" s="106">
        <v>-8.1999999999999993</v>
      </c>
      <c r="CM1779" s="106">
        <v>-8.35</v>
      </c>
      <c r="CR1779" s="375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32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27">
        <v>44784</v>
      </c>
      <c r="B1783" s="24" t="s">
        <v>32</v>
      </c>
      <c r="C1783" s="21">
        <f t="shared" si="32"/>
        <v>-34.68</v>
      </c>
      <c r="BI1783" s="106">
        <v>-26.1</v>
      </c>
      <c r="CR1783" s="375">
        <v>-8.58</v>
      </c>
    </row>
    <row r="1784" spans="1:208" x14ac:dyDescent="0.25">
      <c r="A1784" s="127">
        <v>44784</v>
      </c>
      <c r="B1784" s="24" t="s">
        <v>113</v>
      </c>
      <c r="C1784" s="21">
        <f t="shared" si="32"/>
        <v>2508.86</v>
      </c>
      <c r="BC1784" s="106">
        <v>507.8</v>
      </c>
      <c r="CA1784" s="106">
        <v>560.98</v>
      </c>
      <c r="CM1784" s="106">
        <v>166.4</v>
      </c>
      <c r="DK1784" s="106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32"/>
        <v>356.65</v>
      </c>
      <c r="CM1785" s="106">
        <v>175.05</v>
      </c>
      <c r="DK1785" s="106">
        <v>181.6</v>
      </c>
    </row>
    <row r="1786" spans="1:208" x14ac:dyDescent="0.25">
      <c r="A1786" s="127">
        <v>44784</v>
      </c>
      <c r="B1786" s="24" t="s">
        <v>89</v>
      </c>
      <c r="C1786" s="21">
        <f t="shared" si="32"/>
        <v>-356.16</v>
      </c>
      <c r="BC1786" s="106">
        <v>-63.8</v>
      </c>
      <c r="BO1786" s="106">
        <v>-62.54</v>
      </c>
      <c r="CM1786" s="106">
        <v>-66.900000000000006</v>
      </c>
      <c r="DK1786" s="106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106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32"/>
        <v>0</v>
      </c>
    </row>
    <row r="1792" spans="1:208" x14ac:dyDescent="0.25">
      <c r="A1792" s="127">
        <v>44785</v>
      </c>
      <c r="B1792" s="24" t="s">
        <v>20</v>
      </c>
      <c r="C1792" s="21">
        <f t="shared" si="32"/>
        <v>-8.0500000000000007</v>
      </c>
      <c r="BC1792" s="106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106">
        <v>-8.6999999999999993</v>
      </c>
      <c r="CA1793" s="106">
        <v>-17.05</v>
      </c>
    </row>
    <row r="1794" spans="1:229" x14ac:dyDescent="0.25">
      <c r="A1794" s="127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32"/>
        <v>0</v>
      </c>
    </row>
    <row r="1796" spans="1:229" x14ac:dyDescent="0.25">
      <c r="A1796" s="127">
        <v>44785</v>
      </c>
      <c r="B1796" s="24" t="s">
        <v>17</v>
      </c>
      <c r="C1796" s="21">
        <f t="shared" si="32"/>
        <v>-203.8</v>
      </c>
      <c r="AN1796" s="106">
        <v>-32.299999999999997</v>
      </c>
      <c r="BC1796" s="106">
        <v>-95.2</v>
      </c>
      <c r="BI1796" s="106">
        <v>-34.450000000000003</v>
      </c>
      <c r="CA1796" s="106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32"/>
        <v>-13.86</v>
      </c>
      <c r="AW1797" s="106">
        <v>-0.94</v>
      </c>
      <c r="CR1797" s="375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32"/>
        <v>-50.89</v>
      </c>
      <c r="AN1798" s="106">
        <v>-15.4</v>
      </c>
      <c r="AR1798" s="106">
        <v>-35.49</v>
      </c>
    </row>
    <row r="1799" spans="1:229" x14ac:dyDescent="0.25">
      <c r="A1799" s="127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106">
        <v>-15.95</v>
      </c>
      <c r="BI1799" s="106">
        <v>-8.6999999999999993</v>
      </c>
      <c r="CA1799" s="106">
        <v>-16.48</v>
      </c>
      <c r="CG1799" s="106">
        <v>-16.3</v>
      </c>
      <c r="CR1799" s="375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32"/>
        <v>-832.44</v>
      </c>
      <c r="AN1800" s="106">
        <v>-103.67</v>
      </c>
      <c r="AR1800" s="106">
        <v>-106.43</v>
      </c>
      <c r="AW1800" s="106">
        <v>-65.37</v>
      </c>
      <c r="BC1800" s="106">
        <v>-128</v>
      </c>
      <c r="CA1800" s="106">
        <v>-128.88999999999999</v>
      </c>
      <c r="CM1800" s="106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32"/>
        <v>-202.72</v>
      </c>
      <c r="AN1801" s="106">
        <v>-32.25</v>
      </c>
      <c r="AR1801" s="106">
        <v>-35.54</v>
      </c>
      <c r="AW1801" s="106">
        <v>-33.130000000000003</v>
      </c>
      <c r="BC1801" s="106">
        <v>-31.9</v>
      </c>
      <c r="CA1801" s="106">
        <v>-34.25</v>
      </c>
      <c r="CM1801" s="106">
        <v>-35.65</v>
      </c>
    </row>
    <row r="1802" spans="1:229" x14ac:dyDescent="0.25">
      <c r="A1802" s="127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32"/>
        <v>-16.52</v>
      </c>
      <c r="CA1803" s="106">
        <v>-8.15</v>
      </c>
      <c r="CR1803" s="375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32"/>
        <v>-32.1</v>
      </c>
      <c r="AW1804" s="106">
        <v>-8.16</v>
      </c>
      <c r="BI1804" s="106">
        <v>-8.65</v>
      </c>
      <c r="BO1804" s="106">
        <v>-7</v>
      </c>
      <c r="CA1804" s="106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32"/>
        <v>-33.655000000000001</v>
      </c>
      <c r="AW1805" s="106">
        <v>-8.2899999999999991</v>
      </c>
      <c r="CA1805" s="106">
        <v>-8.4499999999999993</v>
      </c>
      <c r="CG1805" s="106">
        <v>-8.15</v>
      </c>
      <c r="CR1805" s="375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32"/>
        <v>-17.04</v>
      </c>
      <c r="BI1806" s="106">
        <v>-8.65</v>
      </c>
      <c r="BR1806" s="182">
        <v>-8.39</v>
      </c>
    </row>
    <row r="1807" spans="1:229" x14ac:dyDescent="0.25">
      <c r="A1807" s="127">
        <v>44789</v>
      </c>
      <c r="B1807" s="24" t="s">
        <v>75</v>
      </c>
      <c r="C1807" s="21">
        <f t="shared" si="32"/>
        <v>-8.0500000000000007</v>
      </c>
      <c r="BC1807" s="106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32"/>
        <v>-33.704999999999998</v>
      </c>
      <c r="BC1809" s="106">
        <v>-8</v>
      </c>
      <c r="CA1809" s="106">
        <v>-8.1300000000000008</v>
      </c>
      <c r="CR1809" s="375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32"/>
        <v>-9.33</v>
      </c>
      <c r="BR1810" s="182">
        <v>-9.33</v>
      </c>
    </row>
    <row r="1811" spans="1:226" x14ac:dyDescent="0.25">
      <c r="A1811" s="127">
        <v>44789</v>
      </c>
      <c r="B1811" s="24" t="s">
        <v>147</v>
      </c>
      <c r="C1811" s="21">
        <f t="shared" si="32"/>
        <v>-16.52</v>
      </c>
      <c r="CA1811" s="106">
        <v>-8.15</v>
      </c>
      <c r="CR1811" s="375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32"/>
        <v>-8.14</v>
      </c>
      <c r="AW1812" s="106">
        <v>-8.14</v>
      </c>
    </row>
    <row r="1813" spans="1:226" x14ac:dyDescent="0.25">
      <c r="A1813" s="127">
        <v>44789</v>
      </c>
      <c r="B1813" s="24" t="s">
        <v>2</v>
      </c>
      <c r="C1813" s="21">
        <f t="shared" si="32"/>
        <v>0</v>
      </c>
    </row>
    <row r="1814" spans="1:226" x14ac:dyDescent="0.25">
      <c r="A1814" s="127">
        <v>44790</v>
      </c>
      <c r="B1814" s="24" t="s">
        <v>113</v>
      </c>
      <c r="C1814" s="21">
        <f t="shared" si="32"/>
        <v>3814.23</v>
      </c>
      <c r="BO1814" s="106">
        <v>716.1</v>
      </c>
      <c r="BU1814" s="106">
        <v>783.15</v>
      </c>
      <c r="CS1814" s="74">
        <v>512.67999999999995</v>
      </c>
      <c r="CY1814" s="106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32"/>
        <v>3286.66</v>
      </c>
      <c r="BC1815" s="106">
        <v>338.25</v>
      </c>
      <c r="BI1815" s="106">
        <v>337.26</v>
      </c>
      <c r="BO1815" s="106">
        <v>345.8</v>
      </c>
      <c r="BU1815" s="106">
        <v>351.88</v>
      </c>
      <c r="CM1815" s="106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32"/>
        <v>-67.52</v>
      </c>
      <c r="CM1818" s="106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32"/>
        <v>-365.62</v>
      </c>
      <c r="BC1819" s="106">
        <v>-34.5</v>
      </c>
      <c r="BI1819" s="106">
        <v>-32.159999999999997</v>
      </c>
      <c r="BO1819" s="106">
        <v>-33.1</v>
      </c>
      <c r="BU1819" s="106">
        <v>-100.08</v>
      </c>
      <c r="CA1819" s="106">
        <v>-32.619999999999997</v>
      </c>
      <c r="CM1819" s="106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106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32"/>
        <v>-205.86</v>
      </c>
      <c r="CY1821" s="106">
        <v>-205.86</v>
      </c>
    </row>
    <row r="1822" spans="1:226" x14ac:dyDescent="0.25">
      <c r="A1822" s="127">
        <v>44790</v>
      </c>
      <c r="B1822" s="24" t="s">
        <v>15</v>
      </c>
      <c r="C1822" s="21">
        <f t="shared" si="32"/>
        <v>-331.5</v>
      </c>
      <c r="CM1822" s="106">
        <v>-65.25</v>
      </c>
      <c r="CS1822" s="74">
        <v>-30.28</v>
      </c>
      <c r="CY1822" s="106">
        <v>-34.14</v>
      </c>
      <c r="DE1822" s="74">
        <v>-65.84</v>
      </c>
      <c r="DK1822" s="106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32"/>
        <v>-299.86</v>
      </c>
      <c r="BO1823" s="106">
        <v>-97.9</v>
      </c>
      <c r="BU1823" s="106">
        <v>-102.34</v>
      </c>
      <c r="CA1823" s="106">
        <v>-65.92</v>
      </c>
      <c r="CM1823" s="106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106">
        <v>-193.3</v>
      </c>
      <c r="CS1826" s="74">
        <v>-119.4</v>
      </c>
      <c r="CY1826" s="106">
        <v>-100.78</v>
      </c>
      <c r="DK1826" s="106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106">
        <v>-8.91</v>
      </c>
      <c r="BC1827" s="106">
        <v>-15.9</v>
      </c>
      <c r="BI1827" s="106">
        <v>-16.02</v>
      </c>
      <c r="BO1827" s="106">
        <v>-8.3000000000000007</v>
      </c>
      <c r="BU1827" s="106">
        <v>-8.4700000000000006</v>
      </c>
      <c r="CA1827" s="106">
        <v>-16.46</v>
      </c>
      <c r="CM1827" s="106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32"/>
        <v>-396.59</v>
      </c>
      <c r="BI1829" s="106">
        <v>-67.23</v>
      </c>
      <c r="BO1829" s="106">
        <v>-69.959999999999994</v>
      </c>
      <c r="BU1829" s="106">
        <v>-64.94</v>
      </c>
      <c r="CA1829" s="106">
        <v>-66.28</v>
      </c>
      <c r="CM1829" s="106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32"/>
        <v>-160.30000000000001</v>
      </c>
      <c r="CM1830" s="106">
        <v>-69.5</v>
      </c>
      <c r="CS1830" s="74">
        <v>-56.78</v>
      </c>
      <c r="CY1830" s="106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32"/>
        <v>-703.36</v>
      </c>
      <c r="BC1831" s="106">
        <v>-101.46</v>
      </c>
      <c r="BI1831" s="106">
        <v>-61.1</v>
      </c>
      <c r="BO1831" s="106">
        <v>-166.63</v>
      </c>
      <c r="BU1831" s="106">
        <v>-70.05</v>
      </c>
      <c r="CA1831" s="106">
        <v>-98.2</v>
      </c>
      <c r="CM1831" s="106">
        <v>-66.8</v>
      </c>
      <c r="CY1831" s="106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32"/>
        <v>-16.5</v>
      </c>
      <c r="BI1832" s="106">
        <v>-8.65</v>
      </c>
      <c r="BO1832" s="106">
        <v>-7.85</v>
      </c>
    </row>
    <row r="1833" spans="1:226" x14ac:dyDescent="0.25">
      <c r="A1833" s="127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106">
        <v>-17.73</v>
      </c>
      <c r="BC1833" s="106">
        <v>-33.520000000000003</v>
      </c>
      <c r="BO1833" s="106">
        <v>-35.24</v>
      </c>
      <c r="BU1833" s="106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32"/>
        <v>-171.32</v>
      </c>
      <c r="BI1834" s="106">
        <v>-31.8</v>
      </c>
      <c r="BO1834" s="106">
        <v>-70.52</v>
      </c>
      <c r="BU1834" s="106">
        <v>-69</v>
      </c>
    </row>
    <row r="1835" spans="1:226" x14ac:dyDescent="0.25">
      <c r="A1835" s="127">
        <v>44791</v>
      </c>
      <c r="B1835" s="24" t="s">
        <v>59</v>
      </c>
      <c r="C1835" s="21">
        <f t="shared" si="32"/>
        <v>-13.35</v>
      </c>
      <c r="CM1835" s="106">
        <v>-7.8</v>
      </c>
      <c r="CR1835" s="375">
        <v>-5.55</v>
      </c>
    </row>
    <row r="1836" spans="1:226" x14ac:dyDescent="0.25">
      <c r="A1836" s="127">
        <v>44792</v>
      </c>
      <c r="B1836" s="24" t="s">
        <v>68</v>
      </c>
      <c r="C1836" s="21">
        <f t="shared" si="32"/>
        <v>-135.38999999999999</v>
      </c>
      <c r="AN1836" s="106">
        <v>-34.54</v>
      </c>
      <c r="AQ1836" s="69">
        <v>-8.51</v>
      </c>
      <c r="AR1836" s="106">
        <f>-8.81-8.93-8.9</f>
        <v>-26.64</v>
      </c>
      <c r="BC1836" s="106">
        <v>-33.9</v>
      </c>
      <c r="BI1836" s="106">
        <v>-31.8</v>
      </c>
    </row>
    <row r="1837" spans="1:226" x14ac:dyDescent="0.25">
      <c r="A1837" s="127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32"/>
        <v>-16.350000000000001</v>
      </c>
      <c r="CM1838" s="106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32"/>
        <v>-74.19</v>
      </c>
      <c r="BC1840" s="106">
        <v>-8</v>
      </c>
      <c r="BH1840" s="69">
        <v>-7</v>
      </c>
      <c r="BO1840" s="106">
        <v>-9.19</v>
      </c>
      <c r="BU1840" s="106">
        <v>-8.59</v>
      </c>
      <c r="CA1840" s="106">
        <v>-8.74</v>
      </c>
      <c r="CG1840" s="106">
        <v>-8.15</v>
      </c>
      <c r="CM1840" s="106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33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33"/>
        <v>1743.04</v>
      </c>
      <c r="Z1842" s="79">
        <v>353.61</v>
      </c>
      <c r="AC1842" s="106">
        <v>349.3</v>
      </c>
      <c r="AW1842" s="106">
        <v>350.28</v>
      </c>
      <c r="CG1842" s="106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33"/>
        <v>-35.08</v>
      </c>
      <c r="Z1843" s="79">
        <v>-18.09</v>
      </c>
      <c r="BC1843" s="106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33"/>
        <v>-483.01</v>
      </c>
      <c r="AE1844" s="42">
        <v>-16.7</v>
      </c>
      <c r="BC1844" s="106">
        <v>-67.45</v>
      </c>
      <c r="BI1844" s="106">
        <v>-66.34</v>
      </c>
      <c r="BO1844" s="106">
        <v>-66.739999999999995</v>
      </c>
      <c r="BU1844" s="106">
        <v>-68.95</v>
      </c>
      <c r="CA1844" s="106">
        <v>-33.56</v>
      </c>
      <c r="CG1844" s="106">
        <v>-32.25</v>
      </c>
      <c r="CM1844" s="106">
        <v>-34.6</v>
      </c>
      <c r="CS1844" s="74">
        <v>-28.78</v>
      </c>
      <c r="CY1844" s="106">
        <v>-17.72</v>
      </c>
      <c r="DE1844" s="74">
        <v>-16.54</v>
      </c>
      <c r="DK1844" s="106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106">
        <v>-64.25</v>
      </c>
      <c r="BC1845" s="106">
        <v>-33.479999999999997</v>
      </c>
      <c r="BO1845" s="106">
        <v>-103.44</v>
      </c>
      <c r="BU1845" s="106">
        <v>-207.7</v>
      </c>
      <c r="CG1845" s="106">
        <v>-130.15</v>
      </c>
      <c r="CM1845" s="106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33"/>
        <v>-100.12</v>
      </c>
      <c r="AC1846" s="106">
        <v>-31.85</v>
      </c>
      <c r="AW1846" s="106">
        <v>-33.39</v>
      </c>
      <c r="BO1846" s="106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33"/>
        <v>5</v>
      </c>
      <c r="CY1847" s="106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33"/>
        <v>-124.13</v>
      </c>
      <c r="BO1848" s="106">
        <v>-34.880000000000003</v>
      </c>
      <c r="BU1848" s="106">
        <v>-34.6</v>
      </c>
      <c r="CA1848" s="106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33"/>
        <v>-9.52</v>
      </c>
      <c r="Z1850" s="79">
        <v>-1.31</v>
      </c>
      <c r="CG1850" s="106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33"/>
        <v>-16.489999999999998</v>
      </c>
      <c r="CA1851" s="106">
        <v>-8.19</v>
      </c>
      <c r="CG1851" s="106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106">
        <v>-16.920000000000002</v>
      </c>
      <c r="BI1852" s="106">
        <v>-8.51</v>
      </c>
      <c r="BO1852" s="106">
        <v>-8.85</v>
      </c>
    </row>
    <row r="1853" spans="1:178" x14ac:dyDescent="0.25">
      <c r="A1853" s="127">
        <v>44796</v>
      </c>
      <c r="B1853" s="24" t="s">
        <v>134</v>
      </c>
      <c r="C1853" s="21">
        <f t="shared" si="33"/>
        <v>-21.42</v>
      </c>
      <c r="E1853" s="386">
        <v>-21.42</v>
      </c>
    </row>
    <row r="1854" spans="1:178" x14ac:dyDescent="0.25">
      <c r="A1854" s="127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33"/>
        <v>-41.52</v>
      </c>
      <c r="BI1855" s="106">
        <v>-7.77</v>
      </c>
      <c r="BO1855" s="106">
        <v>-8.67</v>
      </c>
      <c r="BU1855" s="106">
        <v>-8.35</v>
      </c>
      <c r="CR1855" s="375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33"/>
        <v>-42.77</v>
      </c>
      <c r="BO1856" s="106">
        <v>-9.0500000000000007</v>
      </c>
      <c r="BU1856" s="106">
        <v>-8.65</v>
      </c>
      <c r="CA1856" s="106">
        <v>-8.17</v>
      </c>
      <c r="CG1856" s="106">
        <v>-8.25</v>
      </c>
      <c r="CM1856" s="106">
        <v>-8.65</v>
      </c>
    </row>
    <row r="1857" spans="1:199" x14ac:dyDescent="0.25">
      <c r="A1857" s="127">
        <v>44796</v>
      </c>
      <c r="B1857" s="24" t="s">
        <v>50</v>
      </c>
      <c r="C1857" s="21">
        <f t="shared" si="33"/>
        <v>0</v>
      </c>
    </row>
    <row r="1858" spans="1:199" x14ac:dyDescent="0.25">
      <c r="A1858" s="127">
        <v>44796</v>
      </c>
      <c r="B1858" s="24" t="s">
        <v>95</v>
      </c>
      <c r="C1858" s="21">
        <f t="shared" si="33"/>
        <v>-299.73</v>
      </c>
      <c r="BC1858" s="106">
        <v>-28.85</v>
      </c>
      <c r="BO1858" s="106">
        <v>-35.299999999999997</v>
      </c>
      <c r="BU1858" s="106">
        <v>-34.6</v>
      </c>
      <c r="CA1858" s="106">
        <v>-33.520000000000003</v>
      </c>
      <c r="CM1858" s="106">
        <v>-33.299999999999997</v>
      </c>
      <c r="DE1858" s="74">
        <v>-68.680000000000007</v>
      </c>
      <c r="DK1858" s="106">
        <v>-65.48</v>
      </c>
    </row>
    <row r="1859" spans="1:199" x14ac:dyDescent="0.25">
      <c r="A1859" s="127">
        <v>44796</v>
      </c>
      <c r="B1859" s="24" t="s">
        <v>147</v>
      </c>
      <c r="C1859" s="21">
        <f t="shared" si="33"/>
        <v>-25.94</v>
      </c>
      <c r="BC1859" s="106">
        <v>-8.5299999999999994</v>
      </c>
      <c r="BI1859" s="106">
        <v>-8.64</v>
      </c>
      <c r="BO1859" s="106">
        <v>-8.77</v>
      </c>
    </row>
    <row r="1860" spans="1:199" x14ac:dyDescent="0.25">
      <c r="A1860" s="127">
        <v>44796</v>
      </c>
      <c r="B1860" s="24" t="s">
        <v>151</v>
      </c>
      <c r="C1860" s="21">
        <f t="shared" si="33"/>
        <v>-59.93</v>
      </c>
      <c r="DK1860" s="106">
        <v>-59.93</v>
      </c>
    </row>
    <row r="1861" spans="1:199" x14ac:dyDescent="0.25">
      <c r="A1861" s="127">
        <v>44797</v>
      </c>
      <c r="B1861" s="24" t="s">
        <v>44</v>
      </c>
      <c r="C1861" s="21">
        <f t="shared" si="33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33"/>
        <v>-169.45</v>
      </c>
      <c r="CG1862" s="106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33"/>
        <v>-132.32</v>
      </c>
      <c r="O1863" s="375">
        <v>-8.49</v>
      </c>
      <c r="CA1863" s="106">
        <v>-8.11</v>
      </c>
      <c r="CG1863" s="106">
        <v>-32.700000000000003</v>
      </c>
      <c r="CN1863" s="121">
        <v>-16.78</v>
      </c>
      <c r="CY1863" s="106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33"/>
        <v>-25.96</v>
      </c>
      <c r="BO1864" s="106">
        <v>-8.81</v>
      </c>
      <c r="BU1864" s="106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33"/>
        <v>-33.78</v>
      </c>
      <c r="AN1866" s="106">
        <v>-8.4</v>
      </c>
      <c r="BI1866" s="106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33"/>
        <v>-25.16</v>
      </c>
      <c r="CC1867" s="126">
        <v>-8.2100000000000009</v>
      </c>
      <c r="CG1867" s="106">
        <v>-8.25</v>
      </c>
      <c r="CM1867" s="106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33"/>
        <v>-5.34</v>
      </c>
      <c r="BU1869" s="106">
        <v>-2.1800000000000002</v>
      </c>
      <c r="CA1869" s="106">
        <v>-3.16</v>
      </c>
    </row>
    <row r="1870" spans="1:199" x14ac:dyDescent="0.25">
      <c r="A1870" s="127">
        <v>44797</v>
      </c>
      <c r="B1870" s="24" t="s">
        <v>65</v>
      </c>
      <c r="C1870" s="21">
        <f t="shared" si="33"/>
        <v>0</v>
      </c>
    </row>
    <row r="1871" spans="1:199" x14ac:dyDescent="0.25">
      <c r="A1871" s="127">
        <v>44798</v>
      </c>
      <c r="B1871" s="24" t="s">
        <v>68</v>
      </c>
      <c r="C1871" s="21">
        <f t="shared" si="33"/>
        <v>-101.92</v>
      </c>
      <c r="BC1871" s="106">
        <v>-32.049999999999997</v>
      </c>
      <c r="BO1871" s="106">
        <v>-35.32</v>
      </c>
      <c r="BU1871" s="106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33"/>
        <v>-880.89</v>
      </c>
      <c r="AE1872" s="42">
        <v>-32.549999999999997</v>
      </c>
      <c r="AN1872" s="106">
        <v>-32.299999999999997</v>
      </c>
      <c r="AW1872" s="106">
        <v>-33.53</v>
      </c>
      <c r="BC1872" s="106">
        <v>-64.05</v>
      </c>
      <c r="BO1872" s="106">
        <v>-105.78</v>
      </c>
      <c r="BU1872" s="106">
        <v>-69.05</v>
      </c>
      <c r="CG1872" s="106">
        <v>-66.900000000000006</v>
      </c>
      <c r="CM1872" s="106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33"/>
        <v>-31.87</v>
      </c>
      <c r="BD1873" s="121">
        <v>-6.88</v>
      </c>
      <c r="BI1873" s="106">
        <v>-8.2899999999999991</v>
      </c>
      <c r="BU1873" s="106">
        <v>-8.0500000000000007</v>
      </c>
      <c r="CM1873" s="106">
        <v>-8.65</v>
      </c>
    </row>
    <row r="1874" spans="1:226" x14ac:dyDescent="0.25">
      <c r="A1874" s="127">
        <v>44798</v>
      </c>
      <c r="B1874" s="24" t="s">
        <v>113</v>
      </c>
      <c r="C1874" s="21">
        <f t="shared" si="33"/>
        <v>1632.11</v>
      </c>
      <c r="BC1874" s="106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33"/>
        <v>-7.87</v>
      </c>
      <c r="BI1879" s="106">
        <v>-7.87</v>
      </c>
    </row>
    <row r="1880" spans="1:226" x14ac:dyDescent="0.25">
      <c r="A1880" s="127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27">
        <v>44799</v>
      </c>
      <c r="B1882" s="24" t="s">
        <v>153</v>
      </c>
      <c r="C1882" s="21">
        <f t="shared" si="33"/>
        <v>0</v>
      </c>
    </row>
    <row r="1883" spans="1:226" x14ac:dyDescent="0.25">
      <c r="A1883" s="127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33"/>
        <v>-134.9</v>
      </c>
      <c r="AW1884" s="106">
        <v>-33.47</v>
      </c>
      <c r="BO1884" s="106">
        <v>-33.979999999999997</v>
      </c>
      <c r="CG1884" s="106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33"/>
        <v>-201.65</v>
      </c>
      <c r="BU1885" s="106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33"/>
        <v>0</v>
      </c>
    </row>
    <row r="1889" spans="1:220" x14ac:dyDescent="0.25">
      <c r="A1889" s="127">
        <v>44802</v>
      </c>
      <c r="B1889" s="24" t="s">
        <v>53</v>
      </c>
      <c r="C1889" s="21">
        <f t="shared" si="33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33"/>
        <v>-33.75</v>
      </c>
      <c r="BO1890" s="106">
        <v>-8.89</v>
      </c>
      <c r="BU1890" s="106">
        <v>-8.0500000000000007</v>
      </c>
      <c r="CC1890" s="126">
        <v>-8.61</v>
      </c>
      <c r="CG1890" s="106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33"/>
        <v>-8.68</v>
      </c>
      <c r="O1891" s="375">
        <v>-8.68</v>
      </c>
    </row>
    <row r="1892" spans="1:220" x14ac:dyDescent="0.25">
      <c r="A1892" s="127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33"/>
        <v>0</v>
      </c>
    </row>
    <row r="1894" spans="1:220" x14ac:dyDescent="0.25">
      <c r="A1894" s="127">
        <v>44803</v>
      </c>
      <c r="B1894" s="24" t="s">
        <v>75</v>
      </c>
      <c r="C1894" s="21">
        <f t="shared" si="33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33"/>
        <v>-204.06</v>
      </c>
      <c r="AW1895" s="106">
        <v>-16.68</v>
      </c>
      <c r="BC1895" s="106">
        <v>-8.35</v>
      </c>
      <c r="BI1895" s="106">
        <v>-8.19</v>
      </c>
      <c r="BR1895" s="182">
        <v>-28.32</v>
      </c>
      <c r="BU1895" s="106">
        <v>-17.350000000000001</v>
      </c>
      <c r="CC1895" s="126">
        <v>-25.58</v>
      </c>
      <c r="CG1895" s="106">
        <v>-24.65</v>
      </c>
      <c r="CP1895" s="182">
        <v>-16.59</v>
      </c>
      <c r="CV1895" s="115">
        <v>-16.43</v>
      </c>
      <c r="DE1895" s="74">
        <v>-16.68</v>
      </c>
      <c r="DM1895" s="46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33"/>
        <v>-16.914999999999999</v>
      </c>
      <c r="CN1897" s="121">
        <v>-8.48</v>
      </c>
      <c r="CR1897" s="375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106">
        <v>-2.4</v>
      </c>
    </row>
    <row r="1901" spans="1:220" x14ac:dyDescent="0.25">
      <c r="A1901" s="127">
        <v>44804</v>
      </c>
      <c r="B1901" s="24" t="s">
        <v>154</v>
      </c>
      <c r="C1901" s="21">
        <f t="shared" si="33"/>
        <v>-42.09</v>
      </c>
      <c r="BU1901" s="106">
        <v>-8.6999999999999993</v>
      </c>
      <c r="CC1901" s="126">
        <v>-8.75</v>
      </c>
      <c r="CG1901" s="106">
        <v>-8.3000000000000007</v>
      </c>
      <c r="CP1901" s="182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33"/>
        <v>-25.355</v>
      </c>
      <c r="Z1902" s="79">
        <v>-8.9600000000000009</v>
      </c>
      <c r="AC1902" s="106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4">SUM(D1905:JT1905)</f>
        <v>2714.9</v>
      </c>
      <c r="V1905" s="74">
        <v>209.2</v>
      </c>
      <c r="BO1905" s="106">
        <v>354.28</v>
      </c>
      <c r="BU1905" s="106">
        <v>347.31</v>
      </c>
      <c r="CS1905" s="74">
        <v>344.12</v>
      </c>
      <c r="CY1905" s="106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4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4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106">
        <v>-70.760000000000005</v>
      </c>
      <c r="CX1907" s="69">
        <v>17.145</v>
      </c>
      <c r="DK1907" s="106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4"/>
        <v>-496.82</v>
      </c>
      <c r="AC1908" s="106">
        <v>-31.55</v>
      </c>
      <c r="AW1908" s="106">
        <v>-66.900000000000006</v>
      </c>
      <c r="BO1908" s="106">
        <v>-67.94</v>
      </c>
      <c r="BU1908" s="106">
        <v>-34</v>
      </c>
      <c r="CY1908" s="106">
        <v>-69.099999999999994</v>
      </c>
      <c r="DE1908" s="74">
        <v>-31.02</v>
      </c>
      <c r="DK1908" s="106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4"/>
        <v>-192.95</v>
      </c>
      <c r="AW1909" s="106">
        <v>-33.24</v>
      </c>
      <c r="BO1909" s="106">
        <v>-34.299999999999997</v>
      </c>
      <c r="BU1909" s="106">
        <v>-34</v>
      </c>
      <c r="CG1909" s="106">
        <v>-22.72</v>
      </c>
      <c r="CS1909" s="74">
        <v>-34.479999999999997</v>
      </c>
      <c r="CY1909" s="106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4"/>
        <v>-207.42</v>
      </c>
      <c r="CY1910" s="106">
        <v>-69</v>
      </c>
      <c r="DE1910" s="74">
        <v>-70.7</v>
      </c>
      <c r="DK1910" s="106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4"/>
        <v>-304.11</v>
      </c>
      <c r="AW1911" s="106">
        <v>-66.55</v>
      </c>
      <c r="BU1911" s="106">
        <v>-70.790000000000006</v>
      </c>
      <c r="CS1911" s="74">
        <v>-64.22</v>
      </c>
      <c r="CY1911" s="106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4"/>
        <v>-171.86500000000001</v>
      </c>
      <c r="O1913" s="375">
        <v>-34.625</v>
      </c>
      <c r="V1913" s="74">
        <v>-34.950000000000003</v>
      </c>
      <c r="Z1913" s="79">
        <v>-33.69</v>
      </c>
      <c r="CY1913" s="106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4"/>
        <v>-49.8</v>
      </c>
      <c r="AW1914" s="106">
        <v>-7.41</v>
      </c>
      <c r="BC1914" s="106">
        <v>-8</v>
      </c>
      <c r="BH1914" s="69">
        <v>-8.5500000000000007</v>
      </c>
      <c r="BO1914" s="106">
        <v>-9.09</v>
      </c>
      <c r="BU1914" s="106">
        <v>-8.4499999999999993</v>
      </c>
      <c r="CG1914" s="106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4"/>
        <v>-149.6</v>
      </c>
      <c r="AN1916" s="106">
        <v>-16.100000000000001</v>
      </c>
      <c r="AW1916" s="106">
        <v>-33.18</v>
      </c>
      <c r="BO1916" s="106">
        <v>-33.32</v>
      </c>
      <c r="BU1916" s="106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4"/>
        <v>-10.96</v>
      </c>
      <c r="O1918" s="375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4"/>
        <v>0</v>
      </c>
    </row>
    <row r="1920" spans="1:214" x14ac:dyDescent="0.25">
      <c r="A1920" s="127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4"/>
        <v>-264.72000000000003</v>
      </c>
      <c r="BO1922" s="106">
        <v>-67.66</v>
      </c>
      <c r="BU1922" s="106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4"/>
        <v>-84.23</v>
      </c>
      <c r="Z1926" s="79">
        <v>-9.06</v>
      </c>
      <c r="BO1926" s="106">
        <v>-33.22</v>
      </c>
      <c r="BU1926" s="106">
        <v>-33.4</v>
      </c>
      <c r="CY1926" s="106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4"/>
        <v>1223.52</v>
      </c>
      <c r="AN1927" s="106">
        <v>487.1</v>
      </c>
      <c r="BC1927" s="106">
        <v>358.32</v>
      </c>
      <c r="CA1927" s="106">
        <v>378.1</v>
      </c>
    </row>
    <row r="1928" spans="1:227" x14ac:dyDescent="0.25">
      <c r="A1928" s="127">
        <v>44810</v>
      </c>
      <c r="B1928" s="24" t="s">
        <v>65</v>
      </c>
      <c r="C1928" s="21">
        <f t="shared" si="34"/>
        <v>0</v>
      </c>
    </row>
    <row r="1929" spans="1:227" x14ac:dyDescent="0.25">
      <c r="A1929" s="127">
        <v>44810</v>
      </c>
      <c r="B1929" s="24" t="s">
        <v>68</v>
      </c>
      <c r="C1929" s="21">
        <f t="shared" si="34"/>
        <v>-67.349999999999994</v>
      </c>
      <c r="AN1929" s="106">
        <v>-32.450000000000003</v>
      </c>
      <c r="CA1929" s="106">
        <v>-34.9</v>
      </c>
    </row>
    <row r="1930" spans="1:227" x14ac:dyDescent="0.25">
      <c r="A1930" s="127">
        <v>44810</v>
      </c>
      <c r="B1930" s="24" t="s">
        <v>59</v>
      </c>
      <c r="C1930" s="21">
        <f t="shared" si="34"/>
        <v>-7.52</v>
      </c>
      <c r="CP1930" s="182">
        <v>-3.64</v>
      </c>
      <c r="CY1930" s="106">
        <v>-3.88</v>
      </c>
    </row>
    <row r="1931" spans="1:227" x14ac:dyDescent="0.25">
      <c r="A1931" s="127">
        <v>44811</v>
      </c>
      <c r="B1931" s="24" t="s">
        <v>111</v>
      </c>
      <c r="C1931" s="21">
        <f t="shared" si="34"/>
        <v>-34.1</v>
      </c>
      <c r="CA1931" s="106">
        <v>-17.45</v>
      </c>
      <c r="CG1931" s="106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4"/>
        <v>-17.72</v>
      </c>
      <c r="CS1932" s="74">
        <v>-9.17</v>
      </c>
      <c r="CY1932" s="106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4"/>
        <v>-479.85</v>
      </c>
      <c r="Z1933" s="79">
        <v>-35.89</v>
      </c>
      <c r="BO1933" s="106">
        <v>-34.64</v>
      </c>
      <c r="BU1933" s="106">
        <v>-29.5</v>
      </c>
      <c r="CA1933" s="106">
        <v>-209.1</v>
      </c>
      <c r="DK1933" s="106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4"/>
        <v>-16.43</v>
      </c>
      <c r="AN1934" s="106">
        <v>-8.0500000000000007</v>
      </c>
      <c r="AW1934" s="106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4"/>
        <v>-54.35</v>
      </c>
      <c r="AN1935" s="106">
        <v>-8.0500000000000007</v>
      </c>
      <c r="CA1935" s="106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4"/>
        <v>-41.27</v>
      </c>
      <c r="BO1936" s="106">
        <v>-7.37</v>
      </c>
      <c r="BU1936" s="106">
        <v>-16.45</v>
      </c>
      <c r="CA1936" s="106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4"/>
        <v>-18.97</v>
      </c>
      <c r="V1937" s="74">
        <v>-8.67</v>
      </c>
      <c r="AC1937" s="106">
        <v>-7.9</v>
      </c>
      <c r="CG1937" s="106">
        <v>-2.4</v>
      </c>
    </row>
    <row r="1938" spans="1:231" x14ac:dyDescent="0.25">
      <c r="A1938" s="127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4"/>
        <v>-41.88</v>
      </c>
      <c r="AW1939" s="106">
        <v>-8.27</v>
      </c>
      <c r="BC1939" s="106">
        <v>-8.0500000000000007</v>
      </c>
      <c r="BO1939" s="106">
        <v>-8.51</v>
      </c>
      <c r="CA1939" s="106">
        <v>-8.6999999999999993</v>
      </c>
      <c r="CG1939" s="106">
        <v>-8.35</v>
      </c>
    </row>
    <row r="1940" spans="1:231" x14ac:dyDescent="0.25">
      <c r="A1940" s="127">
        <v>44811</v>
      </c>
      <c r="B1940" s="24" t="s">
        <v>127</v>
      </c>
      <c r="C1940" s="21">
        <f t="shared" si="34"/>
        <v>-15.38</v>
      </c>
      <c r="BC1940" s="106">
        <v>-7.33</v>
      </c>
      <c r="BU1940" s="106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4"/>
        <v>0</v>
      </c>
    </row>
    <row r="1942" spans="1:231" x14ac:dyDescent="0.25">
      <c r="A1942" s="127">
        <v>44811</v>
      </c>
      <c r="B1942" s="24" t="s">
        <v>137</v>
      </c>
      <c r="C1942" s="21">
        <f t="shared" si="34"/>
        <v>-42.05</v>
      </c>
      <c r="AE1942" s="42">
        <v>-8.44</v>
      </c>
      <c r="AW1942" s="106">
        <v>-8.3800000000000008</v>
      </c>
      <c r="BC1942" s="106">
        <v>-7.43</v>
      </c>
      <c r="BO1942" s="106">
        <v>-9.15</v>
      </c>
      <c r="CA1942" s="106">
        <v>-8.65</v>
      </c>
    </row>
    <row r="1943" spans="1:231" x14ac:dyDescent="0.25">
      <c r="A1943" s="127">
        <v>44811</v>
      </c>
      <c r="B1943" s="24" t="s">
        <v>113</v>
      </c>
      <c r="C1943" s="21">
        <f t="shared" si="34"/>
        <v>1212.22</v>
      </c>
      <c r="AR1943" s="106">
        <v>511.44</v>
      </c>
      <c r="CA1943" s="106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106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4"/>
        <v>-24.94</v>
      </c>
      <c r="V1945" s="74">
        <v>-8.65</v>
      </c>
      <c r="AC1945" s="106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4"/>
        <v>-275.73500000000001</v>
      </c>
      <c r="AR1946" s="106">
        <v>-50.87</v>
      </c>
      <c r="BC1946" s="106">
        <v>-57.96</v>
      </c>
      <c r="BO1946" s="106">
        <v>-34.700000000000003</v>
      </c>
      <c r="BT1946" s="69">
        <v>-33.905000000000001</v>
      </c>
      <c r="BU1946" s="106">
        <v>-31.42</v>
      </c>
      <c r="CA1946" s="106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4"/>
        <v>-8.51</v>
      </c>
      <c r="AR1947" s="106">
        <v>-8.51</v>
      </c>
    </row>
    <row r="1948" spans="1:231" x14ac:dyDescent="0.25">
      <c r="A1948" s="127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4"/>
        <v>-61.71</v>
      </c>
      <c r="AZ1949" s="182">
        <v>-33.79</v>
      </c>
      <c r="BC1949" s="106">
        <v>-27.92</v>
      </c>
    </row>
    <row r="1950" spans="1:231" x14ac:dyDescent="0.25">
      <c r="A1950" s="127">
        <v>44812</v>
      </c>
      <c r="B1950" s="24" t="s">
        <v>15</v>
      </c>
      <c r="C1950" s="21">
        <f t="shared" si="34"/>
        <v>-265.92</v>
      </c>
      <c r="AR1950" s="106">
        <v>-68.12</v>
      </c>
      <c r="CA1950" s="106">
        <v>-33.64</v>
      </c>
      <c r="DE1950" s="74">
        <v>-98.42</v>
      </c>
      <c r="DK1950" s="106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4"/>
        <v>0</v>
      </c>
    </row>
    <row r="1954" spans="1:240" x14ac:dyDescent="0.25">
      <c r="A1954" s="127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4"/>
        <v>-2.2000000000000002</v>
      </c>
      <c r="CP1955" s="182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4"/>
        <v>-398.04</v>
      </c>
      <c r="Z1956" s="79">
        <v>-35.67</v>
      </c>
      <c r="AR1956" s="106">
        <v>-102.59</v>
      </c>
      <c r="BC1956" s="106">
        <v>-57.8</v>
      </c>
      <c r="CA1956" s="106">
        <v>-66.819999999999993</v>
      </c>
      <c r="CG1956" s="106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4"/>
        <v>1194.4000000000001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4"/>
        <v>-32.36</v>
      </c>
      <c r="CA1958" s="106">
        <v>-17.100000000000001</v>
      </c>
      <c r="CG1958" s="106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4"/>
        <v>-51.21</v>
      </c>
      <c r="AR1959" s="106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4"/>
        <v>0</v>
      </c>
    </row>
    <row r="1961" spans="1:240" x14ac:dyDescent="0.25">
      <c r="A1961" s="127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4"/>
        <v>1283.9100000000001</v>
      </c>
      <c r="AW1962" s="106">
        <v>499.01</v>
      </c>
      <c r="BI1962" s="106">
        <v>396.1</v>
      </c>
      <c r="CM1962" s="106">
        <v>388.8</v>
      </c>
    </row>
    <row r="1963" spans="1:240" x14ac:dyDescent="0.25">
      <c r="A1963" s="127">
        <v>44817</v>
      </c>
      <c r="B1963" s="24" t="s">
        <v>113</v>
      </c>
      <c r="C1963" s="21">
        <f t="shared" si="34"/>
        <v>2017.99</v>
      </c>
      <c r="BO1963" s="106">
        <v>510.94</v>
      </c>
      <c r="CM1963" s="106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4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4"/>
        <v>-47</v>
      </c>
      <c r="Z1966" s="79">
        <v>-8.81</v>
      </c>
      <c r="AC1966" s="106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4"/>
        <v>-7.8</v>
      </c>
      <c r="AC1967" s="106">
        <v>-7.8</v>
      </c>
    </row>
    <row r="1968" spans="1:240" x14ac:dyDescent="0.25">
      <c r="A1968" s="127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5">SUM(D1969:JT1969)</f>
        <v>-74.12</v>
      </c>
      <c r="AW1969" s="106">
        <v>-8.31</v>
      </c>
      <c r="BC1969" s="106">
        <v>-7.23</v>
      </c>
      <c r="BI1969" s="106">
        <v>-8.65</v>
      </c>
      <c r="BS1969" s="42">
        <v>-7.58</v>
      </c>
      <c r="CA1969" s="106">
        <v>-8.6999999999999993</v>
      </c>
      <c r="CM1969" s="106">
        <v>-8.1999999999999993</v>
      </c>
      <c r="CS1969" s="74">
        <v>-8.35</v>
      </c>
      <c r="CY1969" s="106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5"/>
        <v>-34.340000000000003</v>
      </c>
      <c r="AR1970" s="106">
        <v>-8.56</v>
      </c>
      <c r="BI1970" s="106">
        <v>-8.5500000000000007</v>
      </c>
      <c r="BS1970" s="42">
        <v>-7.68</v>
      </c>
      <c r="CM1970" s="106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5"/>
        <v>-17.25</v>
      </c>
      <c r="BI1971" s="106">
        <v>-8.5500000000000007</v>
      </c>
      <c r="CA1971" s="106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5"/>
        <v>-64.3</v>
      </c>
      <c r="AC1972" s="106">
        <v>-7.9</v>
      </c>
      <c r="AR1972" s="106">
        <v>-8.58</v>
      </c>
      <c r="BO1972" s="106">
        <v>-17.18</v>
      </c>
      <c r="BS1972" s="42">
        <v>-14.72</v>
      </c>
      <c r="CG1972" s="106">
        <v>-7.57</v>
      </c>
      <c r="CM1972" s="106">
        <v>-8.35</v>
      </c>
    </row>
    <row r="1973" spans="1:208" x14ac:dyDescent="0.25">
      <c r="A1973" s="127">
        <v>44817</v>
      </c>
      <c r="B1973" s="24" t="s">
        <v>95</v>
      </c>
      <c r="C1973" s="21">
        <f t="shared" si="35"/>
        <v>-134.5</v>
      </c>
      <c r="CG1973" s="106">
        <v>-67.14</v>
      </c>
      <c r="CM1973" s="106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106">
        <v>-15.7</v>
      </c>
      <c r="AR1974" s="106">
        <v>-16.96</v>
      </c>
      <c r="AW1974" s="106">
        <v>-31.22</v>
      </c>
      <c r="BC1974" s="106">
        <v>-28.12</v>
      </c>
      <c r="BO1974" s="106">
        <v>-29.78</v>
      </c>
      <c r="CA1974" s="106">
        <v>-33.4</v>
      </c>
      <c r="CM1974" s="106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5"/>
        <v>-191.49</v>
      </c>
      <c r="AN1975" s="106">
        <v>-32.25</v>
      </c>
      <c r="AW1975" s="106">
        <v>-33.76</v>
      </c>
      <c r="BC1975" s="106">
        <v>-28.8</v>
      </c>
      <c r="BO1975" s="106">
        <v>-62.76</v>
      </c>
      <c r="CA1975" s="106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5"/>
        <v>-26.55</v>
      </c>
      <c r="AR1976" s="106">
        <v>-8.5500000000000007</v>
      </c>
      <c r="BI1976" s="106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5"/>
        <v>-138.86000000000001</v>
      </c>
      <c r="AN1977" s="106">
        <v>-16.2</v>
      </c>
      <c r="AR1977" s="106">
        <v>-16.97</v>
      </c>
      <c r="BC1977" s="106">
        <v>-28.96</v>
      </c>
      <c r="CY1977" s="106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5"/>
        <v>-781.37</v>
      </c>
      <c r="BI1978" s="106">
        <v>-344.5</v>
      </c>
      <c r="CG1978" s="106">
        <v>-334.58</v>
      </c>
      <c r="DK1978" s="106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5"/>
        <v>-15.49</v>
      </c>
      <c r="AM1979" s="69">
        <v>-2.06</v>
      </c>
      <c r="CM1979" s="106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5"/>
        <v>-750.87</v>
      </c>
      <c r="AC1980" s="106">
        <v>-31.5</v>
      </c>
      <c r="AW1980" s="106">
        <v>-33.450000000000003</v>
      </c>
      <c r="BC1980" s="106">
        <v>-57.76</v>
      </c>
      <c r="BI1980" s="106">
        <v>-17.25</v>
      </c>
      <c r="BO1980" s="106">
        <v>-65.14</v>
      </c>
      <c r="CA1980" s="106">
        <v>-96.04</v>
      </c>
      <c r="CM1980" s="106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5"/>
        <v>-16.55</v>
      </c>
      <c r="CM1981" s="106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5"/>
        <v>-87.03</v>
      </c>
      <c r="BC1983" s="106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5"/>
        <v>-48.05</v>
      </c>
      <c r="AW1984" s="106">
        <v>-8.34</v>
      </c>
      <c r="BC1984" s="106">
        <v>-6.41</v>
      </c>
      <c r="BO1984" s="106">
        <v>-8.15</v>
      </c>
      <c r="BS1984" s="42">
        <v>-8.1</v>
      </c>
      <c r="CA1984" s="106">
        <v>-8.6999999999999993</v>
      </c>
      <c r="CM1984" s="106">
        <v>-8.35</v>
      </c>
    </row>
    <row r="1985" spans="1:225" x14ac:dyDescent="0.25">
      <c r="A1985" s="127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5"/>
        <v>-1.06</v>
      </c>
      <c r="AV1986" s="69">
        <v>-0.45</v>
      </c>
      <c r="AW1986" s="106">
        <v>-0.61</v>
      </c>
    </row>
    <row r="1987" spans="1:225" x14ac:dyDescent="0.25">
      <c r="A1987" s="127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5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5"/>
        <v>-210.98</v>
      </c>
      <c r="AW1989" s="106">
        <v>-33.33</v>
      </c>
      <c r="BC1989" s="106">
        <v>-32.049999999999997</v>
      </c>
      <c r="BO1989" s="106">
        <v>-29.94</v>
      </c>
      <c r="BS1989" s="42">
        <v>-32.06</v>
      </c>
      <c r="CA1989" s="106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5"/>
        <v>0</v>
      </c>
    </row>
    <row r="1992" spans="1:225" x14ac:dyDescent="0.25">
      <c r="A1992" s="127">
        <v>44820</v>
      </c>
      <c r="B1992" s="24" t="s">
        <v>94</v>
      </c>
      <c r="C1992" s="21">
        <f t="shared" si="35"/>
        <v>0</v>
      </c>
    </row>
    <row r="1993" spans="1:225" x14ac:dyDescent="0.25">
      <c r="A1993" s="127">
        <v>44820</v>
      </c>
      <c r="B1993" s="24" t="s">
        <v>84</v>
      </c>
      <c r="C1993" s="21">
        <f t="shared" si="35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5"/>
        <v>-921.67</v>
      </c>
      <c r="V1994" s="74">
        <v>-34.72</v>
      </c>
      <c r="Z1994" s="79">
        <v>-35.659999999999997</v>
      </c>
      <c r="AC1994" s="106">
        <v>-63</v>
      </c>
      <c r="AN1994" s="106">
        <v>-64.900000000000006</v>
      </c>
      <c r="AR1994" s="106">
        <v>-34.21</v>
      </c>
      <c r="AW1994" s="106">
        <v>-99.39</v>
      </c>
      <c r="BO1994" s="106">
        <v>-88.95</v>
      </c>
      <c r="CA1994" s="106">
        <v>-33.380000000000003</v>
      </c>
      <c r="CM1994" s="106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5"/>
        <v>2099.54</v>
      </c>
      <c r="BI1996" s="106">
        <v>348</v>
      </c>
      <c r="BU1996" s="106">
        <v>355.4</v>
      </c>
      <c r="CG1996" s="106">
        <v>589.15</v>
      </c>
      <c r="CY1996" s="106">
        <v>368.95</v>
      </c>
      <c r="DK1996" s="106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5"/>
        <v>-366.01</v>
      </c>
      <c r="BI1997" s="106">
        <v>-165</v>
      </c>
      <c r="BU1997" s="106">
        <v>-65.75</v>
      </c>
      <c r="CG1997" s="106">
        <v>-104.5</v>
      </c>
      <c r="DK1997" s="106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5"/>
        <v>-167.28</v>
      </c>
      <c r="AR1998" s="106">
        <v>-34.08</v>
      </c>
      <c r="AW1998" s="106">
        <v>-33.58</v>
      </c>
      <c r="CM1998" s="106">
        <v>-34.1</v>
      </c>
      <c r="CS1998" s="74">
        <v>-33.200000000000003</v>
      </c>
      <c r="DK1998" s="106">
        <v>-32.32</v>
      </c>
    </row>
    <row r="1999" spans="1:225" x14ac:dyDescent="0.25">
      <c r="A1999" s="127">
        <v>44824</v>
      </c>
      <c r="B1999" s="24" t="s">
        <v>17</v>
      </c>
      <c r="C1999" s="21">
        <f t="shared" si="35"/>
        <v>-166.25</v>
      </c>
      <c r="BI1999" s="106">
        <v>-32.799999999999997</v>
      </c>
      <c r="BU1999" s="106">
        <v>-62.55</v>
      </c>
      <c r="CG1999" s="106">
        <v>-34.5</v>
      </c>
      <c r="CY1999" s="106">
        <v>-36.4</v>
      </c>
    </row>
    <row r="2000" spans="1:225" x14ac:dyDescent="0.25">
      <c r="A2000" s="127">
        <v>44824</v>
      </c>
      <c r="B2000" s="24" t="s">
        <v>78</v>
      </c>
      <c r="C2000" s="21">
        <f t="shared" si="35"/>
        <v>-43.1</v>
      </c>
      <c r="BI2000" s="106">
        <v>-34.35</v>
      </c>
      <c r="CA2000" s="106">
        <v>-8.75</v>
      </c>
    </row>
    <row r="2001" spans="1:238" x14ac:dyDescent="0.25">
      <c r="A2001" s="127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5"/>
        <v>-15.35</v>
      </c>
      <c r="BU2003" s="106">
        <v>-15.35</v>
      </c>
    </row>
    <row r="2004" spans="1:238" x14ac:dyDescent="0.25">
      <c r="A2004" s="127">
        <v>44824</v>
      </c>
      <c r="B2004" s="24" t="s">
        <v>20</v>
      </c>
      <c r="C2004" s="21">
        <f t="shared" si="35"/>
        <v>-47.93</v>
      </c>
      <c r="BI2004" s="106">
        <v>-8.35</v>
      </c>
      <c r="BO2004" s="106">
        <v>-7.89</v>
      </c>
      <c r="BU2004" s="106">
        <v>-8.15</v>
      </c>
      <c r="CG2004" s="106">
        <v>-8.65</v>
      </c>
      <c r="CM2004" s="106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106">
        <v>-2.06</v>
      </c>
      <c r="CM2006" s="106">
        <v>-5.99</v>
      </c>
    </row>
    <row r="2007" spans="1:238" x14ac:dyDescent="0.25">
      <c r="A2007" s="127">
        <v>44825</v>
      </c>
      <c r="B2007" s="24" t="s">
        <v>65</v>
      </c>
      <c r="C2007" s="21">
        <f t="shared" si="35"/>
        <v>-24.23</v>
      </c>
      <c r="AR2007" s="106">
        <v>-17</v>
      </c>
      <c r="BC2007" s="106">
        <v>-7.23</v>
      </c>
    </row>
    <row r="2008" spans="1:238" x14ac:dyDescent="0.25">
      <c r="A2008" s="127">
        <v>44825</v>
      </c>
      <c r="B2008" s="24" t="s">
        <v>79</v>
      </c>
      <c r="C2008" s="21">
        <f t="shared" si="35"/>
        <v>-23.33</v>
      </c>
      <c r="AW2008" s="106">
        <v>-8.4</v>
      </c>
      <c r="BI2008" s="106">
        <v>-7.6</v>
      </c>
      <c r="BO2008" s="106">
        <v>-7.33</v>
      </c>
    </row>
    <row r="2009" spans="1:238" x14ac:dyDescent="0.25">
      <c r="A2009" s="127">
        <v>44825</v>
      </c>
      <c r="B2009" s="24" t="s">
        <v>25</v>
      </c>
      <c r="C2009" s="21">
        <f t="shared" si="35"/>
        <v>-66.19</v>
      </c>
      <c r="AR2009" s="106">
        <v>-8.58</v>
      </c>
      <c r="AW2009" s="106">
        <v>-8.4</v>
      </c>
      <c r="BI2009" s="106">
        <v>-16.75</v>
      </c>
      <c r="BO2009" s="106">
        <v>-7.51</v>
      </c>
      <c r="BU2009" s="106">
        <v>-16.3</v>
      </c>
      <c r="CG2009" s="106">
        <v>-8.65</v>
      </c>
    </row>
    <row r="2010" spans="1:238" x14ac:dyDescent="0.25">
      <c r="A2010" s="127">
        <v>44825</v>
      </c>
      <c r="B2010" s="24" t="s">
        <v>33</v>
      </c>
      <c r="C2010" s="21">
        <f t="shared" si="35"/>
        <v>-24.89</v>
      </c>
      <c r="AW2010" s="106">
        <v>-8.36</v>
      </c>
      <c r="BO2010" s="106">
        <v>-8.83</v>
      </c>
      <c r="BU2010" s="106">
        <v>-7.7</v>
      </c>
    </row>
    <row r="2011" spans="1:238" x14ac:dyDescent="0.25">
      <c r="A2011" s="127">
        <v>44825</v>
      </c>
      <c r="B2011" s="24" t="s">
        <v>138</v>
      </c>
      <c r="C2011" s="21">
        <f t="shared" si="35"/>
        <v>-45.44</v>
      </c>
      <c r="AW2011" s="106">
        <v>-8.4</v>
      </c>
      <c r="BC2011" s="106">
        <v>-5.6</v>
      </c>
      <c r="BD2011" s="121">
        <v>-6.97</v>
      </c>
      <c r="BI2011" s="106">
        <v>-16.8</v>
      </c>
      <c r="BO2011" s="106">
        <v>-7.67</v>
      </c>
    </row>
    <row r="2012" spans="1:238" x14ac:dyDescent="0.25">
      <c r="A2012" s="127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5"/>
        <v>-36.64</v>
      </c>
      <c r="O2013" s="375">
        <v>-6.58</v>
      </c>
      <c r="BI2013" s="106">
        <v>-8.4499999999999993</v>
      </c>
      <c r="BO2013" s="106">
        <v>-6.97</v>
      </c>
      <c r="BS2013" s="42">
        <v>-8</v>
      </c>
      <c r="CA2013" s="106">
        <v>-6.64</v>
      </c>
    </row>
    <row r="2014" spans="1:238" x14ac:dyDescent="0.25">
      <c r="A2014" s="127">
        <v>44825</v>
      </c>
      <c r="B2014" s="24" t="s">
        <v>31</v>
      </c>
      <c r="C2014" s="21">
        <f t="shared" si="35"/>
        <v>-7.9</v>
      </c>
      <c r="AC2014" s="106">
        <v>-7.9</v>
      </c>
    </row>
    <row r="2015" spans="1:238" x14ac:dyDescent="0.25">
      <c r="A2015" s="127">
        <v>44825</v>
      </c>
      <c r="B2015" s="24" t="s">
        <v>147</v>
      </c>
      <c r="C2015" s="21">
        <f t="shared" si="35"/>
        <v>-7.55</v>
      </c>
      <c r="BI2015" s="106">
        <v>-7.55</v>
      </c>
    </row>
    <row r="2016" spans="1:238" x14ac:dyDescent="0.25">
      <c r="A2016" s="127">
        <v>44825</v>
      </c>
      <c r="B2016" s="24" t="s">
        <v>162</v>
      </c>
      <c r="C2016" s="21">
        <f t="shared" si="35"/>
        <v>-89.54</v>
      </c>
      <c r="AN2016" s="106">
        <v>-8.4499999999999993</v>
      </c>
      <c r="AR2016" s="106">
        <v>-8.56</v>
      </c>
      <c r="AW2016" s="106">
        <v>-8.41</v>
      </c>
      <c r="BI2016" s="106">
        <v>-16.7</v>
      </c>
      <c r="BO2016" s="106">
        <v>-14.76</v>
      </c>
      <c r="BU2016" s="106">
        <v>-7.6</v>
      </c>
      <c r="CG2016" s="106">
        <v>-8.65</v>
      </c>
      <c r="CS2016" s="74">
        <v>-7.81</v>
      </c>
      <c r="CY2016" s="106">
        <v>-8.6</v>
      </c>
    </row>
    <row r="2017" spans="1:224" x14ac:dyDescent="0.25">
      <c r="A2017" s="127">
        <v>44825</v>
      </c>
      <c r="B2017" s="24" t="s">
        <v>75</v>
      </c>
      <c r="C2017" s="21">
        <f t="shared" si="35"/>
        <v>-32.33</v>
      </c>
      <c r="AW2017" s="106">
        <v>-8.36</v>
      </c>
      <c r="BI2017" s="106">
        <v>-8.4499999999999993</v>
      </c>
      <c r="BO2017" s="106">
        <v>-7.37</v>
      </c>
      <c r="BU2017" s="106">
        <v>-8.15</v>
      </c>
    </row>
    <row r="2018" spans="1:224" x14ac:dyDescent="0.25">
      <c r="A2018" s="127">
        <v>44825</v>
      </c>
      <c r="B2018" s="24" t="s">
        <v>25</v>
      </c>
      <c r="C2018" s="21">
        <f t="shared" si="35"/>
        <v>-15.85</v>
      </c>
      <c r="BU2018" s="106">
        <v>-15.85</v>
      </c>
    </row>
    <row r="2019" spans="1:224" x14ac:dyDescent="0.25">
      <c r="A2019" s="127">
        <v>44826</v>
      </c>
      <c r="B2019" s="24" t="s">
        <v>89</v>
      </c>
      <c r="C2019" s="21">
        <f t="shared" si="35"/>
        <v>-744.15</v>
      </c>
      <c r="AW2019" s="106">
        <v>-66.8</v>
      </c>
      <c r="BO2019" s="106">
        <v>-59.68</v>
      </c>
      <c r="CG2019" s="106">
        <v>-69.2</v>
      </c>
      <c r="CM2019" s="106">
        <v>-66.400000000000006</v>
      </c>
      <c r="CY2019" s="106">
        <v>-66.349999999999994</v>
      </c>
      <c r="DE2019" s="74">
        <v>-70.2</v>
      </c>
      <c r="DK2019" s="106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106">
        <v>-7.4</v>
      </c>
      <c r="BI2020" s="106">
        <v>-8.4</v>
      </c>
      <c r="BO2020" s="106">
        <v>-29.02</v>
      </c>
      <c r="BU2020" s="106">
        <v>-40.75</v>
      </c>
      <c r="CG2020" s="106">
        <v>-34.549999999999997</v>
      </c>
      <c r="CM2020" s="106">
        <v>-33.65</v>
      </c>
      <c r="CY2020" s="106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5"/>
        <v>4199.03</v>
      </c>
      <c r="S2023" s="74">
        <v>208.05</v>
      </c>
      <c r="AC2023" s="106">
        <v>205.57</v>
      </c>
      <c r="AG2023" s="106">
        <v>352.94</v>
      </c>
      <c r="BC2023" s="106">
        <v>359.81</v>
      </c>
      <c r="BI2023" s="106">
        <v>494.1</v>
      </c>
      <c r="DK2023" s="106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5"/>
        <v>-142.94</v>
      </c>
      <c r="AG2024" s="106">
        <v>-70.7</v>
      </c>
      <c r="BC2024" s="106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5"/>
        <v>-70.38</v>
      </c>
      <c r="BI2025" s="106">
        <v>-70.38</v>
      </c>
    </row>
    <row r="2026" spans="1:224" x14ac:dyDescent="0.25">
      <c r="A2026" s="127">
        <v>44827</v>
      </c>
      <c r="B2026" s="24" t="s">
        <v>20</v>
      </c>
      <c r="C2026" s="21">
        <f t="shared" si="35"/>
        <v>-59.65</v>
      </c>
      <c r="O2026" s="375">
        <v>-8.64</v>
      </c>
      <c r="V2026" s="74">
        <v>-8.7799999999999994</v>
      </c>
      <c r="AG2026" s="106">
        <v>-8.86</v>
      </c>
      <c r="BU2026" s="106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5"/>
        <v>-8.4</v>
      </c>
      <c r="CM2027" s="106">
        <v>-8.4</v>
      </c>
    </row>
    <row r="2028" spans="1:224" x14ac:dyDescent="0.25">
      <c r="A2028" s="127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106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5"/>
        <v>655.82</v>
      </c>
      <c r="BI2029" s="106">
        <v>30.1</v>
      </c>
      <c r="BO2029" s="106">
        <f>32.8+33.15</f>
        <v>65.95</v>
      </c>
      <c r="BU2029" s="106">
        <v>31.75</v>
      </c>
      <c r="BY2029" s="42">
        <v>33.36</v>
      </c>
      <c r="CE2029" s="42">
        <v>27.59</v>
      </c>
      <c r="CL2029" s="69">
        <v>33.619999999999997</v>
      </c>
      <c r="CR2029" s="375">
        <v>25.79</v>
      </c>
      <c r="CW2029" s="42">
        <v>35.01</v>
      </c>
      <c r="CY2029" s="106">
        <f>31.27+32.23+33.08</f>
        <v>96.58</v>
      </c>
      <c r="DC2029" s="42">
        <f>9.42+8.66+8.48+8.59</f>
        <v>35.15</v>
      </c>
      <c r="DE2029" s="74">
        <v>35.74</v>
      </c>
      <c r="DK2029" s="106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5"/>
        <v>-150.66</v>
      </c>
      <c r="AR2030" s="106">
        <v>-8.4700000000000006</v>
      </c>
      <c r="AW2030" s="106">
        <v>-16.77</v>
      </c>
      <c r="BC2030" s="106">
        <v>-9.0399999999999991</v>
      </c>
      <c r="BI2030" s="106">
        <v>-22.61</v>
      </c>
      <c r="BO2030" s="106">
        <v>-21.75</v>
      </c>
      <c r="BU2030" s="106">
        <v>-25.85</v>
      </c>
      <c r="BY2030" s="42">
        <v>-16.27</v>
      </c>
      <c r="CM2030" s="106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5"/>
        <v>-244.25</v>
      </c>
      <c r="BC2031" s="106">
        <v>-72.2</v>
      </c>
      <c r="BI2031" s="106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5"/>
        <v>-11.35</v>
      </c>
      <c r="CM2032" s="106">
        <v>-3.57</v>
      </c>
      <c r="CP2032" s="182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6"/>
        <v>-796.08</v>
      </c>
      <c r="Z2034" s="79">
        <v>-33.58</v>
      </c>
      <c r="AR2034" s="106">
        <v>-34.04</v>
      </c>
      <c r="BC2034" s="106">
        <v>-107.73</v>
      </c>
      <c r="BI2034" s="106">
        <v>-105.89</v>
      </c>
      <c r="BO2034" s="106">
        <v>-94.73</v>
      </c>
      <c r="CG2034" s="106">
        <v>-103.8</v>
      </c>
      <c r="CS2034" s="74">
        <v>-93.26</v>
      </c>
      <c r="CY2034" s="106">
        <v>-64.349999999999994</v>
      </c>
      <c r="DE2034" s="74">
        <v>-70.72</v>
      </c>
      <c r="DK2034" s="106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6"/>
        <v>-11.18</v>
      </c>
      <c r="CE2035" s="42">
        <f>-(8.79-4.34)</f>
        <v>-4.45</v>
      </c>
      <c r="CY2035" s="106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6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6"/>
        <v>-8.5</v>
      </c>
      <c r="AN2037" s="106">
        <v>-8.5</v>
      </c>
    </row>
    <row r="2038" spans="1:224" x14ac:dyDescent="0.25">
      <c r="A2038" s="127">
        <v>44830</v>
      </c>
      <c r="B2038" s="24" t="s">
        <v>140</v>
      </c>
      <c r="C2038" s="21">
        <f t="shared" si="36"/>
        <v>-25.64</v>
      </c>
      <c r="D2038" s="386">
        <v>-25.64</v>
      </c>
    </row>
    <row r="2039" spans="1:224" x14ac:dyDescent="0.25">
      <c r="A2039" s="127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6"/>
        <v>-219.54</v>
      </c>
      <c r="AW2040" s="106">
        <v>-33.58</v>
      </c>
      <c r="BI2040" s="106">
        <v>-70.040000000000006</v>
      </c>
      <c r="BO2040" s="106">
        <v>-14.42</v>
      </c>
      <c r="BU2040" s="106">
        <v>-32.25</v>
      </c>
      <c r="CG2040" s="106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6"/>
        <v>-58.72</v>
      </c>
      <c r="BC2041" s="106">
        <v>-18.010000000000002</v>
      </c>
      <c r="BU2041" s="106">
        <v>-15.66</v>
      </c>
      <c r="CG2041" s="106">
        <v>-16.7</v>
      </c>
      <c r="CM2041" s="106">
        <v>-8.35</v>
      </c>
    </row>
    <row r="2042" spans="1:224" x14ac:dyDescent="0.25">
      <c r="A2042" s="127">
        <v>44831</v>
      </c>
      <c r="B2042" s="24" t="s">
        <v>127</v>
      </c>
      <c r="C2042" s="21">
        <f t="shared" si="36"/>
        <v>-23.21</v>
      </c>
      <c r="BO2042" s="106">
        <v>-7.27</v>
      </c>
      <c r="BU2042" s="106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6"/>
        <v>-59.27</v>
      </c>
      <c r="Z2043" s="79">
        <v>-8.81</v>
      </c>
      <c r="BU2043" s="106">
        <v>-16.09</v>
      </c>
      <c r="BY2043" s="42">
        <v>-8.3699999999999992</v>
      </c>
      <c r="CG2043" s="106">
        <v>-17.350000000000001</v>
      </c>
      <c r="CM2043" s="106">
        <v>-8.65</v>
      </c>
    </row>
    <row r="2044" spans="1:224" x14ac:dyDescent="0.25">
      <c r="A2044" s="127">
        <v>44831</v>
      </c>
      <c r="B2044" s="24" t="s">
        <v>33</v>
      </c>
      <c r="C2044" s="21">
        <f t="shared" si="36"/>
        <v>-23.91</v>
      </c>
      <c r="BC2044" s="106">
        <v>-9.02</v>
      </c>
      <c r="BO2044" s="106">
        <v>-6.69</v>
      </c>
      <c r="BU2044" s="106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6"/>
        <v>-41.22</v>
      </c>
      <c r="AG2045" s="106">
        <v>-8.84</v>
      </c>
      <c r="AW2045" s="106">
        <v>-8.3000000000000007</v>
      </c>
      <c r="BI2045" s="106">
        <v>-8.4</v>
      </c>
      <c r="BO2045" s="106">
        <v>-7.43</v>
      </c>
      <c r="BU2045" s="106">
        <v>-8.25</v>
      </c>
    </row>
    <row r="2046" spans="1:224" x14ac:dyDescent="0.25">
      <c r="A2046" s="127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6"/>
        <v>-35.76</v>
      </c>
      <c r="D2048" s="386">
        <v>-25.68</v>
      </c>
      <c r="E2048" s="386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6"/>
        <v>-701.65</v>
      </c>
      <c r="BI2049" s="106">
        <v>-70.680000000000007</v>
      </c>
      <c r="CG2049" s="106">
        <v>-104.15</v>
      </c>
      <c r="CM2049" s="106">
        <v>-170.05</v>
      </c>
      <c r="CR2049" s="375">
        <v>-25.79</v>
      </c>
      <c r="CS2049" s="74">
        <v>-29.08</v>
      </c>
      <c r="CY2049" s="106">
        <v>-65.430000000000007</v>
      </c>
      <c r="DE2049" s="74">
        <v>-70.3</v>
      </c>
      <c r="DK2049" s="106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6"/>
        <v>-55.45</v>
      </c>
      <c r="AW2053" s="106">
        <v>-8.36</v>
      </c>
      <c r="BC2053" s="106">
        <v>-8.85</v>
      </c>
      <c r="BI2053" s="106">
        <v>-7.49</v>
      </c>
      <c r="BO2053" s="106">
        <v>-8.15</v>
      </c>
      <c r="BU2053" s="106">
        <v>-8.1999999999999993</v>
      </c>
      <c r="CE2053" s="42">
        <v>-5.75</v>
      </c>
      <c r="CM2053" s="106">
        <v>-8.65</v>
      </c>
    </row>
    <row r="2054" spans="1:221" x14ac:dyDescent="0.25">
      <c r="A2054" s="127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6"/>
        <v>-16.850000000000001</v>
      </c>
      <c r="CM2056" s="106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6"/>
        <v>-8.8800000000000008</v>
      </c>
      <c r="BC2057" s="106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6"/>
        <v>0</v>
      </c>
    </row>
    <row r="2059" spans="1:221" x14ac:dyDescent="0.25">
      <c r="A2059" s="127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106">
        <v>-9.06</v>
      </c>
      <c r="BR2059" s="182">
        <v>-9.81</v>
      </c>
      <c r="BU2059" s="106">
        <v>-8.1999999999999993</v>
      </c>
      <c r="CE2059" s="42">
        <v>-9.34</v>
      </c>
      <c r="CM2059" s="106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106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6"/>
        <v>-67.17</v>
      </c>
      <c r="BC2061" s="106">
        <f>-9.35-8.89</f>
        <v>-18.239999999999998</v>
      </c>
      <c r="BI2061" s="106">
        <f>-8.9-8.89</f>
        <v>-17.79</v>
      </c>
      <c r="DK2061" s="106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6"/>
        <v>-70.73</v>
      </c>
      <c r="AG2062" s="106">
        <v>-35.409999999999997</v>
      </c>
      <c r="BI2062" s="106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6"/>
        <v>3276.14</v>
      </c>
      <c r="V2063" s="74">
        <v>340.62</v>
      </c>
      <c r="AW2063" s="106">
        <v>333.32</v>
      </c>
      <c r="BC2063" s="106">
        <v>346.41</v>
      </c>
      <c r="BI2063" s="106">
        <v>348.1</v>
      </c>
      <c r="BO2063" s="106">
        <v>578.35</v>
      </c>
      <c r="BU2063" s="106">
        <v>459.4</v>
      </c>
      <c r="CG2063" s="106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6"/>
        <v>1088.8499999999999</v>
      </c>
      <c r="BU2064" s="106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6"/>
        <v>-42.87</v>
      </c>
      <c r="AN2065" s="106">
        <v>-8.15</v>
      </c>
      <c r="AW2065" s="106">
        <v>-8.4</v>
      </c>
      <c r="BC2065" s="106">
        <v>-17.920000000000002</v>
      </c>
      <c r="BI2065" s="106">
        <v>-8.4</v>
      </c>
    </row>
    <row r="2066" spans="1:240" x14ac:dyDescent="0.25">
      <c r="A2066" s="127">
        <v>44834</v>
      </c>
      <c r="B2066" s="24" t="s">
        <v>152</v>
      </c>
      <c r="C2066" s="21">
        <f t="shared" si="36"/>
        <v>-420.99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6"/>
        <v>-286.57</v>
      </c>
      <c r="AW2067" s="106">
        <v>-49.23</v>
      </c>
      <c r="BC2067" s="106">
        <v>-65.900000000000006</v>
      </c>
      <c r="BO2067" s="106">
        <v>-69.099999999999994</v>
      </c>
      <c r="BU2067" s="106">
        <v>-68.8</v>
      </c>
      <c r="CG2067" s="106">
        <v>-33.54</v>
      </c>
    </row>
    <row r="2068" spans="1:240" x14ac:dyDescent="0.25">
      <c r="A2068" s="127">
        <v>44834</v>
      </c>
      <c r="B2068" s="24" t="s">
        <v>37</v>
      </c>
      <c r="C2068" s="21">
        <f t="shared" si="36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106">
        <v>-33.5</v>
      </c>
      <c r="BC2069" s="106">
        <v>-33</v>
      </c>
      <c r="BI2069" s="106">
        <v>-29.75</v>
      </c>
      <c r="BO2069" s="106">
        <v>-66.75</v>
      </c>
      <c r="BU2069" s="106">
        <v>-69.150000000000006</v>
      </c>
      <c r="CG2069" s="106">
        <v>-34.24</v>
      </c>
      <c r="CM2069" s="106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6"/>
        <v>-267.33999999999997</v>
      </c>
      <c r="BI2070" s="106">
        <v>-64.2</v>
      </c>
      <c r="BO2070" s="106">
        <v>-68.55</v>
      </c>
      <c r="BU2070" s="106">
        <v>-69.349999999999994</v>
      </c>
      <c r="CG2070" s="106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6"/>
        <v>2090.23</v>
      </c>
      <c r="AR2071" s="106">
        <v>385.25</v>
      </c>
      <c r="CA2071" s="106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6"/>
        <v>-17.14</v>
      </c>
      <c r="CA2072" s="106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6"/>
        <v>-33.47</v>
      </c>
      <c r="AW2073" s="106">
        <v>-8.4</v>
      </c>
      <c r="BC2073" s="106">
        <v>-8.9700000000000006</v>
      </c>
      <c r="BI2073" s="106">
        <v>-7.95</v>
      </c>
      <c r="CG2073" s="106">
        <v>-8.15</v>
      </c>
    </row>
    <row r="2074" spans="1:240" x14ac:dyDescent="0.25">
      <c r="A2074" s="127">
        <v>44838</v>
      </c>
      <c r="B2074" s="24" t="s">
        <v>162</v>
      </c>
      <c r="C2074" s="21">
        <f t="shared" si="36"/>
        <v>-16.760000000000002</v>
      </c>
      <c r="CA2074" s="106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6"/>
        <v>-24.6</v>
      </c>
      <c r="BO2075" s="106">
        <v>-8.4</v>
      </c>
      <c r="CA2075" s="106">
        <v>-16.2</v>
      </c>
    </row>
    <row r="2076" spans="1:240" x14ac:dyDescent="0.25">
      <c r="A2076" s="127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106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106">
        <v>-8.75</v>
      </c>
      <c r="CA2077" s="106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6"/>
        <v>-50.16</v>
      </c>
      <c r="AG2078" s="106">
        <v>-8.85</v>
      </c>
      <c r="BC2078" s="106">
        <v>-8.4499999999999993</v>
      </c>
      <c r="BI2078" s="106">
        <v>-7.95</v>
      </c>
      <c r="BO2078" s="106">
        <v>-8.4499999999999993</v>
      </c>
      <c r="CA2078" s="106">
        <v>-8.35</v>
      </c>
      <c r="CG2078" s="106">
        <v>-8.11</v>
      </c>
    </row>
    <row r="2079" spans="1:240" x14ac:dyDescent="0.25">
      <c r="A2079" s="127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6"/>
        <v>-33.380000000000003</v>
      </c>
      <c r="BI2080" s="106">
        <v>-7.9</v>
      </c>
      <c r="BU2080" s="106">
        <v>-8.6999999999999993</v>
      </c>
      <c r="CA2080" s="106">
        <v>-8.73</v>
      </c>
      <c r="CG2080" s="106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6"/>
        <v>-508.82</v>
      </c>
      <c r="V2081" s="74">
        <v>-162.1</v>
      </c>
      <c r="AC2081" s="106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6"/>
        <v>-17.05</v>
      </c>
      <c r="BC2082" s="106">
        <v>-8.4</v>
      </c>
      <c r="BU2082" s="106">
        <v>-8.65</v>
      </c>
    </row>
    <row r="2083" spans="1:214" x14ac:dyDescent="0.25">
      <c r="A2083" s="127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6"/>
        <v>-634.41999999999996</v>
      </c>
      <c r="AR2084" s="106">
        <v>-31.9</v>
      </c>
      <c r="BI2084" s="106">
        <v>-99.38</v>
      </c>
      <c r="BO2084" s="106">
        <v>-135.80000000000001</v>
      </c>
      <c r="BU2084" s="106">
        <v>-69.05</v>
      </c>
      <c r="CA2084" s="106">
        <v>-66.36</v>
      </c>
      <c r="CM2084" s="106">
        <v>-101</v>
      </c>
      <c r="CS2084" s="74">
        <v>-30.98</v>
      </c>
      <c r="CY2084" s="106">
        <v>-66.25</v>
      </c>
      <c r="DK2084" s="106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6"/>
        <v>-167.8</v>
      </c>
      <c r="CG2085" s="106">
        <v>-33.159999999999997</v>
      </c>
      <c r="CM2085" s="106">
        <v>-34.15</v>
      </c>
      <c r="DK2085" s="106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6"/>
        <v>-133.80000000000001</v>
      </c>
      <c r="BC2086" s="106">
        <v>-33.61</v>
      </c>
      <c r="BI2086" s="106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6"/>
        <v>0</v>
      </c>
    </row>
    <row r="2088" spans="1:214" x14ac:dyDescent="0.25">
      <c r="A2088" s="127">
        <v>44839</v>
      </c>
      <c r="B2088" s="24" t="s">
        <v>152</v>
      </c>
      <c r="C2088" s="21">
        <f t="shared" si="36"/>
        <v>-867.38</v>
      </c>
      <c r="AN2088" s="106">
        <v>-32.450000000000003</v>
      </c>
      <c r="AR2088" s="106">
        <v>-32.15</v>
      </c>
      <c r="BC2088" s="106">
        <v>-97.05</v>
      </c>
      <c r="BO2088" s="106">
        <v>-34.15</v>
      </c>
      <c r="BU2088" s="106">
        <v>-34.15</v>
      </c>
      <c r="CA2088" s="106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6"/>
        <v>-33.11</v>
      </c>
      <c r="BY2089" s="42">
        <v>33.99</v>
      </c>
      <c r="CA2089" s="106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6"/>
        <v>2195.9299999999998</v>
      </c>
      <c r="BI2090" s="106">
        <v>343.2</v>
      </c>
      <c r="BO2090" s="106">
        <v>342.52</v>
      </c>
      <c r="CA2090" s="106">
        <f>421.99+320.08</f>
        <v>742.07</v>
      </c>
      <c r="CM2090" s="106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6"/>
        <v>-292.58</v>
      </c>
      <c r="AN2091" s="106">
        <v>-32.049999999999997</v>
      </c>
      <c r="AR2091" s="106">
        <v>-31.95</v>
      </c>
      <c r="BI2091" s="106">
        <v>-32.020000000000003</v>
      </c>
      <c r="BU2091" s="106">
        <v>-32.85</v>
      </c>
      <c r="CG2091" s="106">
        <v>-33.5</v>
      </c>
      <c r="CM2091" s="106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6"/>
        <v>-460.74</v>
      </c>
      <c r="AW2092" s="106">
        <v>-67.94</v>
      </c>
      <c r="BI2092" s="106">
        <v>-60.9</v>
      </c>
      <c r="BO2092" s="106">
        <v>-102.6</v>
      </c>
      <c r="BU2092" s="106">
        <v>-95.05</v>
      </c>
      <c r="CG2092" s="106">
        <v>-67.3</v>
      </c>
      <c r="CM2092" s="106">
        <v>-66.95</v>
      </c>
    </row>
    <row r="2093" spans="1:214" x14ac:dyDescent="0.25">
      <c r="A2093" s="127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6"/>
        <v>0</v>
      </c>
    </row>
    <row r="2095" spans="1:214" x14ac:dyDescent="0.25">
      <c r="A2095" s="127">
        <v>44841</v>
      </c>
      <c r="B2095" s="24" t="s">
        <v>20</v>
      </c>
      <c r="C2095" s="21">
        <f t="shared" si="36"/>
        <v>-17.23</v>
      </c>
      <c r="CM2095" s="106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6"/>
        <v>-51.61</v>
      </c>
      <c r="CG2096" s="106">
        <v>-8.0299999999999994</v>
      </c>
      <c r="CM2096" s="106">
        <v>-17.7</v>
      </c>
      <c r="CS2096" s="74">
        <v>-8.73</v>
      </c>
      <c r="CY2096" s="106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7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7"/>
        <v>-65.92</v>
      </c>
      <c r="BC2098" s="106">
        <v>-8.4</v>
      </c>
      <c r="BI2098" s="106">
        <v>-15.8</v>
      </c>
      <c r="BO2098" s="106">
        <v>-15.92</v>
      </c>
      <c r="BU2098" s="106">
        <v>-8.6999999999999993</v>
      </c>
      <c r="CG2098" s="106">
        <v>-8.6999999999999993</v>
      </c>
      <c r="CM2098" s="106">
        <v>-8.4</v>
      </c>
    </row>
    <row r="2099" spans="1:225" x14ac:dyDescent="0.25">
      <c r="A2099" s="127">
        <v>44844</v>
      </c>
      <c r="B2099" s="24" t="s">
        <v>43</v>
      </c>
      <c r="C2099" s="21">
        <f t="shared" si="37"/>
        <v>-917.57</v>
      </c>
      <c r="AC2099" s="106">
        <v>-34.89</v>
      </c>
      <c r="AN2099" s="106">
        <v>-32.5</v>
      </c>
      <c r="AR2099" s="106">
        <v>-95.95</v>
      </c>
      <c r="AW2099" s="106">
        <v>-101.4</v>
      </c>
      <c r="BC2099" s="106">
        <v>-32.049999999999997</v>
      </c>
      <c r="BI2099" s="106">
        <v>-62.64</v>
      </c>
      <c r="BO2099" s="106">
        <v>-127.65</v>
      </c>
      <c r="BU2099" s="106">
        <v>-136.69999999999999</v>
      </c>
      <c r="CA2099" s="106">
        <v>-95.96</v>
      </c>
      <c r="CG2099" s="106">
        <v>-100.71</v>
      </c>
      <c r="CM2099" s="106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7"/>
        <v>-15.66</v>
      </c>
      <c r="AW2100" s="106">
        <v>-8.7100000000000009</v>
      </c>
      <c r="BI2100" s="106">
        <v>-6.95</v>
      </c>
    </row>
    <row r="2101" spans="1:225" x14ac:dyDescent="0.25">
      <c r="A2101" s="127">
        <v>44845</v>
      </c>
      <c r="B2101" s="24" t="s">
        <v>127</v>
      </c>
      <c r="C2101" s="21">
        <f t="shared" si="37"/>
        <v>-17.2</v>
      </c>
      <c r="AW2101" s="106">
        <v>-8.75</v>
      </c>
      <c r="BC2101" s="106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7"/>
        <v>-57.41</v>
      </c>
      <c r="AW2102" s="106">
        <v>-8.49</v>
      </c>
      <c r="BC2102" s="106">
        <v>-8.4499999999999993</v>
      </c>
      <c r="BU2102" s="106">
        <v>-8.6999999999999993</v>
      </c>
      <c r="CA2102" s="106">
        <v>-8.77</v>
      </c>
      <c r="CG2102" s="106">
        <v>-23</v>
      </c>
    </row>
    <row r="2103" spans="1:225" x14ac:dyDescent="0.25">
      <c r="A2103" s="127">
        <v>44845</v>
      </c>
      <c r="B2103" s="24" t="s">
        <v>139</v>
      </c>
      <c r="C2103" s="21">
        <f t="shared" si="37"/>
        <v>-42.19</v>
      </c>
      <c r="BU2103" s="106">
        <v>-8.6</v>
      </c>
      <c r="CA2103" s="106">
        <v>-8.33</v>
      </c>
      <c r="CG2103" s="106">
        <v>-8.4499999999999993</v>
      </c>
      <c r="CM2103" s="106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7"/>
        <v>-33.46</v>
      </c>
      <c r="BO2104" s="106">
        <v>-8.5500000000000007</v>
      </c>
      <c r="BU2104" s="106">
        <v>-8.65</v>
      </c>
      <c r="CA2104" s="106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7"/>
        <v>-42.65</v>
      </c>
      <c r="BC2106" s="106">
        <v>-42.65</v>
      </c>
    </row>
    <row r="2107" spans="1:225" x14ac:dyDescent="0.25">
      <c r="A2107" s="127">
        <v>44845</v>
      </c>
      <c r="B2107" s="24" t="s">
        <v>79</v>
      </c>
      <c r="C2107" s="21">
        <f t="shared" si="37"/>
        <v>-8.31</v>
      </c>
      <c r="CA2107" s="106">
        <v>-8.31</v>
      </c>
    </row>
    <row r="2108" spans="1:225" x14ac:dyDescent="0.25">
      <c r="A2108" s="127">
        <v>44846</v>
      </c>
      <c r="B2108" s="24" t="s">
        <v>44</v>
      </c>
      <c r="C2108" s="21">
        <f t="shared" si="37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7"/>
        <v>-226.99</v>
      </c>
      <c r="AC2109" s="106">
        <v>-15.7</v>
      </c>
      <c r="AG2109" s="106">
        <v>-17.75</v>
      </c>
      <c r="AN2109" s="106">
        <v>-16.2</v>
      </c>
      <c r="BI2109" s="106">
        <v>-31.28</v>
      </c>
      <c r="BO2109" s="106">
        <v>-30.64</v>
      </c>
      <c r="CA2109" s="106">
        <v>-34.299999999999997</v>
      </c>
      <c r="CM2109" s="106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7"/>
        <v>-4.37</v>
      </c>
      <c r="AU2110" s="42">
        <v>34.82</v>
      </c>
      <c r="AW2110" s="106">
        <v>-33.28</v>
      </c>
      <c r="BG2110" s="42">
        <v>33.57</v>
      </c>
      <c r="BI2110" s="106">
        <v>-30.08</v>
      </c>
      <c r="BU2110" s="106">
        <v>-9.4</v>
      </c>
    </row>
    <row r="2111" spans="1:225" x14ac:dyDescent="0.25">
      <c r="A2111" s="127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7"/>
        <v>2074.75</v>
      </c>
      <c r="AW2113" s="106">
        <v>354.35</v>
      </c>
      <c r="CG2113" s="106">
        <v>347.4</v>
      </c>
      <c r="CY2113" s="106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7"/>
        <v>-1318.48</v>
      </c>
      <c r="AR2114" s="106">
        <v>-31.85</v>
      </c>
      <c r="AW2114" s="106">
        <v>-29.88</v>
      </c>
      <c r="BI2114" s="106">
        <v>-95.54</v>
      </c>
      <c r="BU2114" s="106">
        <v>-66.599999999999994</v>
      </c>
      <c r="CA2114" s="106">
        <v>-68.5</v>
      </c>
      <c r="CG2114" s="106">
        <v>-132.55000000000001</v>
      </c>
      <c r="CM2114" s="106">
        <v>-100.45</v>
      </c>
      <c r="CS2114" s="74">
        <v>-127.32</v>
      </c>
      <c r="CY2114" s="106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7"/>
        <v>-355.82</v>
      </c>
      <c r="AR2115" s="106">
        <v>-63.9</v>
      </c>
      <c r="BI2115" s="106">
        <v>-29.9</v>
      </c>
      <c r="BO2115" s="106">
        <v>-60.16</v>
      </c>
      <c r="BU2115" s="106">
        <v>-66.75</v>
      </c>
      <c r="CA2115" s="106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7"/>
        <v>-132.19</v>
      </c>
      <c r="L2116" s="69">
        <v>-33.78</v>
      </c>
      <c r="O2116" s="375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7"/>
        <v>-199.48</v>
      </c>
      <c r="AR2117" s="106">
        <v>-33.799999999999997</v>
      </c>
      <c r="BO2117" s="106">
        <v>-29.42</v>
      </c>
      <c r="BU2117" s="106">
        <v>-33.799999999999997</v>
      </c>
      <c r="CA2117" s="106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7"/>
        <v>-8.7899999999999991</v>
      </c>
      <c r="CA2118" s="106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7"/>
        <v>-25.68</v>
      </c>
      <c r="E2120" s="386">
        <v>-25.68</v>
      </c>
    </row>
    <row r="2121" spans="1:221" x14ac:dyDescent="0.25">
      <c r="A2121" s="127">
        <v>44848</v>
      </c>
      <c r="B2121" s="24" t="s">
        <v>84</v>
      </c>
      <c r="C2121" s="21">
        <f t="shared" si="37"/>
        <v>0</v>
      </c>
    </row>
    <row r="2122" spans="1:221" x14ac:dyDescent="0.25">
      <c r="A2122" s="127">
        <v>44851</v>
      </c>
      <c r="B2122" s="24" t="s">
        <v>113</v>
      </c>
      <c r="C2122" s="21">
        <f t="shared" si="37"/>
        <v>2442.9499999999998</v>
      </c>
      <c r="AR2122" s="106">
        <v>347.6</v>
      </c>
      <c r="BU2122" s="106">
        <v>343.79</v>
      </c>
      <c r="CA2122" s="106">
        <v>361.64</v>
      </c>
      <c r="CM2122" s="106">
        <v>351.32</v>
      </c>
      <c r="CY2122" s="106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7"/>
        <v>-91.084999999999994</v>
      </c>
      <c r="CA2123" s="106">
        <v>-31.94</v>
      </c>
      <c r="CG2123" s="106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7"/>
        <v>-684.14</v>
      </c>
      <c r="BU2124" s="106">
        <v>-30.8</v>
      </c>
      <c r="CS2124" s="74">
        <v>-34.14</v>
      </c>
      <c r="DK2124" s="106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7"/>
        <v>0</v>
      </c>
    </row>
    <row r="2126" spans="1:221" x14ac:dyDescent="0.25">
      <c r="A2126" s="127">
        <v>44851</v>
      </c>
      <c r="B2126" s="24" t="s">
        <v>43</v>
      </c>
      <c r="C2126" s="21">
        <f t="shared" si="37"/>
        <v>-523.55499999999995</v>
      </c>
      <c r="AC2126" s="106">
        <v>-29.71</v>
      </c>
      <c r="BI2126" s="106">
        <v>-32.9</v>
      </c>
      <c r="BO2126" s="106">
        <v>-58.68</v>
      </c>
      <c r="BU2126" s="106">
        <v>-90.15</v>
      </c>
      <c r="CA2126" s="106">
        <v>-90.6</v>
      </c>
      <c r="CG2126" s="106">
        <v>-66.2</v>
      </c>
      <c r="CM2126" s="106">
        <v>-33.6</v>
      </c>
      <c r="CY2126" s="106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7"/>
        <v>-99.75</v>
      </c>
      <c r="AW2127" s="106">
        <v>-32.1</v>
      </c>
      <c r="CG2127" s="106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7"/>
        <v>-29.46</v>
      </c>
      <c r="BU2128" s="106">
        <v>-29.46</v>
      </c>
    </row>
    <row r="2129" spans="1:233" x14ac:dyDescent="0.25">
      <c r="A2129" s="127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7"/>
        <v>-32.549999999999997</v>
      </c>
      <c r="O2130" s="375">
        <v>-8.66</v>
      </c>
      <c r="BI2130" s="106">
        <v>-7.9</v>
      </c>
      <c r="BO2130" s="106">
        <v>-7.89</v>
      </c>
      <c r="CG2130" s="106">
        <v>-8.1</v>
      </c>
    </row>
    <row r="2131" spans="1:233" x14ac:dyDescent="0.25">
      <c r="A2131" s="127">
        <v>44852</v>
      </c>
      <c r="B2131" s="24" t="s">
        <v>139</v>
      </c>
      <c r="C2131" s="21">
        <f t="shared" si="37"/>
        <v>-16.79</v>
      </c>
      <c r="CM2131" s="106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7"/>
        <v>-162.55000000000001</v>
      </c>
      <c r="AR2132" s="106">
        <v>-17.059999999999999</v>
      </c>
      <c r="AW2132" s="106">
        <v>-32</v>
      </c>
      <c r="BI2132" s="106">
        <v>-15.94</v>
      </c>
      <c r="BU2132" s="106">
        <v>-30.85</v>
      </c>
      <c r="CG2132" s="106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106">
        <v>-7.9</v>
      </c>
      <c r="CA2134" s="106">
        <v>-8.15</v>
      </c>
    </row>
    <row r="2135" spans="1:233" x14ac:dyDescent="0.25">
      <c r="A2135" s="127">
        <v>44852</v>
      </c>
      <c r="B2135" s="24" t="s">
        <v>25</v>
      </c>
      <c r="C2135" s="21">
        <f t="shared" si="37"/>
        <v>-68.19</v>
      </c>
      <c r="BI2135" s="106">
        <v>-8.0500000000000007</v>
      </c>
      <c r="BO2135" s="106">
        <v>-7.61</v>
      </c>
      <c r="BU2135" s="106">
        <v>-16.350000000000001</v>
      </c>
      <c r="DE2135" s="74">
        <v>-9.35</v>
      </c>
      <c r="DK2135" s="106">
        <v>-26.83</v>
      </c>
    </row>
    <row r="2136" spans="1:233" x14ac:dyDescent="0.25">
      <c r="A2136" s="127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7"/>
        <v>-32.049999999999997</v>
      </c>
      <c r="AW2137" s="106">
        <v>-16.100000000000001</v>
      </c>
      <c r="BI2137" s="106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7"/>
        <v>-16.3</v>
      </c>
      <c r="V2138" s="74">
        <v>-8.1999999999999993</v>
      </c>
      <c r="AN2138" s="106">
        <v>-8.1</v>
      </c>
    </row>
    <row r="2139" spans="1:233" x14ac:dyDescent="0.25">
      <c r="A2139" s="127">
        <v>44852</v>
      </c>
      <c r="B2139" s="24" t="s">
        <v>88</v>
      </c>
      <c r="C2139" s="21">
        <f t="shared" si="37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106">
        <v>-32.1</v>
      </c>
      <c r="BO2140" s="106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7"/>
        <v>-628.29</v>
      </c>
      <c r="AR2142" s="106">
        <v>-32.9</v>
      </c>
      <c r="BU2142" s="106">
        <v>-95.98</v>
      </c>
      <c r="CA2142" s="106">
        <v>-158.68</v>
      </c>
      <c r="CG2142" s="106">
        <v>-67.8</v>
      </c>
      <c r="CM2142" s="106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7"/>
        <v>-130.82</v>
      </c>
      <c r="BU2143" s="106">
        <v>-31.65</v>
      </c>
      <c r="CM2143" s="106">
        <v>-33.65</v>
      </c>
      <c r="CY2143" s="106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7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106">
        <v>-40.4</v>
      </c>
      <c r="AP2144" s="42">
        <v>8.52</v>
      </c>
      <c r="AW2144" s="106">
        <v>-32.25</v>
      </c>
      <c r="BG2144" s="42">
        <v>33.65</v>
      </c>
      <c r="BM2144" s="88">
        <v>34.11</v>
      </c>
      <c r="BU2144" s="106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7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7"/>
        <v>-50.4</v>
      </c>
      <c r="AR2148" s="106">
        <v>-8.52</v>
      </c>
      <c r="BU2148" s="106">
        <v>-8.1999999999999993</v>
      </c>
      <c r="CA2148" s="106">
        <v>-6.77</v>
      </c>
      <c r="DK2148" s="106">
        <v>-26.91</v>
      </c>
    </row>
    <row r="2149" spans="1:232" x14ac:dyDescent="0.25">
      <c r="A2149" s="127">
        <v>44854</v>
      </c>
      <c r="B2149" s="24" t="s">
        <v>15</v>
      </c>
      <c r="C2149" s="21">
        <f t="shared" si="37"/>
        <v>-78.14</v>
      </c>
      <c r="BO2149" s="106">
        <v>-13.66</v>
      </c>
      <c r="CA2149" s="106">
        <v>-64.48</v>
      </c>
    </row>
    <row r="2150" spans="1:232" x14ac:dyDescent="0.25">
      <c r="A2150" s="127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7"/>
        <v>1183.95</v>
      </c>
      <c r="AN2151" s="106">
        <v>353.25</v>
      </c>
      <c r="BC2151" s="106">
        <v>349.34</v>
      </c>
      <c r="BO2151" s="106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7"/>
        <v>-149.62</v>
      </c>
      <c r="AR2152" s="106">
        <v>-67.150000000000006</v>
      </c>
      <c r="AW2152" s="106">
        <f>-8.75-8-7.8</f>
        <v>-24.55</v>
      </c>
      <c r="CA2152" s="106">
        <v>-34.46</v>
      </c>
      <c r="CY2152" s="106">
        <v>-7.21</v>
      </c>
      <c r="DK2152" s="106">
        <v>-16.25</v>
      </c>
    </row>
    <row r="2153" spans="1:232" x14ac:dyDescent="0.25">
      <c r="A2153" s="127">
        <v>44856</v>
      </c>
      <c r="B2153" s="23" t="s">
        <v>48</v>
      </c>
      <c r="C2153" s="21">
        <f t="shared" si="37"/>
        <v>-52.3</v>
      </c>
      <c r="BC2153" s="106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7"/>
        <v>-59.5</v>
      </c>
      <c r="BC2154" s="106">
        <v>-59.5</v>
      </c>
    </row>
    <row r="2155" spans="1:232" x14ac:dyDescent="0.25">
      <c r="A2155" s="127">
        <v>44858</v>
      </c>
      <c r="B2155" s="24" t="s">
        <v>146</v>
      </c>
      <c r="C2155" s="21">
        <f t="shared" si="37"/>
        <v>-391.67</v>
      </c>
      <c r="BC2155" s="106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7"/>
        <v>0</v>
      </c>
    </row>
    <row r="2157" spans="1:232" x14ac:dyDescent="0.25">
      <c r="A2157" s="127">
        <v>44859</v>
      </c>
      <c r="B2157" s="24" t="s">
        <v>139</v>
      </c>
      <c r="C2157" s="21">
        <f t="shared" si="37"/>
        <v>-32.880000000000003</v>
      </c>
      <c r="V2157" s="74">
        <v>-8.1999999999999993</v>
      </c>
      <c r="AN2157" s="106">
        <v>-8.15</v>
      </c>
      <c r="BO2157" s="106">
        <v>-8.33</v>
      </c>
      <c r="BU2157" s="106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7"/>
        <v>-32.79</v>
      </c>
      <c r="O2158" s="375">
        <v>-8.67</v>
      </c>
      <c r="AR2158" s="106">
        <v>-7.55</v>
      </c>
      <c r="CG2158" s="106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7"/>
        <v>-75.86</v>
      </c>
      <c r="BO2159" s="106">
        <v>-8.7100000000000009</v>
      </c>
      <c r="BU2159" s="106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7"/>
        <v>-71.83</v>
      </c>
      <c r="BC2160" s="106">
        <v>-15.95</v>
      </c>
      <c r="BO2160" s="106">
        <v>-17.440000000000001</v>
      </c>
      <c r="BU2160" s="106">
        <v>-16.45</v>
      </c>
      <c r="CA2160" s="106">
        <v>-13.64</v>
      </c>
      <c r="CG2160" s="106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8">SUM(D2161:JT2161)</f>
        <v>-67.41</v>
      </c>
      <c r="BU2161" s="106">
        <v>-16.3</v>
      </c>
      <c r="CA2161" s="106">
        <v>-17.260000000000002</v>
      </c>
      <c r="CG2161" s="106">
        <v>-17.2</v>
      </c>
      <c r="CM2161" s="106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8"/>
        <v>-24.08</v>
      </c>
      <c r="BO2162" s="106">
        <v>-7.41</v>
      </c>
      <c r="BU2162" s="106">
        <v>-8.1999999999999993</v>
      </c>
      <c r="CA2162" s="106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8"/>
        <v>-39</v>
      </c>
      <c r="AW2163" s="106">
        <v>-8.15</v>
      </c>
      <c r="BC2163" s="106">
        <v>-14.55</v>
      </c>
      <c r="BU2163" s="106">
        <v>-16.3</v>
      </c>
    </row>
    <row r="2164" spans="1:219" x14ac:dyDescent="0.25">
      <c r="A2164" s="127">
        <v>44859</v>
      </c>
      <c r="B2164" s="24" t="s">
        <v>68</v>
      </c>
      <c r="C2164" s="21">
        <f t="shared" si="38"/>
        <v>-63.97</v>
      </c>
      <c r="V2164" s="74">
        <v>-32.42</v>
      </c>
      <c r="BC2164" s="106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8"/>
        <v>1708.84</v>
      </c>
      <c r="BI2165" s="106">
        <v>339.56</v>
      </c>
      <c r="BU2165" s="106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8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8"/>
        <v>-88.01</v>
      </c>
      <c r="BI2169" s="106">
        <v>-31.25</v>
      </c>
      <c r="BO2169" s="106">
        <v>-7.75</v>
      </c>
      <c r="CA2169" s="106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8"/>
        <v>-198.97</v>
      </c>
      <c r="AN2170" s="106">
        <v>-31.7</v>
      </c>
      <c r="AW2170" s="106">
        <v>-32.049999999999997</v>
      </c>
      <c r="BC2170" s="106">
        <v>-27.78</v>
      </c>
      <c r="BI2170" s="106">
        <v>-30.06</v>
      </c>
      <c r="BO2170" s="106">
        <v>-44.4</v>
      </c>
      <c r="BU2170" s="106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8"/>
        <v>-191.96</v>
      </c>
      <c r="BC2171" s="106">
        <v>-29.66</v>
      </c>
      <c r="BO2171" s="106">
        <v>-25.66</v>
      </c>
      <c r="BU2171" s="106">
        <v>-34.549999999999997</v>
      </c>
      <c r="CA2171" s="106">
        <v>-69.540000000000006</v>
      </c>
      <c r="CG2171" s="106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8"/>
        <v>-135.15</v>
      </c>
      <c r="BU2172" s="106">
        <v>-34.5</v>
      </c>
      <c r="CG2172" s="106">
        <v>-66</v>
      </c>
      <c r="CM2172" s="106">
        <v>-34.65</v>
      </c>
    </row>
    <row r="2173" spans="1:219" x14ac:dyDescent="0.25">
      <c r="A2173" s="127">
        <v>44861</v>
      </c>
      <c r="B2173" s="24" t="s">
        <v>39</v>
      </c>
      <c r="C2173" s="21">
        <f t="shared" si="38"/>
        <v>-40.5</v>
      </c>
      <c r="AR2173" s="106">
        <v>-7.5</v>
      </c>
      <c r="BC2173" s="106">
        <v>-8.1</v>
      </c>
      <c r="BI2173" s="106">
        <v>-7.8</v>
      </c>
      <c r="CA2173" s="106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8"/>
        <v>-199.35</v>
      </c>
      <c r="BI2174" s="106">
        <v>-30</v>
      </c>
      <c r="BU2174" s="106">
        <v>-30.2</v>
      </c>
      <c r="CG2174" s="106">
        <v>-103.9</v>
      </c>
      <c r="CM2174" s="106">
        <v>-35.25</v>
      </c>
    </row>
    <row r="2175" spans="1:219" x14ac:dyDescent="0.25">
      <c r="A2175" s="127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8"/>
        <v>-33.11</v>
      </c>
      <c r="BI2176" s="106">
        <v>-7.75</v>
      </c>
      <c r="BU2176" s="106">
        <v>-8.3000000000000007</v>
      </c>
      <c r="CA2176" s="106">
        <v>-8.7100000000000009</v>
      </c>
      <c r="CG2176" s="106">
        <v>-8.35</v>
      </c>
    </row>
    <row r="2177" spans="1:221" x14ac:dyDescent="0.25">
      <c r="A2177" s="127">
        <v>44862</v>
      </c>
      <c r="B2177" s="24" t="s">
        <v>127</v>
      </c>
      <c r="C2177" s="21">
        <f t="shared" si="38"/>
        <v>-32.14</v>
      </c>
      <c r="AN2177" s="106">
        <v>-8.0500000000000007</v>
      </c>
      <c r="AW2177" s="106">
        <v>-8.1</v>
      </c>
      <c r="BI2177" s="106">
        <v>-7.7</v>
      </c>
      <c r="BO2177" s="106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8"/>
        <v>-10</v>
      </c>
      <c r="D2179" s="386">
        <v>-5</v>
      </c>
      <c r="E2179" s="386">
        <v>-5</v>
      </c>
    </row>
    <row r="2180" spans="1:221" x14ac:dyDescent="0.25">
      <c r="A2180" s="127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106">
        <v>-29.5</v>
      </c>
      <c r="AW2180" s="106">
        <v>-32.15</v>
      </c>
      <c r="BC2180" s="106">
        <v>-29.62</v>
      </c>
      <c r="BI2180" s="106">
        <v>-63.4</v>
      </c>
      <c r="BO2180" s="106">
        <v>-29.48</v>
      </c>
      <c r="BU2180" s="106">
        <v>-128.88999999999999</v>
      </c>
      <c r="CA2180" s="106">
        <v>-103.04</v>
      </c>
      <c r="CG2180" s="106">
        <v>-103.4</v>
      </c>
      <c r="CM2180" s="106">
        <v>-33.65</v>
      </c>
      <c r="CY2180" s="106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8"/>
        <v>-35.19</v>
      </c>
      <c r="CM2182" s="106">
        <v>-8.6999999999999993</v>
      </c>
      <c r="CY2182" s="106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8"/>
        <v>-64.349999999999994</v>
      </c>
      <c r="AN2183" s="106">
        <v>-32.200000000000003</v>
      </c>
      <c r="AW2183" s="106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8"/>
        <v>-22.11</v>
      </c>
      <c r="AW2184" s="106">
        <v>-8.1</v>
      </c>
      <c r="BI2184" s="106">
        <v>-7.1</v>
      </c>
      <c r="BO2184" s="106">
        <v>-6.91</v>
      </c>
    </row>
    <row r="2185" spans="1:221" x14ac:dyDescent="0.25">
      <c r="A2185" s="127">
        <v>44865</v>
      </c>
      <c r="B2185" s="24" t="s">
        <v>127</v>
      </c>
      <c r="C2185" s="21">
        <f t="shared" si="38"/>
        <v>-16.66</v>
      </c>
      <c r="BR2185" s="182">
        <v>-8.76</v>
      </c>
      <c r="CG2185" s="106">
        <v>-7.9</v>
      </c>
    </row>
    <row r="2186" spans="1:221" x14ac:dyDescent="0.25">
      <c r="A2186" s="127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8"/>
        <v>-67.984999999999999</v>
      </c>
      <c r="O2187" s="375">
        <v>-8.6449999999999996</v>
      </c>
      <c r="BI2187" s="106">
        <v>-7.7</v>
      </c>
      <c r="BU2187" s="106">
        <v>-8.25</v>
      </c>
      <c r="CA2187" s="106">
        <v>-8.77</v>
      </c>
      <c r="CG2187" s="106">
        <v>-8.6999999999999993</v>
      </c>
      <c r="CM2187" s="106">
        <v>-8.65</v>
      </c>
      <c r="DK2187" s="106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8"/>
        <v>-30.85</v>
      </c>
      <c r="CM2188" s="106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8"/>
        <v>-8.0500000000000007</v>
      </c>
      <c r="AN2189" s="106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8"/>
        <v>-35.39</v>
      </c>
      <c r="BI2190" s="106">
        <v>-7.7</v>
      </c>
      <c r="CY2190" s="106">
        <v>-27.69</v>
      </c>
    </row>
    <row r="2191" spans="1:221" x14ac:dyDescent="0.25">
      <c r="A2191" s="127">
        <v>44865</v>
      </c>
      <c r="B2191" s="24" t="s">
        <v>32</v>
      </c>
      <c r="C2191" s="21">
        <f t="shared" si="38"/>
        <v>-127.06</v>
      </c>
      <c r="AR2191" s="106">
        <v>-7.55</v>
      </c>
      <c r="AW2191" s="106">
        <v>-32.35</v>
      </c>
      <c r="BU2191" s="106">
        <v>-31.26</v>
      </c>
      <c r="CA2191" s="106">
        <v>-8.69</v>
      </c>
      <c r="CM2191" s="106">
        <v>-16.95</v>
      </c>
      <c r="CS2191" s="74">
        <v>-14.9</v>
      </c>
      <c r="DK2191" s="106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8"/>
        <v>-137.66</v>
      </c>
      <c r="AR2192" s="106">
        <v>-33.65</v>
      </c>
      <c r="CA2192" s="106">
        <v>-34.64</v>
      </c>
      <c r="CM2192" s="106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8"/>
        <v>-5.48</v>
      </c>
      <c r="E2195" s="386">
        <v>-5.48</v>
      </c>
    </row>
    <row r="2196" spans="1:178" x14ac:dyDescent="0.25">
      <c r="A2196" s="127">
        <v>44868</v>
      </c>
      <c r="B2196" s="24" t="s">
        <v>113</v>
      </c>
      <c r="C2196" s="21">
        <f t="shared" si="38"/>
        <v>4020.14</v>
      </c>
      <c r="Z2196" s="79">
        <v>354.4</v>
      </c>
      <c r="AW2196" s="106">
        <v>360.59</v>
      </c>
      <c r="BC2196" s="106">
        <v>401.67</v>
      </c>
      <c r="BO2196" s="106">
        <v>387.48</v>
      </c>
      <c r="CA2196" s="106">
        <v>403.53</v>
      </c>
      <c r="CM2196" s="106">
        <v>402.72</v>
      </c>
      <c r="CS2196" s="74">
        <v>338.28</v>
      </c>
      <c r="CY2196" s="106">
        <v>319.8</v>
      </c>
      <c r="DE2196" s="74">
        <v>353.42</v>
      </c>
      <c r="DK2196" s="106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8"/>
        <v>1278.49</v>
      </c>
      <c r="BO2197" s="106">
        <v>428.65</v>
      </c>
      <c r="CM2197" s="106">
        <v>409.19</v>
      </c>
      <c r="CS2197" s="74">
        <v>339</v>
      </c>
      <c r="DK2197" s="106">
        <v>101.65</v>
      </c>
    </row>
    <row r="2198" spans="1:178" x14ac:dyDescent="0.25">
      <c r="A2198" s="127">
        <v>44868</v>
      </c>
      <c r="B2198" s="24" t="s">
        <v>57</v>
      </c>
      <c r="C2198" s="21">
        <f t="shared" si="38"/>
        <v>-49.52</v>
      </c>
      <c r="BC2198" s="106">
        <v>-25.17</v>
      </c>
      <c r="BI2198" s="106">
        <v>-24.35</v>
      </c>
    </row>
    <row r="2199" spans="1:178" x14ac:dyDescent="0.25">
      <c r="A2199" s="127">
        <v>44868</v>
      </c>
      <c r="B2199" s="24" t="s">
        <v>57</v>
      </c>
      <c r="C2199" s="21">
        <f t="shared" si="38"/>
        <v>-159.24</v>
      </c>
      <c r="Z2199" s="79">
        <v>-7.9</v>
      </c>
      <c r="AN2199" s="106">
        <v>-22.45</v>
      </c>
      <c r="AR2199" s="106">
        <v>-22.85</v>
      </c>
      <c r="AW2199" s="106">
        <v>-23.47</v>
      </c>
      <c r="BI2199" s="106">
        <v>-23.05</v>
      </c>
      <c r="BO2199" s="106">
        <v>-26.65</v>
      </c>
      <c r="CA2199" s="106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8"/>
        <v>-59.15</v>
      </c>
      <c r="AN2200" s="106">
        <v>-59.15</v>
      </c>
    </row>
    <row r="2201" spans="1:178" x14ac:dyDescent="0.25">
      <c r="A2201" s="127">
        <v>44869</v>
      </c>
      <c r="B2201" s="24" t="s">
        <v>20</v>
      </c>
      <c r="C2201" s="21">
        <f t="shared" si="38"/>
        <v>-32.17</v>
      </c>
      <c r="Z2201" s="79">
        <v>-8.1</v>
      </c>
      <c r="BC2201" s="106">
        <v>-8.32</v>
      </c>
      <c r="BI2201" s="106">
        <v>-7.7</v>
      </c>
      <c r="BO2201" s="106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8"/>
        <v>-195.11</v>
      </c>
      <c r="AW2202" s="106">
        <v>-32.72</v>
      </c>
      <c r="BC2202" s="106">
        <v>-33.36</v>
      </c>
      <c r="BI2202" s="106">
        <v>-30.95</v>
      </c>
      <c r="BO2202" s="106">
        <v>-32.799999999999997</v>
      </c>
      <c r="BU2202" s="106">
        <v>-33.04</v>
      </c>
      <c r="CA2202" s="106">
        <v>-32.24</v>
      </c>
    </row>
    <row r="2203" spans="1:178" x14ac:dyDescent="0.25">
      <c r="A2203" s="127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8"/>
        <v>-14.35</v>
      </c>
      <c r="BI2204" s="106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8"/>
        <v>-61.48</v>
      </c>
      <c r="BI2205" s="106">
        <v>-30.9</v>
      </c>
      <c r="BO2205" s="106">
        <v>-30.58</v>
      </c>
    </row>
    <row r="2206" spans="1:178" x14ac:dyDescent="0.25">
      <c r="A2206" s="127">
        <v>44869</v>
      </c>
      <c r="B2206" s="24" t="s">
        <v>57</v>
      </c>
      <c r="C2206" s="21">
        <f t="shared" si="38"/>
        <v>-534.85</v>
      </c>
      <c r="Z2206" s="79">
        <v>-8.48</v>
      </c>
      <c r="AN2206" s="106">
        <v>-63.6</v>
      </c>
      <c r="AR2206" s="106">
        <v>-64.599999999999994</v>
      </c>
      <c r="AW2206" s="106">
        <v>-67.739999999999995</v>
      </c>
      <c r="BC2206" s="106">
        <v>-66.790000000000006</v>
      </c>
      <c r="BO2206" s="106">
        <v>-64.849999999999994</v>
      </c>
      <c r="CA2206" s="106">
        <v>-64.34</v>
      </c>
      <c r="CM2206" s="106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8"/>
        <v>-116</v>
      </c>
      <c r="AW2208" s="106">
        <v>-33.840000000000003</v>
      </c>
      <c r="BC2208" s="106">
        <v>-33.43</v>
      </c>
      <c r="BO2208" s="106">
        <v>-32.15</v>
      </c>
      <c r="CA2208" s="106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8"/>
        <v>-591.34</v>
      </c>
      <c r="BO2209" s="106">
        <v>-30.3</v>
      </c>
      <c r="CS2209" s="74">
        <v>-136.9</v>
      </c>
      <c r="DE2209" s="74">
        <v>-138</v>
      </c>
      <c r="DK2209" s="106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8"/>
        <v>-20</v>
      </c>
      <c r="D2210" s="386">
        <v>-10</v>
      </c>
      <c r="E2210" s="386">
        <v>-10</v>
      </c>
    </row>
    <row r="2211" spans="1:214" x14ac:dyDescent="0.25">
      <c r="A2211" s="127">
        <v>44873</v>
      </c>
      <c r="B2211" s="24" t="s">
        <v>149</v>
      </c>
      <c r="C2211" s="21">
        <f t="shared" si="38"/>
        <v>-17.45</v>
      </c>
      <c r="CM2211" s="106">
        <v>-17.45</v>
      </c>
    </row>
    <row r="2212" spans="1:214" x14ac:dyDescent="0.25">
      <c r="A2212" s="127">
        <v>44873</v>
      </c>
      <c r="B2212" s="24" t="s">
        <v>84</v>
      </c>
      <c r="C2212" s="21">
        <f t="shared" si="38"/>
        <v>-16.489999999999998</v>
      </c>
      <c r="AW2212" s="106">
        <v>-8.15</v>
      </c>
      <c r="BC2212" s="106">
        <v>-8.34</v>
      </c>
    </row>
    <row r="2213" spans="1:214" x14ac:dyDescent="0.25">
      <c r="A2213" s="127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8"/>
        <v>-8.66</v>
      </c>
      <c r="O2215" s="375">
        <v>-8.66</v>
      </c>
    </row>
    <row r="2216" spans="1:214" x14ac:dyDescent="0.25">
      <c r="A2216" s="127">
        <v>44873</v>
      </c>
      <c r="B2216" s="29" t="s">
        <v>25</v>
      </c>
      <c r="C2216" s="21">
        <f t="shared" si="38"/>
        <v>-49.86</v>
      </c>
      <c r="AN2216" s="106">
        <v>-7.85</v>
      </c>
      <c r="AW2216" s="106">
        <v>-8.73</v>
      </c>
      <c r="BC2216" s="106">
        <v>-8.44</v>
      </c>
      <c r="BO2216" s="106">
        <v>-8</v>
      </c>
      <c r="BU2216" s="106">
        <v>-8.65</v>
      </c>
      <c r="CA2216" s="106">
        <v>-8.19</v>
      </c>
    </row>
    <row r="2217" spans="1:214" x14ac:dyDescent="0.25">
      <c r="A2217" s="127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8"/>
        <v>-7.82</v>
      </c>
      <c r="BC2218" s="106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8"/>
        <v>346.66</v>
      </c>
      <c r="BI2220" s="106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8"/>
        <v>0</v>
      </c>
    </row>
    <row r="2222" spans="1:214" x14ac:dyDescent="0.25">
      <c r="A2222" s="127">
        <v>44874</v>
      </c>
      <c r="B2222" s="24" t="s">
        <v>152</v>
      </c>
      <c r="C2222" s="21">
        <f t="shared" si="38"/>
        <v>-1265.3399999999999</v>
      </c>
      <c r="V2222" s="74">
        <v>-33.39</v>
      </c>
      <c r="Z2222" s="79">
        <v>-33.75</v>
      </c>
      <c r="AR2222" s="106">
        <v>-30.85</v>
      </c>
      <c r="BC2222" s="106">
        <v>-67.19</v>
      </c>
      <c r="BI2222" s="106">
        <v>-69.78</v>
      </c>
      <c r="BO2222" s="106">
        <v>-130.94999999999999</v>
      </c>
      <c r="CA2222" s="106">
        <v>-32.380000000000003</v>
      </c>
      <c r="CM2222" s="106">
        <v>-66</v>
      </c>
      <c r="DE2222" s="74">
        <v>-69.319999999999993</v>
      </c>
      <c r="DK2222" s="106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106">
        <v>-15.95</v>
      </c>
      <c r="BC2223" s="106">
        <v>-33.450000000000003</v>
      </c>
      <c r="BI2223" s="106">
        <v>-34.799999999999997</v>
      </c>
      <c r="BO2223" s="106">
        <v>-67.599999999999994</v>
      </c>
      <c r="CA2223" s="106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8"/>
        <v>-29.95</v>
      </c>
      <c r="AR2224" s="106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9">SUM(D2225:JT2225)</f>
        <v>-202.22</v>
      </c>
      <c r="Z2225" s="79">
        <v>-33.869999999999997</v>
      </c>
      <c r="BC2225" s="106">
        <v>-33.53</v>
      </c>
      <c r="BI2225" s="106">
        <v>-34.26</v>
      </c>
      <c r="CS2225" s="74">
        <v>-33.6</v>
      </c>
      <c r="CY2225" s="106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9"/>
        <v>-49.58</v>
      </c>
      <c r="AW2226" s="106">
        <v>-7.81</v>
      </c>
      <c r="BI2226" s="106">
        <v>-9.11</v>
      </c>
      <c r="BO2226" s="106">
        <v>-8.25</v>
      </c>
      <c r="BU2226" s="106">
        <v>-7.92</v>
      </c>
      <c r="CA2226" s="106">
        <v>-7.79</v>
      </c>
      <c r="CM2226" s="106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9"/>
        <v>-69.13</v>
      </c>
      <c r="CY2227" s="106">
        <v>-69.13</v>
      </c>
    </row>
    <row r="2228" spans="1:180" x14ac:dyDescent="0.25">
      <c r="A2228" s="127">
        <v>44875</v>
      </c>
      <c r="B2228" s="24" t="s">
        <v>32</v>
      </c>
      <c r="C2228" s="21">
        <f t="shared" si="39"/>
        <v>-82.71</v>
      </c>
      <c r="AN2228" s="106">
        <v>-13.95</v>
      </c>
      <c r="AR2228" s="106">
        <v>-16</v>
      </c>
      <c r="BI2228" s="106">
        <v>-36.18</v>
      </c>
      <c r="CM2228" s="106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9"/>
        <v>-17.8</v>
      </c>
      <c r="BI2230" s="106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9"/>
        <v>-4.16</v>
      </c>
      <c r="CM2232" s="106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9"/>
        <v>2767.93</v>
      </c>
      <c r="AC2233" s="106">
        <v>349.85</v>
      </c>
      <c r="AG2233" s="106">
        <v>320.76</v>
      </c>
      <c r="BC2233" s="106">
        <v>353.86</v>
      </c>
      <c r="BU2233" s="106">
        <v>341</v>
      </c>
      <c r="CA2233" s="106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9"/>
        <v>-144.42500000000001</v>
      </c>
      <c r="AR2234" s="106">
        <v>-13.45</v>
      </c>
      <c r="BO2234" s="106">
        <v>-34.85</v>
      </c>
      <c r="BU2234" s="106">
        <v>-34.340000000000003</v>
      </c>
      <c r="CA2234" s="106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9"/>
        <v>-97.85</v>
      </c>
      <c r="BC2235" s="106">
        <v>-29.96</v>
      </c>
      <c r="BU2235" s="106">
        <v>-33.44</v>
      </c>
      <c r="CG2235" s="106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9"/>
        <v>-653.66999999999996</v>
      </c>
      <c r="AN2236" s="106">
        <v>-62.7</v>
      </c>
      <c r="AW2236" s="106">
        <v>-34.56</v>
      </c>
      <c r="BC2236" s="106">
        <v>-86.5</v>
      </c>
      <c r="BI2236" s="106">
        <v>-68.36</v>
      </c>
      <c r="BO2236" s="106">
        <v>-68.45</v>
      </c>
      <c r="BU2236" s="106">
        <v>-137.41999999999999</v>
      </c>
      <c r="CA2236" s="106">
        <v>-63.24</v>
      </c>
      <c r="CM2236" s="106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106">
        <v>-23.85</v>
      </c>
      <c r="AU2237" s="42">
        <v>34.65</v>
      </c>
      <c r="BC2237" s="106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106">
        <v>-32.46</v>
      </c>
      <c r="CE2237" s="42">
        <v>17.48</v>
      </c>
      <c r="CM2237" s="106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9"/>
        <v>-118.63</v>
      </c>
      <c r="AC2238" s="106">
        <v>-15.4</v>
      </c>
      <c r="BI2238" s="106">
        <v>-34.68</v>
      </c>
      <c r="BU2238" s="106">
        <v>-34</v>
      </c>
      <c r="CG2238" s="106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9"/>
        <v>-25.03</v>
      </c>
      <c r="AC2239" s="106">
        <v>-17.100000000000001</v>
      </c>
      <c r="BI2239" s="106">
        <v>-7.93</v>
      </c>
    </row>
    <row r="2240" spans="1:180" x14ac:dyDescent="0.25">
      <c r="A2240" s="127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9"/>
        <v>-62.14</v>
      </c>
      <c r="BC2241" s="106">
        <v>-27.66</v>
      </c>
      <c r="BU2241" s="106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9"/>
        <v>-8.73</v>
      </c>
      <c r="AW2242" s="106">
        <v>-8.73</v>
      </c>
    </row>
    <row r="2243" spans="1:232" x14ac:dyDescent="0.25">
      <c r="A2243" s="127">
        <v>44880</v>
      </c>
      <c r="B2243" s="24" t="s">
        <v>32</v>
      </c>
      <c r="C2243" s="21">
        <f t="shared" si="39"/>
        <v>-50.86</v>
      </c>
      <c r="AC2243" s="106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9"/>
        <v>-65.95</v>
      </c>
      <c r="V2244" s="74">
        <v>-8.1</v>
      </c>
      <c r="BC2244" s="106">
        <v>-16.690000000000001</v>
      </c>
      <c r="BO2244" s="106">
        <v>-8</v>
      </c>
      <c r="BU2244" s="106">
        <v>-7.65</v>
      </c>
      <c r="CA2244" s="106">
        <v>-8.2100000000000009</v>
      </c>
      <c r="CG2244" s="106">
        <v>-17.3</v>
      </c>
    </row>
    <row r="2245" spans="1:232" x14ac:dyDescent="0.25">
      <c r="A2245" s="127">
        <v>44880</v>
      </c>
      <c r="B2245" s="24" t="s">
        <v>20</v>
      </c>
      <c r="C2245" s="21">
        <f t="shared" si="39"/>
        <v>-56.26</v>
      </c>
      <c r="AW2245" s="106">
        <v>-6.45</v>
      </c>
      <c r="BC2245" s="106">
        <v>-7.99</v>
      </c>
      <c r="BI2245" s="106">
        <v>-7.29</v>
      </c>
      <c r="BU2245" s="106">
        <v>-8.75</v>
      </c>
      <c r="CA2245" s="106">
        <v>-9</v>
      </c>
      <c r="CM2245" s="106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9"/>
        <v>-4.57</v>
      </c>
      <c r="AC2247" s="106">
        <v>-1.26</v>
      </c>
      <c r="CA2247" s="106">
        <v>-1.59</v>
      </c>
      <c r="CG2247" s="106">
        <v>-1.72</v>
      </c>
    </row>
    <row r="2248" spans="1:232" x14ac:dyDescent="0.25">
      <c r="A2248" s="127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9"/>
        <v>-8.6</v>
      </c>
      <c r="BO2249" s="106">
        <v>-8.6</v>
      </c>
    </row>
    <row r="2250" spans="1:232" x14ac:dyDescent="0.25">
      <c r="A2250" s="127">
        <v>44881</v>
      </c>
      <c r="B2250" s="24" t="s">
        <v>75</v>
      </c>
      <c r="C2250" s="21">
        <f t="shared" si="39"/>
        <v>-75.400000000000006</v>
      </c>
      <c r="BC2250" s="106">
        <v>-7.99</v>
      </c>
      <c r="BG2250" s="42">
        <v>-8.1300000000000008</v>
      </c>
      <c r="BO2250" s="106">
        <v>-8.5500000000000007</v>
      </c>
      <c r="BU2250" s="106">
        <v>-8.4700000000000006</v>
      </c>
      <c r="CA2250" s="106">
        <v>-8.6999999999999993</v>
      </c>
      <c r="CG2250" s="106">
        <v>-16.5</v>
      </c>
      <c r="CM2250" s="106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9"/>
        <v>-593.53</v>
      </c>
      <c r="AC2254" s="106">
        <v>-32.200000000000003</v>
      </c>
      <c r="AN2254" s="106">
        <v>-61.5</v>
      </c>
      <c r="BI2254" s="106">
        <v>-35.08</v>
      </c>
      <c r="BO2254" s="106">
        <v>-34.200000000000003</v>
      </c>
      <c r="BU2254" s="106">
        <v>-33.94</v>
      </c>
      <c r="CA2254" s="106">
        <v>-31.82</v>
      </c>
      <c r="CG2254" s="106">
        <v>-68.75</v>
      </c>
      <c r="CM2254" s="106">
        <v>-33.42</v>
      </c>
      <c r="DE2254" s="74">
        <v>-36.36</v>
      </c>
      <c r="DK2254" s="106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9"/>
        <v>-64.16</v>
      </c>
      <c r="BC2258" s="106">
        <v>-8.34</v>
      </c>
      <c r="CA2258" s="106">
        <v>-8.9499999999999993</v>
      </c>
      <c r="CG2258" s="106">
        <v>-7.6</v>
      </c>
      <c r="CM2258" s="106">
        <v>-15.54</v>
      </c>
      <c r="CS2258" s="74">
        <v>-15.6</v>
      </c>
      <c r="CY2258" s="106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9"/>
        <v>-132</v>
      </c>
      <c r="AC2259" s="106">
        <v>-30.95</v>
      </c>
      <c r="AG2259" s="106">
        <v>-35.6</v>
      </c>
      <c r="AW2259" s="106">
        <v>-30.9</v>
      </c>
      <c r="BO2259" s="106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9"/>
        <v>-720.91499999999996</v>
      </c>
      <c r="L2260" s="69">
        <v>-17.285</v>
      </c>
      <c r="AN2260" s="106">
        <v>-32.299999999999997</v>
      </c>
      <c r="AW2260" s="106">
        <v>-32.96</v>
      </c>
      <c r="BI2260" s="106">
        <v>-33.159999999999997</v>
      </c>
      <c r="BO2260" s="106">
        <v>-34.25</v>
      </c>
      <c r="BU2260" s="106">
        <v>-97.8</v>
      </c>
      <c r="CA2260" s="106">
        <v>-96.78</v>
      </c>
      <c r="CG2260" s="106">
        <v>-69.099999999999994</v>
      </c>
      <c r="CM2260" s="106">
        <v>-35.5</v>
      </c>
      <c r="CS2260" s="74">
        <v>-95.72</v>
      </c>
      <c r="CY2260" s="106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9"/>
        <v>1277.3699999999999</v>
      </c>
      <c r="BI2261" s="106">
        <v>505.86</v>
      </c>
      <c r="BU2261" s="106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9"/>
        <v>-32.64</v>
      </c>
      <c r="BI2262" s="106">
        <v>-32.64</v>
      </c>
    </row>
    <row r="2263" spans="1:221" x14ac:dyDescent="0.25">
      <c r="A2263" s="127">
        <v>44886</v>
      </c>
      <c r="B2263" s="24" t="s">
        <v>59</v>
      </c>
      <c r="C2263" s="21">
        <f t="shared" si="39"/>
        <v>-17.559999999999999</v>
      </c>
      <c r="BU2263" s="106">
        <v>-8.61</v>
      </c>
      <c r="CA2263" s="106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9"/>
        <v>-690.01</v>
      </c>
      <c r="AC2264" s="106">
        <v>-32.799999999999997</v>
      </c>
      <c r="AG2264" s="106">
        <v>-35.64</v>
      </c>
      <c r="AN2264" s="106">
        <v>-33.450000000000003</v>
      </c>
      <c r="AW2264" s="106">
        <v>-64.900000000000006</v>
      </c>
      <c r="BC2264" s="106">
        <v>-59.58</v>
      </c>
      <c r="BI2264" s="106">
        <v>-100.52</v>
      </c>
      <c r="BO2264" s="106">
        <v>-34.35</v>
      </c>
      <c r="BU2264" s="106">
        <v>-97.98</v>
      </c>
      <c r="CA2264" s="106">
        <v>-97.24</v>
      </c>
      <c r="CG2264" s="106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106">
        <v>-8.1999999999999993</v>
      </c>
      <c r="AG2265" s="106">
        <v>-17.920000000000002</v>
      </c>
      <c r="CY2265" s="106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9"/>
        <v>-32.159999999999997</v>
      </c>
      <c r="CA2266" s="106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9"/>
        <v>-84.69</v>
      </c>
      <c r="Z2267" s="79">
        <v>-8.4600000000000009</v>
      </c>
      <c r="AR2267" s="106">
        <v>-8.0500000000000007</v>
      </c>
      <c r="AW2267" s="106">
        <v>-7.97</v>
      </c>
      <c r="BI2267" s="106">
        <v>-35.5</v>
      </c>
      <c r="CG2267" s="106">
        <v>-17.2</v>
      </c>
      <c r="CY2267" s="106">
        <v>-7.51</v>
      </c>
    </row>
    <row r="2268" spans="1:221" x14ac:dyDescent="0.25">
      <c r="A2268" s="127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9"/>
        <v>-11.24</v>
      </c>
      <c r="CM2269" s="106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9"/>
        <v>-42.29</v>
      </c>
      <c r="BI2270" s="106">
        <v>-9.07</v>
      </c>
      <c r="BO2270" s="106">
        <v>-8.6</v>
      </c>
      <c r="BU2270" s="106">
        <v>-7.23</v>
      </c>
      <c r="CE2270" s="42">
        <v>-8.64</v>
      </c>
      <c r="CM2270" s="106">
        <v>-8.75</v>
      </c>
    </row>
    <row r="2271" spans="1:221" x14ac:dyDescent="0.25">
      <c r="A2271" s="127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9"/>
        <v>-9.15</v>
      </c>
      <c r="BI2272" s="106">
        <v>-9.15</v>
      </c>
    </row>
    <row r="2273" spans="1:230" x14ac:dyDescent="0.25">
      <c r="A2273" s="127">
        <v>44887</v>
      </c>
      <c r="B2273" s="24" t="s">
        <v>25</v>
      </c>
      <c r="C2273" s="21">
        <f t="shared" si="39"/>
        <v>-22.44</v>
      </c>
      <c r="BO2273" s="106">
        <v>-6.9</v>
      </c>
      <c r="BU2273" s="106">
        <v>-7.43</v>
      </c>
      <c r="CA2273" s="106">
        <v>-8.11</v>
      </c>
    </row>
    <row r="2274" spans="1:230" x14ac:dyDescent="0.25">
      <c r="A2274" s="127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106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106">
        <v>-14.4</v>
      </c>
      <c r="BU2275" s="106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9"/>
        <v>2193.36</v>
      </c>
      <c r="AR2276" s="106">
        <v>414.89</v>
      </c>
      <c r="AW2276" s="106">
        <v>353.74</v>
      </c>
      <c r="BO2276" s="106">
        <v>521.08000000000004</v>
      </c>
      <c r="CG2276" s="106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106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9"/>
        <v>-172.17</v>
      </c>
      <c r="AR2282" s="106">
        <v>-34.479999999999997</v>
      </c>
      <c r="BO2282" s="106">
        <v>-36.04</v>
      </c>
      <c r="BU2282" s="106">
        <v>-35.32</v>
      </c>
      <c r="CA2282" s="106">
        <v>-32.58</v>
      </c>
      <c r="DK2282" s="106">
        <v>-33.75</v>
      </c>
    </row>
    <row r="2283" spans="1:230" x14ac:dyDescent="0.25">
      <c r="A2283" s="127">
        <v>44890</v>
      </c>
      <c r="B2283" s="24" t="s">
        <v>17</v>
      </c>
      <c r="C2283" s="21">
        <f t="shared" si="39"/>
        <v>-78.349999999999994</v>
      </c>
      <c r="BU2283" s="106">
        <v>-14.54</v>
      </c>
      <c r="CA2283" s="106">
        <v>-15.26</v>
      </c>
      <c r="CG2283" s="106">
        <v>-8.65</v>
      </c>
      <c r="CM2283" s="106">
        <v>-8.6999999999999993</v>
      </c>
      <c r="CS2283" s="74">
        <v>-15.64</v>
      </c>
      <c r="CY2283" s="106">
        <v>-15.56</v>
      </c>
    </row>
    <row r="2284" spans="1:230" x14ac:dyDescent="0.25">
      <c r="A2284" s="127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9"/>
        <v>-42.57</v>
      </c>
      <c r="BU2285" s="106">
        <v>-8.81</v>
      </c>
      <c r="CA2285" s="106">
        <v>-8.07</v>
      </c>
      <c r="CG2285" s="106">
        <v>-8.6</v>
      </c>
      <c r="CQ2285" s="42">
        <v>-8.4</v>
      </c>
      <c r="CY2285" s="106">
        <v>-8.69</v>
      </c>
    </row>
    <row r="2286" spans="1:230" x14ac:dyDescent="0.25">
      <c r="A2286" s="127">
        <v>44890</v>
      </c>
      <c r="B2286" s="24" t="s">
        <v>162</v>
      </c>
      <c r="C2286" s="21">
        <f t="shared" si="39"/>
        <v>-155.02000000000001</v>
      </c>
      <c r="AR2286" s="106">
        <v>-17.23</v>
      </c>
      <c r="AW2286" s="106">
        <v>-17.399999999999999</v>
      </c>
      <c r="BC2286" s="106">
        <v>-16.73</v>
      </c>
      <c r="BI2286" s="106">
        <v>-18.04</v>
      </c>
      <c r="BO2286" s="106">
        <v>-17.149999999999999</v>
      </c>
      <c r="BU2286" s="106">
        <v>-17.34</v>
      </c>
      <c r="CA2286" s="106">
        <v>-16.38</v>
      </c>
      <c r="CG2286" s="106">
        <v>-17.3</v>
      </c>
      <c r="CM2286" s="106">
        <v>-17.45</v>
      </c>
    </row>
    <row r="2287" spans="1:230" x14ac:dyDescent="0.25">
      <c r="A2287" s="127">
        <v>44890</v>
      </c>
      <c r="B2287" s="24" t="s">
        <v>25</v>
      </c>
      <c r="C2287" s="21">
        <f t="shared" si="39"/>
        <v>-33</v>
      </c>
      <c r="BU2287" s="106">
        <v>-15.82</v>
      </c>
      <c r="CA2287" s="106">
        <v>-8.5299999999999994</v>
      </c>
      <c r="CG2287" s="106">
        <v>-8.65</v>
      </c>
    </row>
    <row r="2288" spans="1:230" x14ac:dyDescent="0.25">
      <c r="A2288" s="127">
        <v>44890</v>
      </c>
      <c r="B2288" s="24" t="s">
        <v>39</v>
      </c>
      <c r="C2288" s="21">
        <f t="shared" si="39"/>
        <v>-30.58</v>
      </c>
      <c r="AC2288" s="106">
        <v>-15.7</v>
      </c>
      <c r="BI2288" s="106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40">SUM(D2289:JT2289)</f>
        <v>-306.48</v>
      </c>
      <c r="BC2289" s="106">
        <v>-27.68</v>
      </c>
      <c r="BO2289" s="106">
        <v>-70.459999999999994</v>
      </c>
      <c r="BU2289" s="106">
        <v>-63.18</v>
      </c>
      <c r="BY2289" s="42">
        <v>-8.6300000000000008</v>
      </c>
      <c r="CG2289" s="106">
        <v>-67.25</v>
      </c>
      <c r="CM2289" s="106">
        <v>-69.28</v>
      </c>
    </row>
    <row r="2290" spans="1:230" x14ac:dyDescent="0.25">
      <c r="A2290" s="127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106">
        <v>-2.02</v>
      </c>
    </row>
    <row r="2291" spans="1:230" x14ac:dyDescent="0.25">
      <c r="A2291" s="127">
        <v>44890</v>
      </c>
      <c r="B2291" s="24" t="s">
        <v>113</v>
      </c>
      <c r="C2291" s="21">
        <f t="shared" si="40"/>
        <v>1012.88</v>
      </c>
      <c r="AN2291" s="106">
        <v>398.32</v>
      </c>
      <c r="CA2291" s="106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40"/>
        <v>-1111.6500000000001</v>
      </c>
      <c r="AN2292" s="106">
        <v>-32.15</v>
      </c>
      <c r="AR2292" s="106">
        <v>-34.770000000000003</v>
      </c>
      <c r="BC2292" s="106">
        <v>-62.19</v>
      </c>
      <c r="BO2292" s="106">
        <v>-34.82</v>
      </c>
      <c r="BU2292" s="106">
        <v>-64.599999999999994</v>
      </c>
      <c r="CA2292" s="106">
        <v>-131.32</v>
      </c>
      <c r="CG2292" s="106">
        <v>-104.35</v>
      </c>
      <c r="CS2292" s="74">
        <v>-96.86</v>
      </c>
      <c r="CY2292" s="106">
        <v>-31.52</v>
      </c>
      <c r="DK2292" s="106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40"/>
        <v>-136.65</v>
      </c>
      <c r="AN2293" s="106">
        <v>-33.22</v>
      </c>
      <c r="BI2293" s="106">
        <v>-36.340000000000003</v>
      </c>
      <c r="CA2293" s="106">
        <v>-32.44</v>
      </c>
      <c r="CG2293" s="106">
        <v>-34.65</v>
      </c>
    </row>
    <row r="2294" spans="1:230" x14ac:dyDescent="0.25">
      <c r="A2294" s="127">
        <v>44893</v>
      </c>
      <c r="B2294" s="24" t="s">
        <v>95</v>
      </c>
      <c r="C2294" s="21">
        <f t="shared" si="40"/>
        <v>-757.65</v>
      </c>
      <c r="AC2294" s="106">
        <v>-31.35</v>
      </c>
      <c r="AG2294" s="106">
        <v>-71.52</v>
      </c>
      <c r="AR2294" s="106">
        <v>-34.11</v>
      </c>
      <c r="AW2294" s="106">
        <v>-62.54</v>
      </c>
      <c r="BI2294" s="106">
        <v>-103.66</v>
      </c>
      <c r="BO2294" s="106">
        <v>-104.32</v>
      </c>
      <c r="BU2294" s="106">
        <v>-31.94</v>
      </c>
      <c r="CA2294" s="106">
        <v>-99.52</v>
      </c>
      <c r="CG2294" s="106">
        <v>-64.349999999999994</v>
      </c>
      <c r="CM2294" s="106">
        <v>-27.3</v>
      </c>
      <c r="CS2294" s="74">
        <v>-64.14</v>
      </c>
      <c r="CY2294" s="106">
        <v>-62.9</v>
      </c>
    </row>
    <row r="2295" spans="1:230" x14ac:dyDescent="0.25">
      <c r="A2295" s="127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106">
        <v>-66.44</v>
      </c>
      <c r="AR2295" s="106">
        <v>-69.8</v>
      </c>
      <c r="AW2295" s="106">
        <v>-31.94</v>
      </c>
      <c r="BI2295" s="106">
        <v>-30.28</v>
      </c>
      <c r="CG2295" s="106">
        <v>-34.6</v>
      </c>
      <c r="CM2295" s="106">
        <v>-67.540000000000006</v>
      </c>
      <c r="DE2295" s="74">
        <v>-69.739999999999995</v>
      </c>
      <c r="DK2295" s="106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40"/>
        <v>-34.64</v>
      </c>
      <c r="AR2297" s="106">
        <v>-34.64</v>
      </c>
    </row>
    <row r="2298" spans="1:230" x14ac:dyDescent="0.25">
      <c r="A2298" s="127">
        <v>44894</v>
      </c>
      <c r="B2298" s="24" t="s">
        <v>84</v>
      </c>
      <c r="C2298" s="21">
        <f t="shared" si="40"/>
        <v>-43.04</v>
      </c>
      <c r="BA2298" s="42">
        <v>-7.86</v>
      </c>
      <c r="BC2298" s="106">
        <v>-8.75</v>
      </c>
      <c r="BI2298" s="106">
        <v>-17.52</v>
      </c>
      <c r="BO2298" s="106">
        <v>-8.91</v>
      </c>
    </row>
    <row r="2299" spans="1:230" x14ac:dyDescent="0.25">
      <c r="A2299" s="127">
        <v>44894</v>
      </c>
      <c r="B2299" s="24" t="s">
        <v>20</v>
      </c>
      <c r="C2299" s="21">
        <f t="shared" si="40"/>
        <v>-135.44999999999999</v>
      </c>
      <c r="BI2299" s="106">
        <v>-8.15</v>
      </c>
      <c r="BO2299" s="106">
        <v>-8.4499999999999993</v>
      </c>
      <c r="BU2299" s="106">
        <v>-7.65</v>
      </c>
      <c r="CA2299" s="106">
        <v>-8.43</v>
      </c>
      <c r="CG2299" s="106">
        <v>-8.65</v>
      </c>
      <c r="CM2299" s="106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40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106">
        <v>-7.8</v>
      </c>
    </row>
    <row r="2303" spans="1:230" x14ac:dyDescent="0.25">
      <c r="A2303" s="127">
        <v>44894</v>
      </c>
      <c r="B2303" s="24" t="s">
        <v>75</v>
      </c>
      <c r="C2303" s="21">
        <f t="shared" si="40"/>
        <v>-25.54</v>
      </c>
      <c r="BI2303" s="106">
        <v>-9.23</v>
      </c>
      <c r="BO2303" s="106">
        <v>-7.71</v>
      </c>
      <c r="CG2303" s="106">
        <v>-8.6</v>
      </c>
    </row>
    <row r="2304" spans="1:230" x14ac:dyDescent="0.25">
      <c r="A2304" s="127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40"/>
        <v>-42.77</v>
      </c>
      <c r="AC2305" s="106">
        <v>-7.85</v>
      </c>
      <c r="AG2305" s="106">
        <v>-8.91</v>
      </c>
      <c r="AR2305" s="106">
        <v>-8.59</v>
      </c>
      <c r="CA2305" s="106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40"/>
        <v>-192.61</v>
      </c>
      <c r="AR2306" s="106">
        <v>-8.6</v>
      </c>
      <c r="AW2306" s="106">
        <v>-32.56</v>
      </c>
      <c r="BA2306" s="42">
        <v>-8.8000000000000007</v>
      </c>
      <c r="BI2306" s="106">
        <v>-9.2100000000000009</v>
      </c>
      <c r="BO2306" s="106">
        <v>-34.32</v>
      </c>
      <c r="BU2306" s="106">
        <v>-8.69</v>
      </c>
      <c r="CA2306" s="106">
        <v>-34.32</v>
      </c>
      <c r="CM2306" s="106">
        <v>-17.38</v>
      </c>
      <c r="CS2306" s="74">
        <v>-7.97</v>
      </c>
      <c r="CY2306" s="106">
        <v>-15.3</v>
      </c>
      <c r="DE2306" s="74">
        <v>-7.73</v>
      </c>
      <c r="DK2306" s="106">
        <v>-7.73</v>
      </c>
    </row>
    <row r="2307" spans="1:236" x14ac:dyDescent="0.25">
      <c r="A2307" s="127">
        <v>44894</v>
      </c>
      <c r="B2307" s="24" t="s">
        <v>68</v>
      </c>
      <c r="C2307" s="21">
        <f t="shared" si="40"/>
        <v>-97.8</v>
      </c>
      <c r="BI2307" s="106">
        <v>-28.82</v>
      </c>
      <c r="BO2307" s="106">
        <v>-34.72</v>
      </c>
      <c r="CA2307" s="106">
        <v>-34.26</v>
      </c>
    </row>
    <row r="2308" spans="1:236" x14ac:dyDescent="0.25">
      <c r="A2308" s="127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40"/>
        <v>1659.16</v>
      </c>
      <c r="BC2309" s="106">
        <v>367.85</v>
      </c>
      <c r="CG2309" s="106">
        <v>368.5</v>
      </c>
      <c r="CM2309" s="106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40"/>
        <v>-882.47</v>
      </c>
      <c r="AR2311" s="106">
        <v>-68.89</v>
      </c>
      <c r="AW2311" s="106">
        <v>-93.57</v>
      </c>
      <c r="BC2311" s="106">
        <v>-96.35</v>
      </c>
      <c r="BO2311" s="106">
        <v>-172.98</v>
      </c>
      <c r="CA2311" s="106">
        <v>-34.4</v>
      </c>
      <c r="CG2311" s="106">
        <v>-99.5</v>
      </c>
      <c r="CM2311" s="106">
        <v>-131.38</v>
      </c>
      <c r="CS2311" s="74">
        <v>-31.98</v>
      </c>
      <c r="CY2311" s="106">
        <v>-32.28</v>
      </c>
      <c r="DK2311" s="106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40"/>
        <v>-166.57</v>
      </c>
      <c r="BC2312" s="106">
        <v>-32.15</v>
      </c>
      <c r="CG2312" s="106">
        <v>-32.200000000000003</v>
      </c>
      <c r="CM2312" s="106">
        <v>-33.659999999999997</v>
      </c>
      <c r="CY2312" s="106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27">
        <v>44897</v>
      </c>
      <c r="B2314" s="24" t="s">
        <v>58</v>
      </c>
      <c r="C2314" s="21">
        <f t="shared" si="40"/>
        <v>0</v>
      </c>
    </row>
    <row r="2315" spans="1:236" x14ac:dyDescent="0.25">
      <c r="A2315" s="127">
        <v>44898</v>
      </c>
      <c r="B2315" s="24" t="s">
        <v>167</v>
      </c>
      <c r="C2315" s="21">
        <f t="shared" si="40"/>
        <v>-5</v>
      </c>
      <c r="E2315" s="386">
        <v>-5</v>
      </c>
    </row>
    <row r="2316" spans="1:236" x14ac:dyDescent="0.25">
      <c r="A2316" s="127">
        <v>44900</v>
      </c>
      <c r="B2316" s="24" t="s">
        <v>149</v>
      </c>
      <c r="C2316" s="21">
        <f t="shared" si="40"/>
        <v>-7.25</v>
      </c>
      <c r="BU2316" s="106">
        <v>-7.25</v>
      </c>
    </row>
    <row r="2317" spans="1:236" x14ac:dyDescent="0.25">
      <c r="A2317" s="127">
        <v>44900</v>
      </c>
      <c r="B2317" s="24" t="s">
        <v>155</v>
      </c>
      <c r="C2317" s="21">
        <f t="shared" si="40"/>
        <v>69.7</v>
      </c>
      <c r="AR2317" s="106">
        <v>-25.88</v>
      </c>
      <c r="AU2317" s="42">
        <v>8.59</v>
      </c>
      <c r="BA2317" s="42">
        <f>8.8+16.69</f>
        <v>25.49</v>
      </c>
      <c r="BC2317" s="106">
        <v>-7.99</v>
      </c>
      <c r="BG2317" s="42">
        <f>8.65+35.09</f>
        <v>43.74</v>
      </c>
      <c r="BM2317" s="88">
        <v>8.36</v>
      </c>
      <c r="BO2317" s="106">
        <v>-34.5</v>
      </c>
      <c r="BS2317" s="42">
        <v>17.239999999999998</v>
      </c>
      <c r="BU2317" s="106">
        <v>-8.17</v>
      </c>
      <c r="BY2317" s="42">
        <v>8.6300000000000008</v>
      </c>
      <c r="CE2317" s="42">
        <f>35.1+8.26</f>
        <v>43.36</v>
      </c>
      <c r="CK2317" s="42">
        <v>8.64</v>
      </c>
      <c r="CM2317" s="106">
        <v>-17.04</v>
      </c>
      <c r="CQ2317" s="42">
        <f>8.4+34.08</f>
        <v>42.48</v>
      </c>
      <c r="CW2317" s="42">
        <v>8.7799999999999994</v>
      </c>
      <c r="CY2317" s="106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40"/>
        <v>-33.700000000000003</v>
      </c>
      <c r="AR2320" s="106">
        <v>-8.75</v>
      </c>
      <c r="AW2320" s="106">
        <v>-8.6300000000000008</v>
      </c>
      <c r="BI2320" s="106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40"/>
        <v>-24.46</v>
      </c>
      <c r="AC2321" s="106">
        <v>-7.85</v>
      </c>
      <c r="AR2321" s="106">
        <v>-8.56</v>
      </c>
      <c r="BC2321" s="106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40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40"/>
        <v>2904.1</v>
      </c>
      <c r="BI2323" s="106">
        <v>410.22</v>
      </c>
      <c r="BO2323" s="106">
        <v>418.62</v>
      </c>
      <c r="BU2323" s="106">
        <v>417.04</v>
      </c>
      <c r="CA2323" s="106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40"/>
        <v>0</v>
      </c>
    </row>
    <row r="2325" spans="1:235" x14ac:dyDescent="0.25">
      <c r="A2325" s="127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106">
        <v>-34.25</v>
      </c>
    </row>
    <row r="2326" spans="1:235" x14ac:dyDescent="0.25">
      <c r="A2326" s="127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40"/>
        <v>-993.58</v>
      </c>
      <c r="Z2327" s="79">
        <v>-33.75</v>
      </c>
      <c r="BC2327" s="106">
        <v>-32.049999999999997</v>
      </c>
      <c r="BI2327" s="106">
        <v>-170.34</v>
      </c>
      <c r="BU2327" s="106">
        <v>-134.63999999999999</v>
      </c>
      <c r="CA2327" s="106">
        <v>-130.82</v>
      </c>
      <c r="CS2327" s="74">
        <v>-30.1</v>
      </c>
      <c r="CY2327" s="106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40"/>
        <v>-8.31</v>
      </c>
      <c r="AN2328" s="106">
        <v>-8.31</v>
      </c>
    </row>
    <row r="2329" spans="1:235" x14ac:dyDescent="0.25">
      <c r="A2329" s="127">
        <v>44902</v>
      </c>
      <c r="B2329" s="24" t="s">
        <v>72</v>
      </c>
      <c r="C2329" s="21">
        <f t="shared" si="40"/>
        <v>-33.549999999999997</v>
      </c>
      <c r="DK2329" s="106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40"/>
        <v>-133.68</v>
      </c>
      <c r="BI2330" s="106">
        <v>-33.700000000000003</v>
      </c>
      <c r="BO2330" s="106">
        <f>-33.44-31.74</f>
        <v>-65.180000000000007</v>
      </c>
      <c r="CG2330" s="106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40"/>
        <v>-263.77</v>
      </c>
      <c r="AR2331" s="106">
        <v>-34.71</v>
      </c>
      <c r="AW2331" s="106">
        <v>-33.56</v>
      </c>
      <c r="BI2331" s="106">
        <v>-35.68</v>
      </c>
      <c r="BO2331" s="106">
        <v>-30.68</v>
      </c>
      <c r="BU2331" s="106">
        <v>-33.82</v>
      </c>
      <c r="CA2331" s="106">
        <v>-32.799999999999997</v>
      </c>
      <c r="CG2331" s="106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40"/>
        <v>-60.94</v>
      </c>
      <c r="BC2332" s="106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40"/>
        <v>-60.43</v>
      </c>
      <c r="AR2335" s="106">
        <v>-25.88</v>
      </c>
      <c r="AW2335" s="106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40"/>
        <v>-329.95</v>
      </c>
      <c r="AW2336" s="106">
        <v>-32.520000000000003</v>
      </c>
      <c r="BC2336" s="106">
        <v>-32.200000000000003</v>
      </c>
      <c r="BI2336" s="106">
        <v>-68.08</v>
      </c>
      <c r="BO2336" s="106">
        <v>-32.86</v>
      </c>
      <c r="BU2336" s="106">
        <v>-32.56</v>
      </c>
      <c r="CA2336" s="106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40"/>
        <v>-41.45</v>
      </c>
      <c r="V2338" s="74">
        <v>-8.4</v>
      </c>
      <c r="BO2338" s="106">
        <v>-7.83</v>
      </c>
      <c r="BU2338" s="106">
        <v>-8.25</v>
      </c>
      <c r="CA2338" s="106">
        <v>-8.3699999999999992</v>
      </c>
      <c r="CG2338" s="106">
        <v>-8.6</v>
      </c>
    </row>
    <row r="2339" spans="1:235" x14ac:dyDescent="0.25">
      <c r="A2339" s="127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40"/>
        <v>-82.765000000000001</v>
      </c>
      <c r="O2341" s="375">
        <v>-8.6449999999999996</v>
      </c>
      <c r="V2341" s="74">
        <v>-8.44</v>
      </c>
      <c r="Z2341" s="79">
        <v>-8.44</v>
      </c>
      <c r="AG2341" s="106">
        <v>-8.5299999999999994</v>
      </c>
      <c r="AW2341" s="106">
        <v>-16.75</v>
      </c>
      <c r="BC2341" s="106">
        <v>-16</v>
      </c>
      <c r="BO2341" s="106">
        <v>-7.61</v>
      </c>
      <c r="BU2341" s="106">
        <v>-8.35</v>
      </c>
    </row>
    <row r="2342" spans="1:235" x14ac:dyDescent="0.25">
      <c r="A2342" s="127">
        <v>44907</v>
      </c>
      <c r="B2342" s="24" t="s">
        <v>43</v>
      </c>
      <c r="C2342" s="21">
        <f t="shared" si="40"/>
        <v>-780.78</v>
      </c>
      <c r="AN2342" s="106">
        <v>-33.200000000000003</v>
      </c>
      <c r="AW2342" s="106">
        <v>-63.91</v>
      </c>
      <c r="BC2342" s="106">
        <v>-97.25</v>
      </c>
      <c r="BI2342" s="106">
        <v>-66.680000000000007</v>
      </c>
      <c r="BO2342" s="106">
        <v>-161.80000000000001</v>
      </c>
      <c r="BU2342" s="106">
        <v>-97.86</v>
      </c>
      <c r="CA2342" s="106">
        <v>-126.86</v>
      </c>
      <c r="CE2342" s="42">
        <v>-35.1</v>
      </c>
      <c r="CG2342" s="106">
        <v>-34.6</v>
      </c>
      <c r="CM2342" s="106">
        <v>-63.52</v>
      </c>
    </row>
    <row r="2343" spans="1:235" x14ac:dyDescent="0.25">
      <c r="A2343" s="127">
        <v>44907</v>
      </c>
      <c r="B2343" s="24" t="s">
        <v>43</v>
      </c>
      <c r="C2343" s="21">
        <f t="shared" si="40"/>
        <v>-33.200000000000003</v>
      </c>
      <c r="BO2343" s="106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40"/>
        <v>-125.49</v>
      </c>
      <c r="S2344" s="74">
        <v>-23.9</v>
      </c>
      <c r="AN2344" s="106">
        <v>-16.52</v>
      </c>
      <c r="BO2344" s="106">
        <v>-34.35</v>
      </c>
      <c r="CA2344" s="106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40"/>
        <v>-261</v>
      </c>
      <c r="V2345" s="74">
        <v>-8.3800000000000008</v>
      </c>
      <c r="AU2345" s="42">
        <v>-26.13</v>
      </c>
      <c r="BC2345" s="106">
        <v>-28.84</v>
      </c>
      <c r="BG2345" s="42">
        <f>-8.84-8.77</f>
        <v>-17.61</v>
      </c>
      <c r="BI2345" s="106">
        <v>-8.69</v>
      </c>
      <c r="BO2345" s="106">
        <v>-33.299999999999997</v>
      </c>
      <c r="BU2345" s="106">
        <v>-33.340000000000003</v>
      </c>
      <c r="CA2345" s="106">
        <f>-31.5-7.55</f>
        <v>-39.049999999999997</v>
      </c>
      <c r="CG2345" s="106">
        <f>-8.65-8.6</f>
        <v>-17.25</v>
      </c>
      <c r="CM2345" s="106">
        <v>-14.6</v>
      </c>
      <c r="CS2345" s="74">
        <v>-17.38</v>
      </c>
      <c r="CW2345" s="42">
        <v>-8.7799999999999994</v>
      </c>
      <c r="CY2345" s="106">
        <v>-7.65</v>
      </c>
    </row>
    <row r="2346" spans="1:235" x14ac:dyDescent="0.25">
      <c r="A2346" s="127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40"/>
        <v>-54.96</v>
      </c>
      <c r="BU2347" s="106">
        <v>-8.09</v>
      </c>
      <c r="CA2347" s="106">
        <v>-16.420000000000002</v>
      </c>
      <c r="CE2347" s="42">
        <v>-8.26</v>
      </c>
      <c r="CG2347" s="106">
        <v>-8.0500000000000007</v>
      </c>
      <c r="CM2347" s="106">
        <v>-14.14</v>
      </c>
    </row>
    <row r="2348" spans="1:235" x14ac:dyDescent="0.25">
      <c r="A2348" s="127">
        <v>44908</v>
      </c>
      <c r="B2348" s="24" t="s">
        <v>134</v>
      </c>
      <c r="C2348" s="21">
        <f t="shared" si="40"/>
        <v>-39.07</v>
      </c>
      <c r="E2348" s="386">
        <v>-39.07</v>
      </c>
    </row>
    <row r="2349" spans="1:235" x14ac:dyDescent="0.25">
      <c r="A2349" s="127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40"/>
        <v>0</v>
      </c>
    </row>
    <row r="2352" spans="1:235" x14ac:dyDescent="0.25">
      <c r="A2352" s="127">
        <v>44909</v>
      </c>
      <c r="B2352" s="24" t="s">
        <v>17</v>
      </c>
      <c r="C2352" s="21">
        <f t="shared" si="40"/>
        <v>-100.24</v>
      </c>
      <c r="AW2352" s="106">
        <v>-8.75</v>
      </c>
      <c r="BC2352" s="106">
        <v>-8.09</v>
      </c>
      <c r="BI2352" s="106">
        <v>-26.19</v>
      </c>
      <c r="BO2352" s="106">
        <v>-15.56</v>
      </c>
      <c r="BU2352" s="106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41">SUM(D2353:JT2353)</f>
        <v>-88.42</v>
      </c>
      <c r="CY2353" s="106">
        <v>-88.42</v>
      </c>
    </row>
    <row r="2354" spans="1:150" x14ac:dyDescent="0.25">
      <c r="A2354" s="127">
        <v>44910</v>
      </c>
      <c r="B2354" s="24" t="s">
        <v>65</v>
      </c>
      <c r="C2354" s="21">
        <f t="shared" si="41"/>
        <v>0</v>
      </c>
    </row>
    <row r="2355" spans="1:150" x14ac:dyDescent="0.25">
      <c r="A2355" s="127">
        <v>44910</v>
      </c>
      <c r="B2355" s="24" t="s">
        <v>167</v>
      </c>
      <c r="C2355" s="21">
        <f t="shared" si="41"/>
        <v>-5.0599999999999996</v>
      </c>
      <c r="D2355" s="386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41"/>
        <v>1126.24</v>
      </c>
      <c r="AW2356" s="106">
        <v>353.44</v>
      </c>
      <c r="BC2356" s="106">
        <v>359.12</v>
      </c>
      <c r="BI2356" s="106">
        <v>413.68</v>
      </c>
    </row>
    <row r="2357" spans="1:150" x14ac:dyDescent="0.25">
      <c r="A2357" s="127">
        <v>44910</v>
      </c>
      <c r="B2357" s="24" t="s">
        <v>140</v>
      </c>
      <c r="C2357" s="21">
        <f t="shared" si="41"/>
        <v>-12.3</v>
      </c>
      <c r="D2357" s="386">
        <v>-12.3</v>
      </c>
    </row>
    <row r="2358" spans="1:150" x14ac:dyDescent="0.25">
      <c r="A2358" s="127">
        <v>44911</v>
      </c>
      <c r="B2358" s="24" t="s">
        <v>13</v>
      </c>
      <c r="C2358" s="21">
        <f t="shared" si="41"/>
        <v>0</v>
      </c>
    </row>
    <row r="2359" spans="1:150" x14ac:dyDescent="0.25">
      <c r="A2359" s="127">
        <v>44911</v>
      </c>
      <c r="B2359" s="24" t="s">
        <v>146</v>
      </c>
      <c r="C2359" s="21">
        <f t="shared" si="41"/>
        <v>108.14</v>
      </c>
      <c r="AN2359" s="106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106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41"/>
        <v>-801.41</v>
      </c>
      <c r="AA2361" s="42">
        <v>-34.42</v>
      </c>
      <c r="AC2361" s="106">
        <f>-7.85-7.85-5.72-7.45</f>
        <v>-28.87</v>
      </c>
      <c r="AN2361" s="106">
        <v>-33.1</v>
      </c>
      <c r="AW2361" s="106">
        <v>-33.76</v>
      </c>
      <c r="BI2361" s="106">
        <v>-35.24</v>
      </c>
      <c r="CF2361" s="69">
        <v>-33.909999999999997</v>
      </c>
      <c r="CM2361" s="106">
        <v>-31.4</v>
      </c>
      <c r="CS2361" s="74">
        <v>-95</v>
      </c>
      <c r="DE2361" s="74">
        <v>-28.9</v>
      </c>
      <c r="DK2361" s="106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41"/>
        <v>-33.1</v>
      </c>
      <c r="AN2362" s="106">
        <v>-33.1</v>
      </c>
    </row>
    <row r="2363" spans="1:150" x14ac:dyDescent="0.25">
      <c r="A2363" s="127">
        <v>44911</v>
      </c>
      <c r="B2363" s="24" t="s">
        <v>140</v>
      </c>
      <c r="C2363" s="21">
        <f t="shared" si="41"/>
        <v>-44.7</v>
      </c>
      <c r="D2363" s="386">
        <v>-44.7</v>
      </c>
    </row>
    <row r="2364" spans="1:150" x14ac:dyDescent="0.25">
      <c r="A2364" s="127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41"/>
        <v>-98.03</v>
      </c>
      <c r="AN2365" s="106">
        <v>-16.600000000000001</v>
      </c>
      <c r="AW2365" s="106">
        <v>-15.7</v>
      </c>
      <c r="BC2365" s="106">
        <v>-15.82</v>
      </c>
      <c r="BI2365" s="106">
        <v>-33.69</v>
      </c>
      <c r="BS2365" s="42">
        <v>-7.51</v>
      </c>
      <c r="BU2365" s="106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41"/>
        <v>-3.09</v>
      </c>
      <c r="CM2366" s="106">
        <v>-3.09</v>
      </c>
    </row>
    <row r="2367" spans="1:150" x14ac:dyDescent="0.25">
      <c r="A2367" s="127">
        <v>44914</v>
      </c>
      <c r="B2367" s="24" t="s">
        <v>59</v>
      </c>
      <c r="C2367" s="21">
        <f t="shared" si="41"/>
        <v>-2.73</v>
      </c>
      <c r="CM2367" s="106">
        <v>-2.73</v>
      </c>
    </row>
    <row r="2368" spans="1:150" x14ac:dyDescent="0.25">
      <c r="A2368" s="127">
        <v>44915</v>
      </c>
      <c r="B2368" s="24" t="s">
        <v>137</v>
      </c>
      <c r="C2368" s="21">
        <f t="shared" si="41"/>
        <v>-42.01</v>
      </c>
      <c r="AN2368" s="106">
        <v>-8.3699999999999992</v>
      </c>
      <c r="AW2368" s="106">
        <v>-8.73</v>
      </c>
      <c r="BC2368" s="106">
        <v>-7.87</v>
      </c>
      <c r="BI2368" s="106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41"/>
        <v>-17.100000000000001</v>
      </c>
      <c r="O2369" s="375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41"/>
        <v>-15.62</v>
      </c>
      <c r="AN2370" s="106">
        <v>-8.27</v>
      </c>
      <c r="BC2370" s="106">
        <v>-7.35</v>
      </c>
    </row>
    <row r="2371" spans="1:238" x14ac:dyDescent="0.25">
      <c r="A2371" s="127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41"/>
        <v>-31.66</v>
      </c>
      <c r="BC2373" s="106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106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106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41"/>
        <v>-4.6500000000000004</v>
      </c>
      <c r="BU2376" s="106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41"/>
        <v>1507.46</v>
      </c>
      <c r="AR2377" s="106">
        <v>337.99</v>
      </c>
      <c r="BO2377" s="106">
        <v>142.19999999999999</v>
      </c>
      <c r="BU2377" s="106">
        <v>410.1</v>
      </c>
      <c r="CA2377" s="106">
        <v>339.02</v>
      </c>
      <c r="CG2377" s="106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41"/>
        <v>-14.2</v>
      </c>
      <c r="BC2378" s="106">
        <v>-6.69</v>
      </c>
      <c r="BI2378" s="106">
        <v>-7.51</v>
      </c>
    </row>
    <row r="2379" spans="1:238" x14ac:dyDescent="0.25">
      <c r="A2379" s="127">
        <v>44916</v>
      </c>
      <c r="B2379" s="24" t="s">
        <v>17</v>
      </c>
      <c r="C2379" s="21">
        <f t="shared" si="41"/>
        <v>-54.99</v>
      </c>
      <c r="AN2379" s="106">
        <v>-8.33</v>
      </c>
      <c r="AR2379" s="106">
        <v>-17.3</v>
      </c>
      <c r="AW2379" s="106">
        <v>-13.7</v>
      </c>
      <c r="BC2379" s="106">
        <v>-15.66</v>
      </c>
    </row>
    <row r="2380" spans="1:238" x14ac:dyDescent="0.25">
      <c r="A2380" s="127">
        <v>44916</v>
      </c>
      <c r="B2380" s="24" t="s">
        <v>17</v>
      </c>
      <c r="C2380" s="21">
        <f t="shared" si="41"/>
        <v>-131.47999999999999</v>
      </c>
      <c r="Z2380" s="79">
        <v>-8.4600000000000009</v>
      </c>
      <c r="AR2380" s="106">
        <v>-17.22</v>
      </c>
      <c r="AW2380" s="106">
        <v>-6.57</v>
      </c>
      <c r="BC2380" s="106">
        <v>-15.24</v>
      </c>
      <c r="BI2380" s="106">
        <v>-7.49</v>
      </c>
      <c r="BO2380" s="106">
        <v>-17.66</v>
      </c>
      <c r="BU2380" s="106">
        <v>-16.32</v>
      </c>
      <c r="CA2380" s="106">
        <v>-8.61</v>
      </c>
      <c r="CG2380" s="106">
        <v>-17.25</v>
      </c>
      <c r="CM2380" s="106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41"/>
        <v>-96.84</v>
      </c>
      <c r="AW2381" s="106">
        <v>-30.8</v>
      </c>
      <c r="BC2381" s="106">
        <v>-31.3</v>
      </c>
      <c r="CM2381" s="106">
        <v>-34.74</v>
      </c>
    </row>
    <row r="2382" spans="1:238" x14ac:dyDescent="0.25">
      <c r="A2382" s="127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41"/>
        <v>-66.724999999999994</v>
      </c>
      <c r="AR2384" s="106">
        <v>-8.56</v>
      </c>
      <c r="CG2384" s="106">
        <v>-8.6</v>
      </c>
      <c r="CM2384" s="106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41"/>
        <v>-97.18</v>
      </c>
      <c r="CY2385" s="106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41"/>
        <v>-7.86</v>
      </c>
      <c r="O2386" s="375">
        <v>-7.86</v>
      </c>
    </row>
    <row r="2387" spans="1:221" x14ac:dyDescent="0.25">
      <c r="A2387" s="127">
        <v>44918</v>
      </c>
      <c r="B2387" s="24" t="s">
        <v>15</v>
      </c>
      <c r="C2387" s="21">
        <f t="shared" si="41"/>
        <v>-77.64</v>
      </c>
      <c r="BC2387" s="106">
        <v>-15.84</v>
      </c>
      <c r="BI2387" s="106">
        <v>-8.77</v>
      </c>
      <c r="CA2387" s="106">
        <v>-17.27</v>
      </c>
      <c r="DK2387" s="106">
        <v>-35.76</v>
      </c>
    </row>
    <row r="2388" spans="1:221" x14ac:dyDescent="0.25">
      <c r="A2388" s="127">
        <v>44918</v>
      </c>
      <c r="B2388" s="24" t="s">
        <v>59</v>
      </c>
      <c r="C2388" s="21">
        <f t="shared" si="41"/>
        <v>-16.98</v>
      </c>
      <c r="CG2388" s="106">
        <v>-13.3</v>
      </c>
      <c r="CM2388" s="106">
        <v>-3.68</v>
      </c>
    </row>
    <row r="2389" spans="1:221" x14ac:dyDescent="0.25">
      <c r="A2389" s="127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27">
        <v>44919</v>
      </c>
      <c r="B2390" s="24" t="s">
        <v>12</v>
      </c>
      <c r="C2390" s="21">
        <f t="shared" si="41"/>
        <v>-9.08</v>
      </c>
      <c r="BO2390" s="106">
        <v>-9.08</v>
      </c>
    </row>
    <row r="2391" spans="1:221" x14ac:dyDescent="0.25">
      <c r="A2391" s="127">
        <v>44921</v>
      </c>
      <c r="B2391" s="24" t="s">
        <v>65</v>
      </c>
      <c r="C2391" s="21">
        <f t="shared" si="41"/>
        <v>-34.92</v>
      </c>
      <c r="AW2391" s="106">
        <v>-34.92</v>
      </c>
    </row>
    <row r="2392" spans="1:221" x14ac:dyDescent="0.25">
      <c r="A2392" s="127">
        <v>44921</v>
      </c>
      <c r="B2392" s="24" t="s">
        <v>39</v>
      </c>
      <c r="C2392" s="21">
        <f t="shared" si="41"/>
        <v>-74.75</v>
      </c>
      <c r="AR2392" s="106">
        <v>-8.6199999999999992</v>
      </c>
      <c r="AW2392" s="106">
        <v>-8.77</v>
      </c>
      <c r="BC2392" s="106">
        <v>-7.97</v>
      </c>
      <c r="BI2392" s="106">
        <v>-7.49</v>
      </c>
      <c r="BO2392" s="106">
        <v>-8.69</v>
      </c>
      <c r="BU2392" s="106">
        <v>-7.59</v>
      </c>
      <c r="CA2392" s="106">
        <v>-8.69</v>
      </c>
      <c r="CG2392" s="106">
        <v>-8.6</v>
      </c>
      <c r="CM2392" s="106">
        <v>-8.33</v>
      </c>
    </row>
    <row r="2393" spans="1:221" x14ac:dyDescent="0.25">
      <c r="A2393" s="127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41"/>
        <v>-335.08</v>
      </c>
      <c r="BI2394" s="106">
        <v>-98.22</v>
      </c>
      <c r="BU2394" s="106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41"/>
        <v>-42.49</v>
      </c>
      <c r="BO2395" s="106">
        <f>-8.99-8.95</f>
        <v>-17.940000000000001</v>
      </c>
      <c r="CS2395" s="74">
        <f>-8.75-7.63</f>
        <v>-16.38</v>
      </c>
      <c r="CY2395" s="106">
        <v>-8.17</v>
      </c>
    </row>
    <row r="2396" spans="1:221" x14ac:dyDescent="0.25">
      <c r="A2396" s="127">
        <v>44922</v>
      </c>
      <c r="B2396" s="24" t="s">
        <v>162</v>
      </c>
      <c r="C2396" s="21">
        <f t="shared" si="41"/>
        <v>-174.53</v>
      </c>
      <c r="AW2396" s="106">
        <v>-25.55</v>
      </c>
      <c r="BC2396" s="106">
        <v>-21.91</v>
      </c>
      <c r="BI2396" s="106">
        <v>-23.79</v>
      </c>
      <c r="BO2396" s="106">
        <v>-26.85</v>
      </c>
      <c r="CA2396" s="106">
        <v>-25.47</v>
      </c>
      <c r="CG2396" s="106">
        <v>-25.95</v>
      </c>
      <c r="CM2396" s="106">
        <v>-25.01</v>
      </c>
    </row>
    <row r="2397" spans="1:221" x14ac:dyDescent="0.25">
      <c r="A2397" s="127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41"/>
        <v>-54.29</v>
      </c>
      <c r="CS2399" s="74">
        <v>-8.7100000000000009</v>
      </c>
      <c r="CY2399" s="106">
        <v>-37.130000000000003</v>
      </c>
      <c r="DK2399" s="106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41"/>
        <v>-73.8</v>
      </c>
      <c r="BC2400" s="106">
        <v>-7.95</v>
      </c>
      <c r="BI2400" s="106">
        <v>-8.75</v>
      </c>
      <c r="BO2400" s="106">
        <v>-8.58</v>
      </c>
      <c r="BU2400" s="106">
        <v>-7.75</v>
      </c>
      <c r="CA2400" s="106">
        <v>-15.74</v>
      </c>
      <c r="CG2400" s="106">
        <v>-17.2</v>
      </c>
      <c r="CY2400" s="106">
        <v>-7.83</v>
      </c>
    </row>
    <row r="2401" spans="1:236" x14ac:dyDescent="0.25">
      <c r="A2401" s="127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41"/>
        <v>-32.18</v>
      </c>
      <c r="CY2402" s="106">
        <v>-32.18</v>
      </c>
    </row>
    <row r="2403" spans="1:236" x14ac:dyDescent="0.25">
      <c r="A2403" s="127">
        <v>44922</v>
      </c>
      <c r="B2403" s="24" t="s">
        <v>65</v>
      </c>
      <c r="C2403" s="21">
        <f t="shared" si="41"/>
        <v>0</v>
      </c>
    </row>
    <row r="2404" spans="1:236" x14ac:dyDescent="0.25">
      <c r="A2404" s="127">
        <v>44923</v>
      </c>
      <c r="B2404" s="24" t="s">
        <v>155</v>
      </c>
      <c r="C2404" s="21">
        <f t="shared" si="41"/>
        <v>-99.86</v>
      </c>
      <c r="AL2404" s="42">
        <v>33.26</v>
      </c>
      <c r="CS2404" s="74">
        <v>-32.42</v>
      </c>
      <c r="DK2404" s="106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41"/>
        <v>-165.68</v>
      </c>
      <c r="BC2405" s="106">
        <v>-30.9</v>
      </c>
      <c r="BO2405" s="106">
        <v>-35.36</v>
      </c>
      <c r="BU2405" s="106">
        <v>-36.24</v>
      </c>
      <c r="CA2405" s="106">
        <v>-33</v>
      </c>
      <c r="CF2405" s="69">
        <v>-25.08</v>
      </c>
      <c r="CG2405" s="106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41"/>
        <v>1889.47</v>
      </c>
      <c r="BI2407" s="106">
        <v>421.9</v>
      </c>
      <c r="BO2407" s="106">
        <v>421.05</v>
      </c>
      <c r="BU2407" s="106">
        <v>427.4</v>
      </c>
      <c r="CY2407" s="106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41"/>
        <v>-24.55</v>
      </c>
      <c r="BI2408" s="106">
        <v>-7.97</v>
      </c>
      <c r="BO2408" s="106">
        <v>-8.0299999999999994</v>
      </c>
      <c r="BU2408" s="106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41"/>
        <v>-301.74</v>
      </c>
      <c r="AW2409" s="106">
        <v>-6.05</v>
      </c>
      <c r="BC2409" s="106">
        <v>-7.93</v>
      </c>
      <c r="BO2409" s="106">
        <v>-18.059999999999999</v>
      </c>
      <c r="BU2409" s="106">
        <v>-69.5</v>
      </c>
      <c r="BY2409" s="42">
        <v>-8.65</v>
      </c>
      <c r="CA2409" s="106">
        <f>-8.81-8.69-8.57</f>
        <v>-26.07</v>
      </c>
      <c r="CM2409" s="106">
        <v>-48.48</v>
      </c>
      <c r="CS2409" s="74">
        <v>-34.08</v>
      </c>
      <c r="CY2409" s="106">
        <v>-82.92</v>
      </c>
    </row>
    <row r="2410" spans="1:236" x14ac:dyDescent="0.25">
      <c r="A2410" s="127">
        <v>44924</v>
      </c>
      <c r="B2410" s="24" t="s">
        <v>133</v>
      </c>
      <c r="C2410" s="21">
        <f t="shared" si="41"/>
        <v>-165.48</v>
      </c>
      <c r="AR2410" s="106">
        <v>-34.28</v>
      </c>
      <c r="AW2410" s="106">
        <v>-32.659999999999997</v>
      </c>
      <c r="BI2410" s="106">
        <v>-63.74</v>
      </c>
      <c r="CA2410" s="106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41"/>
        <v>-308.16000000000003</v>
      </c>
      <c r="BI2411" s="106">
        <v>-69.52</v>
      </c>
      <c r="BO2411" s="106">
        <v>-70.88</v>
      </c>
      <c r="BU2411" s="106">
        <v>-67.72</v>
      </c>
      <c r="CM2411" s="106">
        <v>-16.66</v>
      </c>
      <c r="CY2411" s="106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106">
        <v>-69.040000000000006</v>
      </c>
      <c r="AW2412" s="106">
        <v>-127.46</v>
      </c>
      <c r="BC2412" s="106">
        <v>-127.82</v>
      </c>
      <c r="BI2412" s="106">
        <v>-127.72</v>
      </c>
      <c r="BO2412" s="106">
        <v>-177.04</v>
      </c>
      <c r="BU2412" s="106">
        <v>-157.32</v>
      </c>
      <c r="CA2412" s="106">
        <v>-169.4</v>
      </c>
      <c r="CG2412" s="106">
        <v>-173.55</v>
      </c>
      <c r="CM2412" s="106">
        <v>-131.28</v>
      </c>
      <c r="CQ2412" s="42">
        <f>-34.46-34.56</f>
        <v>-69.02</v>
      </c>
      <c r="CS2412" s="74">
        <f>-30.82-29.62</f>
        <v>-60.44</v>
      </c>
      <c r="CY2412" s="106">
        <v>-65.819999999999993</v>
      </c>
      <c r="DE2412" s="74">
        <v>-66.680000000000007</v>
      </c>
      <c r="DK2412" s="106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41"/>
        <v>-136.72</v>
      </c>
      <c r="BO2414" s="106">
        <v>-34.64</v>
      </c>
      <c r="CY2414" s="106">
        <v>-34.86</v>
      </c>
      <c r="DE2414" s="74">
        <v>-34.82</v>
      </c>
      <c r="DK2414" s="106">
        <v>-32.4</v>
      </c>
    </row>
    <row r="2415" spans="1:236" x14ac:dyDescent="0.25">
      <c r="A2415" s="127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106">
        <v>-1.94</v>
      </c>
    </row>
    <row r="2418" spans="1:131" x14ac:dyDescent="0.25">
      <c r="A2418" s="127">
        <v>44928</v>
      </c>
      <c r="B2418" s="24" t="s">
        <v>15</v>
      </c>
      <c r="C2418" s="21">
        <f t="shared" si="42"/>
        <v>-122.4</v>
      </c>
      <c r="BI2418" s="106">
        <v>-25.63</v>
      </c>
      <c r="BO2418" s="106">
        <v>-44.58</v>
      </c>
      <c r="BU2418" s="106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42"/>
        <v>3500.4</v>
      </c>
      <c r="AW2419" s="106">
        <v>354.24</v>
      </c>
      <c r="BC2419" s="106">
        <v>339.54</v>
      </c>
      <c r="BI2419" s="106">
        <v>205.46</v>
      </c>
      <c r="BO2419" s="106">
        <v>334.22</v>
      </c>
      <c r="CA2419" s="106">
        <v>337.7</v>
      </c>
      <c r="CG2419" s="106">
        <v>418.45</v>
      </c>
      <c r="CM2419" s="106">
        <v>393.4</v>
      </c>
      <c r="CS2419" s="74">
        <v>405.5</v>
      </c>
      <c r="CY2419" s="106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42"/>
        <v>-24.47</v>
      </c>
      <c r="AW2422" s="106">
        <v>-24.47</v>
      </c>
    </row>
    <row r="2423" spans="1:131" x14ac:dyDescent="0.25">
      <c r="A2423" s="127">
        <v>44929</v>
      </c>
      <c r="B2423" s="24" t="s">
        <v>32</v>
      </c>
      <c r="C2423" s="21">
        <f t="shared" si="42"/>
        <v>0</v>
      </c>
    </row>
    <row r="2424" spans="1:131" x14ac:dyDescent="0.25">
      <c r="A2424" s="127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42"/>
        <v>-34.22</v>
      </c>
      <c r="BU2425" s="106">
        <v>-9.07</v>
      </c>
      <c r="CG2425" s="106">
        <v>-8.4499999999999993</v>
      </c>
      <c r="CM2425" s="106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42"/>
        <v>-49.88</v>
      </c>
      <c r="AW2427" s="106">
        <v>-17.62</v>
      </c>
      <c r="BI2427" s="106">
        <v>-14.16</v>
      </c>
      <c r="BO2427" s="106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42"/>
        <v>-8.19</v>
      </c>
      <c r="DK2428" s="106">
        <v>-8.19</v>
      </c>
    </row>
    <row r="2429" spans="1:131" x14ac:dyDescent="0.25">
      <c r="A2429" s="127">
        <v>44930</v>
      </c>
      <c r="B2429" s="24" t="s">
        <v>26</v>
      </c>
      <c r="C2429" s="21">
        <f t="shared" si="42"/>
        <v>-34.06</v>
      </c>
      <c r="BU2429" s="106">
        <v>-8.33</v>
      </c>
      <c r="CA2429" s="106">
        <v>-8.73</v>
      </c>
      <c r="CG2429" s="106">
        <v>-8.6999999999999993</v>
      </c>
      <c r="CM2429" s="106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42"/>
        <v>-17.16</v>
      </c>
      <c r="L2430" s="69">
        <v>-8.51</v>
      </c>
      <c r="O2430" s="375">
        <v>-8.65</v>
      </c>
    </row>
    <row r="2431" spans="1:131" x14ac:dyDescent="0.25">
      <c r="A2431" s="127">
        <v>44931</v>
      </c>
      <c r="B2431" s="24" t="s">
        <v>113</v>
      </c>
      <c r="C2431" s="21">
        <f t="shared" si="42"/>
        <v>1517.76</v>
      </c>
      <c r="CA2431" s="106">
        <v>405.5</v>
      </c>
      <c r="CG2431" s="106">
        <v>436.05</v>
      </c>
      <c r="CM2431" s="106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27">
        <v>44932</v>
      </c>
      <c r="B2433" s="24" t="s">
        <v>166</v>
      </c>
      <c r="C2433" s="21">
        <f t="shared" si="42"/>
        <v>-361.69</v>
      </c>
      <c r="AW2433" s="106">
        <v>-30.36</v>
      </c>
      <c r="BC2433" s="106">
        <v>-29.78</v>
      </c>
      <c r="BI2433" s="106">
        <v>-52.32</v>
      </c>
      <c r="BO2433" s="106">
        <v>-35.479999999999997</v>
      </c>
      <c r="BU2433" s="106">
        <v>-40.770000000000003</v>
      </c>
      <c r="CA2433" s="106">
        <v>-24.31</v>
      </c>
      <c r="CG2433" s="106">
        <v>-28.05</v>
      </c>
      <c r="CM2433" s="106">
        <v>-24.8</v>
      </c>
      <c r="CS2433" s="74">
        <v>-30.18</v>
      </c>
      <c r="CY2433" s="106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42"/>
        <v>-233</v>
      </c>
      <c r="BC2434" s="106">
        <v>-31.86</v>
      </c>
      <c r="BI2434" s="106">
        <v>-35.58</v>
      </c>
      <c r="BO2434" s="106">
        <v>-35.68</v>
      </c>
      <c r="CG2434" s="106">
        <v>-33.6</v>
      </c>
      <c r="CM2434" s="106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42"/>
        <v>-9.09</v>
      </c>
      <c r="BI2435" s="106">
        <v>-9.09</v>
      </c>
    </row>
    <row r="2436" spans="1:238" x14ac:dyDescent="0.25">
      <c r="A2436" s="127">
        <v>44932</v>
      </c>
      <c r="B2436" s="24" t="s">
        <v>50</v>
      </c>
      <c r="C2436" s="21">
        <f t="shared" si="42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106">
        <v>-17.239999999999998</v>
      </c>
      <c r="AW2438" s="106">
        <v>-16.28</v>
      </c>
      <c r="BC2438" s="106">
        <v>-14.92</v>
      </c>
      <c r="BI2438" s="106">
        <v>-8.93</v>
      </c>
      <c r="BO2438" s="106">
        <v>-8.4700000000000006</v>
      </c>
      <c r="BU2438" s="106">
        <v>-9.15</v>
      </c>
      <c r="CA2438" s="106">
        <v>-8.75</v>
      </c>
      <c r="CG2438" s="106">
        <v>-8.4499999999999993</v>
      </c>
      <c r="CM2438" s="106">
        <v>-16.55</v>
      </c>
      <c r="CS2438" s="74">
        <v>-15.88</v>
      </c>
      <c r="CY2438" s="106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42"/>
        <v>-213.98</v>
      </c>
      <c r="BC2439" s="106">
        <f>-31.78-31.52</f>
        <v>-63.3</v>
      </c>
      <c r="CA2439" s="106">
        <v>-50.16</v>
      </c>
      <c r="CG2439" s="106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42"/>
        <v>-17.46</v>
      </c>
      <c r="AW2440" s="106">
        <v>-17.46</v>
      </c>
    </row>
    <row r="2441" spans="1:238" x14ac:dyDescent="0.25">
      <c r="A2441" s="127">
        <v>44935</v>
      </c>
      <c r="B2441" s="24" t="s">
        <v>59</v>
      </c>
      <c r="C2441" s="21">
        <f t="shared" si="42"/>
        <v>-5.55</v>
      </c>
      <c r="AW2441" s="106">
        <v>-1.1100000000000001</v>
      </c>
      <c r="CM2441" s="106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42"/>
        <v>-7.19</v>
      </c>
      <c r="CA2442" s="106">
        <v>-7.19</v>
      </c>
    </row>
    <row r="2443" spans="1:238" x14ac:dyDescent="0.25">
      <c r="A2443" s="127">
        <v>44936</v>
      </c>
      <c r="B2443" s="24" t="s">
        <v>27</v>
      </c>
      <c r="C2443" s="21">
        <f t="shared" si="42"/>
        <v>-17.57</v>
      </c>
      <c r="AR2443" s="106">
        <v>-8.6</v>
      </c>
      <c r="BO2443" s="106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42"/>
        <v>-24.11</v>
      </c>
      <c r="CA2444" s="106">
        <v>-8.7100000000000009</v>
      </c>
      <c r="CM2444" s="106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42"/>
        <v>-15.96</v>
      </c>
      <c r="AG2445" s="106">
        <v>-9.01</v>
      </c>
      <c r="AW2445" s="106">
        <v>-6.95</v>
      </c>
    </row>
    <row r="2446" spans="1:238" x14ac:dyDescent="0.25">
      <c r="A2446" s="127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42"/>
        <v>-294.29000000000002</v>
      </c>
      <c r="AR2448" s="106">
        <v>-31.9</v>
      </c>
      <c r="CA2448" s="106">
        <v>-34.159999999999997</v>
      </c>
      <c r="CG2448" s="106">
        <v>-33.700000000000003</v>
      </c>
      <c r="CM2448" s="106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42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42"/>
        <v>-1110.49</v>
      </c>
      <c r="T2450" s="42">
        <v>-23.85</v>
      </c>
      <c r="AW2450" s="106">
        <v>-34</v>
      </c>
      <c r="BC2450" s="106">
        <v>-30.44</v>
      </c>
      <c r="BI2450" s="106">
        <v>-99.06</v>
      </c>
      <c r="BO2450" s="106">
        <v>-106.8</v>
      </c>
      <c r="BU2450" s="106">
        <v>-66.760000000000005</v>
      </c>
      <c r="CA2450" s="106">
        <v>-102.14</v>
      </c>
      <c r="CG2450" s="106">
        <v>-64.7</v>
      </c>
      <c r="CM2450" s="106">
        <v>-99.85</v>
      </c>
      <c r="CS2450" s="74">
        <v>-33.4</v>
      </c>
      <c r="CY2450" s="106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42"/>
        <v>-16.02</v>
      </c>
      <c r="CY2451" s="106">
        <v>-16.02</v>
      </c>
    </row>
    <row r="2452" spans="1:224" x14ac:dyDescent="0.25">
      <c r="A2452" s="127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27">
        <v>44937</v>
      </c>
      <c r="B2453" s="29" t="s">
        <v>161</v>
      </c>
      <c r="C2453" s="21">
        <f t="shared" si="42"/>
        <v>0</v>
      </c>
    </row>
    <row r="2454" spans="1:224" x14ac:dyDescent="0.25">
      <c r="A2454" s="127">
        <v>44938</v>
      </c>
      <c r="B2454" s="24" t="s">
        <v>152</v>
      </c>
      <c r="C2454" s="21">
        <f t="shared" si="42"/>
        <v>0</v>
      </c>
    </row>
    <row r="2455" spans="1:224" x14ac:dyDescent="0.25">
      <c r="A2455" s="127">
        <v>44938</v>
      </c>
      <c r="B2455" s="24" t="s">
        <v>59</v>
      </c>
      <c r="C2455" s="21">
        <f t="shared" si="42"/>
        <v>-7.85</v>
      </c>
      <c r="CA2455" s="106">
        <v>-7.85</v>
      </c>
    </row>
    <row r="2456" spans="1:224" x14ac:dyDescent="0.25">
      <c r="A2456" s="127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42"/>
        <v>-174.17</v>
      </c>
      <c r="N2457" s="42">
        <v>-7.41</v>
      </c>
      <c r="AW2457" s="106">
        <v>-31.5</v>
      </c>
      <c r="BC2457" s="106">
        <v>-29.46</v>
      </c>
      <c r="BI2457" s="106">
        <v>-35.28</v>
      </c>
      <c r="BO2457" s="106">
        <v>-35.659999999999997</v>
      </c>
      <c r="CA2457" s="106">
        <v>-34.86</v>
      </c>
    </row>
    <row r="2458" spans="1:224" x14ac:dyDescent="0.25">
      <c r="A2458" s="127">
        <v>44939</v>
      </c>
      <c r="B2458" s="24" t="s">
        <v>113</v>
      </c>
      <c r="C2458" s="21">
        <f t="shared" si="42"/>
        <v>4317.95</v>
      </c>
      <c r="AW2458" s="106">
        <v>364.56</v>
      </c>
      <c r="BC2458" s="106">
        <v>381.6</v>
      </c>
      <c r="CG2458" s="106">
        <f>36.05+338.25</f>
        <v>374.3</v>
      </c>
      <c r="CM2458" s="106">
        <f>424.2+354.7</f>
        <v>778.9</v>
      </c>
      <c r="CY2458" s="106">
        <v>336.72</v>
      </c>
      <c r="DE2458" s="74">
        <v>339.54</v>
      </c>
      <c r="DK2458" s="106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42"/>
        <v>-233.39</v>
      </c>
      <c r="BI2459" s="106">
        <v>-33.340000000000003</v>
      </c>
      <c r="BO2459" s="106">
        <v>-34.6</v>
      </c>
      <c r="CM2459" s="106">
        <v>-32.950000000000003</v>
      </c>
      <c r="CS2459" s="74">
        <v>-32.28</v>
      </c>
      <c r="CY2459" s="106">
        <v>-35.42</v>
      </c>
      <c r="DK2459" s="106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42"/>
        <v>-24.26</v>
      </c>
      <c r="BU2460" s="106">
        <v>-8.41</v>
      </c>
      <c r="CG2460" s="106">
        <v>-8.4</v>
      </c>
      <c r="CM2460" s="106">
        <v>-7.45</v>
      </c>
    </row>
    <row r="2461" spans="1:224" x14ac:dyDescent="0.25">
      <c r="A2461" s="127">
        <v>44939</v>
      </c>
      <c r="B2461" s="24" t="s">
        <v>84</v>
      </c>
      <c r="C2461" s="21">
        <f t="shared" si="42"/>
        <v>-24.76</v>
      </c>
      <c r="AR2461" s="106">
        <v>-8.6</v>
      </c>
      <c r="BC2461" s="106">
        <v>-7.17</v>
      </c>
      <c r="BU2461" s="106">
        <v>-8.99</v>
      </c>
    </row>
    <row r="2462" spans="1:224" x14ac:dyDescent="0.25">
      <c r="A2462" s="127">
        <v>44939</v>
      </c>
      <c r="B2462" s="24" t="s">
        <v>115</v>
      </c>
      <c r="C2462" s="21">
        <f t="shared" si="42"/>
        <v>492.97500000000002</v>
      </c>
      <c r="D2462" s="386">
        <v>158.58000000000001</v>
      </c>
      <c r="E2462" s="386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42"/>
        <v>-81.594999999999999</v>
      </c>
      <c r="D2463" s="386">
        <v>-24.66</v>
      </c>
      <c r="E2463" s="386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42"/>
        <v>-82.94</v>
      </c>
      <c r="D2464" s="386">
        <v>-17.98</v>
      </c>
      <c r="E2464" s="386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42"/>
        <v>-205.67</v>
      </c>
      <c r="AR2465" s="106">
        <v>-17.149999999999999</v>
      </c>
      <c r="BB2465" s="69">
        <v>-17.079999999999998</v>
      </c>
      <c r="BU2465" s="106">
        <v>-18.18</v>
      </c>
      <c r="CA2465" s="106">
        <v>-34.14</v>
      </c>
      <c r="CG2465" s="106">
        <v>-33.6</v>
      </c>
      <c r="DK2465" s="106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42"/>
        <v>-33.68</v>
      </c>
      <c r="BO2466" s="106">
        <v>-33.68</v>
      </c>
    </row>
    <row r="2467" spans="1:240" x14ac:dyDescent="0.25">
      <c r="A2467" s="127">
        <v>44942</v>
      </c>
      <c r="B2467" s="24" t="s">
        <v>65</v>
      </c>
      <c r="C2467" s="21">
        <f t="shared" si="42"/>
        <v>-98.14</v>
      </c>
      <c r="AR2467" s="106">
        <v>-64.92</v>
      </c>
      <c r="AW2467" s="106">
        <v>-33.22</v>
      </c>
    </row>
    <row r="2468" spans="1:240" x14ac:dyDescent="0.25">
      <c r="A2468" s="127">
        <v>44942</v>
      </c>
      <c r="B2468" s="24" t="s">
        <v>44</v>
      </c>
      <c r="C2468" s="21">
        <f t="shared" si="42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42"/>
        <v>-33.33</v>
      </c>
      <c r="BO2472" s="106">
        <v>-8.3699999999999992</v>
      </c>
      <c r="BU2472" s="106">
        <v>-8.9700000000000006</v>
      </c>
      <c r="CA2472" s="106">
        <v>-7.59</v>
      </c>
      <c r="CG2472" s="106">
        <v>-8.4</v>
      </c>
    </row>
    <row r="2473" spans="1:240" x14ac:dyDescent="0.25">
      <c r="A2473" s="127">
        <v>44943</v>
      </c>
      <c r="B2473" s="24" t="s">
        <v>139</v>
      </c>
      <c r="C2473" s="21">
        <f t="shared" si="42"/>
        <v>-82.4</v>
      </c>
      <c r="BI2473" s="106">
        <v>-9.33</v>
      </c>
      <c r="BO2473" s="106">
        <v>-8.41</v>
      </c>
      <c r="CG2473" s="106">
        <v>-8.4</v>
      </c>
      <c r="CM2473" s="106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42"/>
        <v>-24.79</v>
      </c>
      <c r="BC2475" s="106">
        <v>-7.59</v>
      </c>
      <c r="CA2475" s="106">
        <v>-8.75</v>
      </c>
      <c r="CG2475" s="106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106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42"/>
        <v>1044.6300000000001</v>
      </c>
      <c r="BU2478" s="106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42"/>
        <v>-41.25</v>
      </c>
      <c r="AW2479" s="106">
        <v>-41.25</v>
      </c>
    </row>
    <row r="2480" spans="1:240" x14ac:dyDescent="0.25">
      <c r="A2480" s="127">
        <v>44945</v>
      </c>
      <c r="B2480" s="24" t="s">
        <v>152</v>
      </c>
      <c r="C2480" s="21">
        <f t="shared" si="42"/>
        <v>-784.32</v>
      </c>
      <c r="AR2480" s="106">
        <v>-32.67</v>
      </c>
      <c r="AW2480" s="106">
        <v>-53.75</v>
      </c>
      <c r="BG2480" s="42">
        <v>-32.58</v>
      </c>
      <c r="BI2480" s="106">
        <v>-21.17</v>
      </c>
      <c r="BU2480" s="106">
        <v>-133.62</v>
      </c>
      <c r="CA2480" s="106">
        <v>-34.1</v>
      </c>
      <c r="CG2480" s="106">
        <v>-33.5</v>
      </c>
      <c r="CS2480" s="74">
        <v>-29.96</v>
      </c>
      <c r="DK2480" s="106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43">SUM(D2481:JT2481)</f>
        <v>-8.24</v>
      </c>
      <c r="BU2481" s="106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43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43"/>
        <v>-266.94</v>
      </c>
      <c r="AW2483" s="106">
        <v>-32.86</v>
      </c>
      <c r="BC2483" s="106">
        <v>-30.32</v>
      </c>
      <c r="BO2483" s="106">
        <v>-34.42</v>
      </c>
      <c r="BU2483" s="106">
        <v>-33.94</v>
      </c>
      <c r="CA2483" s="106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43"/>
        <v>-165.33</v>
      </c>
      <c r="BC2484" s="106">
        <v>-31.84</v>
      </c>
      <c r="BU2484" s="106">
        <v>-33.36</v>
      </c>
      <c r="CA2484" s="106">
        <v>-34.94</v>
      </c>
      <c r="CG2484" s="106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43"/>
        <v>-7.07</v>
      </c>
      <c r="BU2486" s="106">
        <v>-3.98</v>
      </c>
      <c r="CA2486" s="106">
        <v>-3.09</v>
      </c>
    </row>
    <row r="2487" spans="1:236" x14ac:dyDescent="0.25">
      <c r="A2487" s="127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43"/>
        <v>-335.85</v>
      </c>
      <c r="AE2488" s="42">
        <v>-66.930000000000007</v>
      </c>
      <c r="BC2488" s="106">
        <v>-31.14</v>
      </c>
      <c r="BO2488" s="106">
        <v>-33.979999999999997</v>
      </c>
      <c r="BU2488" s="106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27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43"/>
        <v>-39.04</v>
      </c>
      <c r="BC2491" s="106">
        <v>-7.49</v>
      </c>
      <c r="BU2491" s="106">
        <v>-8.09</v>
      </c>
      <c r="CA2491" s="106">
        <v>-7.51</v>
      </c>
      <c r="CG2491" s="106">
        <v>-8.4499999999999993</v>
      </c>
      <c r="CM2491" s="106">
        <v>-7.5</v>
      </c>
    </row>
    <row r="2492" spans="1:236" x14ac:dyDescent="0.25">
      <c r="A2492" s="127">
        <v>44950</v>
      </c>
      <c r="B2492" s="24" t="s">
        <v>50</v>
      </c>
      <c r="C2492" s="21">
        <f t="shared" si="43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43"/>
        <v>-23.51</v>
      </c>
      <c r="BC2493" s="106">
        <v>-7.39</v>
      </c>
      <c r="BU2493" s="106">
        <v>-8.01</v>
      </c>
      <c r="CA2493" s="106">
        <v>-8.11</v>
      </c>
    </row>
    <row r="2494" spans="1:236" x14ac:dyDescent="0.25">
      <c r="A2494" s="127">
        <v>44950</v>
      </c>
      <c r="B2494" s="24" t="s">
        <v>138</v>
      </c>
      <c r="C2494" s="21">
        <f t="shared" si="43"/>
        <v>-8.7899999999999991</v>
      </c>
      <c r="AW2494" s="106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43"/>
        <v>-24.83</v>
      </c>
      <c r="BU2496" s="106">
        <v>-8.8699999999999992</v>
      </c>
      <c r="CA2496" s="106">
        <v>-15.96</v>
      </c>
    </row>
    <row r="2497" spans="1:226" x14ac:dyDescent="0.25">
      <c r="A2497" s="127">
        <v>44951</v>
      </c>
      <c r="B2497" s="24" t="s">
        <v>125</v>
      </c>
      <c r="C2497" s="21">
        <f t="shared" si="43"/>
        <v>-97.66</v>
      </c>
      <c r="BC2497" s="106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43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43"/>
        <v>-24.65</v>
      </c>
      <c r="AW2499" s="106">
        <v>-8.1300000000000008</v>
      </c>
      <c r="BO2499" s="106">
        <v>-8.91</v>
      </c>
      <c r="BU2499" s="106">
        <v>-7.61</v>
      </c>
    </row>
    <row r="2500" spans="1:226" x14ac:dyDescent="0.25">
      <c r="A2500" s="127">
        <v>44953</v>
      </c>
      <c r="B2500" s="24" t="s">
        <v>162</v>
      </c>
      <c r="C2500" s="21">
        <f t="shared" si="43"/>
        <v>-138.99</v>
      </c>
      <c r="AW2500" s="106">
        <v>-16.36</v>
      </c>
      <c r="BC2500" s="106">
        <v>-14.78</v>
      </c>
      <c r="BM2500" s="88">
        <v>-8.66</v>
      </c>
      <c r="BO2500" s="106">
        <v>-8.59</v>
      </c>
      <c r="BU2500" s="106">
        <v>-15.4</v>
      </c>
      <c r="CA2500" s="106">
        <v>-17.5</v>
      </c>
      <c r="CG2500" s="106">
        <v>-16.850000000000001</v>
      </c>
      <c r="CM2500" s="106">
        <v>-15.8</v>
      </c>
      <c r="DK2500" s="106">
        <v>-25.05</v>
      </c>
    </row>
    <row r="2501" spans="1:226" x14ac:dyDescent="0.25">
      <c r="A2501" s="127">
        <v>44956</v>
      </c>
      <c r="B2501" s="24" t="s">
        <v>113</v>
      </c>
      <c r="C2501" s="21">
        <f t="shared" si="43"/>
        <v>1399.52</v>
      </c>
      <c r="Z2501" s="79">
        <v>204.2</v>
      </c>
      <c r="AC2501" s="106">
        <v>205.77</v>
      </c>
      <c r="AG2501" s="106">
        <v>207.75</v>
      </c>
      <c r="AN2501" s="106">
        <v>194.65</v>
      </c>
      <c r="AR2501" s="106">
        <v>192.75</v>
      </c>
      <c r="BU2501" s="106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43"/>
        <v>-293.63</v>
      </c>
      <c r="AN2502" s="106">
        <v>-32.6</v>
      </c>
      <c r="AW2502" s="106">
        <v>-32</v>
      </c>
      <c r="BU2502" s="106">
        <v>-33.299999999999997</v>
      </c>
      <c r="CA2502" s="106">
        <v>-32.96</v>
      </c>
      <c r="CG2502" s="106">
        <v>-33.65</v>
      </c>
      <c r="CM2502" s="106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43"/>
        <v>-97.6</v>
      </c>
      <c r="AN2503" s="106">
        <v>-97.6</v>
      </c>
    </row>
    <row r="2504" spans="1:226" x14ac:dyDescent="0.25">
      <c r="A2504" s="127">
        <v>44956</v>
      </c>
      <c r="B2504" s="24" t="s">
        <v>48</v>
      </c>
      <c r="C2504" s="21">
        <f t="shared" si="43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43"/>
        <v>-17.170000000000002</v>
      </c>
      <c r="AC2506" s="106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43"/>
        <v>-170.9</v>
      </c>
      <c r="Z2507" s="79">
        <v>-67.959999999999994</v>
      </c>
      <c r="AC2507" s="106">
        <v>-102.94</v>
      </c>
    </row>
    <row r="2508" spans="1:226" x14ac:dyDescent="0.25">
      <c r="A2508" s="127">
        <v>44957</v>
      </c>
      <c r="B2508" s="24" t="s">
        <v>25</v>
      </c>
      <c r="C2508" s="21">
        <f t="shared" si="43"/>
        <v>-66.33</v>
      </c>
      <c r="AN2508" s="106">
        <v>-8.4</v>
      </c>
      <c r="AW2508" s="106">
        <v>-8.35</v>
      </c>
      <c r="BC2508" s="106">
        <v>-7.93</v>
      </c>
      <c r="BM2508" s="88">
        <v>-8.42</v>
      </c>
      <c r="BU2508" s="106">
        <v>-16.14</v>
      </c>
      <c r="CA2508" s="106">
        <v>-8.69</v>
      </c>
      <c r="CG2508" s="106">
        <v>-8.4</v>
      </c>
    </row>
    <row r="2509" spans="1:226" x14ac:dyDescent="0.25">
      <c r="A2509" s="127">
        <v>44957</v>
      </c>
      <c r="B2509" s="24" t="s">
        <v>75</v>
      </c>
      <c r="C2509" s="21">
        <f t="shared" si="43"/>
        <v>-92.13</v>
      </c>
      <c r="AG2509" s="106">
        <v>-9.1</v>
      </c>
      <c r="BC2509" s="106">
        <v>-16.079999999999998</v>
      </c>
      <c r="CG2509" s="106">
        <v>-16.7</v>
      </c>
      <c r="DE2509" s="74">
        <v>-16.8</v>
      </c>
      <c r="DK2509" s="106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43"/>
        <v>-16.649999999999999</v>
      </c>
      <c r="AN2510" s="106">
        <v>-8.1999999999999993</v>
      </c>
      <c r="BU2510" s="106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43"/>
        <v>-24.64</v>
      </c>
      <c r="AC2511" s="106">
        <v>-8.59</v>
      </c>
      <c r="AW2511" s="106">
        <v>-7.85</v>
      </c>
      <c r="CM2511" s="106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43"/>
        <v>-121.58</v>
      </c>
      <c r="AC2512" s="106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43"/>
        <v>-873.42</v>
      </c>
      <c r="AW2513" s="106">
        <v>-33.979999999999997</v>
      </c>
      <c r="BC2513" s="106">
        <v>-29.36</v>
      </c>
      <c r="BU2513" s="106">
        <v>-33.799999999999997</v>
      </c>
      <c r="CA2513" s="106">
        <v>-67.040000000000006</v>
      </c>
      <c r="CG2513" s="106">
        <v>-103.35</v>
      </c>
      <c r="CS2513" s="74">
        <v>-93.56</v>
      </c>
      <c r="CY2513" s="106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43"/>
        <v>0</v>
      </c>
    </row>
    <row r="2515" spans="1:238" x14ac:dyDescent="0.25">
      <c r="A2515" s="127">
        <v>44957</v>
      </c>
      <c r="B2515" s="24" t="s">
        <v>172</v>
      </c>
      <c r="C2515" s="21">
        <f t="shared" si="43"/>
        <v>0</v>
      </c>
    </row>
    <row r="2516" spans="1:238" x14ac:dyDescent="0.25">
      <c r="A2516" s="127">
        <v>44957</v>
      </c>
      <c r="B2516" s="24" t="s">
        <v>146</v>
      </c>
      <c r="C2516" s="21">
        <f t="shared" si="43"/>
        <v>-192.75</v>
      </c>
      <c r="AR2516" s="106">
        <v>-192.75</v>
      </c>
    </row>
    <row r="2517" spans="1:238" x14ac:dyDescent="0.25">
      <c r="A2517" s="127">
        <v>44957</v>
      </c>
      <c r="B2517" s="24" t="s">
        <v>20</v>
      </c>
      <c r="C2517" s="21">
        <f t="shared" si="43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43"/>
        <v>-198.91</v>
      </c>
      <c r="S2518" s="74">
        <v>-31.75</v>
      </c>
      <c r="AN2518" s="106">
        <v>-15</v>
      </c>
      <c r="BN2518" s="69">
        <v>-50.43</v>
      </c>
      <c r="CA2518" s="106">
        <v>-34.82</v>
      </c>
      <c r="CG2518" s="106">
        <v>-33.5</v>
      </c>
      <c r="CM2518" s="106">
        <v>-16.399999999999999</v>
      </c>
      <c r="CR2518" s="375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43"/>
        <v>-10.050000000000001</v>
      </c>
      <c r="BM2520" s="88">
        <v>-1.28</v>
      </c>
      <c r="CA2520" s="106">
        <v>-8.77</v>
      </c>
    </row>
    <row r="2521" spans="1:238" x14ac:dyDescent="0.25">
      <c r="A2521" s="127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375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43"/>
        <v>2616.0500000000002</v>
      </c>
      <c r="V2525" s="74">
        <v>305.06</v>
      </c>
      <c r="Z2525" s="79">
        <v>102.3</v>
      </c>
      <c r="AC2525" s="106">
        <v>121.38</v>
      </c>
      <c r="AG2525" s="106">
        <v>139.15</v>
      </c>
      <c r="AN2525" s="106">
        <v>160.9</v>
      </c>
      <c r="AR2525" s="106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43"/>
        <v>203.76</v>
      </c>
      <c r="BI2526" s="106">
        <v>203.76</v>
      </c>
    </row>
    <row r="2527" spans="1:238" x14ac:dyDescent="0.25">
      <c r="A2527" s="127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43"/>
        <v>-31.35</v>
      </c>
      <c r="AR2528" s="106">
        <v>-31.35</v>
      </c>
    </row>
    <row r="2529" spans="1:216" x14ac:dyDescent="0.25">
      <c r="A2529" s="127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106">
        <v>-26.65</v>
      </c>
      <c r="AN2529" s="106">
        <v>-31.2</v>
      </c>
      <c r="BI2529" s="106">
        <v>-101.28</v>
      </c>
      <c r="CR2529" s="375">
        <v>-33.97</v>
      </c>
      <c r="CY2529" s="106">
        <v>-34.76</v>
      </c>
      <c r="DK2529" s="106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43"/>
        <v>-102.2</v>
      </c>
      <c r="BN2530" s="69">
        <v>-33.78</v>
      </c>
      <c r="BU2530" s="106">
        <v>-34</v>
      </c>
      <c r="CA2530" s="106">
        <v>-34.42</v>
      </c>
    </row>
    <row r="2531" spans="1:216" x14ac:dyDescent="0.25">
      <c r="A2531" s="127">
        <v>44963</v>
      </c>
      <c r="B2531" s="24" t="s">
        <v>32</v>
      </c>
      <c r="C2531" s="21">
        <f t="shared" si="43"/>
        <v>-35.49</v>
      </c>
      <c r="BI2531" s="106">
        <v>-35.49</v>
      </c>
    </row>
    <row r="2532" spans="1:216" x14ac:dyDescent="0.25">
      <c r="A2532" s="127">
        <v>44963</v>
      </c>
      <c r="B2532" s="24" t="s">
        <v>50</v>
      </c>
      <c r="C2532" s="21">
        <f t="shared" si="43"/>
        <v>0</v>
      </c>
    </row>
    <row r="2533" spans="1:216" x14ac:dyDescent="0.25">
      <c r="A2533" s="127">
        <v>44963</v>
      </c>
      <c r="B2533" s="24" t="s">
        <v>50</v>
      </c>
      <c r="C2533" s="21">
        <f t="shared" si="43"/>
        <v>0</v>
      </c>
    </row>
    <row r="2534" spans="1:216" x14ac:dyDescent="0.25">
      <c r="A2534" s="127">
        <v>44964</v>
      </c>
      <c r="B2534" s="24" t="s">
        <v>139</v>
      </c>
      <c r="C2534" s="21">
        <f t="shared" si="43"/>
        <v>-48.57</v>
      </c>
      <c r="BC2534" s="106">
        <v>-7.99</v>
      </c>
      <c r="BI2534" s="106">
        <v>-7.76</v>
      </c>
      <c r="BU2534" s="106">
        <v>-7.91</v>
      </c>
      <c r="CA2534" s="106">
        <v>-8.01</v>
      </c>
      <c r="CG2534" s="106">
        <v>-8.4</v>
      </c>
      <c r="CR2534" s="375">
        <v>-8.5</v>
      </c>
    </row>
    <row r="2535" spans="1:216" x14ac:dyDescent="0.25">
      <c r="A2535" s="127">
        <v>44964</v>
      </c>
      <c r="B2535" s="24" t="s">
        <v>75</v>
      </c>
      <c r="C2535" s="21">
        <f t="shared" si="43"/>
        <v>-15.32</v>
      </c>
      <c r="AW2535" s="106">
        <v>-15.32</v>
      </c>
    </row>
    <row r="2536" spans="1:216" x14ac:dyDescent="0.25">
      <c r="A2536" s="127">
        <v>44964</v>
      </c>
      <c r="B2536" s="24" t="s">
        <v>20</v>
      </c>
      <c r="C2536" s="21">
        <f t="shared" si="43"/>
        <v>-77.605000000000004</v>
      </c>
      <c r="CM2536" s="106">
        <v>-8.25</v>
      </c>
      <c r="CR2536" s="375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43"/>
        <v>-24.9</v>
      </c>
      <c r="AN2537" s="106">
        <v>-24.9</v>
      </c>
    </row>
    <row r="2538" spans="1:216" x14ac:dyDescent="0.25">
      <c r="A2538" s="127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43"/>
        <v>-16.760000000000002</v>
      </c>
      <c r="AC2539" s="106">
        <v>-8.51</v>
      </c>
      <c r="CM2539" s="106">
        <v>-8.25</v>
      </c>
    </row>
    <row r="2540" spans="1:216" x14ac:dyDescent="0.25">
      <c r="A2540" s="127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43"/>
        <v>0</v>
      </c>
    </row>
    <row r="2542" spans="1:216" x14ac:dyDescent="0.25">
      <c r="A2542" s="127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43"/>
        <v>-95.62</v>
      </c>
      <c r="Z2543" s="79">
        <v>-34</v>
      </c>
      <c r="BC2543" s="106">
        <v>-28.96</v>
      </c>
      <c r="BU2543" s="106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106">
        <v>-8.77</v>
      </c>
      <c r="BI2544" s="106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106">
        <v>137.03</v>
      </c>
      <c r="BO2545" s="106">
        <v>345.52</v>
      </c>
      <c r="BU2545" s="106">
        <v>194.63</v>
      </c>
      <c r="CA2545" s="106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4"/>
        <v>-17.68</v>
      </c>
      <c r="BU2546" s="106">
        <v>-9</v>
      </c>
      <c r="CA2546" s="106">
        <v>-8.68</v>
      </c>
    </row>
    <row r="2547" spans="1:236" x14ac:dyDescent="0.25">
      <c r="A2547" s="127">
        <v>44970</v>
      </c>
      <c r="B2547" s="24" t="s">
        <v>17</v>
      </c>
      <c r="C2547" s="21">
        <f t="shared" si="44"/>
        <v>-24.96</v>
      </c>
      <c r="P2547" s="106">
        <v>-7.8</v>
      </c>
      <c r="AC2547" s="106">
        <v>-17.16</v>
      </c>
    </row>
    <row r="2548" spans="1:236" x14ac:dyDescent="0.25">
      <c r="A2548" s="127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4"/>
        <v>-249.21</v>
      </c>
      <c r="BC2549" s="106">
        <v>-29.94</v>
      </c>
      <c r="BI2549" s="106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4"/>
        <v>-33.1</v>
      </c>
      <c r="AN2550" s="106">
        <v>-33.1</v>
      </c>
    </row>
    <row r="2551" spans="1:236" x14ac:dyDescent="0.25">
      <c r="A2551" s="127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4"/>
        <v>-28.68</v>
      </c>
      <c r="P2553" s="106">
        <v>-3.65</v>
      </c>
      <c r="BU2553" s="106">
        <v>-8.15</v>
      </c>
      <c r="CA2553" s="106">
        <v>-8.48</v>
      </c>
      <c r="CG2553" s="106">
        <v>-8.4</v>
      </c>
    </row>
    <row r="2554" spans="1:236" x14ac:dyDescent="0.25">
      <c r="A2554" s="127">
        <v>44972</v>
      </c>
      <c r="B2554" s="24" t="s">
        <v>26</v>
      </c>
      <c r="C2554" s="21">
        <f t="shared" si="44"/>
        <v>-48.25</v>
      </c>
      <c r="BI2554" s="106">
        <v>-8.0299999999999994</v>
      </c>
      <c r="BO2554" s="106">
        <v>-14.83</v>
      </c>
      <c r="CA2554" s="106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4"/>
        <v>-48.37</v>
      </c>
      <c r="AR2557" s="106">
        <v>-7.3</v>
      </c>
      <c r="AW2557" s="106">
        <v>-8.35</v>
      </c>
      <c r="BC2557" s="106">
        <v>-7.33</v>
      </c>
      <c r="BI2557" s="106">
        <v>-8.74</v>
      </c>
      <c r="BO2557" s="106">
        <v>-8.4499999999999993</v>
      </c>
      <c r="BU2557" s="106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4"/>
        <v>130.91499999999999</v>
      </c>
      <c r="BF2560" s="182">
        <v>28.95</v>
      </c>
      <c r="BR2560" s="182">
        <v>33.704999999999998</v>
      </c>
      <c r="BX2560" s="182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4"/>
        <v>-1011.72</v>
      </c>
      <c r="BI2561" s="106">
        <v>-34.9</v>
      </c>
      <c r="BO2561" s="106">
        <v>-33</v>
      </c>
      <c r="BU2561" s="106">
        <v>-67.13</v>
      </c>
      <c r="CA2561" s="106">
        <v>-33.72</v>
      </c>
      <c r="CG2561" s="106">
        <v>-33.549999999999997</v>
      </c>
      <c r="CM2561" s="106">
        <v>-64.75</v>
      </c>
      <c r="CS2561" s="74">
        <v>-102.32</v>
      </c>
      <c r="CY2561" s="106">
        <v>-35.200000000000003</v>
      </c>
      <c r="DE2561" s="74">
        <v>-68.38</v>
      </c>
      <c r="DK2561" s="106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4"/>
        <v>-16.2</v>
      </c>
      <c r="BO2563" s="106">
        <v>-8.3000000000000007</v>
      </c>
      <c r="BU2563" s="106">
        <v>-7.9</v>
      </c>
    </row>
    <row r="2564" spans="1:199" x14ac:dyDescent="0.25">
      <c r="A2564" s="127">
        <v>44974</v>
      </c>
      <c r="B2564" s="24" t="s">
        <v>152</v>
      </c>
      <c r="C2564" s="21">
        <f t="shared" si="44"/>
        <v>-597.4</v>
      </c>
      <c r="BC2564" s="106">
        <v>-59.18</v>
      </c>
      <c r="BI2564" s="106">
        <v>-69.62</v>
      </c>
      <c r="BO2564" s="106">
        <v>-131.72999999999999</v>
      </c>
      <c r="BU2564" s="106">
        <v>-64.23</v>
      </c>
      <c r="CA2564" s="106">
        <v>-67</v>
      </c>
      <c r="CS2564" s="74">
        <v>-68.14</v>
      </c>
      <c r="CY2564" s="106">
        <v>-34.04</v>
      </c>
      <c r="DE2564" s="74">
        <v>-34.159999999999997</v>
      </c>
      <c r="DK2564" s="106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4"/>
        <v>-32</v>
      </c>
      <c r="BC2565" s="106">
        <v>-6.99</v>
      </c>
      <c r="BI2565" s="106">
        <v>-8.84</v>
      </c>
      <c r="BO2565" s="106">
        <v>-8.27</v>
      </c>
      <c r="BU2565" s="106">
        <v>-7.9</v>
      </c>
    </row>
    <row r="2566" spans="1:199" x14ac:dyDescent="0.25">
      <c r="A2566" s="127">
        <v>44974</v>
      </c>
      <c r="B2566" s="24" t="s">
        <v>149</v>
      </c>
      <c r="C2566" s="21">
        <f t="shared" si="44"/>
        <v>-8.18</v>
      </c>
      <c r="BO2566" s="106">
        <v>-8.18</v>
      </c>
    </row>
    <row r="2567" spans="1:199" x14ac:dyDescent="0.25">
      <c r="A2567" s="127">
        <v>44974</v>
      </c>
      <c r="B2567" s="24" t="s">
        <v>32</v>
      </c>
      <c r="C2567" s="21">
        <f t="shared" si="44"/>
        <v>0</v>
      </c>
    </row>
    <row r="2568" spans="1:199" x14ac:dyDescent="0.25">
      <c r="A2568" s="127">
        <v>44974</v>
      </c>
      <c r="B2568" s="24" t="s">
        <v>133</v>
      </c>
      <c r="C2568" s="21">
        <f t="shared" si="44"/>
        <v>-34.9</v>
      </c>
      <c r="CY2568" s="106">
        <v>-34.9</v>
      </c>
    </row>
    <row r="2569" spans="1:199" x14ac:dyDescent="0.25">
      <c r="A2569" s="127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106">
        <v>-8</v>
      </c>
      <c r="AR2569" s="106">
        <v>-13.3</v>
      </c>
      <c r="AW2569" s="106">
        <v>-16.54</v>
      </c>
      <c r="BC2569" s="106">
        <v>-22.13</v>
      </c>
      <c r="BI2569" s="106">
        <v>-8.69</v>
      </c>
      <c r="BO2569" s="106">
        <v>-41.1</v>
      </c>
      <c r="BU2569" s="106">
        <v>-6.45</v>
      </c>
      <c r="CY2569" s="106">
        <v>-7.13</v>
      </c>
    </row>
    <row r="2570" spans="1:199" x14ac:dyDescent="0.25">
      <c r="A2570" s="127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4"/>
        <v>0</v>
      </c>
    </row>
    <row r="2572" spans="1:199" x14ac:dyDescent="0.25">
      <c r="A2572" s="127">
        <v>44977</v>
      </c>
      <c r="B2572" s="24" t="s">
        <v>31</v>
      </c>
      <c r="C2572" s="21">
        <f t="shared" si="44"/>
        <v>-8.51</v>
      </c>
      <c r="AC2572" s="106">
        <v>-8.51</v>
      </c>
    </row>
    <row r="2573" spans="1:199" x14ac:dyDescent="0.25">
      <c r="A2573" s="127">
        <v>44978</v>
      </c>
      <c r="B2573" s="24" t="s">
        <v>65</v>
      </c>
      <c r="C2573" s="21">
        <f t="shared" si="44"/>
        <v>-33.6</v>
      </c>
      <c r="AW2573" s="106">
        <v>-33.6</v>
      </c>
    </row>
    <row r="2574" spans="1:199" x14ac:dyDescent="0.25">
      <c r="A2574" s="127">
        <v>44978</v>
      </c>
      <c r="B2574" s="24" t="s">
        <v>149</v>
      </c>
      <c r="C2574" s="21">
        <f t="shared" si="44"/>
        <v>-16.14</v>
      </c>
      <c r="BO2574" s="106">
        <v>-8.2899999999999991</v>
      </c>
      <c r="BU2574" s="106">
        <v>-7.85</v>
      </c>
    </row>
    <row r="2575" spans="1:199" x14ac:dyDescent="0.25">
      <c r="A2575" s="127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106">
        <v>-7.35</v>
      </c>
      <c r="BC2575" s="106">
        <v>-7.51</v>
      </c>
    </row>
    <row r="2576" spans="1:199" x14ac:dyDescent="0.25">
      <c r="A2576" s="127">
        <v>44978</v>
      </c>
      <c r="B2576" s="24" t="s">
        <v>173</v>
      </c>
      <c r="C2576" s="21">
        <f t="shared" si="44"/>
        <v>-7.35</v>
      </c>
      <c r="AR2576" s="106">
        <v>-7.35</v>
      </c>
    </row>
    <row r="2577" spans="1:238" x14ac:dyDescent="0.25">
      <c r="A2577" s="127">
        <v>44978</v>
      </c>
      <c r="B2577" s="24" t="s">
        <v>20</v>
      </c>
      <c r="C2577" s="21">
        <f t="shared" si="44"/>
        <v>-14.1</v>
      </c>
      <c r="AC2577" s="106">
        <v>-6.75</v>
      </c>
      <c r="AR2577" s="106">
        <v>-7.35</v>
      </c>
    </row>
    <row r="2578" spans="1:238" x14ac:dyDescent="0.25">
      <c r="A2578" s="127">
        <v>44979</v>
      </c>
      <c r="B2578" s="24" t="s">
        <v>113</v>
      </c>
      <c r="C2578" s="21">
        <f t="shared" si="44"/>
        <v>1564.14</v>
      </c>
      <c r="BI2578" s="106">
        <v>322.32</v>
      </c>
      <c r="BU2578" s="106">
        <v>213.1</v>
      </c>
      <c r="CA2578" s="106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4"/>
        <v>-341.28</v>
      </c>
      <c r="AR2580" s="106">
        <v>-32</v>
      </c>
      <c r="AW2580" s="106">
        <f>-33.42-7.85</f>
        <v>-41.27</v>
      </c>
      <c r="BC2580" s="106">
        <v>-7.81</v>
      </c>
      <c r="BI2580" s="106">
        <f>-33.33-8.98</f>
        <v>-42.31</v>
      </c>
      <c r="BN2580" s="69">
        <v>-25.32</v>
      </c>
      <c r="BS2580" s="42">
        <v>-8.77</v>
      </c>
      <c r="BU2580" s="106">
        <v>-35.57</v>
      </c>
      <c r="CA2580" s="106">
        <v>-34.39</v>
      </c>
      <c r="CG2580" s="106">
        <v>-25.9</v>
      </c>
      <c r="CM2580" s="106">
        <v>-31.95</v>
      </c>
      <c r="CS2580" s="74">
        <v>-25.81</v>
      </c>
      <c r="CY2580" s="106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4"/>
        <v>-33.51</v>
      </c>
      <c r="BI2581" s="106">
        <v>-8.65</v>
      </c>
      <c r="BO2581" s="106">
        <v>-8.31</v>
      </c>
      <c r="BU2581" s="106">
        <v>-8.98</v>
      </c>
      <c r="CA2581" s="106">
        <v>-7.57</v>
      </c>
    </row>
    <row r="2582" spans="1:238" x14ac:dyDescent="0.25">
      <c r="A2582" s="127">
        <v>44979</v>
      </c>
      <c r="B2582" s="24" t="s">
        <v>78</v>
      </c>
      <c r="C2582" s="21">
        <f t="shared" si="44"/>
        <v>-164.63</v>
      </c>
      <c r="AW2582" s="106">
        <v>-13.84</v>
      </c>
      <c r="BC2582" s="106">
        <v>-14.16</v>
      </c>
      <c r="BI2582" s="106">
        <v>-16.95</v>
      </c>
      <c r="BN2582" s="69">
        <v>-25.33</v>
      </c>
      <c r="BU2582" s="106">
        <v>-26.07</v>
      </c>
      <c r="CA2582" s="106">
        <v>-17.579999999999998</v>
      </c>
      <c r="CG2582" s="106">
        <v>-17.5</v>
      </c>
      <c r="CM2582" s="106">
        <v>-16.55</v>
      </c>
      <c r="CS2582" s="74">
        <v>-8.66</v>
      </c>
      <c r="CY2582" s="106">
        <v>-7.99</v>
      </c>
    </row>
    <row r="2583" spans="1:238" x14ac:dyDescent="0.25">
      <c r="A2583" s="127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4"/>
        <v>-16.315000000000001</v>
      </c>
      <c r="D2584" s="386">
        <v>-8.1999999999999993</v>
      </c>
      <c r="E2584" s="386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4"/>
        <v>-55.255000000000003</v>
      </c>
      <c r="AR2585" s="106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4"/>
        <v>-993.91</v>
      </c>
      <c r="AN2586" s="106">
        <v>-32.35</v>
      </c>
      <c r="AR2586" s="106">
        <v>-32.4</v>
      </c>
      <c r="AW2586" s="106">
        <v>-32.68</v>
      </c>
      <c r="BC2586" s="106">
        <v>-28.92</v>
      </c>
      <c r="BI2586" s="106">
        <v>-69.47</v>
      </c>
      <c r="BO2586" s="106">
        <v>-67.97</v>
      </c>
      <c r="BU2586" s="106">
        <v>-30.4</v>
      </c>
      <c r="CA2586" s="106">
        <v>-68.84</v>
      </c>
      <c r="CG2586" s="106">
        <v>-33.549999999999997</v>
      </c>
      <c r="CM2586" s="106">
        <v>-34.159999999999997</v>
      </c>
      <c r="CS2586" s="74">
        <v>-67.25</v>
      </c>
      <c r="CY2586" s="106">
        <v>-32.78</v>
      </c>
      <c r="DE2586" s="74">
        <v>-66.180000000000007</v>
      </c>
      <c r="DK2586" s="106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4"/>
        <v>-138.56</v>
      </c>
      <c r="BI2587" s="106">
        <v>-34.6</v>
      </c>
      <c r="BU2587" s="106">
        <v>-35.5</v>
      </c>
      <c r="CA2587" s="106">
        <v>-34.71</v>
      </c>
      <c r="CG2587" s="106">
        <v>-33.75</v>
      </c>
    </row>
    <row r="2588" spans="1:238" x14ac:dyDescent="0.25">
      <c r="A2588" s="127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4"/>
        <v>-189.13</v>
      </c>
      <c r="BC2589" s="106">
        <v>-29.74</v>
      </c>
      <c r="BI2589" s="106">
        <v>-30.75</v>
      </c>
      <c r="BU2589" s="106">
        <v>-35.869999999999997</v>
      </c>
      <c r="CA2589" s="106">
        <v>-33.369999999999997</v>
      </c>
      <c r="CG2589" s="106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4"/>
        <v>-16.989999999999998</v>
      </c>
      <c r="CS2590" s="74">
        <v>-8.8000000000000007</v>
      </c>
      <c r="CY2590" s="106">
        <v>-8.19</v>
      </c>
    </row>
    <row r="2591" spans="1:238" x14ac:dyDescent="0.25">
      <c r="A2591" s="127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106">
        <v>-8.25</v>
      </c>
    </row>
    <row r="2592" spans="1:238" x14ac:dyDescent="0.25">
      <c r="A2592" s="127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4"/>
        <v>-68.709999999999994</v>
      </c>
      <c r="CA2593" s="106">
        <v>-33.71</v>
      </c>
      <c r="CG2593" s="106">
        <v>-35</v>
      </c>
    </row>
    <row r="2594" spans="1:224" x14ac:dyDescent="0.25">
      <c r="A2594" s="127">
        <v>44980</v>
      </c>
      <c r="B2594" s="24" t="s">
        <v>59</v>
      </c>
      <c r="C2594" s="21">
        <f t="shared" si="44"/>
        <v>-9.9700000000000006</v>
      </c>
      <c r="BU2594" s="106">
        <v>-2.8</v>
      </c>
      <c r="CA2594" s="106">
        <v>-3.18</v>
      </c>
      <c r="CY2594" s="106">
        <v>-3.99</v>
      </c>
    </row>
    <row r="2595" spans="1:224" x14ac:dyDescent="0.25">
      <c r="A2595" s="127">
        <v>44981</v>
      </c>
      <c r="B2595" s="24" t="s">
        <v>133</v>
      </c>
      <c r="C2595" s="21">
        <f t="shared" si="44"/>
        <v>-63.94</v>
      </c>
      <c r="BC2595" s="106">
        <v>-30.74</v>
      </c>
      <c r="CM2595" s="106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4"/>
        <v>-59.76</v>
      </c>
      <c r="CY2596" s="106">
        <v>-17.34</v>
      </c>
      <c r="DE2596" s="74">
        <v>-33.42</v>
      </c>
      <c r="DK2596" s="106">
        <v>-9</v>
      </c>
    </row>
    <row r="2597" spans="1:224" x14ac:dyDescent="0.25">
      <c r="A2597" s="127">
        <v>44981</v>
      </c>
      <c r="B2597" s="24" t="s">
        <v>48</v>
      </c>
      <c r="C2597" s="21">
        <f t="shared" si="44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4"/>
        <v>-25.45</v>
      </c>
      <c r="CM2598" s="106">
        <v>-8.3000000000000007</v>
      </c>
      <c r="CS2598" s="74">
        <v>-8.3800000000000008</v>
      </c>
      <c r="CY2598" s="106">
        <v>-8.77</v>
      </c>
    </row>
    <row r="2599" spans="1:224" x14ac:dyDescent="0.25">
      <c r="A2599" s="127">
        <v>44982</v>
      </c>
      <c r="B2599" s="24" t="s">
        <v>113</v>
      </c>
      <c r="C2599" s="21">
        <f t="shared" si="44"/>
        <v>2065.85</v>
      </c>
      <c r="AN2599" s="106">
        <v>197.09</v>
      </c>
      <c r="AR2599" s="106">
        <v>190.7</v>
      </c>
      <c r="BC2599" s="106">
        <v>201.19</v>
      </c>
      <c r="BI2599" s="106">
        <v>203.45</v>
      </c>
      <c r="BO2599" s="106">
        <v>230.67</v>
      </c>
      <c r="BU2599" s="106">
        <v>202.96</v>
      </c>
      <c r="CA2599" s="106">
        <v>191.45</v>
      </c>
      <c r="DK2599" s="106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4"/>
        <v>-8.83</v>
      </c>
      <c r="CY2600" s="106">
        <v>-8.83</v>
      </c>
    </row>
    <row r="2601" spans="1:224" x14ac:dyDescent="0.25">
      <c r="A2601" s="127">
        <v>44984</v>
      </c>
      <c r="B2601" s="24" t="s">
        <v>78</v>
      </c>
      <c r="C2601" s="21">
        <f t="shared" si="44"/>
        <v>-58.28</v>
      </c>
      <c r="AW2601" s="106">
        <v>-8.31</v>
      </c>
      <c r="BC2601" s="106">
        <v>-7.61</v>
      </c>
      <c r="BO2601" s="106">
        <v>-8.51</v>
      </c>
      <c r="BU2601" s="106">
        <v>-8.81</v>
      </c>
      <c r="CG2601" s="106">
        <v>-8.35</v>
      </c>
      <c r="CM2601" s="106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4"/>
        <v>-166.79</v>
      </c>
      <c r="V2602" s="74">
        <v>-8.0299999999999994</v>
      </c>
      <c r="AG2602" s="106">
        <v>-17.3</v>
      </c>
      <c r="AW2602" s="106">
        <v>-24.29</v>
      </c>
      <c r="BC2602" s="106">
        <v>-34.630000000000003</v>
      </c>
      <c r="BI2602" s="106">
        <v>-25.5</v>
      </c>
      <c r="BO2602" s="106">
        <v>-15.46</v>
      </c>
      <c r="BU2602" s="106">
        <v>-25.43</v>
      </c>
      <c r="CA2602" s="106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4"/>
        <v>1339.53</v>
      </c>
      <c r="P2603" s="106">
        <v>172.55</v>
      </c>
      <c r="BO2603" s="106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4"/>
        <v>-64.510000000000005</v>
      </c>
      <c r="AW2605" s="106">
        <v>-31.6</v>
      </c>
      <c r="BU2605" s="106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4"/>
        <v>-16.75</v>
      </c>
      <c r="BI2607" s="106">
        <v>-16.75</v>
      </c>
    </row>
    <row r="2608" spans="1:224" x14ac:dyDescent="0.25">
      <c r="A2608" s="127">
        <v>44985</v>
      </c>
      <c r="B2608" s="24" t="s">
        <v>31</v>
      </c>
      <c r="C2608" s="21">
        <f t="shared" si="44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5">SUM(D2609:JT2609)</f>
        <v>-39.25</v>
      </c>
      <c r="BC2609" s="106">
        <v>-5.61</v>
      </c>
      <c r="BU2609" s="106">
        <v>-8.4499999999999993</v>
      </c>
      <c r="CG2609" s="106">
        <v>-8.4</v>
      </c>
      <c r="CM2609" s="106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5"/>
        <v>-7.3</v>
      </c>
      <c r="AR2610" s="106">
        <v>-7.3</v>
      </c>
    </row>
    <row r="2611" spans="1:199" x14ac:dyDescent="0.25">
      <c r="A2611" s="127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5"/>
        <v>-15.32</v>
      </c>
      <c r="AW2612" s="106">
        <v>-7.49</v>
      </c>
      <c r="BO2612" s="106">
        <v>-7.83</v>
      </c>
    </row>
    <row r="2613" spans="1:199" x14ac:dyDescent="0.25">
      <c r="A2613" s="127">
        <v>44985</v>
      </c>
      <c r="B2613" s="24" t="s">
        <v>79</v>
      </c>
      <c r="C2613" s="21">
        <f t="shared" si="45"/>
        <v>-32.85</v>
      </c>
      <c r="AG2613" s="106">
        <v>-8.75</v>
      </c>
      <c r="AR2613" s="106">
        <v>-6.95</v>
      </c>
      <c r="BI2613" s="106">
        <v>-8.5</v>
      </c>
      <c r="CY2613" s="106">
        <v>-8.65</v>
      </c>
    </row>
    <row r="2614" spans="1:199" x14ac:dyDescent="0.25">
      <c r="A2614" s="127">
        <v>44985</v>
      </c>
      <c r="B2614" s="24" t="s">
        <v>162</v>
      </c>
      <c r="C2614" s="21">
        <f t="shared" si="45"/>
        <v>-57.93</v>
      </c>
      <c r="AW2614" s="106">
        <v>-8.77</v>
      </c>
      <c r="BC2614" s="106">
        <v>-7.41</v>
      </c>
      <c r="BI2614" s="106">
        <v>-16.95</v>
      </c>
      <c r="BO2614" s="106">
        <v>-8.1999999999999993</v>
      </c>
      <c r="CG2614" s="106">
        <v>-8.4</v>
      </c>
      <c r="CM2614" s="106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106">
        <v>-9.23</v>
      </c>
      <c r="BO2615" s="106">
        <v>-8.2799999999999994</v>
      </c>
      <c r="BU2615" s="106">
        <v>-8.5</v>
      </c>
      <c r="CA2615" s="106">
        <v>-8.1</v>
      </c>
    </row>
    <row r="2616" spans="1:199" x14ac:dyDescent="0.25">
      <c r="A2616" s="127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106">
        <v>-14.45</v>
      </c>
      <c r="BO2617" s="106">
        <v>-8.15</v>
      </c>
    </row>
    <row r="2618" spans="1:199" x14ac:dyDescent="0.25">
      <c r="A2618" s="127">
        <v>44985</v>
      </c>
      <c r="B2618" s="24" t="s">
        <v>133</v>
      </c>
      <c r="C2618" s="21">
        <f t="shared" si="45"/>
        <v>-260.69</v>
      </c>
      <c r="AN2618" s="106">
        <v>-30.7</v>
      </c>
      <c r="AR2618" s="106">
        <v>-33.75</v>
      </c>
      <c r="BC2618" s="106">
        <v>-32.090000000000003</v>
      </c>
      <c r="BI2618" s="106">
        <f>-33.95-33.85</f>
        <v>-67.8</v>
      </c>
      <c r="BO2618" s="106">
        <v>-29.3</v>
      </c>
      <c r="CA2618" s="106">
        <v>-32.299999999999997</v>
      </c>
      <c r="CG2618" s="106">
        <v>-34.75</v>
      </c>
    </row>
    <row r="2619" spans="1:199" x14ac:dyDescent="0.25">
      <c r="A2619" s="127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5"/>
        <v>1075.78</v>
      </c>
      <c r="AN2621" s="106">
        <v>147.76</v>
      </c>
      <c r="AR2621" s="106">
        <v>160.75</v>
      </c>
      <c r="BC2621" s="106">
        <v>168.5</v>
      </c>
      <c r="BI2621" s="106">
        <v>207.57</v>
      </c>
      <c r="DK2621" s="106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5"/>
        <v>0</v>
      </c>
    </row>
    <row r="2623" spans="1:199" x14ac:dyDescent="0.25">
      <c r="A2623" s="127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106">
        <v>-34.549999999999997</v>
      </c>
      <c r="AW2623" s="106">
        <v>-34.979999999999997</v>
      </c>
      <c r="BU2623" s="106">
        <v>-135.81</v>
      </c>
      <c r="CA2623" s="106">
        <v>-63.4</v>
      </c>
      <c r="CG2623" s="106">
        <v>-138.15</v>
      </c>
      <c r="CM2623" s="106">
        <v>-99.8</v>
      </c>
      <c r="CY2623" s="106">
        <v>-34.1</v>
      </c>
      <c r="DE2623" s="74">
        <v>-33.9</v>
      </c>
      <c r="DK2623" s="106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5"/>
        <v>-172.73</v>
      </c>
      <c r="BC2624" s="106">
        <v>-34.71</v>
      </c>
      <c r="BI2624" s="106">
        <v>-104.77</v>
      </c>
      <c r="BO2624" s="106">
        <v>-33.25</v>
      </c>
    </row>
    <row r="2625" spans="1:221" x14ac:dyDescent="0.25">
      <c r="A2625" s="127">
        <v>44960</v>
      </c>
      <c r="B2625" s="24" t="s">
        <v>32</v>
      </c>
      <c r="C2625" s="21">
        <f t="shared" si="45"/>
        <v>-59.77</v>
      </c>
      <c r="CS2625" s="74">
        <v>-8.5399999999999991</v>
      </c>
      <c r="CY2625" s="106">
        <v>-16.84</v>
      </c>
      <c r="DK2625" s="106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5"/>
        <v>-54.21</v>
      </c>
      <c r="AW2626" s="106">
        <v>-23.49</v>
      </c>
      <c r="BC2626" s="106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5"/>
        <v>1757.87</v>
      </c>
      <c r="AW2627" s="106">
        <v>353.55</v>
      </c>
      <c r="BI2627" s="106">
        <v>308.66000000000003</v>
      </c>
      <c r="BU2627" s="106">
        <v>137.24</v>
      </c>
      <c r="CA2627" s="106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5"/>
        <v>-68.08</v>
      </c>
      <c r="BI2628" s="106">
        <v>-8.57</v>
      </c>
      <c r="BO2628" s="106">
        <v>-8.1999999999999993</v>
      </c>
      <c r="BU2628" s="106">
        <v>-9.09</v>
      </c>
      <c r="CA2628" s="106">
        <v>-8.15</v>
      </c>
      <c r="CG2628" s="106">
        <v>-8.6999999999999993</v>
      </c>
      <c r="CM2628" s="106">
        <v>-8.25</v>
      </c>
      <c r="CS2628" s="74">
        <v>-8.3699999999999992</v>
      </c>
      <c r="CY2628" s="106">
        <v>-8.75</v>
      </c>
    </row>
    <row r="2629" spans="1:221" x14ac:dyDescent="0.25">
      <c r="A2629" s="127">
        <v>44991</v>
      </c>
      <c r="B2629" s="24" t="s">
        <v>48</v>
      </c>
      <c r="C2629" s="21">
        <f t="shared" si="45"/>
        <v>-32.65</v>
      </c>
      <c r="BO2629" s="106">
        <v>-32.65</v>
      </c>
    </row>
    <row r="2630" spans="1:221" x14ac:dyDescent="0.25">
      <c r="A2630" s="127">
        <v>44991</v>
      </c>
      <c r="B2630" s="24" t="s">
        <v>37</v>
      </c>
      <c r="C2630" s="21">
        <f t="shared" si="45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5"/>
        <v>-318.19499999999999</v>
      </c>
      <c r="AC2632" s="106">
        <v>-17.04</v>
      </c>
      <c r="AG2632" s="106">
        <v>-17.5</v>
      </c>
      <c r="AN2632" s="106">
        <v>-13.65</v>
      </c>
      <c r="AU2632" s="42">
        <v>-34.78</v>
      </c>
      <c r="BF2632" s="182">
        <v>-28.95</v>
      </c>
      <c r="BI2632" s="106">
        <v>-35.85</v>
      </c>
      <c r="BR2632" s="182">
        <v>-33.704999999999998</v>
      </c>
      <c r="BX2632" s="182">
        <v>-33.74</v>
      </c>
      <c r="CC2632" s="126">
        <v>-34.520000000000003</v>
      </c>
      <c r="CE2632" s="42">
        <v>-8.6999999999999993</v>
      </c>
      <c r="CG2632" s="106">
        <v>-8.75</v>
      </c>
      <c r="CY2632" s="106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5"/>
        <v>-15.51</v>
      </c>
      <c r="BO2634" s="106">
        <v>-8.0500000000000007</v>
      </c>
      <c r="BU2634" s="106">
        <v>-7.46</v>
      </c>
    </row>
    <row r="2635" spans="1:221" x14ac:dyDescent="0.25">
      <c r="A2635" s="127">
        <v>44992</v>
      </c>
      <c r="B2635" s="24" t="s">
        <v>44</v>
      </c>
      <c r="C2635" s="21">
        <f t="shared" si="45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5"/>
        <v>-403.59</v>
      </c>
      <c r="AN2636" s="106">
        <v>-69.22</v>
      </c>
      <c r="AR2636" s="106">
        <v>-61.35</v>
      </c>
      <c r="BI2636" s="106">
        <v>-68.95</v>
      </c>
      <c r="BU2636" s="106">
        <v>-69.290000000000006</v>
      </c>
      <c r="CA2636" s="106">
        <v>-66.39</v>
      </c>
      <c r="CM2636" s="106">
        <v>-68.39</v>
      </c>
    </row>
    <row r="2637" spans="1:221" x14ac:dyDescent="0.25">
      <c r="A2637" s="127">
        <v>44992</v>
      </c>
      <c r="B2637" s="24" t="s">
        <v>20</v>
      </c>
      <c r="C2637" s="21">
        <f t="shared" si="45"/>
        <v>-41.85</v>
      </c>
      <c r="BC2637" s="106">
        <v>-8.81</v>
      </c>
      <c r="BI2637" s="106">
        <v>-8.5500000000000007</v>
      </c>
      <c r="BO2637" s="106">
        <v>-8.15</v>
      </c>
      <c r="BU2637" s="106">
        <v>-8.24</v>
      </c>
      <c r="CA2637" s="106">
        <v>-8.1</v>
      </c>
    </row>
    <row r="2638" spans="1:221" x14ac:dyDescent="0.25">
      <c r="A2638" s="127">
        <v>44992</v>
      </c>
      <c r="B2638" s="24" t="s">
        <v>84</v>
      </c>
      <c r="C2638" s="21">
        <f t="shared" si="45"/>
        <v>-60.51</v>
      </c>
      <c r="BC2638" s="106">
        <v>-8.8000000000000007</v>
      </c>
      <c r="BI2638" s="106">
        <v>-8.44</v>
      </c>
      <c r="BO2638" s="106">
        <v>-9.5</v>
      </c>
      <c r="BU2638" s="106">
        <v>-17.62</v>
      </c>
      <c r="CA2638" s="106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5"/>
        <v>-8.5299999999999994</v>
      </c>
      <c r="AC2639" s="106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106">
        <v>-8.74</v>
      </c>
      <c r="BU2641" s="106">
        <v>-17.97</v>
      </c>
      <c r="CG2641" s="106">
        <v>-8.65</v>
      </c>
      <c r="CY2641" s="106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5"/>
        <v>-5.5</v>
      </c>
      <c r="AR2642" s="106">
        <v>-5.5</v>
      </c>
    </row>
    <row r="2643" spans="1:240" x14ac:dyDescent="0.25">
      <c r="A2643" s="127">
        <v>44992</v>
      </c>
      <c r="B2643" s="24" t="s">
        <v>57</v>
      </c>
      <c r="C2643" s="21">
        <f t="shared" si="45"/>
        <v>-25.71</v>
      </c>
      <c r="CY2643" s="106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5"/>
        <v>3903.18</v>
      </c>
      <c r="BO2644" s="106">
        <v>517.05999999999995</v>
      </c>
      <c r="BU2644" s="106">
        <v>298.95999999999998</v>
      </c>
      <c r="CA2644" s="106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5"/>
        <v>-118.16</v>
      </c>
      <c r="BU2645" s="106">
        <v>-36.83</v>
      </c>
      <c r="CM2645" s="106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5"/>
        <v>-47.65</v>
      </c>
      <c r="E2648" s="386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5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5"/>
        <v>-16.399999999999999</v>
      </c>
      <c r="AN2653" s="106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5"/>
        <v>2456.7779999999998</v>
      </c>
      <c r="AC2655" s="106">
        <v>230.76</v>
      </c>
      <c r="BU2655" s="106">
        <v>199.58</v>
      </c>
      <c r="CA2655" s="106">
        <v>165.94</v>
      </c>
      <c r="CG2655" s="106">
        <v>506.92</v>
      </c>
      <c r="DE2655" s="74">
        <v>402.86</v>
      </c>
      <c r="DK2655" s="106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5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5"/>
        <v>-66.150000000000006</v>
      </c>
      <c r="AW2658" s="106">
        <v>-33.450000000000003</v>
      </c>
      <c r="BO2658" s="106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5"/>
        <v>-134.85</v>
      </c>
      <c r="BO2659" s="106">
        <v>-34.14</v>
      </c>
      <c r="BU2659" s="106">
        <v>-32.72</v>
      </c>
      <c r="CG2659" s="106">
        <v>-35.049999999999997</v>
      </c>
      <c r="CY2659" s="106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5"/>
        <v>-15.6</v>
      </c>
      <c r="AU2660" s="42">
        <v>-8.5</v>
      </c>
      <c r="BI2660" s="106">
        <v>-7.1</v>
      </c>
    </row>
    <row r="2661" spans="1:217" x14ac:dyDescent="0.25">
      <c r="A2661" s="127">
        <v>44995</v>
      </c>
      <c r="B2661" s="29" t="s">
        <v>25</v>
      </c>
      <c r="C2661" s="21">
        <f t="shared" si="45"/>
        <v>-93.49</v>
      </c>
      <c r="BO2661" s="106">
        <v>-8.75</v>
      </c>
      <c r="BU2661" s="106">
        <v>-8.9</v>
      </c>
      <c r="CA2661" s="106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5"/>
        <v>-259.38</v>
      </c>
      <c r="AC2662" s="106">
        <v>-17.12</v>
      </c>
      <c r="AU2662" s="42">
        <v>41.36</v>
      </c>
      <c r="AW2662" s="106">
        <v>-30.5</v>
      </c>
      <c r="BC2662" s="106">
        <v>-35.25</v>
      </c>
      <c r="BI2662" s="106">
        <v>-9</v>
      </c>
      <c r="BO2662" s="106">
        <v>-127.77</v>
      </c>
      <c r="BU2662" s="106">
        <v>-40.74</v>
      </c>
      <c r="CA2662" s="106">
        <v>-40.36</v>
      </c>
    </row>
    <row r="2663" spans="1:217" x14ac:dyDescent="0.25">
      <c r="A2663" s="127">
        <v>44995</v>
      </c>
      <c r="B2663" s="24" t="s">
        <v>68</v>
      </c>
      <c r="C2663" s="21">
        <f t="shared" si="45"/>
        <v>-67.88</v>
      </c>
      <c r="AR2663" s="106">
        <v>-33.1</v>
      </c>
      <c r="BI2663" s="106">
        <v>-34.78</v>
      </c>
    </row>
    <row r="2664" spans="1:217" x14ac:dyDescent="0.25">
      <c r="A2664" s="127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5"/>
        <v>-993.95</v>
      </c>
      <c r="V2666" s="74">
        <v>-32.159999999999997</v>
      </c>
      <c r="Z2666" s="79">
        <v>-34.119999999999997</v>
      </c>
      <c r="AC2666" s="106">
        <v>-33.130000000000003</v>
      </c>
      <c r="AR2666" s="106">
        <v>-33.200000000000003</v>
      </c>
      <c r="AW2666" s="106">
        <v>-32.85</v>
      </c>
      <c r="BI2666" s="106">
        <v>-172.41</v>
      </c>
      <c r="BO2666" s="106">
        <v>-129.47999999999999</v>
      </c>
      <c r="BU2666" s="106">
        <v>-131.63999999999999</v>
      </c>
      <c r="CA2666" s="106">
        <v>-100.75</v>
      </c>
      <c r="CG2666" s="106">
        <v>-95.2</v>
      </c>
      <c r="CM2666" s="106">
        <v>-100.05</v>
      </c>
      <c r="DK2666" s="106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5"/>
        <v>-33.54</v>
      </c>
      <c r="BI2667" s="106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5"/>
        <v>-9.01</v>
      </c>
      <c r="CA2668" s="106">
        <v>-9.01</v>
      </c>
    </row>
    <row r="2669" spans="1:217" x14ac:dyDescent="0.25">
      <c r="A2669" s="127">
        <v>44998</v>
      </c>
      <c r="B2669" s="24" t="s">
        <v>19</v>
      </c>
      <c r="C2669" s="21">
        <f t="shared" si="45"/>
        <v>0</v>
      </c>
    </row>
    <row r="2670" spans="1:217" x14ac:dyDescent="0.25">
      <c r="A2670" s="127">
        <v>44998</v>
      </c>
      <c r="B2670" s="24" t="s">
        <v>78</v>
      </c>
      <c r="C2670" s="21">
        <f t="shared" si="45"/>
        <v>-17.14</v>
      </c>
      <c r="BO2670" s="106">
        <v>-8.89</v>
      </c>
      <c r="CM2670" s="106">
        <v>-8.25</v>
      </c>
    </row>
    <row r="2671" spans="1:217" x14ac:dyDescent="0.25">
      <c r="A2671" s="127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106">
        <v>-8.65</v>
      </c>
    </row>
    <row r="2672" spans="1:217" x14ac:dyDescent="0.25">
      <c r="A2672" s="127">
        <v>44999</v>
      </c>
      <c r="B2672" s="24" t="s">
        <v>43</v>
      </c>
      <c r="C2672" s="21">
        <f t="shared" si="45"/>
        <v>-900.29</v>
      </c>
      <c r="Z2672" s="79">
        <v>-34.04</v>
      </c>
      <c r="AC2672" s="106">
        <v>-33.19</v>
      </c>
      <c r="AW2672" s="106">
        <v>-64.8</v>
      </c>
      <c r="BC2672" s="106">
        <v>-129.07</v>
      </c>
      <c r="BO2672" s="106">
        <v>-138.63</v>
      </c>
      <c r="BU2672" s="106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6"/>
        <v>-8.7200000000000006</v>
      </c>
      <c r="BO2674" s="106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6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6"/>
        <v>-16.71</v>
      </c>
      <c r="Z2677" s="79">
        <v>-8.41</v>
      </c>
      <c r="AW2677" s="106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6"/>
        <v>-8.35</v>
      </c>
      <c r="CA2678" s="106">
        <v>-8.35</v>
      </c>
    </row>
    <row r="2679" spans="1:236" x14ac:dyDescent="0.25">
      <c r="A2679" s="127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6"/>
        <v>-9</v>
      </c>
      <c r="BU2680" s="106">
        <v>-9</v>
      </c>
    </row>
    <row r="2681" spans="1:236" x14ac:dyDescent="0.25">
      <c r="A2681" s="127">
        <v>44999</v>
      </c>
      <c r="B2681" s="24" t="s">
        <v>29</v>
      </c>
      <c r="C2681" s="21">
        <f t="shared" si="46"/>
        <v>-17.75</v>
      </c>
      <c r="BI2681" s="106">
        <v>-8.99</v>
      </c>
      <c r="BO2681" s="106">
        <v>-8.76</v>
      </c>
    </row>
    <row r="2682" spans="1:236" x14ac:dyDescent="0.25">
      <c r="A2682" s="127">
        <v>44999</v>
      </c>
      <c r="B2682" s="24" t="s">
        <v>138</v>
      </c>
      <c r="C2682" s="21">
        <f t="shared" si="46"/>
        <v>-92.33</v>
      </c>
      <c r="BA2682" s="42">
        <v>-17.5</v>
      </c>
      <c r="BI2682" s="106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6"/>
        <v>827.4</v>
      </c>
      <c r="BI2684" s="106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6"/>
        <v>-133.91999999999999</v>
      </c>
      <c r="BC2686" s="106">
        <v>-31.45</v>
      </c>
      <c r="BI2686" s="106">
        <v>-34.32</v>
      </c>
      <c r="BO2686" s="106">
        <v>-34.24</v>
      </c>
      <c r="BU2686" s="106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6"/>
        <v>-61.64</v>
      </c>
      <c r="BC2687" s="106">
        <v>-18.04</v>
      </c>
      <c r="BI2687" s="106">
        <v>-18.399999999999999</v>
      </c>
      <c r="CA2687" s="106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6"/>
        <v>-60.21</v>
      </c>
      <c r="AW2688" s="106">
        <v>-8.4</v>
      </c>
      <c r="BC2688" s="106">
        <v>-17.64</v>
      </c>
      <c r="BI2688" s="106">
        <v>-16.95</v>
      </c>
      <c r="BO2688" s="106">
        <v>-8.74</v>
      </c>
      <c r="BU2688" s="106">
        <v>-8.48</v>
      </c>
    </row>
    <row r="2689" spans="1:224" x14ac:dyDescent="0.25">
      <c r="A2689" s="127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6"/>
        <v>0</v>
      </c>
    </row>
    <row r="2692" spans="1:224" x14ac:dyDescent="0.25">
      <c r="A2692" s="127">
        <v>45002</v>
      </c>
      <c r="B2692" s="24" t="s">
        <v>163</v>
      </c>
      <c r="C2692" s="21">
        <f t="shared" si="46"/>
        <v>254.52500000000001</v>
      </c>
      <c r="BL2692" s="182">
        <v>33.825000000000003</v>
      </c>
      <c r="BR2692" s="182">
        <v>33.86</v>
      </c>
      <c r="BX2692" s="182">
        <v>33.085000000000001</v>
      </c>
      <c r="CJ2692" s="182">
        <v>33.325000000000003</v>
      </c>
      <c r="CP2692" s="182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6"/>
        <v>-49.78</v>
      </c>
      <c r="BO2693" s="106">
        <v>-15.61</v>
      </c>
      <c r="BU2693" s="106">
        <v>-17.100000000000001</v>
      </c>
      <c r="CA2693" s="106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6"/>
        <v>-32.6</v>
      </c>
      <c r="D2694" s="386">
        <v>-32.6</v>
      </c>
    </row>
    <row r="2695" spans="1:224" x14ac:dyDescent="0.25">
      <c r="A2695" s="127">
        <v>45005</v>
      </c>
      <c r="B2695" s="24" t="s">
        <v>113</v>
      </c>
      <c r="C2695" s="21">
        <f t="shared" si="46"/>
        <v>1831.05</v>
      </c>
      <c r="AR2695" s="106">
        <v>264.64</v>
      </c>
      <c r="AW2695" s="106">
        <v>270.69</v>
      </c>
      <c r="BC2695" s="106">
        <v>518.79999999999995</v>
      </c>
      <c r="BO2695" s="106">
        <v>501.09</v>
      </c>
      <c r="CY2695" s="106">
        <v>275.83</v>
      </c>
    </row>
    <row r="2696" spans="1:224" x14ac:dyDescent="0.25">
      <c r="A2696" s="127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6"/>
        <v>-33.96</v>
      </c>
      <c r="AN2699" s="106">
        <v>-16.89</v>
      </c>
      <c r="AW2699" s="106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82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6"/>
        <v>-218.66</v>
      </c>
      <c r="AW2701" s="106">
        <v>-16.850000000000001</v>
      </c>
      <c r="BC2701" s="106">
        <v>-17.16</v>
      </c>
      <c r="BI2701" s="106">
        <v>-17</v>
      </c>
      <c r="BO2701" s="106">
        <v>-16</v>
      </c>
      <c r="BU2701" s="106">
        <v>-15.87</v>
      </c>
      <c r="CA2701" s="106">
        <v>-17.329999999999998</v>
      </c>
      <c r="CG2701" s="106">
        <v>-15.95</v>
      </c>
      <c r="CM2701" s="106">
        <v>-16.45</v>
      </c>
      <c r="CS2701" s="74">
        <v>-34.57</v>
      </c>
      <c r="CY2701" s="106">
        <v>-17.309999999999999</v>
      </c>
      <c r="DE2701" s="74">
        <v>-17.12</v>
      </c>
      <c r="DK2701" s="106">
        <v>-17.05</v>
      </c>
    </row>
    <row r="2702" spans="1:224" x14ac:dyDescent="0.25">
      <c r="A2702" s="127">
        <v>45006</v>
      </c>
      <c r="B2702" s="24" t="s">
        <v>43</v>
      </c>
      <c r="C2702" s="21">
        <f t="shared" si="46"/>
        <v>-543.37</v>
      </c>
      <c r="AC2702" s="106">
        <v>-33.090000000000003</v>
      </c>
      <c r="AG2702" s="106">
        <v>-34.75</v>
      </c>
      <c r="AN2702" s="106">
        <v>-34.590000000000003</v>
      </c>
      <c r="AR2702" s="106">
        <v>-33.479999999999997</v>
      </c>
      <c r="AW2702" s="106">
        <v>-34.049999999999997</v>
      </c>
      <c r="BC2702" s="106">
        <v>-35.409999999999997</v>
      </c>
      <c r="BI2702" s="106">
        <v>-100.96</v>
      </c>
      <c r="BO2702" s="106">
        <v>-103.46</v>
      </c>
      <c r="BU2702" s="106">
        <v>-33.65</v>
      </c>
      <c r="DE2702" s="74">
        <v>-32.46</v>
      </c>
      <c r="DK2702" s="106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6"/>
        <v>-134.29</v>
      </c>
      <c r="AN2703" s="106">
        <v>-34.64</v>
      </c>
      <c r="CA2703" s="106">
        <v>-33.44</v>
      </c>
      <c r="DE2703" s="74">
        <v>-34.81</v>
      </c>
      <c r="DK2703" s="106">
        <v>-31.4</v>
      </c>
    </row>
    <row r="2704" spans="1:224" x14ac:dyDescent="0.25">
      <c r="A2704" s="127">
        <v>45006</v>
      </c>
      <c r="B2704" s="24" t="s">
        <v>78</v>
      </c>
      <c r="C2704" s="21">
        <f t="shared" si="46"/>
        <v>-67.5</v>
      </c>
      <c r="AC2704" s="106">
        <v>-17.079999999999998</v>
      </c>
      <c r="CM2704" s="106">
        <v>-33.1</v>
      </c>
      <c r="CY2704" s="106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6"/>
        <v>-17.39</v>
      </c>
      <c r="BC2705" s="106">
        <v>-8.9499999999999993</v>
      </c>
      <c r="BU2705" s="106">
        <v>-8.44</v>
      </c>
    </row>
    <row r="2706" spans="1:241" x14ac:dyDescent="0.25">
      <c r="A2706" s="127">
        <v>45006</v>
      </c>
      <c r="B2706" s="24" t="s">
        <v>20</v>
      </c>
      <c r="C2706" s="21">
        <f t="shared" si="46"/>
        <v>-40.29</v>
      </c>
      <c r="AN2706" s="106">
        <v>-8.67</v>
      </c>
      <c r="CA2706" s="106">
        <v>-8.1</v>
      </c>
      <c r="CG2706" s="106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6"/>
        <v>-16.75</v>
      </c>
      <c r="BR2707" s="182">
        <v>-8.48</v>
      </c>
      <c r="BX2707" s="182">
        <v>-8.27</v>
      </c>
    </row>
    <row r="2708" spans="1:241" x14ac:dyDescent="0.25">
      <c r="A2708" s="127">
        <v>45006</v>
      </c>
      <c r="B2708" s="24" t="s">
        <v>75</v>
      </c>
      <c r="C2708" s="21">
        <f t="shared" si="46"/>
        <v>-34.130000000000003</v>
      </c>
      <c r="BC2708" s="106">
        <v>-9.85</v>
      </c>
      <c r="BU2708" s="106">
        <v>-7.34</v>
      </c>
      <c r="CG2708" s="106">
        <v>-8.69</v>
      </c>
      <c r="CM2708" s="106">
        <v>-8.25</v>
      </c>
    </row>
    <row r="2709" spans="1:241" x14ac:dyDescent="0.25">
      <c r="A2709" s="127">
        <v>45006</v>
      </c>
      <c r="B2709" s="24" t="s">
        <v>79</v>
      </c>
      <c r="C2709" s="21">
        <f t="shared" si="46"/>
        <v>-16.920000000000002</v>
      </c>
      <c r="AC2709" s="106">
        <v>-8.33</v>
      </c>
      <c r="BU2709" s="106">
        <v>-8.59</v>
      </c>
    </row>
    <row r="2710" spans="1:241" x14ac:dyDescent="0.25">
      <c r="A2710" s="127">
        <v>45006</v>
      </c>
      <c r="B2710" s="24" t="s">
        <v>167</v>
      </c>
      <c r="C2710" s="21">
        <f t="shared" si="46"/>
        <v>-15.3</v>
      </c>
      <c r="D2710" s="386">
        <v>-8.26</v>
      </c>
      <c r="E2710" s="386">
        <v>-7.04</v>
      </c>
    </row>
    <row r="2711" spans="1:241" x14ac:dyDescent="0.25">
      <c r="A2711" s="127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106">
        <v>-33.950000000000003</v>
      </c>
      <c r="BC2712" s="106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6"/>
        <v>-101.25</v>
      </c>
      <c r="BI2713" s="106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6"/>
        <v>-119.51</v>
      </c>
      <c r="AW2714" s="106">
        <v>-17.13</v>
      </c>
      <c r="BC2714" s="106">
        <v>-17.98</v>
      </c>
      <c r="BO2714" s="106">
        <v>-35.14</v>
      </c>
      <c r="CA2714" s="106">
        <v>-32.42</v>
      </c>
      <c r="CG2714" s="106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6"/>
        <v>-6.65</v>
      </c>
      <c r="AN2715" s="106">
        <v>-6.65</v>
      </c>
    </row>
    <row r="2716" spans="1:241" x14ac:dyDescent="0.25">
      <c r="A2716" s="127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6"/>
        <v>-97.73</v>
      </c>
      <c r="CS2717" s="74">
        <v>-17.170000000000002</v>
      </c>
      <c r="CY2717" s="106">
        <v>-15.8</v>
      </c>
      <c r="DE2717" s="74">
        <v>-17.100000000000001</v>
      </c>
      <c r="DK2717" s="106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6"/>
        <v>-32.49</v>
      </c>
      <c r="BI2718" s="106">
        <v>-8.5</v>
      </c>
      <c r="BO2718" s="106">
        <v>-8.0500000000000007</v>
      </c>
      <c r="BX2718" s="182">
        <v>-8.2799999999999994</v>
      </c>
      <c r="CG2718" s="106">
        <v>-7.66</v>
      </c>
    </row>
    <row r="2719" spans="1:241" x14ac:dyDescent="0.25">
      <c r="A2719" s="127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6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6"/>
        <v>-24.3</v>
      </c>
      <c r="AN2721" s="106">
        <v>-7.25</v>
      </c>
      <c r="AR2721" s="106">
        <v>-8.25</v>
      </c>
      <c r="AW2721" s="106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27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6"/>
        <v>-68.47</v>
      </c>
      <c r="BI2725" s="106">
        <v>-35.880000000000003</v>
      </c>
      <c r="CA2725" s="106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6"/>
        <v>-74.5</v>
      </c>
      <c r="CA2726" s="106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106">
        <v>-67.3</v>
      </c>
    </row>
    <row r="2728" spans="1:238" x14ac:dyDescent="0.25">
      <c r="A2728" s="127">
        <v>45012</v>
      </c>
      <c r="B2728" s="24" t="s">
        <v>44</v>
      </c>
      <c r="C2728" s="21">
        <f t="shared" si="46"/>
        <v>-214.35</v>
      </c>
      <c r="BO2728" s="106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6"/>
        <v>-8.25</v>
      </c>
      <c r="CM2729" s="106">
        <v>-8.25</v>
      </c>
    </row>
    <row r="2730" spans="1:238" x14ac:dyDescent="0.25">
      <c r="A2730" s="127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6"/>
        <v>-74.41</v>
      </c>
      <c r="AR2731" s="106">
        <v>-8.25</v>
      </c>
      <c r="BC2731" s="106">
        <v>-7.91</v>
      </c>
      <c r="BI2731" s="106">
        <v>-9.08</v>
      </c>
      <c r="BO2731" s="106">
        <v>-8</v>
      </c>
      <c r="BX2731" s="182">
        <v>-8.24</v>
      </c>
      <c r="CA2731" s="106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6"/>
        <v>-419.47</v>
      </c>
      <c r="AR2732" s="106">
        <v>-8.3000000000000007</v>
      </c>
      <c r="AW2732" s="106">
        <v>-14.25</v>
      </c>
      <c r="BC2732" s="106">
        <v>-26.95</v>
      </c>
      <c r="BI2732" s="106">
        <v>-25.15</v>
      </c>
      <c r="BO2732" s="106">
        <v>-34.04</v>
      </c>
      <c r="CA2732" s="106">
        <v>-64.790000000000006</v>
      </c>
      <c r="CG2732" s="106">
        <v>-49.83</v>
      </c>
      <c r="CM2732" s="106">
        <v>-41.25</v>
      </c>
      <c r="CS2732" s="74">
        <v>-34.72</v>
      </c>
      <c r="CY2732" s="106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6"/>
        <v>-28.31</v>
      </c>
      <c r="BU2733" s="106">
        <v>-4.3600000000000003</v>
      </c>
      <c r="CA2733" s="106">
        <v>-8.66</v>
      </c>
      <c r="CM2733" s="106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6"/>
        <v>-75.819999999999993</v>
      </c>
      <c r="BC2735" s="106">
        <v>-8.01</v>
      </c>
      <c r="BI2735" s="106">
        <v>-9.0500000000000007</v>
      </c>
      <c r="BO2735" s="106">
        <v>-42.01</v>
      </c>
      <c r="CG2735" s="106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7">SUM(D2737:JT2737)</f>
        <v>-17.920000000000002</v>
      </c>
      <c r="BI2737" s="106">
        <v>-9.06</v>
      </c>
      <c r="BO2737" s="106">
        <v>-8.86</v>
      </c>
    </row>
    <row r="2738" spans="1:228" x14ac:dyDescent="0.25">
      <c r="A2738" s="127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7"/>
        <v>1148.3599999999999</v>
      </c>
      <c r="BU2740" s="106">
        <v>498.88</v>
      </c>
      <c r="CG2740" s="106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7"/>
        <v>-229.49</v>
      </c>
      <c r="AC2741" s="106">
        <v>-16.59</v>
      </c>
      <c r="AG2741" s="106">
        <v>-17.350000000000001</v>
      </c>
      <c r="AN2741" s="106">
        <v>-7.25</v>
      </c>
      <c r="AR2741" s="106">
        <v>-8.3800000000000008</v>
      </c>
      <c r="AW2741" s="106">
        <v>-8.85</v>
      </c>
      <c r="BC2741" s="106">
        <v>-7.18</v>
      </c>
      <c r="BI2741" s="106">
        <v>-33.76</v>
      </c>
      <c r="BO2741" s="106">
        <v>-31.15</v>
      </c>
      <c r="BU2741" s="106">
        <v>-33.450000000000003</v>
      </c>
      <c r="CA2741" s="106">
        <v>-22.95</v>
      </c>
      <c r="CG2741" s="106">
        <v>-17.25</v>
      </c>
      <c r="CM2741" s="106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7"/>
        <v>-371.89</v>
      </c>
      <c r="BO2742" s="106">
        <v>-202.04</v>
      </c>
      <c r="CG2742" s="106">
        <v>-103.95</v>
      </c>
      <c r="CM2742" s="106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27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7"/>
        <v>-674.03</v>
      </c>
      <c r="AR2745" s="106">
        <v>-33.090000000000003</v>
      </c>
      <c r="AW2745" s="106">
        <v>-32.68</v>
      </c>
      <c r="BC2745" s="106">
        <v>-33.53</v>
      </c>
      <c r="BI2745" s="106">
        <v>-66.41</v>
      </c>
      <c r="BO2745" s="106">
        <v>-67.94</v>
      </c>
      <c r="BU2745" s="106">
        <v>-65.099999999999994</v>
      </c>
      <c r="CA2745" s="106">
        <v>-102.63</v>
      </c>
      <c r="CG2745" s="106">
        <v>-34.549999999999997</v>
      </c>
      <c r="CS2745" s="74">
        <v>-33.869999999999997</v>
      </c>
      <c r="CY2745" s="106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7"/>
        <v>-160.13</v>
      </c>
      <c r="AW2747" s="106">
        <v>-8.8000000000000007</v>
      </c>
      <c r="BI2747" s="106">
        <v>-17.690000000000001</v>
      </c>
      <c r="BO2747" s="106">
        <v>-33.950000000000003</v>
      </c>
      <c r="BU2747" s="106">
        <v>-31.33</v>
      </c>
      <c r="CA2747" s="106">
        <v>-17.73</v>
      </c>
      <c r="CG2747" s="106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7"/>
        <v>-171.51</v>
      </c>
      <c r="AW2748" s="106">
        <v>-34.54</v>
      </c>
      <c r="BI2748" s="106">
        <v>-34.74</v>
      </c>
      <c r="BO2748" s="106">
        <v>-34.01</v>
      </c>
      <c r="CM2748" s="106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7"/>
        <v>-8.74</v>
      </c>
      <c r="D2749" s="386">
        <v>-8.74</v>
      </c>
    </row>
    <row r="2750" spans="1:228" x14ac:dyDescent="0.25">
      <c r="A2750" s="127">
        <v>45016</v>
      </c>
      <c r="B2750" s="24" t="s">
        <v>78</v>
      </c>
      <c r="C2750" s="21">
        <f t="shared" si="47"/>
        <v>-76.150000000000006</v>
      </c>
      <c r="CY2750" s="106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7"/>
        <v>0</v>
      </c>
    </row>
    <row r="2752" spans="1:228" x14ac:dyDescent="0.25">
      <c r="A2752" s="127">
        <v>45016</v>
      </c>
      <c r="B2752" s="24" t="s">
        <v>161</v>
      </c>
      <c r="C2752" s="21">
        <f t="shared" si="47"/>
        <v>-33.56</v>
      </c>
      <c r="BU2752" s="106">
        <v>-33.56</v>
      </c>
    </row>
    <row r="2753" spans="1:221" x14ac:dyDescent="0.25">
      <c r="A2753" s="127">
        <v>45016</v>
      </c>
      <c r="B2753" s="24" t="s">
        <v>20</v>
      </c>
      <c r="C2753" s="21">
        <f t="shared" si="47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7"/>
        <v>-366.54</v>
      </c>
      <c r="BI2755" s="106">
        <v>-66.540000000000006</v>
      </c>
      <c r="BO2755" s="106">
        <v>-34.46</v>
      </c>
      <c r="BU2755" s="106">
        <v>-101.08</v>
      </c>
      <c r="CA2755" s="106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7"/>
        <v>-48.93</v>
      </c>
      <c r="BU2756" s="106">
        <v>-16.170000000000002</v>
      </c>
      <c r="DE2756" s="74">
        <v>-8.61</v>
      </c>
      <c r="DK2756" s="106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7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7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7"/>
        <v>-27.36</v>
      </c>
      <c r="AL2759" s="42">
        <v>-3.4</v>
      </c>
      <c r="AN2759" s="106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106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7"/>
        <v>-8.5299999999999994</v>
      </c>
      <c r="BU2762" s="106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7"/>
        <v>197.17</v>
      </c>
      <c r="E2764" s="386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7"/>
        <v>-158.46</v>
      </c>
      <c r="E2765" s="386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7"/>
        <v>1015.49</v>
      </c>
      <c r="BI2766" s="106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7"/>
        <v>-58.56</v>
      </c>
      <c r="AC2768" s="106">
        <v>-8.24</v>
      </c>
      <c r="AR2768" s="106">
        <v>-7.95</v>
      </c>
      <c r="BC2768" s="106">
        <v>-8.9700000000000006</v>
      </c>
      <c r="BI2768" s="106">
        <v>-17.37</v>
      </c>
      <c r="BU2768" s="106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106">
        <v>-16.559999999999999</v>
      </c>
      <c r="BC2770" s="106">
        <v>-33.770000000000003</v>
      </c>
      <c r="BL2770" s="182">
        <v>-33.825000000000003</v>
      </c>
      <c r="BM2770" s="88">
        <v>-28.21</v>
      </c>
      <c r="BU2770" s="106">
        <v>-33.909999999999997</v>
      </c>
      <c r="DK2770" s="106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7"/>
        <v>0</v>
      </c>
    </row>
    <row r="2772" spans="1:199" x14ac:dyDescent="0.25">
      <c r="A2772" s="127">
        <v>45022</v>
      </c>
      <c r="B2772" s="24" t="s">
        <v>83</v>
      </c>
      <c r="C2772" s="21">
        <f t="shared" si="47"/>
        <v>0</v>
      </c>
    </row>
    <row r="2773" spans="1:199" x14ac:dyDescent="0.25">
      <c r="A2773" s="127">
        <v>45022</v>
      </c>
      <c r="B2773" s="29" t="s">
        <v>39</v>
      </c>
      <c r="C2773" s="21">
        <f t="shared" si="47"/>
        <v>-60.67</v>
      </c>
      <c r="AC2773" s="106">
        <v>-5.2</v>
      </c>
      <c r="AG2773" s="106">
        <v>-8.75</v>
      </c>
      <c r="AN2773" s="106">
        <v>-7.75</v>
      </c>
      <c r="BC2773" s="106">
        <v>-6.87</v>
      </c>
      <c r="BI2773" s="106">
        <v>-8.77</v>
      </c>
      <c r="BO2773" s="106">
        <v>-8</v>
      </c>
      <c r="BU2773" s="106">
        <v>-8.36</v>
      </c>
      <c r="CA2773" s="106">
        <v>-6.97</v>
      </c>
    </row>
    <row r="2774" spans="1:199" x14ac:dyDescent="0.25">
      <c r="A2774" s="127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106">
        <v>-8.25</v>
      </c>
      <c r="BC2774" s="106">
        <v>-8.11</v>
      </c>
      <c r="BU2774" s="106">
        <v>-8.44</v>
      </c>
      <c r="CG2774" s="106">
        <v>-8.65</v>
      </c>
      <c r="CM2774" s="106">
        <v>-8.35</v>
      </c>
    </row>
    <row r="2775" spans="1:199" x14ac:dyDescent="0.25">
      <c r="A2775" s="127">
        <v>45023</v>
      </c>
      <c r="B2775" s="29" t="s">
        <v>133</v>
      </c>
      <c r="C2775" s="21">
        <f t="shared" si="47"/>
        <v>-233.41</v>
      </c>
      <c r="AR2775" s="106">
        <v>-33.200000000000003</v>
      </c>
      <c r="BC2775" s="106">
        <v>-32.700000000000003</v>
      </c>
      <c r="BI2775" s="106">
        <v>-34.19</v>
      </c>
      <c r="BU2775" s="106">
        <v>-34.15</v>
      </c>
      <c r="CA2775" s="106">
        <v>-33.81</v>
      </c>
      <c r="CM2775" s="106">
        <v>-32.9</v>
      </c>
      <c r="CY2775" s="106">
        <v>-32.46</v>
      </c>
    </row>
    <row r="2776" spans="1:199" x14ac:dyDescent="0.25">
      <c r="A2776" s="127">
        <v>45023</v>
      </c>
      <c r="B2776" s="29" t="s">
        <v>32</v>
      </c>
      <c r="C2776" s="21">
        <f t="shared" si="47"/>
        <v>-100.53</v>
      </c>
      <c r="BC2776" s="106">
        <v>-31.98</v>
      </c>
      <c r="BI2776" s="106">
        <v>-35.03</v>
      </c>
      <c r="BO2776" s="106">
        <v>-7.95</v>
      </c>
      <c r="CA2776" s="106">
        <v>-8.32</v>
      </c>
      <c r="CG2776" s="106">
        <v>-17.25</v>
      </c>
    </row>
    <row r="2777" spans="1:199" x14ac:dyDescent="0.25">
      <c r="A2777" s="127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7"/>
        <v>0</v>
      </c>
    </row>
    <row r="2779" spans="1:199" x14ac:dyDescent="0.25">
      <c r="A2779" s="127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106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7"/>
        <v>-8.3000000000000007</v>
      </c>
      <c r="AW2780" s="106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106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7"/>
        <v>-1276.8699999999999</v>
      </c>
      <c r="AR2782" s="106">
        <v>-32.83</v>
      </c>
      <c r="AW2782" s="106">
        <v>-32.15</v>
      </c>
      <c r="BC2782" s="106">
        <v>-31.27</v>
      </c>
      <c r="BI2782" s="106">
        <v>-104.26</v>
      </c>
      <c r="BU2782" s="106">
        <v>-100.71</v>
      </c>
      <c r="CA2782" s="106">
        <v>-34.99</v>
      </c>
      <c r="CG2782" s="106">
        <v>-132.65</v>
      </c>
      <c r="CM2782" s="106">
        <v>-66.05</v>
      </c>
      <c r="CS2782" s="74">
        <v>-134.58000000000001</v>
      </c>
      <c r="DK2782" s="106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7"/>
        <v>-34.130000000000003</v>
      </c>
      <c r="BI2783" s="106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7"/>
        <v>-299.83</v>
      </c>
      <c r="CG2784" s="106">
        <v>-69.2</v>
      </c>
      <c r="CM2784" s="106">
        <v>-163.69999999999999</v>
      </c>
      <c r="CY2784" s="106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106">
        <v>-34.729999999999997</v>
      </c>
      <c r="AR2785" s="106">
        <v>-33.200000000000003</v>
      </c>
      <c r="AW2785" s="106">
        <v>-64.849999999999994</v>
      </c>
      <c r="BC2785" s="106">
        <v>-30.26</v>
      </c>
      <c r="BI2785" s="106">
        <v>-97.5</v>
      </c>
      <c r="CG2785" s="106">
        <v>-69</v>
      </c>
      <c r="CM2785" s="106">
        <v>-66.78</v>
      </c>
      <c r="CS2785" s="74">
        <v>-69.05</v>
      </c>
      <c r="CY2785" s="106">
        <v>-68.03</v>
      </c>
      <c r="DE2785" s="74">
        <v>-66.5</v>
      </c>
      <c r="DK2785" s="106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7"/>
        <v>-39.484999999999999</v>
      </c>
      <c r="BR2786" s="182">
        <v>-8.4149999999999991</v>
      </c>
      <c r="CA2786" s="106">
        <v>-5.26</v>
      </c>
      <c r="CG2786" s="106">
        <v>-8.6999999999999993</v>
      </c>
      <c r="CM2786" s="106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7"/>
        <v>-8.27</v>
      </c>
      <c r="AC2787" s="106">
        <v>-8.27</v>
      </c>
    </row>
    <row r="2788" spans="1:221" x14ac:dyDescent="0.25">
      <c r="A2788" s="127">
        <v>45027</v>
      </c>
      <c r="B2788" s="24" t="s">
        <v>33</v>
      </c>
      <c r="C2788" s="21">
        <f t="shared" si="47"/>
        <v>-8.9700000000000006</v>
      </c>
      <c r="BC2788" s="106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7"/>
        <v>1532.54</v>
      </c>
      <c r="Z2789" s="79">
        <v>353.01</v>
      </c>
      <c r="AN2789" s="106">
        <v>511.15</v>
      </c>
      <c r="AR2789" s="106">
        <v>236.61</v>
      </c>
      <c r="AW2789" s="106">
        <v>240.22</v>
      </c>
      <c r="DK2789" s="106">
        <v>191.55</v>
      </c>
    </row>
    <row r="2790" spans="1:221" x14ac:dyDescent="0.25">
      <c r="A2790" s="127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7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106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7"/>
        <v>-167.64</v>
      </c>
      <c r="BC2795" s="106">
        <v>-33.28</v>
      </c>
      <c r="BI2795" s="106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7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106">
        <v>-16.91</v>
      </c>
      <c r="AW2796" s="106">
        <v>-17.25</v>
      </c>
      <c r="BC2796" s="106">
        <v>-32.799999999999997</v>
      </c>
      <c r="BI2796" s="106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7"/>
        <v>868.01</v>
      </c>
      <c r="BC2798" s="106">
        <v>354.55</v>
      </c>
      <c r="BU2798" s="106">
        <v>513.46</v>
      </c>
    </row>
    <row r="2799" spans="1:221" x14ac:dyDescent="0.25">
      <c r="A2799" s="127">
        <v>45031</v>
      </c>
      <c r="B2799" s="24" t="s">
        <v>48</v>
      </c>
      <c r="C2799" s="21">
        <f t="shared" si="47"/>
        <v>-59.58</v>
      </c>
      <c r="BI2799" s="106">
        <v>-24.49</v>
      </c>
      <c r="BU2799" s="106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7"/>
        <v>-32.33</v>
      </c>
      <c r="BU2800" s="106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8"/>
        <v>0</v>
      </c>
    </row>
    <row r="2803" spans="1:146" x14ac:dyDescent="0.25">
      <c r="A2803" s="127">
        <v>45033</v>
      </c>
      <c r="B2803" s="29" t="s">
        <v>115</v>
      </c>
      <c r="C2803" s="21">
        <f t="shared" si="48"/>
        <v>0</v>
      </c>
    </row>
    <row r="2804" spans="1:146" x14ac:dyDescent="0.25">
      <c r="A2804" s="127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8"/>
        <v>-67.69</v>
      </c>
      <c r="AR2805" s="106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8"/>
        <v>-326.83</v>
      </c>
      <c r="AN2806" s="106">
        <v>-32.299999999999997</v>
      </c>
      <c r="BC2806" s="106">
        <v>-58.1</v>
      </c>
      <c r="BI2806" s="106">
        <v>-66.959999999999994</v>
      </c>
      <c r="CY2806" s="106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8"/>
        <v>-26.27</v>
      </c>
      <c r="AG2808" s="106">
        <v>-8.6999999999999993</v>
      </c>
      <c r="AW2808" s="106">
        <v>-8.4</v>
      </c>
      <c r="CM2808" s="106">
        <v>-9.17</v>
      </c>
    </row>
    <row r="2809" spans="1:146" x14ac:dyDescent="0.25">
      <c r="A2809" s="127">
        <v>45034</v>
      </c>
      <c r="B2809" s="24" t="s">
        <v>17</v>
      </c>
      <c r="C2809" s="21">
        <f t="shared" si="48"/>
        <v>-33.1</v>
      </c>
      <c r="AN2809" s="106">
        <v>-33.1</v>
      </c>
    </row>
    <row r="2810" spans="1:146" x14ac:dyDescent="0.25">
      <c r="A2810" s="127">
        <v>45034</v>
      </c>
      <c r="B2810" s="24" t="s">
        <v>167</v>
      </c>
      <c r="C2810" s="21">
        <f t="shared" si="48"/>
        <v>-22.7</v>
      </c>
      <c r="E2810" s="386">
        <v>-22.7</v>
      </c>
    </row>
    <row r="2811" spans="1:146" x14ac:dyDescent="0.25">
      <c r="A2811" s="127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8"/>
        <v>-90.33</v>
      </c>
      <c r="AC2812" s="106">
        <v>-8.24</v>
      </c>
      <c r="AG2812" s="106">
        <v>-7.9</v>
      </c>
      <c r="AN2812" s="106">
        <v>-7.25</v>
      </c>
      <c r="AR2812" s="106">
        <v>-8.39</v>
      </c>
      <c r="AW2812" s="106">
        <v>-7.75</v>
      </c>
      <c r="BC2812" s="106">
        <v>-7.85</v>
      </c>
      <c r="BI2812" s="106">
        <v>-8.61</v>
      </c>
      <c r="BR2812" s="182">
        <v>-8.5</v>
      </c>
      <c r="BU2812" s="106">
        <v>-8.69</v>
      </c>
      <c r="CG2812" s="106">
        <v>-8.6999999999999993</v>
      </c>
      <c r="CM2812" s="106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8"/>
        <v>-0.47</v>
      </c>
      <c r="BC2813" s="106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8"/>
        <v>-69.540000000000006</v>
      </c>
      <c r="AW2814" s="106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8"/>
        <v>-51.265000000000001</v>
      </c>
      <c r="AR2815" s="106">
        <v>-8.4700000000000006</v>
      </c>
      <c r="AW2815" s="106">
        <v>-8.4499999999999993</v>
      </c>
      <c r="BC2815" s="106">
        <v>-8.5</v>
      </c>
      <c r="BG2815" s="42">
        <v>-8.57</v>
      </c>
      <c r="BR2815" s="182">
        <v>-8.4649999999999999</v>
      </c>
      <c r="BU2815" s="106">
        <v>-8.81</v>
      </c>
    </row>
    <row r="2816" spans="1:146" x14ac:dyDescent="0.25">
      <c r="A2816" s="127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8"/>
        <v>-35.159999999999997</v>
      </c>
      <c r="BU2819" s="106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8"/>
        <v>-14.24</v>
      </c>
      <c r="BG2820" s="42">
        <v>-8.89</v>
      </c>
      <c r="BI2820" s="106">
        <v>-5.35</v>
      </c>
    </row>
    <row r="2821" spans="1:226" x14ac:dyDescent="0.25">
      <c r="A2821" s="127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8"/>
        <v>-24.28</v>
      </c>
      <c r="DK2822" s="106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8"/>
        <v>1222.02</v>
      </c>
      <c r="BI2823" s="106">
        <v>199.15</v>
      </c>
      <c r="BO2823" s="106">
        <v>203.57</v>
      </c>
      <c r="CA2823" s="106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8"/>
        <v>-202.19</v>
      </c>
      <c r="AW2824" s="106">
        <v>-33.909999999999997</v>
      </c>
      <c r="BC2824" s="106">
        <v>-33.200000000000003</v>
      </c>
      <c r="BI2824" s="106">
        <v>-34.700000000000003</v>
      </c>
      <c r="BO2824" s="106">
        <v>-33.93</v>
      </c>
      <c r="CA2824" s="106">
        <v>-33.200000000000003</v>
      </c>
      <c r="CG2824" s="106">
        <v>-33.25</v>
      </c>
    </row>
    <row r="2825" spans="1:226" x14ac:dyDescent="0.25">
      <c r="A2825" s="127">
        <v>45041</v>
      </c>
      <c r="B2825" s="24" t="s">
        <v>43</v>
      </c>
      <c r="C2825" s="21">
        <f t="shared" si="48"/>
        <v>-502.69</v>
      </c>
      <c r="BC2825" s="106">
        <v>-64.599999999999994</v>
      </c>
      <c r="BI2825" s="106">
        <v>-65.75</v>
      </c>
      <c r="BO2825" s="106">
        <v>-101.34</v>
      </c>
      <c r="BU2825" s="106">
        <v>-171.3</v>
      </c>
      <c r="CA2825" s="106">
        <v>-33.1</v>
      </c>
      <c r="CG2825" s="106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106">
        <v>-5.5</v>
      </c>
      <c r="BC2826" s="106">
        <v>-8.25</v>
      </c>
      <c r="BU2826" s="106">
        <v>-8.7200000000000006</v>
      </c>
      <c r="CJ2826" s="182">
        <v>-8.2949999999999999</v>
      </c>
      <c r="CM2826" s="106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82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8"/>
        <v>-217.87</v>
      </c>
      <c r="AR2830" s="106">
        <v>-16.84</v>
      </c>
      <c r="AW2830" s="106">
        <v>-17.3</v>
      </c>
      <c r="BC2830" s="106">
        <v>-33.200000000000003</v>
      </c>
      <c r="BI2830" s="106">
        <v>-32.950000000000003</v>
      </c>
      <c r="BO2830" s="106">
        <v>-16.52</v>
      </c>
      <c r="BU2830" s="106">
        <v>-33.950000000000003</v>
      </c>
      <c r="CG2830" s="106">
        <v>-17.3</v>
      </c>
      <c r="CS2830" s="74">
        <v>-17.3</v>
      </c>
      <c r="CY2830" s="106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8"/>
        <v>0</v>
      </c>
    </row>
    <row r="2833" spans="1:221" x14ac:dyDescent="0.25">
      <c r="A2833" s="127">
        <v>45041</v>
      </c>
      <c r="B2833" s="24" t="s">
        <v>17</v>
      </c>
      <c r="C2833" s="21">
        <f t="shared" si="48"/>
        <v>-502.82</v>
      </c>
      <c r="AR2833" s="106">
        <v>-67.59</v>
      </c>
      <c r="AW2833" s="106">
        <v>-66.3</v>
      </c>
      <c r="BC2833" s="106">
        <v>-35.450000000000003</v>
      </c>
      <c r="CG2833" s="106">
        <v>-68</v>
      </c>
      <c r="DK2833" s="106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8"/>
        <v>-146.69999999999999</v>
      </c>
      <c r="AC2834" s="106">
        <v>-32</v>
      </c>
      <c r="BC2834" s="106">
        <v>-15.5</v>
      </c>
      <c r="BI2834" s="106">
        <v>-16.3</v>
      </c>
      <c r="BO2834" s="106">
        <v>-17.23</v>
      </c>
      <c r="BU2834" s="106">
        <v>-15.82</v>
      </c>
      <c r="CA2834" s="106">
        <v>-49.85</v>
      </c>
    </row>
    <row r="2835" spans="1:221" x14ac:dyDescent="0.25">
      <c r="A2835" s="127">
        <v>45041</v>
      </c>
      <c r="B2835" s="24" t="s">
        <v>68</v>
      </c>
      <c r="C2835" s="21">
        <f t="shared" si="48"/>
        <v>-67.22</v>
      </c>
      <c r="AC2835" s="106">
        <v>-33.130000000000003</v>
      </c>
      <c r="BU2835" s="106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8"/>
        <v>-59.27</v>
      </c>
      <c r="BU2836" s="106">
        <f>-8.78-8.44</f>
        <v>-17.22</v>
      </c>
      <c r="CJ2836" s="182">
        <v>-8.3800000000000008</v>
      </c>
      <c r="CM2836" s="106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8"/>
        <v>0</v>
      </c>
    </row>
    <row r="2838" spans="1:221" x14ac:dyDescent="0.25">
      <c r="A2838" s="127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8"/>
        <v>-34.68</v>
      </c>
      <c r="BU2839" s="106">
        <v>-34.68</v>
      </c>
    </row>
    <row r="2840" spans="1:221" x14ac:dyDescent="0.25">
      <c r="A2840" s="127">
        <v>45042</v>
      </c>
      <c r="B2840" s="24" t="s">
        <v>20</v>
      </c>
      <c r="C2840" s="21">
        <f t="shared" si="48"/>
        <v>-17.079999999999998</v>
      </c>
      <c r="BO2840" s="106">
        <v>-8.7799999999999994</v>
      </c>
      <c r="CA2840" s="106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8"/>
        <v>-33.83</v>
      </c>
      <c r="BO2841" s="106">
        <v>-8.6300000000000008</v>
      </c>
      <c r="CA2841" s="106">
        <v>-16.600000000000001</v>
      </c>
      <c r="CG2841" s="106">
        <v>-8.6</v>
      </c>
    </row>
    <row r="2842" spans="1:221" x14ac:dyDescent="0.25">
      <c r="A2842" s="127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8"/>
        <v>0</v>
      </c>
    </row>
    <row r="2845" spans="1:221" x14ac:dyDescent="0.25">
      <c r="A2845" s="127">
        <v>45042</v>
      </c>
      <c r="B2845" s="24" t="s">
        <v>68</v>
      </c>
      <c r="C2845" s="21">
        <f t="shared" si="48"/>
        <v>-33.200000000000003</v>
      </c>
      <c r="CA2845" s="106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8"/>
        <v>-223.81</v>
      </c>
      <c r="AN2846" s="106">
        <v>-15.3</v>
      </c>
      <c r="AR2846" s="106">
        <v>-16.920000000000002</v>
      </c>
      <c r="AW2846" s="106">
        <v>-34.39</v>
      </c>
      <c r="BC2846" s="106">
        <f>-34.1-7.95-7.85-5.85</f>
        <v>-55.75</v>
      </c>
      <c r="BI2846" s="106">
        <v>-32.950000000000003</v>
      </c>
      <c r="BU2846" s="106">
        <v>-34.950000000000003</v>
      </c>
      <c r="CA2846" s="106">
        <v>-24.9</v>
      </c>
      <c r="CG2846" s="106">
        <v>-8.65</v>
      </c>
    </row>
    <row r="2847" spans="1:221" x14ac:dyDescent="0.25">
      <c r="A2847" s="127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8"/>
        <v>-40.89</v>
      </c>
      <c r="BU2849" s="106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8"/>
        <v>-7.06</v>
      </c>
      <c r="AW2850" s="106">
        <v>-2.84</v>
      </c>
      <c r="CS2850" s="74">
        <v>-2</v>
      </c>
      <c r="CY2850" s="106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8"/>
        <v>-234.43</v>
      </c>
      <c r="AR2851" s="106">
        <v>-32.299999999999997</v>
      </c>
      <c r="CS2851" s="74">
        <v>-32.85</v>
      </c>
      <c r="CY2851" s="106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8"/>
        <v>-34.590000000000003</v>
      </c>
      <c r="BO2852" s="106">
        <v>-8.61</v>
      </c>
      <c r="BU2852" s="106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8"/>
        <v>-8.5299999999999994</v>
      </c>
      <c r="BO2853" s="106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8"/>
        <v>-165.9</v>
      </c>
      <c r="AW2854" s="106">
        <v>-32.840000000000003</v>
      </c>
      <c r="CM2854" s="106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8"/>
        <v>-49.8</v>
      </c>
      <c r="DK2855" s="106">
        <v>-49.8</v>
      </c>
    </row>
    <row r="2856" spans="1:237" x14ac:dyDescent="0.25">
      <c r="A2856" s="127">
        <v>45045</v>
      </c>
      <c r="B2856" s="24" t="s">
        <v>100</v>
      </c>
      <c r="C2856" s="21">
        <f t="shared" si="48"/>
        <v>-8.7200000000000006</v>
      </c>
      <c r="AW2856" s="106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8"/>
        <v>2871.23</v>
      </c>
      <c r="AC2857" s="106">
        <v>213.95</v>
      </c>
      <c r="AW2857" s="106">
        <v>234.54</v>
      </c>
      <c r="CM2857" s="106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8"/>
        <v>1552.64</v>
      </c>
      <c r="BI2858" s="106">
        <v>329.95</v>
      </c>
      <c r="BO2858" s="106">
        <v>136.44999999999999</v>
      </c>
      <c r="BU2858" s="106">
        <v>376.29</v>
      </c>
      <c r="CA2858" s="106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8"/>
        <v>-25.46</v>
      </c>
      <c r="AW2859" s="106">
        <v>-8.33</v>
      </c>
      <c r="BU2859" s="106">
        <v>-8.83</v>
      </c>
      <c r="CA2859" s="106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8"/>
        <v>-837.03</v>
      </c>
      <c r="AC2860" s="106">
        <v>-61.48</v>
      </c>
      <c r="AR2860" s="106">
        <v>-99.8</v>
      </c>
      <c r="BI2860" s="106">
        <v>-98.65</v>
      </c>
      <c r="BO2860" s="106">
        <v>-33.79</v>
      </c>
      <c r="BU2860" s="106">
        <v>-172.13</v>
      </c>
      <c r="CA2860" s="106">
        <v>-33.1</v>
      </c>
      <c r="CG2860" s="106">
        <v>-34.1</v>
      </c>
      <c r="CM2860" s="106">
        <v>-31.8</v>
      </c>
      <c r="CS2860" s="74">
        <v>-102.96</v>
      </c>
      <c r="CY2860" s="106">
        <v>-68.56</v>
      </c>
      <c r="DK2860" s="106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8"/>
        <v>-83.65</v>
      </c>
      <c r="BI2861" s="106">
        <v>-16.5</v>
      </c>
      <c r="BO2861" s="106">
        <v>-17.53</v>
      </c>
      <c r="BU2861" s="106">
        <v>-17.47</v>
      </c>
      <c r="CG2861" s="106">
        <v>-17.25</v>
      </c>
      <c r="CM2861" s="106">
        <v>-14.9</v>
      </c>
    </row>
    <row r="2862" spans="1:237" x14ac:dyDescent="0.25">
      <c r="A2862" s="127">
        <v>45048</v>
      </c>
      <c r="B2862" s="24" t="s">
        <v>152</v>
      </c>
      <c r="C2862" s="21">
        <f t="shared" si="48"/>
        <v>-635.63</v>
      </c>
      <c r="AC2862" s="106">
        <v>-29.45</v>
      </c>
      <c r="AG2862" s="106">
        <v>-34.75</v>
      </c>
      <c r="AN2862" s="106">
        <v>-32.85</v>
      </c>
      <c r="BI2862" s="106">
        <v>-32.950000000000003</v>
      </c>
      <c r="BO2862" s="106">
        <v>-68.27</v>
      </c>
      <c r="BU2862" s="106">
        <v>-103</v>
      </c>
      <c r="CA2862" s="106">
        <v>-67</v>
      </c>
      <c r="CG2862" s="106">
        <v>-68.25</v>
      </c>
      <c r="CM2862" s="106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8"/>
        <v>-1623.8</v>
      </c>
      <c r="AC2863" s="106">
        <v>-28.4</v>
      </c>
      <c r="CG2863" s="106">
        <v>-103.15</v>
      </c>
      <c r="CM2863" s="106">
        <v>-129</v>
      </c>
      <c r="CS2863" s="74">
        <v>-169.28</v>
      </c>
      <c r="CY2863" s="106">
        <v>-168.46</v>
      </c>
      <c r="DE2863" s="74">
        <v>-164.6</v>
      </c>
      <c r="DK2863" s="106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8"/>
        <v>-49.4</v>
      </c>
      <c r="BI2864" s="106">
        <v>-32.799999999999997</v>
      </c>
      <c r="CA2864" s="106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9">SUM(D2865:JT2865)</f>
        <v>-135.25</v>
      </c>
      <c r="AW2865" s="106">
        <v>-34.86</v>
      </c>
      <c r="BI2865" s="106">
        <v>-32.85</v>
      </c>
      <c r="BU2865" s="106">
        <v>-34.340000000000003</v>
      </c>
      <c r="CA2865" s="106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9"/>
        <v>-51.37</v>
      </c>
      <c r="AR2866" s="106">
        <v>-8.4499999999999993</v>
      </c>
      <c r="AW2866" s="106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9"/>
        <v>-41.56</v>
      </c>
      <c r="BO2868" s="106">
        <v>-8.02</v>
      </c>
      <c r="BU2868" s="106">
        <v>-16.940000000000001</v>
      </c>
      <c r="CA2868" s="106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9"/>
        <v>-32.950000000000003</v>
      </c>
      <c r="BI2870" s="106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9"/>
        <v>-91.35</v>
      </c>
      <c r="V2871" s="74">
        <v>-8.01</v>
      </c>
      <c r="AR2871" s="106">
        <v>-8.4</v>
      </c>
      <c r="AW2871" s="106">
        <v>-8.84</v>
      </c>
      <c r="BI2871" s="106">
        <v>-33</v>
      </c>
      <c r="BO2871" s="106">
        <v>-8.84</v>
      </c>
      <c r="BU2871" s="106">
        <v>-15.96</v>
      </c>
      <c r="CA2871" s="106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9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9"/>
        <v>-342.9</v>
      </c>
      <c r="V2875" s="74">
        <f>-32.16-32.18-32.06-32.22-32.2</f>
        <v>-160.82</v>
      </c>
      <c r="AC2875" s="106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9"/>
        <v>-65.760000000000005</v>
      </c>
      <c r="AR2876" s="106">
        <v>-8.5</v>
      </c>
      <c r="AW2876" s="106">
        <v>-7.06</v>
      </c>
      <c r="BI2876" s="106">
        <v>-16.45</v>
      </c>
      <c r="BU2876" s="106">
        <v>-16.45</v>
      </c>
      <c r="CG2876" s="106">
        <v>-17.3</v>
      </c>
    </row>
    <row r="2877" spans="1:226" x14ac:dyDescent="0.25">
      <c r="A2877" s="127">
        <v>45050</v>
      </c>
      <c r="B2877" s="24" t="s">
        <v>48</v>
      </c>
      <c r="C2877" s="21">
        <f t="shared" si="49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9"/>
        <v>0</v>
      </c>
    </row>
    <row r="2879" spans="1:226" x14ac:dyDescent="0.25">
      <c r="A2879" s="127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106">
        <v>-7.9</v>
      </c>
      <c r="AR2879" s="106">
        <v>-5.15</v>
      </c>
      <c r="AW2879" s="106">
        <v>-8.8800000000000008</v>
      </c>
      <c r="BI2879" s="106">
        <v>-8.9499999999999993</v>
      </c>
      <c r="CM2879" s="106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9"/>
        <v>-388.52</v>
      </c>
      <c r="P2880" s="106">
        <v>-32.4</v>
      </c>
      <c r="Z2880" s="79">
        <v>-64.64</v>
      </c>
      <c r="CM2880" s="106">
        <v>-63.7</v>
      </c>
      <c r="DK2880" s="106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9"/>
        <v>200.17500000000001</v>
      </c>
      <c r="AZ2881" s="182">
        <v>32.674999999999997</v>
      </c>
      <c r="BF2881" s="182">
        <v>33.335000000000001</v>
      </c>
      <c r="BL2881" s="182">
        <v>32.18</v>
      </c>
      <c r="BR2881" s="182">
        <v>34.090000000000003</v>
      </c>
      <c r="BX2881" s="182">
        <v>34.645000000000003</v>
      </c>
      <c r="CJ2881" s="182">
        <v>33.25</v>
      </c>
    </row>
    <row r="2882" spans="1:237" x14ac:dyDescent="0.25">
      <c r="A2882" s="127">
        <v>45051</v>
      </c>
      <c r="B2882" s="24" t="s">
        <v>17</v>
      </c>
      <c r="C2882" s="21">
        <f t="shared" si="49"/>
        <v>-56.84</v>
      </c>
      <c r="AN2882" s="106">
        <v>-31.6</v>
      </c>
      <c r="AW2882" s="106">
        <v>-8.69</v>
      </c>
      <c r="BI2882" s="106">
        <v>-16.55</v>
      </c>
    </row>
    <row r="2883" spans="1:237" x14ac:dyDescent="0.25">
      <c r="A2883" s="127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9"/>
        <v>2771.82</v>
      </c>
      <c r="CM2884" s="106">
        <v>224.85</v>
      </c>
      <c r="CS2884" s="74">
        <v>240.45</v>
      </c>
      <c r="CY2884" s="106">
        <v>481.03</v>
      </c>
      <c r="DE2884" s="74">
        <v>263.74</v>
      </c>
      <c r="DK2884" s="106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9"/>
        <v>-304.75</v>
      </c>
      <c r="AW2885" s="106">
        <v>-133.01</v>
      </c>
      <c r="CY2885" s="106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9"/>
        <v>-161.4</v>
      </c>
      <c r="AR2886" s="106">
        <v>-33.65</v>
      </c>
      <c r="AW2886" s="106">
        <v>-33.590000000000003</v>
      </c>
      <c r="CM2886" s="106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9"/>
        <v>-24.31</v>
      </c>
      <c r="D2889" s="386">
        <v>-8.3000000000000007</v>
      </c>
      <c r="E2889" s="386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9"/>
        <v>1007.76</v>
      </c>
      <c r="BO2890" s="106">
        <v>167.6</v>
      </c>
      <c r="CA2890" s="106">
        <v>168.2</v>
      </c>
      <c r="CG2890" s="106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9"/>
        <v>-8.3000000000000007</v>
      </c>
      <c r="BI2893" s="106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9"/>
        <v>-24.65</v>
      </c>
      <c r="AN2894" s="106">
        <v>-7.95</v>
      </c>
      <c r="BI2894" s="106">
        <v>-8.25</v>
      </c>
      <c r="CA2894" s="106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27">
        <v>45055</v>
      </c>
      <c r="B2896" s="24" t="s">
        <v>39</v>
      </c>
      <c r="C2896" s="21">
        <f t="shared" si="49"/>
        <v>-42.244999999999997</v>
      </c>
      <c r="BF2896" s="182">
        <v>-8.35</v>
      </c>
      <c r="BR2896" s="182">
        <v>-8.4600000000000009</v>
      </c>
      <c r="BX2896" s="182">
        <v>-8.6349999999999998</v>
      </c>
      <c r="BY2896" s="42">
        <v>-8.4499999999999993</v>
      </c>
      <c r="CJ2896" s="182">
        <v>-8.35</v>
      </c>
    </row>
    <row r="2897" spans="1:224" x14ac:dyDescent="0.25">
      <c r="A2897" s="127">
        <v>45055</v>
      </c>
      <c r="B2897" s="29" t="s">
        <v>59</v>
      </c>
      <c r="C2897" s="21">
        <f t="shared" si="49"/>
        <v>-12.4</v>
      </c>
      <c r="CY2897" s="106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9"/>
        <v>-33.25</v>
      </c>
      <c r="BO2898" s="106">
        <v>-24.85</v>
      </c>
      <c r="CA2898" s="106">
        <v>-8.4</v>
      </c>
    </row>
    <row r="2899" spans="1:224" x14ac:dyDescent="0.25">
      <c r="A2899" s="127">
        <v>45056</v>
      </c>
      <c r="B2899" s="24" t="s">
        <v>133</v>
      </c>
      <c r="C2899" s="21">
        <f t="shared" si="49"/>
        <v>0</v>
      </c>
    </row>
    <row r="2900" spans="1:224" x14ac:dyDescent="0.25">
      <c r="A2900" s="127">
        <v>45056</v>
      </c>
      <c r="B2900" s="29" t="s">
        <v>32</v>
      </c>
      <c r="C2900" s="21">
        <f t="shared" si="49"/>
        <v>-42.274999999999999</v>
      </c>
      <c r="AU2900" s="42">
        <v>-16.77</v>
      </c>
      <c r="BR2900" s="182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9"/>
        <v>-665.8</v>
      </c>
      <c r="Z2901" s="79">
        <v>-65.650000000000006</v>
      </c>
      <c r="AW2901" s="106">
        <v>-59.7</v>
      </c>
      <c r="BO2901" s="106">
        <v>-32.5</v>
      </c>
      <c r="CA2901" s="106">
        <v>-67.45</v>
      </c>
      <c r="CG2901" s="106">
        <v>-103.9</v>
      </c>
      <c r="CM2901" s="106">
        <v>-96.55</v>
      </c>
      <c r="CS2901" s="74">
        <v>-136.96</v>
      </c>
      <c r="CY2901" s="106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9"/>
        <v>-99.17</v>
      </c>
      <c r="AZ2902" s="182">
        <v>-8.2200000000000006</v>
      </c>
      <c r="BF2902" s="182">
        <v>-8.2850000000000001</v>
      </c>
      <c r="BL2902" s="182">
        <v>-16.12</v>
      </c>
      <c r="BO2902" s="106">
        <v>-8.1</v>
      </c>
      <c r="BR2902" s="182">
        <f>-8.565-8.57</f>
        <v>-17.135000000000002</v>
      </c>
      <c r="BX2902" s="182">
        <v>-8.83</v>
      </c>
      <c r="BY2902" s="42">
        <v>-8.77</v>
      </c>
      <c r="CW2902" s="42">
        <v>-8.51</v>
      </c>
      <c r="DK2902" s="106">
        <v>-15.2</v>
      </c>
    </row>
    <row r="2903" spans="1:224" x14ac:dyDescent="0.25">
      <c r="A2903" s="127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82">
        <v>-8.19</v>
      </c>
      <c r="BF2903" s="182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9"/>
        <v>-16.059999999999999</v>
      </c>
      <c r="BL2904" s="182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9"/>
        <v>-43.62</v>
      </c>
      <c r="AN2905" s="106">
        <v>-15.85</v>
      </c>
      <c r="AR2905" s="106">
        <v>-14.45</v>
      </c>
      <c r="CM2905" s="106">
        <v>-13.32</v>
      </c>
    </row>
    <row r="2906" spans="1:224" x14ac:dyDescent="0.25">
      <c r="A2906" s="127">
        <v>45056</v>
      </c>
      <c r="B2906" s="24" t="s">
        <v>39</v>
      </c>
      <c r="C2906" s="21">
        <f t="shared" si="49"/>
        <v>-7.3</v>
      </c>
      <c r="AR2906" s="106">
        <v>-7.3</v>
      </c>
    </row>
    <row r="2907" spans="1:224" x14ac:dyDescent="0.25">
      <c r="A2907" s="127">
        <v>45057</v>
      </c>
      <c r="B2907" s="24" t="s">
        <v>133</v>
      </c>
      <c r="C2907" s="21">
        <f t="shared" si="49"/>
        <v>-52.27</v>
      </c>
      <c r="CG2907" s="106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9"/>
        <v>-8.35</v>
      </c>
      <c r="BO2908" s="106">
        <v>-8.35</v>
      </c>
    </row>
    <row r="2909" spans="1:224" x14ac:dyDescent="0.25">
      <c r="A2909" s="127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9"/>
        <v>-50.335000000000001</v>
      </c>
      <c r="BI2910" s="106">
        <v>-8.25</v>
      </c>
      <c r="BX2910" s="182">
        <v>-8.625</v>
      </c>
      <c r="CG2910" s="106">
        <v>-8.65</v>
      </c>
      <c r="CM2910" s="106">
        <v>-7.9</v>
      </c>
      <c r="CS2910" s="74">
        <v>-8.6</v>
      </c>
      <c r="CY2910" s="106">
        <v>-8.31</v>
      </c>
    </row>
    <row r="2911" spans="1:224" x14ac:dyDescent="0.25">
      <c r="A2911" s="127">
        <v>45058</v>
      </c>
      <c r="B2911" s="24" t="s">
        <v>68</v>
      </c>
      <c r="C2911" s="21">
        <f t="shared" si="49"/>
        <v>-81.564999999999998</v>
      </c>
      <c r="AN2911" s="106">
        <v>-31.7</v>
      </c>
      <c r="AR2911" s="106">
        <v>-33.6</v>
      </c>
      <c r="AZ2911" s="182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9"/>
        <v>1637.05</v>
      </c>
      <c r="AW2912" s="106">
        <v>67.599999999999994</v>
      </c>
      <c r="BC2912" s="106">
        <v>268.2</v>
      </c>
      <c r="BI2912" s="106">
        <v>364.95</v>
      </c>
      <c r="BO2912" s="106">
        <v>244.65</v>
      </c>
      <c r="BU2912" s="106">
        <v>316.39999999999998</v>
      </c>
      <c r="CA2912" s="106">
        <v>120.45</v>
      </c>
      <c r="CG2912" s="106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9"/>
        <v>-333.85</v>
      </c>
      <c r="BI2913" s="106">
        <v>-83.95</v>
      </c>
      <c r="BO2913" s="106">
        <v>-85.55</v>
      </c>
      <c r="BU2913" s="106">
        <v>-80.45</v>
      </c>
      <c r="CA2913" s="106">
        <v>-83.9</v>
      </c>
    </row>
    <row r="2914" spans="1:178" x14ac:dyDescent="0.25">
      <c r="A2914" s="127">
        <v>45059</v>
      </c>
      <c r="B2914" s="24" t="s">
        <v>115</v>
      </c>
      <c r="C2914" s="21">
        <f t="shared" si="49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9"/>
        <v>-200.33</v>
      </c>
      <c r="AW2915" s="106">
        <v>-33.65</v>
      </c>
      <c r="BC2915" s="106">
        <v>-33.1</v>
      </c>
      <c r="BI2915" s="106">
        <v>-33.049999999999997</v>
      </c>
      <c r="BU2915" s="106">
        <v>-31.8</v>
      </c>
      <c r="CA2915" s="106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9"/>
        <v>-119.79</v>
      </c>
      <c r="AW2916" s="106">
        <v>-33.950000000000003</v>
      </c>
      <c r="CM2916" s="106">
        <v>-31.9</v>
      </c>
      <c r="CP2916" s="182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9"/>
        <v>-598.13</v>
      </c>
      <c r="AN2917" s="106">
        <v>-31.65</v>
      </c>
      <c r="BC2917" s="106">
        <v>-67.150000000000006</v>
      </c>
      <c r="BI2917" s="106">
        <v>-67.099999999999994</v>
      </c>
      <c r="BO2917" s="106">
        <v>-60.4</v>
      </c>
      <c r="BU2917" s="106">
        <v>-61.75</v>
      </c>
      <c r="CA2917" s="106">
        <v>-34.4</v>
      </c>
      <c r="CG2917" s="106">
        <v>-68.8</v>
      </c>
      <c r="CS2917" s="74">
        <v>-68.89</v>
      </c>
      <c r="CY2917" s="106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9"/>
        <v>-133.59</v>
      </c>
      <c r="BI2918" s="106">
        <v>-32.65</v>
      </c>
      <c r="CS2918" s="74">
        <v>-34.22</v>
      </c>
      <c r="CY2918" s="106">
        <v>-25.4</v>
      </c>
      <c r="DE2918" s="74">
        <v>-24.22</v>
      </c>
      <c r="DK2918" s="106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9"/>
        <v>-7.75</v>
      </c>
      <c r="BU2919" s="106">
        <v>-7.75</v>
      </c>
    </row>
    <row r="2920" spans="1:178" x14ac:dyDescent="0.25">
      <c r="A2920" s="127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9"/>
        <v>94.99</v>
      </c>
      <c r="D2922" s="386">
        <v>46.115000000000002</v>
      </c>
      <c r="E2922" s="386">
        <v>48.875</v>
      </c>
    </row>
    <row r="2923" spans="1:178" x14ac:dyDescent="0.25">
      <c r="A2923" s="127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9"/>
        <v>-25.535</v>
      </c>
      <c r="BF2924" s="182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9"/>
        <v>-70.11</v>
      </c>
      <c r="E2926" s="386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9"/>
        <v>-26.2</v>
      </c>
      <c r="CA2927" s="106">
        <v>-17.600000000000001</v>
      </c>
      <c r="CG2927" s="106">
        <v>-8.6</v>
      </c>
    </row>
    <row r="2928" spans="1:178" x14ac:dyDescent="0.25">
      <c r="A2928" s="127">
        <v>45062</v>
      </c>
      <c r="B2928" s="24" t="s">
        <v>20</v>
      </c>
      <c r="C2928" s="21">
        <f t="shared" si="49"/>
        <v>-59.79</v>
      </c>
      <c r="BC2928" s="106">
        <v>-8.4499999999999993</v>
      </c>
      <c r="BI2928" s="106">
        <v>-8.4</v>
      </c>
      <c r="BO2928" s="106">
        <v>-8.3000000000000007</v>
      </c>
      <c r="BU2928" s="106">
        <v>-7.8</v>
      </c>
      <c r="CA2928" s="106">
        <v>-9.4499999999999993</v>
      </c>
      <c r="CG2928" s="106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50"/>
        <v>-44.45</v>
      </c>
      <c r="BO2930" s="106">
        <v>-16.5</v>
      </c>
      <c r="CG2930" s="106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50"/>
        <v>-23.7</v>
      </c>
      <c r="BI2931" s="106">
        <v>-7.95</v>
      </c>
      <c r="BU2931" s="106">
        <v>-15.75</v>
      </c>
    </row>
    <row r="2932" spans="1:237" x14ac:dyDescent="0.25">
      <c r="A2932" s="127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50"/>
        <v>-141.38999999999999</v>
      </c>
      <c r="CY2933" s="106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50"/>
        <v>0</v>
      </c>
    </row>
    <row r="2935" spans="1:237" x14ac:dyDescent="0.25">
      <c r="A2935" s="127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50"/>
        <v>102.38500000000001</v>
      </c>
      <c r="E2936" s="386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50"/>
        <v>-58.9</v>
      </c>
      <c r="BC2937" s="106">
        <v>-16.8</v>
      </c>
      <c r="BO2937" s="106">
        <v>-9.1999999999999993</v>
      </c>
      <c r="BU2937" s="106">
        <v>-15.7</v>
      </c>
      <c r="CG2937" s="106">
        <v>-17.2</v>
      </c>
    </row>
    <row r="2938" spans="1:237" x14ac:dyDescent="0.25">
      <c r="A2938" s="127">
        <v>45064</v>
      </c>
      <c r="B2938" s="24" t="s">
        <v>75</v>
      </c>
      <c r="C2938" s="21">
        <f t="shared" si="50"/>
        <v>-24.2</v>
      </c>
      <c r="BI2938" s="106">
        <v>-7.15</v>
      </c>
      <c r="BO2938" s="106">
        <v>-17.05</v>
      </c>
    </row>
    <row r="2939" spans="1:237" x14ac:dyDescent="0.25">
      <c r="A2939" s="127">
        <v>45064</v>
      </c>
      <c r="B2939" s="24" t="s">
        <v>27</v>
      </c>
      <c r="C2939" s="21">
        <f t="shared" si="50"/>
        <v>-33.6</v>
      </c>
      <c r="BC2939" s="106">
        <v>-16.8</v>
      </c>
      <c r="CA2939" s="106">
        <v>-16.8</v>
      </c>
    </row>
    <row r="2940" spans="1:237" x14ac:dyDescent="0.25">
      <c r="A2940" s="127">
        <v>45064</v>
      </c>
      <c r="B2940" s="24" t="s">
        <v>127</v>
      </c>
      <c r="C2940" s="21">
        <f t="shared" si="50"/>
        <v>-33.549999999999997</v>
      </c>
      <c r="BI2940" s="106">
        <v>-16.75</v>
      </c>
      <c r="BO2940" s="106">
        <v>-16.8</v>
      </c>
    </row>
    <row r="2941" spans="1:237" x14ac:dyDescent="0.25">
      <c r="A2941" s="127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50"/>
        <v>-55.44</v>
      </c>
      <c r="DE2942" s="74">
        <v>-15.03</v>
      </c>
      <c r="DK2942" s="106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50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50"/>
        <v>0</v>
      </c>
    </row>
    <row r="2945" spans="1:230" x14ac:dyDescent="0.25">
      <c r="A2945" s="127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50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50"/>
        <v>-7.4</v>
      </c>
      <c r="CG2948" s="106">
        <v>-3.2</v>
      </c>
      <c r="CY2948" s="106">
        <v>-4.2</v>
      </c>
    </row>
    <row r="2949" spans="1:230" x14ac:dyDescent="0.25">
      <c r="A2949" s="127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50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50"/>
        <v>0</v>
      </c>
    </row>
    <row r="2952" spans="1:230" x14ac:dyDescent="0.25">
      <c r="A2952" s="127">
        <v>45069</v>
      </c>
      <c r="B2952" s="24" t="s">
        <v>25</v>
      </c>
      <c r="C2952" s="21">
        <f t="shared" si="50"/>
        <v>-25.31</v>
      </c>
      <c r="Z2952" s="79">
        <v>-8.51</v>
      </c>
      <c r="CA2952" s="106">
        <v>-8.4499999999999993</v>
      </c>
      <c r="CG2952" s="106">
        <v>-8.35</v>
      </c>
    </row>
    <row r="2953" spans="1:230" x14ac:dyDescent="0.25">
      <c r="A2953" s="127">
        <v>45069</v>
      </c>
      <c r="B2953" s="24" t="s">
        <v>75</v>
      </c>
      <c r="C2953" s="21">
        <f t="shared" si="50"/>
        <v>-41.29</v>
      </c>
      <c r="AN2953" s="106">
        <v>-7.95</v>
      </c>
      <c r="CG2953" s="106">
        <v>-8.9</v>
      </c>
      <c r="DE2953" s="74">
        <v>-8.49</v>
      </c>
      <c r="DK2953" s="106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106">
        <v>-25.1</v>
      </c>
      <c r="BO2954" s="106">
        <v>-8.4</v>
      </c>
    </row>
    <row r="2955" spans="1:230" x14ac:dyDescent="0.25">
      <c r="A2955" s="127">
        <v>45069</v>
      </c>
      <c r="B2955" s="24" t="s">
        <v>133</v>
      </c>
      <c r="C2955" s="21">
        <f t="shared" si="50"/>
        <v>-98.81</v>
      </c>
      <c r="AN2955" s="106">
        <v>-31.85</v>
      </c>
      <c r="CG2955" s="106">
        <v>-34.25</v>
      </c>
      <c r="CY2955" s="106">
        <v>-32.71</v>
      </c>
    </row>
    <row r="2956" spans="1:230" x14ac:dyDescent="0.25">
      <c r="A2956" s="127">
        <v>45069</v>
      </c>
      <c r="B2956" s="24" t="s">
        <v>113</v>
      </c>
      <c r="C2956" s="21">
        <f t="shared" si="50"/>
        <v>1934.6</v>
      </c>
      <c r="V2956" s="74">
        <v>65.2</v>
      </c>
      <c r="AC2956" s="106">
        <v>94.5</v>
      </c>
      <c r="AG2956" s="106">
        <v>99</v>
      </c>
      <c r="AR2956" s="106">
        <v>99.45</v>
      </c>
      <c r="AW2956" s="106">
        <v>100.85</v>
      </c>
      <c r="BC2956" s="106">
        <v>95.15</v>
      </c>
      <c r="BI2956" s="106">
        <v>98.05</v>
      </c>
      <c r="BO2956" s="106">
        <v>101.8</v>
      </c>
      <c r="BU2956" s="106">
        <v>200.2</v>
      </c>
      <c r="CA2956" s="106">
        <v>136.15</v>
      </c>
      <c r="CG2956" s="106">
        <v>136.4</v>
      </c>
      <c r="CM2956" s="106">
        <v>134.94999999999999</v>
      </c>
      <c r="CS2956" s="74">
        <v>141.80000000000001</v>
      </c>
      <c r="CY2956" s="106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50"/>
        <v>-91.24</v>
      </c>
      <c r="AR2958" s="106">
        <v>-7.35</v>
      </c>
      <c r="AW2958" s="106">
        <v>-8.35</v>
      </c>
      <c r="BI2958" s="106">
        <f>-7.6-8.35</f>
        <v>-15.95</v>
      </c>
      <c r="BO2958" s="106">
        <v>-9.1</v>
      </c>
      <c r="BU2958" s="106">
        <v>-6.85</v>
      </c>
      <c r="CA2958" s="106">
        <v>-8.75</v>
      </c>
      <c r="CG2958" s="106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50"/>
        <v>-8.6</v>
      </c>
      <c r="AN2959" s="106">
        <v>-8.6</v>
      </c>
    </row>
    <row r="2960" spans="1:230" x14ac:dyDescent="0.25">
      <c r="A2960" s="127">
        <v>45070</v>
      </c>
      <c r="B2960" s="24" t="s">
        <v>65</v>
      </c>
      <c r="C2960" s="21">
        <f t="shared" si="50"/>
        <v>-97.71</v>
      </c>
      <c r="AN2960" s="106">
        <v>-63.6</v>
      </c>
      <c r="AR2960" s="106">
        <v>-34.11</v>
      </c>
    </row>
    <row r="2961" spans="1:221" x14ac:dyDescent="0.25">
      <c r="A2961" s="127">
        <v>45070</v>
      </c>
      <c r="B2961" s="24" t="s">
        <v>83</v>
      </c>
      <c r="C2961" s="21">
        <f t="shared" si="50"/>
        <v>0</v>
      </c>
    </row>
    <row r="2962" spans="1:221" x14ac:dyDescent="0.25">
      <c r="A2962" s="127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50"/>
        <v>-98.54</v>
      </c>
      <c r="AC2963" s="106">
        <v>-31.95</v>
      </c>
      <c r="AG2963" s="106">
        <v>-32.69</v>
      </c>
      <c r="CA2963" s="106">
        <v>-33.9</v>
      </c>
    </row>
    <row r="2964" spans="1:221" x14ac:dyDescent="0.25">
      <c r="A2964" s="127">
        <v>45070</v>
      </c>
      <c r="B2964" s="24" t="s">
        <v>59</v>
      </c>
      <c r="C2964" s="21">
        <f t="shared" si="50"/>
        <v>-11.1</v>
      </c>
      <c r="CM2964" s="106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50"/>
        <v>1252.93</v>
      </c>
      <c r="AG2965" s="106">
        <v>128.18</v>
      </c>
      <c r="AW2965" s="106">
        <v>232.2</v>
      </c>
      <c r="CA2965" s="106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50"/>
        <v>-16.55</v>
      </c>
      <c r="AW2966" s="106">
        <v>-8.4499999999999993</v>
      </c>
      <c r="BI2966" s="106">
        <v>-8.1</v>
      </c>
    </row>
    <row r="2967" spans="1:221" x14ac:dyDescent="0.25">
      <c r="A2967" s="127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50"/>
        <v>-637.29</v>
      </c>
      <c r="BC2969" s="106">
        <v>-63.95</v>
      </c>
      <c r="BI2969" s="106">
        <v>-32.9</v>
      </c>
      <c r="BO2969" s="106">
        <v>-34.700000000000003</v>
      </c>
      <c r="CA2969" s="106">
        <v>-34.6</v>
      </c>
      <c r="CM2969" s="106">
        <v>-33.85</v>
      </c>
      <c r="CS2969" s="74">
        <v>-70.900000000000006</v>
      </c>
      <c r="CY2969" s="106">
        <v>-33.950000000000003</v>
      </c>
      <c r="DK2969" s="106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50"/>
        <v>-737.6</v>
      </c>
      <c r="AR2970" s="106">
        <v>-31.55</v>
      </c>
      <c r="AW2970" s="106">
        <v>-29.95</v>
      </c>
      <c r="BI2970" s="106">
        <v>-64.849999999999994</v>
      </c>
      <c r="BO2970" s="106">
        <v>-99.9</v>
      </c>
      <c r="BU2970" s="106">
        <v>-133.75</v>
      </c>
      <c r="CA2970" s="106">
        <v>-69.25</v>
      </c>
      <c r="CG2970" s="106">
        <v>-135.85</v>
      </c>
      <c r="CM2970" s="106">
        <v>-34.1</v>
      </c>
      <c r="CS2970" s="74">
        <v>-71</v>
      </c>
      <c r="CY2970" s="106">
        <v>-34.299999999999997</v>
      </c>
      <c r="DK2970" s="106">
        <v>-33.1</v>
      </c>
    </row>
    <row r="2971" spans="1:221" x14ac:dyDescent="0.25">
      <c r="A2971" s="127">
        <v>45072</v>
      </c>
      <c r="B2971" s="24" t="s">
        <v>149</v>
      </c>
      <c r="C2971" s="21">
        <f t="shared" si="50"/>
        <v>-16.45</v>
      </c>
      <c r="CG2971" s="106">
        <v>-8.5</v>
      </c>
      <c r="CM2971" s="106">
        <v>-7.95</v>
      </c>
    </row>
    <row r="2972" spans="1:221" x14ac:dyDescent="0.25">
      <c r="A2972" s="127">
        <v>45072</v>
      </c>
      <c r="B2972" s="24" t="s">
        <v>20</v>
      </c>
      <c r="C2972" s="21">
        <f t="shared" si="50"/>
        <v>-15.9</v>
      </c>
      <c r="AC2972" s="106">
        <v>-8</v>
      </c>
      <c r="BU2972" s="106">
        <v>-7.9</v>
      </c>
    </row>
    <row r="2973" spans="1:221" x14ac:dyDescent="0.25">
      <c r="A2973" s="127">
        <v>45072</v>
      </c>
      <c r="B2973" s="24" t="s">
        <v>18</v>
      </c>
      <c r="C2973" s="21">
        <f t="shared" si="50"/>
        <v>-409.75</v>
      </c>
      <c r="AN2973" s="106">
        <v>-32.25</v>
      </c>
      <c r="BI2973" s="106">
        <v>-33.450000000000003</v>
      </c>
      <c r="BU2973" s="106">
        <v>-66.45</v>
      </c>
      <c r="CA2973" s="106">
        <v>-68.8</v>
      </c>
      <c r="CG2973" s="106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50"/>
        <v>-86.34</v>
      </c>
      <c r="CM2974" s="106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50"/>
        <v>-95</v>
      </c>
      <c r="AN2976" s="106">
        <v>-95</v>
      </c>
    </row>
    <row r="2977" spans="1:221" x14ac:dyDescent="0.25">
      <c r="A2977" s="127">
        <v>45075</v>
      </c>
      <c r="B2977" s="24" t="s">
        <v>25</v>
      </c>
      <c r="C2977" s="21">
        <f t="shared" si="50"/>
        <v>-41.16</v>
      </c>
      <c r="BI2977" s="106">
        <v>-7.55</v>
      </c>
      <c r="BO2977" s="106">
        <v>-8.25</v>
      </c>
      <c r="BU2977" s="106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50"/>
        <v>-97.75</v>
      </c>
      <c r="BC2978" s="106">
        <v>-64.7</v>
      </c>
      <c r="BO2978" s="106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50"/>
        <v>-34.950000000000003</v>
      </c>
      <c r="BC2979" s="106">
        <v>-8.35</v>
      </c>
      <c r="BI2979" s="106">
        <v>-9.5500000000000007</v>
      </c>
      <c r="CG2979" s="106">
        <v>-8.5</v>
      </c>
      <c r="CY2979" s="106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50"/>
        <v>233.95</v>
      </c>
      <c r="BI2980" s="106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50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50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50"/>
        <v>-233.95</v>
      </c>
      <c r="BI2985" s="106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50"/>
        <v>-58.104999999999997</v>
      </c>
      <c r="AC2986" s="106">
        <v>-7.95</v>
      </c>
      <c r="BI2986" s="106">
        <v>-8.5500000000000007</v>
      </c>
      <c r="BU2986" s="106">
        <v>-7.9</v>
      </c>
      <c r="BX2986" s="182">
        <v>-8.5549999999999997</v>
      </c>
      <c r="CA2986" s="106">
        <v>-17.2</v>
      </c>
      <c r="CM2986" s="106">
        <v>-7.95</v>
      </c>
    </row>
    <row r="2987" spans="1:221" x14ac:dyDescent="0.25">
      <c r="A2987" s="127">
        <v>45076</v>
      </c>
      <c r="B2987" s="24" t="s">
        <v>20</v>
      </c>
      <c r="C2987" s="21">
        <f t="shared" si="50"/>
        <v>-16.47</v>
      </c>
      <c r="AW2987" s="106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106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50"/>
        <v>0</v>
      </c>
    </row>
    <row r="2990" spans="1:221" x14ac:dyDescent="0.25">
      <c r="A2990" s="127">
        <v>45077</v>
      </c>
      <c r="B2990" s="24" t="s">
        <v>167</v>
      </c>
      <c r="C2990" s="21">
        <f t="shared" si="50"/>
        <v>-5.6749999999999998</v>
      </c>
      <c r="E2990" s="386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50"/>
        <v>-14.62</v>
      </c>
      <c r="E2991" s="386">
        <v>-14.62</v>
      </c>
    </row>
    <row r="2992" spans="1:221" x14ac:dyDescent="0.25">
      <c r="A2992" s="127">
        <v>45077</v>
      </c>
      <c r="B2992" s="24" t="s">
        <v>78</v>
      </c>
      <c r="C2992" s="21">
        <f t="shared" si="50"/>
        <v>-166.05</v>
      </c>
      <c r="BC2992" s="106">
        <v>-67.3</v>
      </c>
      <c r="BU2992" s="106">
        <v>-64.849999999999994</v>
      </c>
      <c r="CA2992" s="106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51"/>
        <v>-16.52</v>
      </c>
      <c r="D2995" s="386">
        <v>-16.52</v>
      </c>
    </row>
    <row r="2996" spans="1:221" x14ac:dyDescent="0.25">
      <c r="A2996" s="127">
        <v>45079</v>
      </c>
      <c r="B2996" s="24" t="s">
        <v>133</v>
      </c>
      <c r="C2996" s="21">
        <f t="shared" si="51"/>
        <v>-51</v>
      </c>
      <c r="CA2996" s="106">
        <v>-16.95</v>
      </c>
      <c r="CG2996" s="106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106">
        <v>-7.95</v>
      </c>
      <c r="AN2997" s="106">
        <v>-7.95</v>
      </c>
      <c r="AW2997" s="106">
        <v>-8.5500000000000007</v>
      </c>
      <c r="CA2997" s="106">
        <v>-8.4499999999999993</v>
      </c>
      <c r="CG2997" s="106">
        <v>-8.5</v>
      </c>
      <c r="CM2997" s="106">
        <v>-7.95</v>
      </c>
      <c r="CY2997" s="106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106">
        <v>-7.95</v>
      </c>
    </row>
    <row r="2999" spans="1:221" x14ac:dyDescent="0.25">
      <c r="A2999" s="127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51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51"/>
        <v>1773.45</v>
      </c>
      <c r="V3002" s="74">
        <v>129.44999999999999</v>
      </c>
      <c r="AC3002" s="106">
        <v>110.65</v>
      </c>
      <c r="AR3002" s="106">
        <v>216.15</v>
      </c>
      <c r="AW3002" s="106">
        <v>171.25</v>
      </c>
      <c r="CM3002" s="106">
        <v>206.35</v>
      </c>
      <c r="CY3002" s="106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51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51"/>
        <v>-12.44</v>
      </c>
      <c r="CY3004" s="106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51"/>
        <v>-231.27</v>
      </c>
      <c r="AR3005" s="106">
        <v>-65.819999999999993</v>
      </c>
      <c r="CG3005" s="106">
        <v>-34</v>
      </c>
      <c r="CM3005" s="106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51"/>
        <v>-63.35</v>
      </c>
      <c r="AW3006" s="106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51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51"/>
        <v>0</v>
      </c>
    </row>
    <row r="3009" spans="1:232" x14ac:dyDescent="0.25">
      <c r="A3009" s="127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51"/>
        <v>-24.5</v>
      </c>
      <c r="CT3010" s="121">
        <v>-7.65</v>
      </c>
      <c r="CY3010" s="106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51"/>
        <v>-16.84</v>
      </c>
      <c r="AN3011" s="106">
        <v>-7.9</v>
      </c>
      <c r="AR3011" s="106">
        <v>-8.94</v>
      </c>
    </row>
    <row r="3012" spans="1:232" x14ac:dyDescent="0.25">
      <c r="A3012" s="127">
        <v>45082</v>
      </c>
      <c r="B3012" s="24" t="s">
        <v>29</v>
      </c>
      <c r="C3012" s="21">
        <f t="shared" si="51"/>
        <v>-11.6</v>
      </c>
      <c r="P3012" s="106">
        <v>-3.2</v>
      </c>
      <c r="BC3012" s="106">
        <v>-8.4</v>
      </c>
    </row>
    <row r="3013" spans="1:232" x14ac:dyDescent="0.25">
      <c r="A3013" s="127">
        <v>45083</v>
      </c>
      <c r="B3013" s="24" t="s">
        <v>68</v>
      </c>
      <c r="C3013" s="21">
        <f t="shared" si="51"/>
        <v>-61.99</v>
      </c>
      <c r="Z3013" s="79">
        <f>-8.24-8.25</f>
        <v>-16.489999999999998</v>
      </c>
      <c r="AN3013" s="106">
        <v>-15.3</v>
      </c>
      <c r="AW3013" s="106">
        <v>-30.2</v>
      </c>
    </row>
    <row r="3014" spans="1:232" x14ac:dyDescent="0.25">
      <c r="A3014" s="127">
        <v>45083</v>
      </c>
      <c r="B3014" s="24" t="s">
        <v>65</v>
      </c>
      <c r="C3014" s="21">
        <f t="shared" si="51"/>
        <v>0</v>
      </c>
    </row>
    <row r="3015" spans="1:232" x14ac:dyDescent="0.25">
      <c r="A3015" s="127">
        <v>45083</v>
      </c>
      <c r="B3015" s="24" t="s">
        <v>139</v>
      </c>
      <c r="C3015" s="21">
        <f t="shared" si="51"/>
        <v>-8.5500000000000007</v>
      </c>
      <c r="CY3015" s="106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51"/>
        <v>-49.36</v>
      </c>
      <c r="AR3016" s="106">
        <v>-7.96</v>
      </c>
      <c r="AW3016" s="106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51"/>
        <v>-17.899999999999999</v>
      </c>
      <c r="AW3017" s="106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51"/>
        <v>-16.45</v>
      </c>
      <c r="AN3019" s="106">
        <v>-7.95</v>
      </c>
      <c r="CG3019" s="106">
        <v>-8.5</v>
      </c>
    </row>
    <row r="3020" spans="1:232" x14ac:dyDescent="0.25">
      <c r="A3020" s="127">
        <v>45083</v>
      </c>
      <c r="B3020" s="24" t="s">
        <v>17</v>
      </c>
      <c r="C3020" s="21">
        <f t="shared" si="51"/>
        <v>-16.75</v>
      </c>
      <c r="BC3020" s="106">
        <v>-8.35</v>
      </c>
      <c r="CM3020" s="106">
        <v>-8.4</v>
      </c>
    </row>
    <row r="3021" spans="1:232" x14ac:dyDescent="0.25">
      <c r="A3021" s="127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51"/>
        <v>-16.77</v>
      </c>
      <c r="X3024" s="42">
        <v>-8.27</v>
      </c>
      <c r="AW3024" s="106">
        <v>-8.5</v>
      </c>
    </row>
    <row r="3025" spans="1:226" x14ac:dyDescent="0.25">
      <c r="A3025" s="127">
        <v>45085</v>
      </c>
      <c r="B3025" s="24" t="s">
        <v>113</v>
      </c>
      <c r="C3025" s="21">
        <f t="shared" si="51"/>
        <v>877.02</v>
      </c>
      <c r="BC3025" s="106">
        <v>128.80000000000001</v>
      </c>
      <c r="BI3025" s="106">
        <v>143.88</v>
      </c>
      <c r="BO3025" s="106">
        <v>131.75</v>
      </c>
      <c r="CA3025" s="106">
        <v>135.84</v>
      </c>
      <c r="CG3025" s="106">
        <v>134.07</v>
      </c>
      <c r="CY3025" s="106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51"/>
        <v>-93.54</v>
      </c>
      <c r="X3026" s="42">
        <v>-8.32</v>
      </c>
      <c r="AG3026" s="106">
        <v>-16.38</v>
      </c>
      <c r="BI3026" s="106">
        <v>-35.49</v>
      </c>
      <c r="BO3026" s="106">
        <v>-33.35</v>
      </c>
    </row>
    <row r="3027" spans="1:226" x14ac:dyDescent="0.25">
      <c r="A3027" s="127">
        <v>45086</v>
      </c>
      <c r="B3027" s="24" t="s">
        <v>57</v>
      </c>
      <c r="C3027" s="21">
        <f t="shared" si="51"/>
        <v>-49.22</v>
      </c>
      <c r="BI3027" s="106">
        <f>-9-9.02</f>
        <v>-18.02</v>
      </c>
      <c r="BO3027" s="106">
        <v>-31.2</v>
      </c>
    </row>
    <row r="3028" spans="1:226" x14ac:dyDescent="0.25">
      <c r="A3028" s="127">
        <v>45086</v>
      </c>
      <c r="B3028" s="24" t="s">
        <v>65</v>
      </c>
      <c r="C3028" s="21">
        <f t="shared" si="51"/>
        <v>-77.650000000000006</v>
      </c>
      <c r="AW3028" s="106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51"/>
        <v>-25.22</v>
      </c>
      <c r="AR3029" s="106">
        <v>-8.52</v>
      </c>
      <c r="AW3029" s="106">
        <v>-7.75</v>
      </c>
      <c r="BI3029" s="106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51"/>
        <v>-26.17</v>
      </c>
      <c r="BI3030" s="106">
        <v>-9</v>
      </c>
      <c r="BO3030" s="106">
        <v>-8.4499999999999993</v>
      </c>
      <c r="CA3030" s="106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51"/>
        <v>-17.059999999999999</v>
      </c>
      <c r="BC3032" s="106">
        <v>-8.0500000000000007</v>
      </c>
      <c r="BI3032" s="106">
        <v>-9.01</v>
      </c>
    </row>
    <row r="3033" spans="1:226" x14ac:dyDescent="0.25">
      <c r="A3033" s="127">
        <v>45087</v>
      </c>
      <c r="B3033" s="24" t="s">
        <v>113</v>
      </c>
      <c r="C3033" s="21">
        <f t="shared" si="51"/>
        <v>978.64</v>
      </c>
      <c r="AN3033" s="106">
        <v>106.1</v>
      </c>
      <c r="BC3033" s="106">
        <v>96.85</v>
      </c>
      <c r="BI3033" s="106">
        <v>126.3</v>
      </c>
      <c r="BO3033" s="106">
        <v>164.13</v>
      </c>
      <c r="BU3033" s="106">
        <v>151.66</v>
      </c>
      <c r="CA3033" s="106">
        <v>134.83000000000001</v>
      </c>
      <c r="CG3033" s="106">
        <v>102.09</v>
      </c>
      <c r="CM3033" s="106">
        <v>96.68</v>
      </c>
    </row>
    <row r="3034" spans="1:226" x14ac:dyDescent="0.25">
      <c r="A3034" s="127">
        <v>45089</v>
      </c>
      <c r="B3034" s="24" t="s">
        <v>17</v>
      </c>
      <c r="C3034" s="21">
        <f t="shared" si="51"/>
        <v>-66.959999999999994</v>
      </c>
      <c r="AW3034" s="106">
        <v>-16.850000000000001</v>
      </c>
      <c r="BC3034" s="106">
        <v>-16</v>
      </c>
      <c r="BO3034" s="106">
        <v>-16.8</v>
      </c>
      <c r="CA3034" s="106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51"/>
        <v>-168.58</v>
      </c>
      <c r="AR3035" s="106">
        <v>-31.69</v>
      </c>
      <c r="AW3035" s="106">
        <v>-33.75</v>
      </c>
      <c r="BI3035" s="106">
        <v>-35.89</v>
      </c>
      <c r="CG3035" s="106">
        <v>-32.75</v>
      </c>
      <c r="CM3035" s="106">
        <v>-34.5</v>
      </c>
    </row>
    <row r="3036" spans="1:226" x14ac:dyDescent="0.25">
      <c r="A3036" s="127">
        <v>45090</v>
      </c>
      <c r="B3036" s="24" t="s">
        <v>48</v>
      </c>
      <c r="C3036" s="21">
        <f t="shared" si="51"/>
        <v>8.2799999999999994</v>
      </c>
      <c r="AA3036" s="42">
        <v>8.0399999999999991</v>
      </c>
      <c r="BI3036" s="106">
        <v>-36.18</v>
      </c>
      <c r="BO3036" s="106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51"/>
        <v>-24.07</v>
      </c>
      <c r="AR3038" s="106">
        <v>-8.92</v>
      </c>
      <c r="BU3038" s="106">
        <v>-15.15</v>
      </c>
    </row>
    <row r="3039" spans="1:226" x14ac:dyDescent="0.25">
      <c r="A3039" s="127">
        <v>45090</v>
      </c>
      <c r="B3039" s="24" t="s">
        <v>75</v>
      </c>
      <c r="C3039" s="21">
        <f t="shared" si="51"/>
        <v>-8.4</v>
      </c>
      <c r="CM3039" s="106">
        <v>-8.4</v>
      </c>
    </row>
    <row r="3040" spans="1:226" x14ac:dyDescent="0.25">
      <c r="A3040" s="127">
        <v>45090</v>
      </c>
      <c r="B3040" s="24" t="s">
        <v>139</v>
      </c>
      <c r="C3040" s="21">
        <f t="shared" si="51"/>
        <v>-66.78</v>
      </c>
      <c r="BU3040" s="106">
        <v>-7.66</v>
      </c>
      <c r="CA3040" s="106">
        <v>-8.7200000000000006</v>
      </c>
      <c r="CM3040" s="106">
        <v>-26.25</v>
      </c>
      <c r="CY3040" s="106">
        <v>-24.15</v>
      </c>
    </row>
    <row r="3041" spans="1:224" x14ac:dyDescent="0.25">
      <c r="A3041" s="127">
        <v>45090</v>
      </c>
      <c r="B3041" s="24" t="s">
        <v>20</v>
      </c>
      <c r="C3041" s="21">
        <f t="shared" si="51"/>
        <v>-16.329999999999998</v>
      </c>
      <c r="BU3041" s="106">
        <v>-7.71</v>
      </c>
      <c r="CA3041" s="106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51"/>
        <v>-41.29</v>
      </c>
      <c r="AW3042" s="106">
        <v>-8.25</v>
      </c>
      <c r="BC3042" s="106">
        <v>-8</v>
      </c>
      <c r="BI3042" s="106">
        <v>-9.09</v>
      </c>
      <c r="BO3042" s="106">
        <v>-8.1999999999999993</v>
      </c>
      <c r="BU3042" s="106">
        <v>-7.75</v>
      </c>
    </row>
    <row r="3043" spans="1:224" x14ac:dyDescent="0.25">
      <c r="A3043" s="127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51"/>
        <v>1322.03</v>
      </c>
      <c r="BU3044" s="106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51"/>
        <v>-1849.74</v>
      </c>
      <c r="AN3046" s="106">
        <v>-70.47</v>
      </c>
      <c r="AR3046" s="106">
        <v>-67.760000000000005</v>
      </c>
      <c r="BC3046" s="106">
        <v>-161.1</v>
      </c>
      <c r="BO3046" s="106">
        <v>-98.11</v>
      </c>
      <c r="BU3046" s="106">
        <v>-91.19</v>
      </c>
      <c r="CA3046" s="106">
        <v>-68.98</v>
      </c>
      <c r="CG3046" s="106">
        <v>-102.09</v>
      </c>
      <c r="CM3046" s="106">
        <v>-131.58000000000001</v>
      </c>
      <c r="CS3046" s="74">
        <v>-175.36</v>
      </c>
      <c r="CY3046" s="106">
        <v>-97.19</v>
      </c>
      <c r="DE3046" s="74">
        <v>-105.49</v>
      </c>
      <c r="DK3046" s="106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51"/>
        <v>-7.625</v>
      </c>
      <c r="AA3047" s="42">
        <v>-8.0399999999999991</v>
      </c>
      <c r="AC3047" s="106">
        <v>8.51</v>
      </c>
      <c r="AL3047" s="42">
        <v>-7.4</v>
      </c>
      <c r="AN3047" s="106">
        <v>8.0500000000000007</v>
      </c>
      <c r="CG3047" s="106">
        <v>8.75</v>
      </c>
      <c r="CJ3047" s="182">
        <v>-8.26</v>
      </c>
      <c r="CQ3047" s="42">
        <v>-34.909999999999997</v>
      </c>
      <c r="CS3047" s="74">
        <v>34.22</v>
      </c>
      <c r="CW3047" s="42">
        <v>-8.65</v>
      </c>
      <c r="CY3047" s="106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106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51"/>
        <v>1378.75</v>
      </c>
      <c r="BC3048" s="106">
        <v>137.85</v>
      </c>
      <c r="BI3048" s="106">
        <v>70.459999999999994</v>
      </c>
      <c r="BO3048" s="106">
        <v>16.8</v>
      </c>
      <c r="CM3048" s="106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51"/>
        <v>-73.59</v>
      </c>
      <c r="AW3051" s="106">
        <v>-8.3000000000000007</v>
      </c>
      <c r="BC3051" s="106">
        <v>-8.49</v>
      </c>
      <c r="BI3051" s="106">
        <v>-8.94</v>
      </c>
      <c r="BO3051" s="106">
        <v>-8.4</v>
      </c>
      <c r="BU3051" s="106">
        <v>-14.52</v>
      </c>
      <c r="CA3051" s="106">
        <v>-7.44</v>
      </c>
      <c r="CG3051" s="106">
        <v>-8.75</v>
      </c>
      <c r="CM3051" s="106">
        <v>-8.75</v>
      </c>
    </row>
    <row r="3052" spans="1:224" x14ac:dyDescent="0.25">
      <c r="A3052" s="127">
        <v>45091</v>
      </c>
      <c r="B3052" s="24" t="s">
        <v>14</v>
      </c>
      <c r="C3052" s="21">
        <f t="shared" si="51"/>
        <v>0</v>
      </c>
    </row>
    <row r="3053" spans="1:224" x14ac:dyDescent="0.25">
      <c r="A3053" s="127">
        <v>45092</v>
      </c>
      <c r="B3053" s="24" t="s">
        <v>178</v>
      </c>
      <c r="C3053" s="21">
        <f t="shared" si="51"/>
        <v>-15.48</v>
      </c>
      <c r="BU3053" s="106">
        <v>-15.48</v>
      </c>
    </row>
    <row r="3054" spans="1:224" x14ac:dyDescent="0.25">
      <c r="A3054" s="127">
        <v>45092</v>
      </c>
      <c r="B3054" s="24" t="s">
        <v>37</v>
      </c>
      <c r="C3054" s="21">
        <f t="shared" si="51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52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52"/>
        <v>-15.21</v>
      </c>
      <c r="BU3058" s="106">
        <v>-15.21</v>
      </c>
    </row>
    <row r="3059" spans="1:226" x14ac:dyDescent="0.25">
      <c r="A3059" s="127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52"/>
        <v>-135.65</v>
      </c>
      <c r="BO3060" s="106">
        <v>-8.4</v>
      </c>
      <c r="BU3060" s="106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52"/>
        <v>-19.399999999999999</v>
      </c>
      <c r="CA3061" s="106">
        <v>-5.07</v>
      </c>
      <c r="CG3061" s="106">
        <v>-2.84</v>
      </c>
      <c r="CM3061" s="106">
        <v>-8.7899999999999991</v>
      </c>
      <c r="CY3061" s="106">
        <v>-2.7</v>
      </c>
    </row>
    <row r="3062" spans="1:226" x14ac:dyDescent="0.25">
      <c r="A3062" s="127">
        <v>45096</v>
      </c>
      <c r="B3062" s="24" t="s">
        <v>12</v>
      </c>
      <c r="C3062" s="21">
        <f t="shared" si="52"/>
        <v>0</v>
      </c>
    </row>
    <row r="3063" spans="1:226" x14ac:dyDescent="0.25">
      <c r="A3063" s="127">
        <v>45096</v>
      </c>
      <c r="B3063" s="24" t="s">
        <v>17</v>
      </c>
      <c r="C3063" s="21">
        <f t="shared" si="52"/>
        <v>-16.43</v>
      </c>
      <c r="BO3063" s="106">
        <v>-16.43</v>
      </c>
    </row>
    <row r="3064" spans="1:226" x14ac:dyDescent="0.25">
      <c r="A3064" s="127">
        <v>45096</v>
      </c>
      <c r="B3064" s="24" t="s">
        <v>68</v>
      </c>
      <c r="C3064" s="21">
        <f t="shared" si="52"/>
        <v>-62.16</v>
      </c>
      <c r="AG3064" s="106">
        <v>-33.17</v>
      </c>
      <c r="BU3064" s="106">
        <v>-28.99</v>
      </c>
    </row>
    <row r="3065" spans="1:226" x14ac:dyDescent="0.25">
      <c r="A3065" s="127">
        <v>45096</v>
      </c>
      <c r="B3065" s="24" t="s">
        <v>20</v>
      </c>
      <c r="C3065" s="21">
        <f t="shared" si="52"/>
        <v>-24.85</v>
      </c>
      <c r="AG3065" s="106">
        <v>-8.11</v>
      </c>
      <c r="AN3065" s="106">
        <v>-7.9</v>
      </c>
      <c r="BC3065" s="106">
        <v>-8.84</v>
      </c>
    </row>
    <row r="3066" spans="1:226" x14ac:dyDescent="0.25">
      <c r="A3066" s="127">
        <v>45096</v>
      </c>
      <c r="B3066" s="24" t="s">
        <v>32</v>
      </c>
      <c r="C3066" s="21">
        <f t="shared" si="52"/>
        <v>-36.46</v>
      </c>
      <c r="BI3066" s="106">
        <v>-36.46</v>
      </c>
    </row>
    <row r="3067" spans="1:226" x14ac:dyDescent="0.25">
      <c r="A3067" s="127">
        <v>45096</v>
      </c>
      <c r="B3067" s="24" t="s">
        <v>133</v>
      </c>
      <c r="C3067" s="21">
        <f t="shared" si="52"/>
        <v>-34</v>
      </c>
      <c r="BI3067" s="106">
        <v>-34</v>
      </c>
    </row>
    <row r="3068" spans="1:226" x14ac:dyDescent="0.25">
      <c r="A3068" s="127">
        <v>45097</v>
      </c>
      <c r="B3068" s="24" t="s">
        <v>83</v>
      </c>
      <c r="C3068" s="21">
        <f t="shared" si="52"/>
        <v>0</v>
      </c>
    </row>
    <row r="3069" spans="1:226" x14ac:dyDescent="0.25">
      <c r="A3069" s="127">
        <v>45097</v>
      </c>
      <c r="B3069" s="24" t="s">
        <v>174</v>
      </c>
      <c r="C3069" s="21">
        <f t="shared" si="52"/>
        <v>-17.23</v>
      </c>
      <c r="CA3069" s="106">
        <v>-8.34</v>
      </c>
      <c r="CG3069" s="106">
        <v>-8.89</v>
      </c>
    </row>
    <row r="3070" spans="1:226" x14ac:dyDescent="0.25">
      <c r="A3070" s="127">
        <v>45097</v>
      </c>
      <c r="B3070" s="24" t="s">
        <v>27</v>
      </c>
      <c r="C3070" s="21">
        <f t="shared" si="52"/>
        <v>-46.64</v>
      </c>
      <c r="BU3070" s="106">
        <v>-21.92</v>
      </c>
      <c r="CM3070" s="106">
        <v>-24.72</v>
      </c>
    </row>
    <row r="3071" spans="1:226" x14ac:dyDescent="0.25">
      <c r="A3071" s="127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52"/>
        <v>-8.23</v>
      </c>
      <c r="BO3075" s="106">
        <v>-8.23</v>
      </c>
    </row>
    <row r="3076" spans="1:199" x14ac:dyDescent="0.25">
      <c r="A3076" s="127">
        <v>45097</v>
      </c>
      <c r="B3076" s="24" t="s">
        <v>111</v>
      </c>
      <c r="C3076" s="21">
        <f t="shared" si="52"/>
        <v>-29.1</v>
      </c>
      <c r="BU3076" s="106">
        <v>-29.1</v>
      </c>
    </row>
    <row r="3077" spans="1:199" x14ac:dyDescent="0.25">
      <c r="A3077" s="127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52"/>
        <v>1458.48</v>
      </c>
      <c r="AN3078" s="106">
        <v>245.93</v>
      </c>
      <c r="BI3078" s="106">
        <f>38.6+171.46</f>
        <v>210.06</v>
      </c>
      <c r="CM3078" s="106">
        <v>234.91</v>
      </c>
      <c r="CY3078" s="106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52"/>
        <v>-8.4700000000000006</v>
      </c>
      <c r="BO3079" s="106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52"/>
        <v>-8.4</v>
      </c>
      <c r="BO3081" s="106">
        <v>-8.4</v>
      </c>
    </row>
    <row r="3082" spans="1:199" x14ac:dyDescent="0.25">
      <c r="A3082" s="127">
        <v>45100</v>
      </c>
      <c r="B3082" s="24" t="s">
        <v>17</v>
      </c>
      <c r="C3082" s="21">
        <f t="shared" si="52"/>
        <v>-17.510000000000002</v>
      </c>
      <c r="BC3082" s="106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52"/>
        <v>-36.07</v>
      </c>
      <c r="BI3083" s="106">
        <v>-36.07</v>
      </c>
    </row>
    <row r="3084" spans="1:199" x14ac:dyDescent="0.25">
      <c r="A3084" s="127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52"/>
        <v>-33.659999999999997</v>
      </c>
      <c r="CA3085" s="106">
        <v>-8.2899999999999991</v>
      </c>
      <c r="CG3085" s="106">
        <v>-8.02</v>
      </c>
      <c r="CM3085" s="106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52"/>
        <v>0</v>
      </c>
    </row>
    <row r="3087" spans="1:199" x14ac:dyDescent="0.25">
      <c r="A3087" s="127">
        <v>45110</v>
      </c>
      <c r="B3087" s="24" t="s">
        <v>152</v>
      </c>
      <c r="C3087" s="21">
        <f t="shared" si="52"/>
        <v>-1713.48</v>
      </c>
      <c r="V3087" s="74">
        <v>-31.87</v>
      </c>
      <c r="AC3087" s="106">
        <v>-31.35</v>
      </c>
      <c r="AN3087" s="106">
        <v>-35.270000000000003</v>
      </c>
      <c r="AR3087" s="106">
        <v>-33.79</v>
      </c>
      <c r="AW3087" s="106">
        <v>-66.55</v>
      </c>
      <c r="BC3087" s="106">
        <v>-33.6</v>
      </c>
      <c r="BI3087" s="106">
        <v>-174.11</v>
      </c>
      <c r="CA3087" s="106">
        <v>-67.2</v>
      </c>
      <c r="CG3087" s="106">
        <v>-68.98</v>
      </c>
      <c r="CM3087" s="106">
        <v>-171.41</v>
      </c>
      <c r="CS3087" s="74">
        <v>-157.66999999999999</v>
      </c>
      <c r="CY3087" s="106">
        <v>-163.87</v>
      </c>
      <c r="DE3087" s="74">
        <v>-103.24</v>
      </c>
      <c r="DK3087" s="106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52"/>
        <v>-23.47</v>
      </c>
      <c r="BM3088" s="88">
        <v>-16.13</v>
      </c>
      <c r="CA3088" s="106">
        <v>-7.34</v>
      </c>
    </row>
    <row r="3089" spans="1:211" x14ac:dyDescent="0.25">
      <c r="A3089" s="127">
        <v>45111</v>
      </c>
      <c r="B3089" s="24" t="s">
        <v>20</v>
      </c>
      <c r="C3089" s="21">
        <f t="shared" si="52"/>
        <v>-40.96</v>
      </c>
      <c r="BG3089" s="42">
        <v>-7.06</v>
      </c>
      <c r="BU3089" s="106">
        <v>-7.75</v>
      </c>
      <c r="CG3089" s="106">
        <v>-8.15</v>
      </c>
      <c r="CM3089" s="106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52"/>
        <v>-14.2</v>
      </c>
      <c r="AN3090" s="106">
        <v>-8.0500000000000007</v>
      </c>
      <c r="AW3090" s="106">
        <v>-6.15</v>
      </c>
    </row>
    <row r="3091" spans="1:211" x14ac:dyDescent="0.25">
      <c r="A3091" s="127">
        <v>45111</v>
      </c>
      <c r="B3091" s="24" t="s">
        <v>17</v>
      </c>
      <c r="C3091" s="21">
        <f t="shared" si="52"/>
        <v>-132.16999999999999</v>
      </c>
      <c r="AC3091" s="106">
        <v>-7.95</v>
      </c>
      <c r="BC3091" s="106">
        <v>-17.809999999999999</v>
      </c>
      <c r="BO3091" s="106">
        <v>-16.899999999999999</v>
      </c>
      <c r="CG3091" s="106">
        <v>-17.47</v>
      </c>
      <c r="CM3091" s="106">
        <v>-14.78</v>
      </c>
      <c r="CS3091" s="74">
        <v>-16.920000000000002</v>
      </c>
      <c r="CY3091" s="106">
        <v>-16.13</v>
      </c>
      <c r="DE3091" s="74">
        <v>-15.36</v>
      </c>
      <c r="DK3091" s="106">
        <v>-8.85</v>
      </c>
    </row>
    <row r="3092" spans="1:211" x14ac:dyDescent="0.25">
      <c r="A3092" s="127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52"/>
        <v>-42.8</v>
      </c>
      <c r="AR3094" s="106">
        <v>-9.08</v>
      </c>
      <c r="BI3094" s="106">
        <v>-9.07</v>
      </c>
      <c r="BO3094" s="106">
        <v>-8.4499999999999993</v>
      </c>
      <c r="BU3094" s="106">
        <v>-7.66</v>
      </c>
      <c r="CA3094" s="106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52"/>
        <v>0</v>
      </c>
    </row>
    <row r="3096" spans="1:211" x14ac:dyDescent="0.25">
      <c r="A3096" s="127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52"/>
        <v>-70.849999999999994</v>
      </c>
      <c r="AN3097" s="106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106">
        <v>-8.3000000000000007</v>
      </c>
      <c r="CY3100" s="106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52"/>
        <v>0</v>
      </c>
    </row>
    <row r="3103" spans="1:211" x14ac:dyDescent="0.25">
      <c r="A3103" s="127">
        <v>45112</v>
      </c>
      <c r="B3103" s="24" t="s">
        <v>111</v>
      </c>
      <c r="C3103" s="21">
        <f t="shared" si="52"/>
        <v>-16.07</v>
      </c>
      <c r="AP3103" s="42">
        <v>-8.31</v>
      </c>
      <c r="AR3103" s="106">
        <v>-7.76</v>
      </c>
    </row>
    <row r="3104" spans="1:211" x14ac:dyDescent="0.25">
      <c r="A3104" s="127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52"/>
        <v>-33.86</v>
      </c>
      <c r="D3105" s="386">
        <v>-8.92</v>
      </c>
      <c r="E3105" s="386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52"/>
        <v>-7.31</v>
      </c>
      <c r="E3106" s="386">
        <v>-7.31</v>
      </c>
    </row>
    <row r="3107" spans="1:237" x14ac:dyDescent="0.25">
      <c r="A3107" s="127">
        <v>45113</v>
      </c>
      <c r="B3107" s="24" t="s">
        <v>68</v>
      </c>
      <c r="C3107" s="21">
        <f t="shared" si="52"/>
        <v>-100.28</v>
      </c>
      <c r="AR3107" s="106">
        <v>-31.45</v>
      </c>
      <c r="AW3107" s="106">
        <v>-34.950000000000003</v>
      </c>
      <c r="BC3107" s="106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52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52"/>
        <v>-50.04</v>
      </c>
      <c r="AW3109" s="106">
        <v>-8.4</v>
      </c>
      <c r="BI3109" s="106">
        <v>-9.01</v>
      </c>
      <c r="BM3109" s="88">
        <v>-8.39</v>
      </c>
      <c r="BU3109" s="106">
        <v>-7.6</v>
      </c>
      <c r="CA3109" s="106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52"/>
        <v>-68.05</v>
      </c>
      <c r="AU3111" s="42">
        <v>-8.5</v>
      </c>
      <c r="AW3111" s="106">
        <v>-8.3000000000000007</v>
      </c>
      <c r="BC3111" s="106">
        <v>-8.8699999999999992</v>
      </c>
      <c r="BI3111" s="106">
        <v>-9.0299999999999994</v>
      </c>
      <c r="BT3111" s="69">
        <v>-8.15</v>
      </c>
      <c r="CA3111" s="106">
        <v>-8.58</v>
      </c>
      <c r="CF3111" s="69">
        <v>-8.43</v>
      </c>
      <c r="CM3111" s="106">
        <v>-8.19</v>
      </c>
    </row>
    <row r="3112" spans="1:237" x14ac:dyDescent="0.25">
      <c r="A3112" s="127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52"/>
        <v>-24.85</v>
      </c>
      <c r="BC3113" s="106">
        <v>-24.85</v>
      </c>
    </row>
    <row r="3114" spans="1:237" x14ac:dyDescent="0.25">
      <c r="A3114" s="127">
        <v>45114</v>
      </c>
      <c r="B3114" s="24" t="s">
        <v>65</v>
      </c>
      <c r="C3114" s="21">
        <f t="shared" si="52"/>
        <v>-34.1</v>
      </c>
      <c r="AN3114" s="106">
        <v>-34.1</v>
      </c>
    </row>
    <row r="3115" spans="1:237" x14ac:dyDescent="0.25">
      <c r="A3115" s="127">
        <v>45114</v>
      </c>
      <c r="B3115" s="24" t="s">
        <v>115</v>
      </c>
      <c r="C3115" s="21">
        <f t="shared" si="52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52"/>
        <v>722.79</v>
      </c>
      <c r="AW3117" s="106">
        <v>336.81</v>
      </c>
      <c r="DK3117" s="106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52"/>
        <v>-26.11</v>
      </c>
      <c r="AW3118" s="106">
        <v>-26.11</v>
      </c>
    </row>
    <row r="3119" spans="1:237" x14ac:dyDescent="0.25">
      <c r="A3119" s="127">
        <v>45117</v>
      </c>
      <c r="B3119" s="24" t="s">
        <v>20</v>
      </c>
      <c r="C3119" s="21">
        <f t="shared" si="52"/>
        <v>-22.86</v>
      </c>
      <c r="AP3119" s="42">
        <v>-5.81</v>
      </c>
      <c r="BE3119" s="126">
        <v>-7.97</v>
      </c>
      <c r="BI3119" s="106">
        <v>-9.08</v>
      </c>
    </row>
    <row r="3120" spans="1:237" x14ac:dyDescent="0.25">
      <c r="A3120" s="127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106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53">SUM(D3121:JT3121)</f>
        <v>-563.84500000000003</v>
      </c>
      <c r="AN3121" s="106">
        <v>-70.45</v>
      </c>
      <c r="AW3121" s="106">
        <v>-68.95</v>
      </c>
      <c r="BI3121" s="106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106">
        <v>-63.01</v>
      </c>
      <c r="DK3121" s="106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53"/>
        <v>-16.5</v>
      </c>
      <c r="BC3122" s="106">
        <v>-16.5</v>
      </c>
    </row>
    <row r="3123" spans="1:224" x14ac:dyDescent="0.25">
      <c r="A3123" s="127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53"/>
        <v>-41.52</v>
      </c>
      <c r="BE3124" s="126">
        <v>-8.26</v>
      </c>
      <c r="BG3124" s="42">
        <v>-7.03</v>
      </c>
      <c r="BT3124" s="69">
        <v>-8.41</v>
      </c>
      <c r="CA3124" s="106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53"/>
        <v>-34.380000000000003</v>
      </c>
      <c r="AW3125" s="106">
        <v>-17.25</v>
      </c>
      <c r="BT3125" s="69">
        <v>-8.43</v>
      </c>
      <c r="CA3125" s="106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53"/>
        <v>919.45</v>
      </c>
      <c r="BC3127" s="106">
        <v>93.77</v>
      </c>
      <c r="BI3127" s="106">
        <v>162.25</v>
      </c>
      <c r="BO3127" s="106">
        <v>152.30000000000001</v>
      </c>
      <c r="BU3127" s="106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53"/>
        <v>-109.63500000000001</v>
      </c>
      <c r="L3128" s="69">
        <v>-4.5599999999999996</v>
      </c>
      <c r="V3128" s="74">
        <v>-8.17</v>
      </c>
      <c r="AN3128" s="106">
        <v>-17.64</v>
      </c>
      <c r="AR3128" s="106">
        <v>-5.12</v>
      </c>
      <c r="AW3128" s="106">
        <v>-15.33</v>
      </c>
      <c r="BI3128" s="106">
        <v>-16.329999999999998</v>
      </c>
      <c r="BO3128" s="106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53"/>
        <v>-33.68</v>
      </c>
      <c r="BI3130" s="106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53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53"/>
        <v>0</v>
      </c>
    </row>
    <row r="3133" spans="1:224" x14ac:dyDescent="0.25">
      <c r="A3133" s="127">
        <v>45120</v>
      </c>
      <c r="B3133" s="24" t="s">
        <v>48</v>
      </c>
      <c r="C3133" s="21">
        <f t="shared" si="53"/>
        <v>-170.13</v>
      </c>
      <c r="BI3133" s="106">
        <v>-33.79</v>
      </c>
      <c r="BO3133" s="106">
        <v>-33.07</v>
      </c>
      <c r="BU3133" s="106">
        <v>-31.95</v>
      </c>
      <c r="CG3133" s="106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53"/>
        <v>-110.56</v>
      </c>
      <c r="AC3134" s="106">
        <v>-110.56</v>
      </c>
    </row>
    <row r="3135" spans="1:224" x14ac:dyDescent="0.25">
      <c r="A3135" s="127">
        <v>45121</v>
      </c>
      <c r="B3135" s="24" t="s">
        <v>20</v>
      </c>
      <c r="C3135" s="21">
        <f t="shared" si="53"/>
        <v>-17.285</v>
      </c>
      <c r="BC3135" s="106">
        <v>-8.1999999999999993</v>
      </c>
      <c r="BO3135" s="106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53"/>
        <v>-8</v>
      </c>
      <c r="BU3136" s="106">
        <v>-8</v>
      </c>
    </row>
    <row r="3137" spans="1:226" x14ac:dyDescent="0.25">
      <c r="A3137" s="127">
        <v>45121</v>
      </c>
      <c r="B3137" s="24" t="s">
        <v>84</v>
      </c>
      <c r="C3137" s="21">
        <f t="shared" si="53"/>
        <v>-43.67</v>
      </c>
      <c r="BC3137" s="106">
        <v>-8.2200000000000006</v>
      </c>
      <c r="BI3137" s="106">
        <v>-6.77</v>
      </c>
      <c r="BO3137" s="106">
        <v>-8.35</v>
      </c>
      <c r="BU3137" s="106">
        <v>-17.09</v>
      </c>
      <c r="CA3137" s="106">
        <v>-3.24</v>
      </c>
    </row>
    <row r="3138" spans="1:226" x14ac:dyDescent="0.25">
      <c r="A3138" s="127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53"/>
        <v>100.14</v>
      </c>
      <c r="AU3139" s="42">
        <v>33.1</v>
      </c>
      <c r="CF3139" s="69">
        <v>33.72</v>
      </c>
      <c r="CR3139" s="375">
        <v>33.32</v>
      </c>
    </row>
    <row r="3140" spans="1:226" x14ac:dyDescent="0.25">
      <c r="A3140" s="127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53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106">
        <v>-15.47</v>
      </c>
    </row>
    <row r="3143" spans="1:226" x14ac:dyDescent="0.25">
      <c r="A3143" s="127">
        <v>45122</v>
      </c>
      <c r="B3143" s="24" t="s">
        <v>32</v>
      </c>
      <c r="C3143" s="21">
        <f t="shared" si="53"/>
        <v>-131.32</v>
      </c>
      <c r="AN3143" s="106">
        <v>-17.62</v>
      </c>
      <c r="AW3143" s="106">
        <v>-34.270000000000003</v>
      </c>
      <c r="BC3143" s="106">
        <v>-32.01</v>
      </c>
      <c r="BU3143" s="106">
        <v>-47.42</v>
      </c>
    </row>
    <row r="3144" spans="1:226" x14ac:dyDescent="0.25">
      <c r="A3144" s="127">
        <v>45122</v>
      </c>
      <c r="B3144" s="24" t="s">
        <v>32</v>
      </c>
      <c r="C3144" s="21">
        <f t="shared" si="53"/>
        <v>-42.09</v>
      </c>
      <c r="BU3144" s="106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53"/>
        <v>-54.09</v>
      </c>
      <c r="BU3145" s="106">
        <v>-8.9499999999999993</v>
      </c>
      <c r="CG3145" s="106">
        <f>-9.39-9.62</f>
        <v>-19.010000000000002</v>
      </c>
      <c r="CM3145" s="106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53"/>
        <v>-62.38</v>
      </c>
      <c r="BC3146" s="106">
        <v>-30.59</v>
      </c>
      <c r="BU3146" s="106">
        <v>-31.79</v>
      </c>
    </row>
    <row r="3147" spans="1:226" x14ac:dyDescent="0.25">
      <c r="A3147" s="127">
        <v>45123</v>
      </c>
      <c r="B3147" s="24" t="s">
        <v>65</v>
      </c>
      <c r="C3147" s="21">
        <f t="shared" si="53"/>
        <v>0</v>
      </c>
    </row>
    <row r="3148" spans="1:226" x14ac:dyDescent="0.25">
      <c r="A3148" s="127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27">
        <v>45124</v>
      </c>
      <c r="B3149" s="24" t="s">
        <v>113</v>
      </c>
      <c r="C3149" s="21">
        <f t="shared" si="53"/>
        <v>1033.45</v>
      </c>
      <c r="AR3149" s="106">
        <v>93.76</v>
      </c>
      <c r="BC3149" s="106">
        <v>166.27</v>
      </c>
      <c r="BI3149" s="106">
        <v>195.1</v>
      </c>
      <c r="BO3149" s="106">
        <v>103.74</v>
      </c>
      <c r="BU3149" s="106">
        <v>29.95</v>
      </c>
      <c r="CA3149" s="106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53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53"/>
        <v>-96.24</v>
      </c>
      <c r="BC3151" s="106">
        <v>-14.75</v>
      </c>
      <c r="BI3151" s="106">
        <v>-24.02</v>
      </c>
      <c r="BO3151" s="106">
        <v>-25.19</v>
      </c>
      <c r="BU3151" s="106">
        <v>-15.04</v>
      </c>
      <c r="CA3151" s="106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53"/>
        <v>-23.1</v>
      </c>
      <c r="AW3152" s="106">
        <v>-8.01</v>
      </c>
      <c r="BI3152" s="106">
        <v>-7.63</v>
      </c>
      <c r="BU3152" s="106">
        <v>-7.46</v>
      </c>
    </row>
    <row r="3153" spans="1:131" x14ac:dyDescent="0.25">
      <c r="A3153" s="127">
        <v>45124</v>
      </c>
      <c r="B3153" s="24" t="s">
        <v>139</v>
      </c>
      <c r="C3153" s="21">
        <f t="shared" si="53"/>
        <v>-16.989999999999998</v>
      </c>
      <c r="CA3153" s="106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53"/>
        <v>-134.24</v>
      </c>
      <c r="AW3154" s="106">
        <v>-134.24</v>
      </c>
    </row>
    <row r="3155" spans="1:131" x14ac:dyDescent="0.25">
      <c r="A3155" s="127">
        <v>45124</v>
      </c>
      <c r="B3155" s="24" t="s">
        <v>33</v>
      </c>
      <c r="C3155" s="21">
        <f t="shared" si="53"/>
        <v>-8.4499999999999993</v>
      </c>
      <c r="BO3155" s="106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53"/>
        <v>-142.83000000000001</v>
      </c>
      <c r="V3156" s="74">
        <v>-8.18</v>
      </c>
      <c r="AN3156" s="106">
        <v>-26.86</v>
      </c>
      <c r="AR3156" s="106">
        <v>-30.97</v>
      </c>
      <c r="BC3156" s="106">
        <v>-26.44</v>
      </c>
      <c r="BI3156" s="106">
        <v>-24.69</v>
      </c>
      <c r="BO3156" s="106">
        <v>-17.190000000000001</v>
      </c>
      <c r="CA3156" s="106">
        <v>-8.5</v>
      </c>
    </row>
    <row r="3157" spans="1:131" x14ac:dyDescent="0.25">
      <c r="A3157" s="127">
        <v>45124</v>
      </c>
      <c r="B3157" s="24" t="s">
        <v>25</v>
      </c>
      <c r="C3157" s="21">
        <f t="shared" si="53"/>
        <v>-49.185000000000002</v>
      </c>
      <c r="BI3157" s="106">
        <v>-7.95</v>
      </c>
      <c r="BO3157" s="106">
        <v>-7.4550000000000001</v>
      </c>
      <c r="BU3157" s="106">
        <v>-7.45</v>
      </c>
      <c r="CA3157" s="106">
        <v>-8.5299999999999994</v>
      </c>
      <c r="CG3157" s="106">
        <v>-9.39</v>
      </c>
      <c r="CM3157" s="106">
        <v>-8.41</v>
      </c>
    </row>
    <row r="3158" spans="1:131" x14ac:dyDescent="0.25">
      <c r="A3158" s="127">
        <v>45124</v>
      </c>
      <c r="B3158" s="24" t="s">
        <v>17</v>
      </c>
      <c r="C3158" s="21">
        <f t="shared" si="53"/>
        <v>-24.98</v>
      </c>
      <c r="AR3158" s="106">
        <v>-24.98</v>
      </c>
    </row>
    <row r="3159" spans="1:131" x14ac:dyDescent="0.25">
      <c r="A3159" s="127">
        <v>45124</v>
      </c>
      <c r="B3159" s="24" t="s">
        <v>133</v>
      </c>
      <c r="C3159" s="21">
        <f t="shared" si="53"/>
        <v>-266.48</v>
      </c>
      <c r="BC3159" s="106">
        <v>-34.130000000000003</v>
      </c>
      <c r="BI3159" s="106">
        <v>-64.64</v>
      </c>
      <c r="BO3159" s="106">
        <v>-68.040000000000006</v>
      </c>
      <c r="CF3159" s="69">
        <v>-33.72</v>
      </c>
      <c r="CM3159" s="106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53"/>
        <v>-16.149999999999999</v>
      </c>
      <c r="BI3160" s="106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53"/>
        <v>0</v>
      </c>
    </row>
    <row r="3162" spans="1:131" x14ac:dyDescent="0.25">
      <c r="A3162" s="127">
        <v>45127</v>
      </c>
      <c r="B3162" s="24" t="s">
        <v>48</v>
      </c>
      <c r="C3162" s="21">
        <f t="shared" si="53"/>
        <v>-35.83</v>
      </c>
      <c r="BC3162" s="106">
        <v>-8.92</v>
      </c>
      <c r="BI3162" s="106">
        <f>-9.11-8.97</f>
        <v>-18.079999999999998</v>
      </c>
      <c r="BO3162" s="106">
        <v>-8.83</v>
      </c>
    </row>
    <row r="3163" spans="1:131" x14ac:dyDescent="0.25">
      <c r="A3163" s="127">
        <v>45127</v>
      </c>
      <c r="B3163" s="24" t="s">
        <v>113</v>
      </c>
      <c r="C3163" s="21">
        <f t="shared" si="53"/>
        <v>1215.67</v>
      </c>
      <c r="AC3163" s="106">
        <v>157.72</v>
      </c>
      <c r="AN3163" s="106">
        <v>103.71</v>
      </c>
      <c r="AR3163" s="106">
        <v>98.08</v>
      </c>
      <c r="BO3163" s="106">
        <v>103.82</v>
      </c>
      <c r="BU3163" s="106">
        <v>91.08</v>
      </c>
      <c r="CG3163" s="106">
        <v>101.69</v>
      </c>
      <c r="CM3163" s="106">
        <v>97.92</v>
      </c>
      <c r="CS3163" s="74">
        <v>102.21</v>
      </c>
      <c r="CY3163" s="106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53"/>
        <v>-69.13</v>
      </c>
      <c r="AN3164" s="106">
        <v>-69.13</v>
      </c>
    </row>
    <row r="3165" spans="1:131" x14ac:dyDescent="0.25">
      <c r="A3165" s="127">
        <v>45127</v>
      </c>
      <c r="B3165" s="24" t="s">
        <v>133</v>
      </c>
      <c r="C3165" s="21">
        <f t="shared" si="53"/>
        <v>-129.5</v>
      </c>
      <c r="AW3165" s="106">
        <v>-33.31</v>
      </c>
      <c r="BC3165" s="106">
        <v>-32.54</v>
      </c>
      <c r="BO3165" s="106">
        <v>-33.86</v>
      </c>
      <c r="BU3165" s="106">
        <v>-29.79</v>
      </c>
    </row>
    <row r="3166" spans="1:131" x14ac:dyDescent="0.25">
      <c r="A3166" s="127">
        <v>45127</v>
      </c>
      <c r="B3166" s="24" t="s">
        <v>48</v>
      </c>
      <c r="C3166" s="21">
        <f t="shared" si="53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53"/>
        <v>-2.42</v>
      </c>
      <c r="AW3168" s="106">
        <v>-2.42</v>
      </c>
    </row>
    <row r="3169" spans="1:228" x14ac:dyDescent="0.25">
      <c r="A3169" s="127">
        <v>45128</v>
      </c>
      <c r="B3169" s="24" t="s">
        <v>20</v>
      </c>
      <c r="C3169" s="21">
        <f t="shared" si="53"/>
        <v>-24.96</v>
      </c>
      <c r="BO3169" s="106">
        <v>-8.83</v>
      </c>
      <c r="BU3169" s="106">
        <v>-7.63</v>
      </c>
      <c r="CA3169" s="106">
        <v>-8.5</v>
      </c>
    </row>
    <row r="3170" spans="1:228" x14ac:dyDescent="0.25">
      <c r="A3170" s="127">
        <v>45128</v>
      </c>
      <c r="B3170" s="24" t="s">
        <v>68</v>
      </c>
      <c r="C3170" s="21">
        <f t="shared" si="53"/>
        <v>-136.24</v>
      </c>
      <c r="AN3170" s="106">
        <v>-34.58</v>
      </c>
      <c r="BC3170" s="106">
        <v>-33.950000000000003</v>
      </c>
      <c r="BI3170" s="106">
        <v>-31.83</v>
      </c>
      <c r="BO3170" s="106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53"/>
        <v>-58.27</v>
      </c>
      <c r="BO3171" s="106">
        <v>-8.48</v>
      </c>
      <c r="BU3171" s="106">
        <v>-7.39</v>
      </c>
      <c r="CA3171" s="106">
        <v>-8.4600000000000009</v>
      </c>
      <c r="CG3171" s="106">
        <f>-8.42-8.61</f>
        <v>-17.03</v>
      </c>
      <c r="CS3171" s="74">
        <v>-8.69</v>
      </c>
      <c r="CY3171" s="106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53"/>
        <v>-43.09</v>
      </c>
      <c r="BU3172" s="106">
        <v>-7.52</v>
      </c>
      <c r="CG3172" s="106">
        <v>-9.86</v>
      </c>
      <c r="CM3172" s="106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53"/>
        <v>0</v>
      </c>
    </row>
    <row r="3175" spans="1:228" x14ac:dyDescent="0.25">
      <c r="A3175" s="127">
        <v>45129</v>
      </c>
      <c r="B3175" s="24" t="s">
        <v>113</v>
      </c>
      <c r="C3175" s="21">
        <f t="shared" si="53"/>
        <v>972.68499999999995</v>
      </c>
      <c r="AN3175" s="106">
        <v>103.82</v>
      </c>
      <c r="AW3175" s="106">
        <v>97.275000000000006</v>
      </c>
      <c r="BC3175" s="106">
        <v>94.04</v>
      </c>
      <c r="BI3175" s="106">
        <v>47.84</v>
      </c>
      <c r="BO3175" s="106">
        <v>104.05</v>
      </c>
      <c r="BU3175" s="106">
        <v>91.5</v>
      </c>
      <c r="CA3175" s="106">
        <v>101.81</v>
      </c>
      <c r="CG3175" s="106">
        <v>96.97</v>
      </c>
      <c r="CY3175" s="106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53"/>
        <v>-15.78</v>
      </c>
      <c r="AC3176" s="106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53"/>
        <v>-80.23</v>
      </c>
      <c r="BC3177" s="106">
        <v>-32.4</v>
      </c>
      <c r="BI3177" s="106">
        <v>-15.85</v>
      </c>
      <c r="BO3177" s="106">
        <v>-17.04</v>
      </c>
      <c r="BU3177" s="106">
        <v>-14.94</v>
      </c>
    </row>
    <row r="3178" spans="1:228" x14ac:dyDescent="0.25">
      <c r="A3178" s="127">
        <v>45131</v>
      </c>
      <c r="B3178" s="24" t="s">
        <v>29</v>
      </c>
      <c r="C3178" s="21">
        <f t="shared" si="53"/>
        <v>-25.04</v>
      </c>
      <c r="BC3178" s="106">
        <v>-8</v>
      </c>
      <c r="BI3178" s="106">
        <v>-8.8699999999999992</v>
      </c>
      <c r="BO3178" s="106">
        <v>-8.17</v>
      </c>
    </row>
    <row r="3179" spans="1:228" x14ac:dyDescent="0.25">
      <c r="A3179" s="127">
        <v>45131</v>
      </c>
      <c r="B3179" s="24" t="s">
        <v>178</v>
      </c>
      <c r="C3179" s="21">
        <f t="shared" si="53"/>
        <v>-61.3</v>
      </c>
      <c r="BC3179" s="106">
        <v>-32</v>
      </c>
      <c r="BU3179" s="106">
        <v>-29.3</v>
      </c>
    </row>
    <row r="3180" spans="1:228" x14ac:dyDescent="0.25">
      <c r="A3180" s="127">
        <v>45132</v>
      </c>
      <c r="B3180" s="24" t="s">
        <v>127</v>
      </c>
      <c r="C3180" s="21">
        <f t="shared" si="53"/>
        <v>-8</v>
      </c>
      <c r="BC3180" s="106">
        <v>-8</v>
      </c>
    </row>
    <row r="3181" spans="1:228" x14ac:dyDescent="0.25">
      <c r="A3181" s="127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53"/>
        <v>-94.22</v>
      </c>
      <c r="AC3182" s="106">
        <v>-94.22</v>
      </c>
    </row>
    <row r="3183" spans="1:228" x14ac:dyDescent="0.25">
      <c r="A3183" s="127">
        <v>45132</v>
      </c>
      <c r="B3183" s="24" t="s">
        <v>75</v>
      </c>
      <c r="C3183" s="21">
        <f t="shared" si="53"/>
        <v>-49.48</v>
      </c>
      <c r="BU3183" s="106">
        <v>-6.66</v>
      </c>
      <c r="CG3183" s="106">
        <v>-9.61</v>
      </c>
      <c r="CM3183" s="106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53"/>
        <v>-48.95</v>
      </c>
      <c r="BC3184" s="106">
        <v>-6.31</v>
      </c>
      <c r="BO3184" s="106">
        <v>-8.82</v>
      </c>
      <c r="BU3184" s="106">
        <v>-7.96</v>
      </c>
      <c r="CS3184" s="74">
        <v>-9.0299999999999994</v>
      </c>
      <c r="CY3184" s="106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4">SUM(D3185:JT3185)</f>
        <v>-66.125</v>
      </c>
      <c r="AW3185" s="106">
        <v>-18.024999999999999</v>
      </c>
      <c r="BC3185" s="106">
        <v>-14.97</v>
      </c>
      <c r="BO3185" s="106">
        <v>-17.690000000000001</v>
      </c>
      <c r="BU3185" s="106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4"/>
        <v>-23.49</v>
      </c>
      <c r="BU3186" s="106">
        <v>-23.49</v>
      </c>
    </row>
    <row r="3187" spans="1:186" x14ac:dyDescent="0.25">
      <c r="A3187" s="127">
        <v>45132</v>
      </c>
      <c r="B3187" s="24" t="s">
        <v>25</v>
      </c>
      <c r="C3187" s="21">
        <f t="shared" si="54"/>
        <v>-47.41</v>
      </c>
      <c r="AN3187" s="106">
        <v>-8.77</v>
      </c>
      <c r="AR3187" s="106">
        <v>-6.26</v>
      </c>
      <c r="AW3187" s="106">
        <v>-7.84</v>
      </c>
      <c r="BU3187" s="106">
        <v>-7.94</v>
      </c>
      <c r="CA3187" s="106">
        <v>-8.49</v>
      </c>
      <c r="CG3187" s="106">
        <v>-8.11</v>
      </c>
    </row>
    <row r="3188" spans="1:186" x14ac:dyDescent="0.25">
      <c r="A3188" s="127">
        <v>45132</v>
      </c>
      <c r="B3188" s="24" t="s">
        <v>147</v>
      </c>
      <c r="C3188" s="21">
        <f t="shared" si="54"/>
        <v>-25.28</v>
      </c>
      <c r="BI3188" s="106">
        <v>-8.4700000000000006</v>
      </c>
      <c r="BO3188" s="106">
        <v>-8.83</v>
      </c>
      <c r="BU3188" s="106">
        <v>-7.98</v>
      </c>
    </row>
    <row r="3189" spans="1:186" x14ac:dyDescent="0.25">
      <c r="A3189" s="127">
        <v>45132</v>
      </c>
      <c r="B3189" s="24" t="s">
        <v>147</v>
      </c>
      <c r="C3189" s="21">
        <f t="shared" si="54"/>
        <v>-22.88</v>
      </c>
      <c r="AR3189" s="106">
        <v>-8.26</v>
      </c>
      <c r="AW3189" s="106">
        <v>-7.29</v>
      </c>
      <c r="BC3189" s="106">
        <v>-7.33</v>
      </c>
    </row>
    <row r="3190" spans="1:186" x14ac:dyDescent="0.25">
      <c r="A3190" s="127">
        <v>45132</v>
      </c>
      <c r="B3190" s="24" t="s">
        <v>84</v>
      </c>
      <c r="C3190" s="21">
        <f t="shared" si="54"/>
        <v>-16.68</v>
      </c>
      <c r="BI3190" s="106">
        <v>-7.86</v>
      </c>
      <c r="BO3190" s="106">
        <v>-8.82</v>
      </c>
    </row>
    <row r="3191" spans="1:186" x14ac:dyDescent="0.25">
      <c r="A3191" s="127">
        <v>45132</v>
      </c>
      <c r="B3191" s="24" t="s">
        <v>59</v>
      </c>
      <c r="C3191" s="21">
        <f t="shared" si="54"/>
        <v>-11.87</v>
      </c>
      <c r="CA3191" s="106">
        <v>-2.35</v>
      </c>
      <c r="CG3191" s="106">
        <v>-2.68</v>
      </c>
      <c r="DK3191" s="106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4"/>
        <v>-329.875</v>
      </c>
      <c r="AN3192" s="106">
        <v>-34.729999999999997</v>
      </c>
      <c r="AR3192" s="106">
        <v>-32.68</v>
      </c>
      <c r="BI3192" s="106">
        <v>-62.34</v>
      </c>
      <c r="BO3192" s="106">
        <v>-34.08</v>
      </c>
      <c r="CA3192" s="106">
        <v>-33.99</v>
      </c>
      <c r="CM3192" s="106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106">
        <v>-31.9</v>
      </c>
      <c r="AW3193" s="106">
        <v>-31.9</v>
      </c>
      <c r="BC3193" s="106">
        <v>-15.32</v>
      </c>
      <c r="BI3193" s="106">
        <v>-33.159999999999997</v>
      </c>
      <c r="BO3193" s="106">
        <v>-70.38</v>
      </c>
      <c r="CA3193" s="106">
        <v>-34.9</v>
      </c>
      <c r="CG3193" s="106">
        <v>-69.760000000000005</v>
      </c>
      <c r="CM3193" s="106">
        <v>-35.31</v>
      </c>
      <c r="CQ3193" s="42">
        <v>-26.33</v>
      </c>
      <c r="CS3193" s="74">
        <f>-33.51-8.49</f>
        <v>-42</v>
      </c>
      <c r="CY3193" s="106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4"/>
        <v>-71.885000000000005</v>
      </c>
      <c r="D3194" s="386">
        <v>-49.965000000000003</v>
      </c>
      <c r="E3194" s="386">
        <v>-21.92</v>
      </c>
    </row>
    <row r="3195" spans="1:186" x14ac:dyDescent="0.25">
      <c r="A3195" s="127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106">
        <v>69.16</v>
      </c>
      <c r="AR3196" s="106">
        <v>179.95</v>
      </c>
      <c r="BC3196" s="106">
        <v>78.58</v>
      </c>
      <c r="BI3196" s="106">
        <v>168.84</v>
      </c>
      <c r="CA3196" s="106">
        <v>167.75</v>
      </c>
      <c r="CM3196" s="106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4"/>
        <v>-224.61</v>
      </c>
      <c r="AR3197" s="106">
        <v>-16.2</v>
      </c>
      <c r="AW3197" s="106">
        <v>-16.670000000000002</v>
      </c>
      <c r="BC3197" s="106">
        <v>-31.61</v>
      </c>
      <c r="BI3197" s="106">
        <v>-31.32</v>
      </c>
      <c r="CG3197" s="106">
        <v>-31.1</v>
      </c>
      <c r="CM3197" s="106">
        <v>-15.93</v>
      </c>
      <c r="CS3197" s="74">
        <v>-34.81</v>
      </c>
      <c r="CY3197" s="106">
        <v>-14.5</v>
      </c>
      <c r="DE3197" s="74">
        <v>-16.97</v>
      </c>
      <c r="DK3197" s="106">
        <v>-15.5</v>
      </c>
    </row>
    <row r="3198" spans="1:186" x14ac:dyDescent="0.25">
      <c r="A3198" s="127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106">
        <v>-7.95</v>
      </c>
      <c r="AN3198" s="106">
        <v>-8.64</v>
      </c>
      <c r="BI3198" s="106">
        <v>-16.760000000000002</v>
      </c>
      <c r="CA3198" s="106">
        <v>-33.97</v>
      </c>
      <c r="CG3198" s="106">
        <v>-29.95</v>
      </c>
      <c r="DE3198" s="74">
        <v>-18.32</v>
      </c>
      <c r="DK3198" s="106">
        <v>-15.3</v>
      </c>
    </row>
    <row r="3199" spans="1:186" x14ac:dyDescent="0.25">
      <c r="A3199" s="127">
        <v>45134</v>
      </c>
      <c r="B3199" s="24" t="s">
        <v>133</v>
      </c>
      <c r="C3199" s="21">
        <f t="shared" si="54"/>
        <v>-169.72</v>
      </c>
      <c r="AG3199" s="106">
        <v>-35.35</v>
      </c>
      <c r="BI3199" s="106">
        <v>-35.630000000000003</v>
      </c>
      <c r="CA3199" s="106">
        <v>-31.89</v>
      </c>
      <c r="CS3199" s="74">
        <v>-33.04</v>
      </c>
      <c r="CY3199" s="106">
        <v>-33.81</v>
      </c>
    </row>
    <row r="3200" spans="1:186" x14ac:dyDescent="0.25">
      <c r="A3200" s="127">
        <v>45135</v>
      </c>
      <c r="B3200" s="24" t="s">
        <v>17</v>
      </c>
      <c r="C3200" s="21">
        <f t="shared" si="54"/>
        <v>-50.76</v>
      </c>
      <c r="AR3200" s="106">
        <v>-7.91</v>
      </c>
      <c r="BC3200" s="106">
        <v>-7.59</v>
      </c>
      <c r="BI3200" s="106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4"/>
        <v>-50.77</v>
      </c>
      <c r="BC3201" s="106">
        <v>-6.3</v>
      </c>
      <c r="BI3201" s="106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4"/>
        <v>1528.47</v>
      </c>
      <c r="AC3202" s="106">
        <v>31.84</v>
      </c>
      <c r="AW3202" s="106">
        <v>176.16499999999999</v>
      </c>
      <c r="BI3202" s="106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4"/>
        <v>-58.23</v>
      </c>
      <c r="AC3203" s="106">
        <v>-7.87</v>
      </c>
      <c r="BC3203" s="106">
        <v>-8.32</v>
      </c>
      <c r="CA3203" s="106">
        <v>-8.44</v>
      </c>
      <c r="CM3203" s="106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4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4"/>
        <v>-602.27499999999998</v>
      </c>
      <c r="AW3205" s="106">
        <v>-33.664999999999999</v>
      </c>
      <c r="BI3205" s="106">
        <v>-67.92</v>
      </c>
      <c r="CA3205" s="106">
        <v>-67.89</v>
      </c>
      <c r="CG3205" s="106">
        <v>-32.909999999999997</v>
      </c>
      <c r="CM3205" s="106">
        <v>-66.39</v>
      </c>
      <c r="CS3205" s="74">
        <v>-69.53</v>
      </c>
      <c r="CY3205" s="106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4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4"/>
        <v>-52.02</v>
      </c>
      <c r="CG3207" s="106">
        <v>-25.8</v>
      </c>
      <c r="CM3207" s="106">
        <v>-26.22</v>
      </c>
    </row>
    <row r="3208" spans="1:231" x14ac:dyDescent="0.25">
      <c r="A3208" s="127">
        <v>45136</v>
      </c>
      <c r="B3208" s="24" t="s">
        <v>59</v>
      </c>
      <c r="C3208" s="21">
        <f t="shared" si="54"/>
        <v>0</v>
      </c>
      <c r="CA3208" s="106">
        <v>-8.44</v>
      </c>
      <c r="CG3208" s="106">
        <v>8.44</v>
      </c>
    </row>
    <row r="3209" spans="1:231" x14ac:dyDescent="0.25">
      <c r="A3209" s="127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4"/>
        <v>0</v>
      </c>
    </row>
    <row r="3211" spans="1:231" x14ac:dyDescent="0.25">
      <c r="A3211" s="127">
        <v>45138</v>
      </c>
      <c r="B3211" s="24" t="s">
        <v>222</v>
      </c>
      <c r="C3211" s="21">
        <f t="shared" si="54"/>
        <v>-17.309999999999999</v>
      </c>
      <c r="BC3211" s="106">
        <v>-8.26</v>
      </c>
      <c r="BI3211" s="106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4"/>
        <v>-16.66</v>
      </c>
      <c r="AW3212" s="106">
        <v>-8.44</v>
      </c>
      <c r="BU3212" s="106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4"/>
        <v>-16.05</v>
      </c>
      <c r="AR3213" s="106">
        <v>-7.01</v>
      </c>
      <c r="BI3213" s="106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4"/>
        <v>-15.88</v>
      </c>
      <c r="CM3214" s="106">
        <v>-15.88</v>
      </c>
    </row>
    <row r="3215" spans="1:231" x14ac:dyDescent="0.25">
      <c r="A3215" s="127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106">
        <v>-8</v>
      </c>
      <c r="AR3215" s="106">
        <v>-6.3</v>
      </c>
      <c r="BC3215" s="106">
        <v>-8.24</v>
      </c>
      <c r="BI3215" s="106">
        <v>-9.11</v>
      </c>
    </row>
    <row r="3216" spans="1:231" x14ac:dyDescent="0.25">
      <c r="A3216" s="127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106">
        <v>-6.58</v>
      </c>
      <c r="BI3216" s="106">
        <v>-8.1999999999999993</v>
      </c>
      <c r="CA3216" s="106">
        <v>-8.48</v>
      </c>
    </row>
    <row r="3217" spans="1:212" x14ac:dyDescent="0.25">
      <c r="A3217" s="127">
        <v>45139</v>
      </c>
      <c r="B3217" s="24" t="s">
        <v>79</v>
      </c>
      <c r="C3217" s="21">
        <f t="shared" si="54"/>
        <v>-42.73</v>
      </c>
      <c r="BS3217" s="42">
        <v>-8.5299999999999994</v>
      </c>
      <c r="BU3217" s="106">
        <v>-8.2100000000000009</v>
      </c>
      <c r="CA3217" s="106">
        <v>-8.49</v>
      </c>
      <c r="CG3217" s="106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4"/>
        <v>587.45000000000005</v>
      </c>
      <c r="AR3220" s="106">
        <v>254.23</v>
      </c>
      <c r="CM3220" s="106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4"/>
        <v>-8.2799999999999994</v>
      </c>
      <c r="D3221" s="386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4"/>
        <v>-77.739999999999995</v>
      </c>
      <c r="AC3223" s="106">
        <v>-8.6300000000000008</v>
      </c>
      <c r="AN3223" s="106">
        <v>-69.11</v>
      </c>
    </row>
    <row r="3224" spans="1:212" x14ac:dyDescent="0.25">
      <c r="A3224" s="127">
        <v>45141</v>
      </c>
      <c r="B3224" s="24" t="s">
        <v>84</v>
      </c>
      <c r="C3224" s="21">
        <f t="shared" si="54"/>
        <v>-17.2</v>
      </c>
      <c r="AG3224" s="106">
        <v>-8.81</v>
      </c>
      <c r="AW3224" s="106">
        <v>-8.39</v>
      </c>
    </row>
    <row r="3225" spans="1:212" x14ac:dyDescent="0.25">
      <c r="A3225" s="127">
        <v>45141</v>
      </c>
      <c r="B3225" s="24" t="s">
        <v>149</v>
      </c>
      <c r="C3225" s="21">
        <f t="shared" si="54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4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4"/>
        <v>-41.21</v>
      </c>
      <c r="BK3227" s="126">
        <v>-16.809999999999999</v>
      </c>
      <c r="CA3227" s="106">
        <v>-16.98</v>
      </c>
      <c r="CG3227" s="106">
        <v>-7.42</v>
      </c>
    </row>
    <row r="3228" spans="1:212" x14ac:dyDescent="0.25">
      <c r="A3228" s="127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4"/>
        <v>-132.97</v>
      </c>
      <c r="AW3229" s="106">
        <v>-65.099999999999994</v>
      </c>
      <c r="CA3229" s="106">
        <v>-67.87</v>
      </c>
    </row>
    <row r="3230" spans="1:212" x14ac:dyDescent="0.25">
      <c r="A3230" s="127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4"/>
        <v>-34.56</v>
      </c>
      <c r="AN3232" s="106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4"/>
        <v>-178.93</v>
      </c>
      <c r="AR3234" s="106">
        <v>-63.04</v>
      </c>
      <c r="AW3234" s="106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4"/>
        <v>0</v>
      </c>
    </row>
    <row r="3238" spans="1:230" x14ac:dyDescent="0.25">
      <c r="A3238" s="127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4"/>
        <v>-65.3</v>
      </c>
      <c r="CA3239" s="106">
        <v>-34.01</v>
      </c>
      <c r="CG3239" s="106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4"/>
        <v>956.02499999999998</v>
      </c>
      <c r="BI3243" s="106">
        <v>100.85</v>
      </c>
      <c r="BO3243" s="106">
        <v>163.76</v>
      </c>
      <c r="CA3243" s="106">
        <v>129.94</v>
      </c>
      <c r="CY3243" s="106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4"/>
        <v>-33.49</v>
      </c>
      <c r="BI3244" s="106">
        <v>-8.27</v>
      </c>
      <c r="BO3244" s="106">
        <v>-8.2899999999999991</v>
      </c>
      <c r="CA3244" s="106">
        <v>-8.5</v>
      </c>
      <c r="CM3244" s="106">
        <v>-8.43</v>
      </c>
    </row>
    <row r="3245" spans="1:230" x14ac:dyDescent="0.25">
      <c r="A3245" s="127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4"/>
        <v>-7.55</v>
      </c>
      <c r="AR3246" s="106">
        <v>-7.55</v>
      </c>
    </row>
    <row r="3247" spans="1:230" x14ac:dyDescent="0.25">
      <c r="A3247" s="127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4"/>
        <v>-267.10500000000002</v>
      </c>
      <c r="AR3248" s="106">
        <v>-32.5</v>
      </c>
      <c r="CG3248" s="106">
        <v>-62.23</v>
      </c>
      <c r="CM3248" s="106">
        <v>-89.02</v>
      </c>
      <c r="CY3248" s="106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5">SUM(D3249:JT3249)</f>
        <v>-41.92</v>
      </c>
      <c r="AN3249" s="106">
        <v>-8.64</v>
      </c>
      <c r="AR3249" s="106">
        <v>-8.31</v>
      </c>
      <c r="BC3249" s="106">
        <v>-8.26</v>
      </c>
      <c r="BI3249" s="106">
        <v>-8.41</v>
      </c>
      <c r="BO3249" s="106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5"/>
        <v>-17.329999999999998</v>
      </c>
      <c r="BI3250" s="106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5"/>
        <v>-17.3</v>
      </c>
      <c r="AN3253" s="106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106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5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5"/>
        <v>-22.98</v>
      </c>
      <c r="BI3256" s="106">
        <v>-8.43</v>
      </c>
      <c r="BO3256" s="106">
        <v>-8.32</v>
      </c>
      <c r="CM3256" s="106">
        <v>-6.23</v>
      </c>
    </row>
    <row r="3257" spans="1:227" x14ac:dyDescent="0.25">
      <c r="A3257" s="127">
        <v>45147</v>
      </c>
      <c r="B3257" s="24" t="s">
        <v>167</v>
      </c>
      <c r="C3257" s="21">
        <f t="shared" si="55"/>
        <v>-26.9</v>
      </c>
      <c r="D3257" s="386">
        <v>-12.27</v>
      </c>
      <c r="E3257" s="386">
        <v>-14.63</v>
      </c>
    </row>
    <row r="3258" spans="1:227" x14ac:dyDescent="0.25">
      <c r="A3258" s="127">
        <v>45148</v>
      </c>
      <c r="B3258" s="24" t="s">
        <v>53</v>
      </c>
      <c r="C3258" s="21">
        <f t="shared" si="55"/>
        <v>-589.37</v>
      </c>
      <c r="AW3258" s="106">
        <v>-23.6</v>
      </c>
      <c r="BI3258" s="106">
        <v>-33.67</v>
      </c>
      <c r="BO3258" s="106">
        <v>-33.020000000000003</v>
      </c>
      <c r="CA3258" s="106">
        <v>-30.99</v>
      </c>
      <c r="CG3258" s="106">
        <v>-64.83</v>
      </c>
      <c r="CM3258" s="106">
        <v>-61.21</v>
      </c>
      <c r="CS3258" s="74">
        <v>-70.2</v>
      </c>
      <c r="CW3258" s="42">
        <v>-34.74</v>
      </c>
      <c r="DE3258" s="74">
        <v>-70.849999999999994</v>
      </c>
      <c r="DK3258" s="106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5"/>
        <v>-42.49</v>
      </c>
      <c r="BO3260" s="106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5"/>
        <v>0</v>
      </c>
    </row>
    <row r="3262" spans="1:227" x14ac:dyDescent="0.25">
      <c r="A3262" s="127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106">
        <v>-32.090000000000003</v>
      </c>
      <c r="BI3263" s="106">
        <v>-101.08</v>
      </c>
      <c r="CS3263" s="74">
        <v>-99.81</v>
      </c>
      <c r="DK3263" s="106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5"/>
        <v>-7.3</v>
      </c>
      <c r="CG3264" s="106">
        <v>-3.24</v>
      </c>
      <c r="CS3264" s="74">
        <v>-1.92</v>
      </c>
      <c r="CY3264" s="106">
        <v>-2.14</v>
      </c>
    </row>
    <row r="3265" spans="1:226" x14ac:dyDescent="0.25">
      <c r="A3265" s="127">
        <v>45149</v>
      </c>
      <c r="B3265" s="24" t="s">
        <v>37</v>
      </c>
      <c r="C3265" s="21">
        <f t="shared" si="55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5"/>
        <v>886.97</v>
      </c>
      <c r="AL3266" s="42">
        <v>104.5</v>
      </c>
      <c r="BI3266" s="106">
        <v>101.08</v>
      </c>
      <c r="CA3266" s="106">
        <v>101.8</v>
      </c>
      <c r="CY3266" s="106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5"/>
        <v>-103.84</v>
      </c>
      <c r="AL3267" s="42">
        <v>-34.67</v>
      </c>
      <c r="CY3267" s="106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5"/>
        <v>-33.799999999999997</v>
      </c>
      <c r="AW3268" s="106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5"/>
        <v>0</v>
      </c>
    </row>
    <row r="3270" spans="1:226" x14ac:dyDescent="0.25">
      <c r="A3270" s="127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5"/>
        <v>-16.440000000000001</v>
      </c>
      <c r="BO3272" s="106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5"/>
        <v>-39.99</v>
      </c>
      <c r="Z3273" s="79">
        <v>-8.07</v>
      </c>
      <c r="AR3273" s="106">
        <v>-16.63</v>
      </c>
      <c r="BO3273" s="106">
        <v>-15.29</v>
      </c>
    </row>
    <row r="3274" spans="1:226" x14ac:dyDescent="0.25">
      <c r="A3274" s="127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5"/>
        <v>-25.75</v>
      </c>
      <c r="Z3276" s="79">
        <v>-8.31</v>
      </c>
      <c r="AC3276" s="106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5"/>
        <v>-158.21</v>
      </c>
      <c r="AG3277" s="106">
        <v>-8.85</v>
      </c>
      <c r="AR3277" s="106">
        <v>-16.55</v>
      </c>
      <c r="BI3277" s="106">
        <v>-33.65</v>
      </c>
      <c r="BO3277" s="106">
        <v>-32.700000000000003</v>
      </c>
      <c r="CA3277" s="106">
        <v>-34.28</v>
      </c>
      <c r="CM3277" s="106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5"/>
        <v>-46.46</v>
      </c>
      <c r="AG3278" s="106">
        <v>-8.81</v>
      </c>
      <c r="BO3278" s="106">
        <v>-8.26</v>
      </c>
      <c r="CA3278" s="106">
        <v>-8.27</v>
      </c>
      <c r="CG3278" s="106">
        <v>-4</v>
      </c>
      <c r="CY3278" s="106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5"/>
        <v>1164.96</v>
      </c>
      <c r="BC3281" s="106">
        <v>203.48</v>
      </c>
      <c r="BI3281" s="106">
        <v>203.24</v>
      </c>
      <c r="BO3281" s="106">
        <v>148.88</v>
      </c>
      <c r="BU3281" s="106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5"/>
        <v>-24.605</v>
      </c>
      <c r="DE3285" s="74">
        <v>-9.1549999999999994</v>
      </c>
      <c r="DK3285" s="106">
        <v>-15.45</v>
      </c>
    </row>
    <row r="3286" spans="1:237" x14ac:dyDescent="0.25">
      <c r="A3286" s="127">
        <v>45154</v>
      </c>
      <c r="B3286" s="24" t="s">
        <v>20</v>
      </c>
      <c r="C3286" s="21">
        <f t="shared" si="55"/>
        <v>-15.59</v>
      </c>
      <c r="AW3286" s="106">
        <v>-8.42</v>
      </c>
      <c r="BU3286" s="106">
        <v>-7.17</v>
      </c>
    </row>
    <row r="3287" spans="1:237" x14ac:dyDescent="0.25">
      <c r="A3287" s="127">
        <v>45154</v>
      </c>
      <c r="B3287" s="24" t="s">
        <v>152</v>
      </c>
      <c r="C3287" s="21">
        <f t="shared" si="55"/>
        <v>-1062.5</v>
      </c>
      <c r="AL3287" s="42">
        <v>-69.83</v>
      </c>
      <c r="AW3287" s="106">
        <v>-22.4</v>
      </c>
      <c r="BC3287" s="106">
        <v>-94.08</v>
      </c>
      <c r="BI3287" s="106">
        <v>-101.81</v>
      </c>
      <c r="BO3287" s="106">
        <v>-65.849999999999994</v>
      </c>
      <c r="BU3287" s="106">
        <v>-191.6</v>
      </c>
      <c r="CA3287" s="106">
        <v>-67.08</v>
      </c>
      <c r="CG3287" s="106">
        <v>-129.87</v>
      </c>
      <c r="CM3287" s="106">
        <v>-102.74</v>
      </c>
      <c r="CS3287" s="74">
        <v>-96.89</v>
      </c>
      <c r="DK3287" s="106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5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5"/>
        <v>0</v>
      </c>
    </row>
    <row r="3290" spans="1:237" x14ac:dyDescent="0.25">
      <c r="A3290" s="127">
        <v>45155</v>
      </c>
      <c r="B3290" s="24" t="s">
        <v>48</v>
      </c>
      <c r="C3290" s="21">
        <f t="shared" si="55"/>
        <v>-42.39</v>
      </c>
      <c r="BI3290" s="106">
        <v>-8.4</v>
      </c>
      <c r="BO3290" s="106">
        <v>-16.62</v>
      </c>
      <c r="BU3290" s="106">
        <v>-8.0299999999999994</v>
      </c>
      <c r="CM3290" s="106">
        <v>-9.34</v>
      </c>
    </row>
    <row r="3291" spans="1:237" x14ac:dyDescent="0.25">
      <c r="A3291" s="127">
        <v>45155</v>
      </c>
      <c r="B3291" s="24" t="s">
        <v>78</v>
      </c>
      <c r="C3291" s="21">
        <f t="shared" si="55"/>
        <v>-32.1</v>
      </c>
      <c r="BO3291" s="106">
        <v>-8.2799999999999994</v>
      </c>
      <c r="BU3291" s="106">
        <v>-8.06</v>
      </c>
      <c r="CA3291" s="106">
        <v>-8.32</v>
      </c>
      <c r="CG3291" s="106">
        <v>-7.44</v>
      </c>
    </row>
    <row r="3292" spans="1:237" x14ac:dyDescent="0.25">
      <c r="A3292" s="127">
        <v>45155</v>
      </c>
      <c r="B3292" s="24" t="s">
        <v>17</v>
      </c>
      <c r="C3292" s="21">
        <f t="shared" si="55"/>
        <v>-66.41</v>
      </c>
      <c r="BC3292" s="106">
        <v>-7.8</v>
      </c>
      <c r="BI3292" s="106">
        <v>-8.42</v>
      </c>
      <c r="BO3292" s="106">
        <v>-8.2899999999999991</v>
      </c>
      <c r="BU3292" s="106">
        <v>-8.07</v>
      </c>
      <c r="CA3292" s="106">
        <v>-9.5299999999999994</v>
      </c>
      <c r="CG3292" s="106">
        <v>-15.16</v>
      </c>
      <c r="CM3292" s="106">
        <v>-9.14</v>
      </c>
    </row>
    <row r="3293" spans="1:237" x14ac:dyDescent="0.25">
      <c r="A3293" s="127">
        <v>45155</v>
      </c>
      <c r="B3293" s="24" t="s">
        <v>68</v>
      </c>
      <c r="C3293" s="21">
        <f t="shared" si="55"/>
        <v>-63.67</v>
      </c>
      <c r="AR3293" s="106">
        <v>-31.51</v>
      </c>
      <c r="BU3293" s="106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5"/>
        <v>0</v>
      </c>
    </row>
    <row r="3295" spans="1:237" x14ac:dyDescent="0.25">
      <c r="A3295" s="127">
        <v>45156</v>
      </c>
      <c r="B3295" s="24" t="s">
        <v>39</v>
      </c>
      <c r="C3295" s="21">
        <f t="shared" si="55"/>
        <v>-33.01</v>
      </c>
      <c r="BI3295" s="106">
        <v>-8.43</v>
      </c>
      <c r="BO3295" s="106">
        <v>-8.25</v>
      </c>
      <c r="BU3295" s="106">
        <v>-8.06</v>
      </c>
      <c r="CA3295" s="106">
        <v>-8.27</v>
      </c>
    </row>
    <row r="3296" spans="1:237" x14ac:dyDescent="0.25">
      <c r="A3296" s="127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5"/>
        <v>-33.299999999999997</v>
      </c>
      <c r="BO3297" s="106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5"/>
        <v>-17.07</v>
      </c>
      <c r="AG3300" s="106">
        <v>-8.77</v>
      </c>
      <c r="AR3300" s="106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5"/>
        <v>-95.47</v>
      </c>
      <c r="BC3301" s="106">
        <v>-31.17</v>
      </c>
      <c r="BU3301" s="106">
        <v>-31.97</v>
      </c>
      <c r="CG3301" s="106">
        <v>-32.33</v>
      </c>
    </row>
    <row r="3302" spans="1:224" x14ac:dyDescent="0.25">
      <c r="A3302" s="127">
        <v>45157</v>
      </c>
      <c r="B3302" s="24" t="s">
        <v>17</v>
      </c>
      <c r="C3302" s="21">
        <f t="shared" si="55"/>
        <v>-49.46</v>
      </c>
      <c r="BC3302" s="106">
        <v>-15.73</v>
      </c>
      <c r="BI3302" s="106">
        <v>-17.13</v>
      </c>
      <c r="BO3302" s="106">
        <v>-8.2899999999999991</v>
      </c>
      <c r="CA3302" s="106">
        <v>-8.31</v>
      </c>
    </row>
    <row r="3303" spans="1:224" x14ac:dyDescent="0.25">
      <c r="A3303" s="127">
        <v>45159</v>
      </c>
      <c r="B3303" s="24" t="s">
        <v>57</v>
      </c>
      <c r="C3303" s="21">
        <f t="shared" si="55"/>
        <v>-24.73</v>
      </c>
      <c r="CA3303" s="106">
        <v>-8.31</v>
      </c>
      <c r="CG3303" s="106">
        <v>-8.34</v>
      </c>
      <c r="CM3303" s="106">
        <v>-8.08</v>
      </c>
    </row>
    <row r="3304" spans="1:224" x14ac:dyDescent="0.25">
      <c r="A3304" s="127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5"/>
        <v>1655.51</v>
      </c>
      <c r="AN3305" s="106">
        <v>103.47</v>
      </c>
      <c r="AW3305" s="106">
        <v>94.08</v>
      </c>
      <c r="BC3305" s="106">
        <v>122.93</v>
      </c>
      <c r="BU3305" s="106">
        <v>127.96</v>
      </c>
      <c r="CA3305" s="106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5"/>
        <v>-26.07</v>
      </c>
      <c r="BM3306" s="88">
        <v>-17.25</v>
      </c>
      <c r="CM3306" s="106">
        <v>-8.82</v>
      </c>
    </row>
    <row r="3307" spans="1:224" x14ac:dyDescent="0.25">
      <c r="A3307" s="127">
        <v>45160</v>
      </c>
      <c r="B3307" s="24" t="s">
        <v>139</v>
      </c>
      <c r="C3307" s="21">
        <f t="shared" si="55"/>
        <v>-25.45</v>
      </c>
      <c r="BU3307" s="106">
        <v>-8.0299999999999994</v>
      </c>
      <c r="CG3307" s="106">
        <v>-8.43</v>
      </c>
      <c r="CM3307" s="106">
        <v>-8.99</v>
      </c>
    </row>
    <row r="3308" spans="1:224" x14ac:dyDescent="0.25">
      <c r="A3308" s="127">
        <v>45160</v>
      </c>
      <c r="B3308" s="24" t="s">
        <v>20</v>
      </c>
      <c r="C3308" s="21">
        <f t="shared" si="55"/>
        <v>-89.15</v>
      </c>
      <c r="BI3308" s="106">
        <v>-8.43</v>
      </c>
      <c r="BM3308" s="88">
        <v>-8.85</v>
      </c>
      <c r="BU3308" s="106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27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5"/>
        <v>-105.55</v>
      </c>
      <c r="BI3311" s="106">
        <v>-8.4</v>
      </c>
      <c r="BU3311" s="106">
        <v>-32.200000000000003</v>
      </c>
      <c r="CA3311" s="106">
        <v>-16.61</v>
      </c>
      <c r="CG3311" s="106">
        <v>-16.16</v>
      </c>
      <c r="CM3311" s="106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5"/>
        <v>-130.53</v>
      </c>
      <c r="AN3312" s="106">
        <v>-34.549999999999997</v>
      </c>
      <c r="BC3312" s="106">
        <v>-30.53</v>
      </c>
      <c r="CY3312" s="106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6">SUM(D3313:JT3313)</f>
        <v>-581.33500000000004</v>
      </c>
      <c r="Z3313" s="79">
        <v>-32.255000000000003</v>
      </c>
      <c r="AW3313" s="106">
        <v>-30.43</v>
      </c>
      <c r="BC3313" s="106">
        <v>-93.36</v>
      </c>
      <c r="BU3313" s="106">
        <v>-31.9</v>
      </c>
      <c r="CA3313" s="106">
        <v>-66.55</v>
      </c>
      <c r="CG3313" s="106">
        <v>-100.16</v>
      </c>
      <c r="CS3313" s="74">
        <v>-29.09</v>
      </c>
      <c r="DE3313" s="74">
        <v>-66.37</v>
      </c>
      <c r="DK3313" s="106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6"/>
        <v>-47.78</v>
      </c>
      <c r="BU3316" s="106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6"/>
        <v>-25.34</v>
      </c>
      <c r="CY3317" s="106">
        <v>-25.34</v>
      </c>
    </row>
    <row r="3318" spans="1:224" x14ac:dyDescent="0.25">
      <c r="A3318" s="127">
        <v>45161</v>
      </c>
      <c r="B3318" s="24" t="s">
        <v>17</v>
      </c>
      <c r="C3318" s="21">
        <f t="shared" si="56"/>
        <v>-8.15</v>
      </c>
      <c r="AR3318" s="106">
        <v>-8.15</v>
      </c>
    </row>
    <row r="3319" spans="1:224" x14ac:dyDescent="0.25">
      <c r="A3319" s="127">
        <v>45161</v>
      </c>
      <c r="B3319" s="24" t="s">
        <v>32</v>
      </c>
      <c r="C3319" s="21">
        <f t="shared" si="56"/>
        <v>-94.55</v>
      </c>
      <c r="AR3319" s="106">
        <v>-15.54</v>
      </c>
      <c r="AW3319" s="106">
        <v>-31.78</v>
      </c>
      <c r="BC3319" s="106">
        <v>-30.29</v>
      </c>
      <c r="BI3319" s="106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6"/>
        <v>-66.709999999999994</v>
      </c>
      <c r="AN3321" s="106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6"/>
        <v>1011.99</v>
      </c>
      <c r="BC3322" s="106">
        <v>94.99</v>
      </c>
      <c r="BO3322" s="106">
        <v>165.94</v>
      </c>
      <c r="CA3322" s="106">
        <v>161.36000000000001</v>
      </c>
      <c r="CS3322" s="74">
        <v>99.14</v>
      </c>
      <c r="CY3322" s="106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6"/>
        <v>-8.59</v>
      </c>
      <c r="CY3323" s="106">
        <v>-8.59</v>
      </c>
    </row>
    <row r="3324" spans="1:224" x14ac:dyDescent="0.25">
      <c r="A3324" s="127">
        <v>45162</v>
      </c>
      <c r="B3324" s="24" t="s">
        <v>115</v>
      </c>
      <c r="C3324" s="21">
        <f t="shared" si="56"/>
        <v>354.05</v>
      </c>
      <c r="D3324" s="386">
        <v>86.084999999999994</v>
      </c>
      <c r="E3324" s="386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6"/>
        <v>-132.88999999999999</v>
      </c>
      <c r="BO3325" s="106">
        <v>-66.260000000000005</v>
      </c>
      <c r="CA3325" s="106">
        <v>-31.54</v>
      </c>
      <c r="CY3325" s="106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6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6"/>
        <v>-33.69</v>
      </c>
      <c r="BO3327" s="106">
        <v>-33.69</v>
      </c>
    </row>
    <row r="3328" spans="1:224" x14ac:dyDescent="0.25">
      <c r="A3328" s="127">
        <v>45164</v>
      </c>
      <c r="B3328" s="24" t="s">
        <v>48</v>
      </c>
      <c r="C3328" s="21">
        <f t="shared" si="56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6"/>
        <v>-47.85</v>
      </c>
      <c r="BC3329" s="106">
        <v>-47.85</v>
      </c>
    </row>
    <row r="3330" spans="1:221" x14ac:dyDescent="0.25">
      <c r="A3330" s="127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6"/>
        <v>-33.130000000000003</v>
      </c>
      <c r="BC3332" s="106">
        <v>-7.97</v>
      </c>
      <c r="BI3332" s="106">
        <v>-8.44</v>
      </c>
      <c r="BO3332" s="106">
        <v>-8.41</v>
      </c>
      <c r="CA3332" s="106">
        <v>-8.31</v>
      </c>
    </row>
    <row r="3333" spans="1:221" x14ac:dyDescent="0.25">
      <c r="A3333" s="127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6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6"/>
        <v>-16.79</v>
      </c>
      <c r="BO3335" s="106">
        <v>-16.79</v>
      </c>
    </row>
    <row r="3336" spans="1:221" x14ac:dyDescent="0.25">
      <c r="A3336" s="127">
        <v>45167</v>
      </c>
      <c r="B3336" s="24" t="s">
        <v>75</v>
      </c>
      <c r="C3336" s="21">
        <f t="shared" si="56"/>
        <v>-25.26</v>
      </c>
      <c r="BI3336" s="106">
        <v>-16.84</v>
      </c>
      <c r="BO3336" s="106">
        <v>-8.42</v>
      </c>
    </row>
    <row r="3337" spans="1:221" x14ac:dyDescent="0.25">
      <c r="A3337" s="127">
        <v>45167</v>
      </c>
      <c r="B3337" s="24" t="s">
        <v>139</v>
      </c>
      <c r="C3337" s="21">
        <f t="shared" si="56"/>
        <v>-32.82</v>
      </c>
      <c r="BU3337" s="106">
        <v>-8.0500000000000007</v>
      </c>
      <c r="CA3337" s="106">
        <v>-8.3000000000000007</v>
      </c>
      <c r="CG3337" s="106">
        <v>-8.34</v>
      </c>
      <c r="CM3337" s="106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6"/>
        <v>-221.74</v>
      </c>
      <c r="CA3339" s="106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6"/>
        <v>1103.31</v>
      </c>
      <c r="AN3340" s="106">
        <v>103.41</v>
      </c>
      <c r="BO3340" s="106">
        <v>168.46</v>
      </c>
      <c r="CA3340" s="106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6"/>
        <v>-968.2</v>
      </c>
      <c r="AR3341" s="106">
        <v>-27.49</v>
      </c>
      <c r="BC3341" s="106">
        <v>-62.62</v>
      </c>
      <c r="BO3341" s="106">
        <v>-134.75</v>
      </c>
      <c r="CA3341" s="106">
        <v>-188.49</v>
      </c>
      <c r="CG3341" s="106">
        <v>-66.12</v>
      </c>
      <c r="CY3341" s="106">
        <v>-66.94</v>
      </c>
      <c r="DE3341" s="74">
        <v>-65.59</v>
      </c>
      <c r="DK3341" s="106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6"/>
        <v>-98.58</v>
      </c>
      <c r="BO3342" s="106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6"/>
        <v>-16.39</v>
      </c>
      <c r="AW3343" s="106">
        <v>-7.96</v>
      </c>
      <c r="BO3343" s="106">
        <v>-8.43</v>
      </c>
    </row>
    <row r="3344" spans="1:221" x14ac:dyDescent="0.25">
      <c r="A3344" s="127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6"/>
        <v>-8.42</v>
      </c>
      <c r="BO3345" s="106">
        <v>-8.42</v>
      </c>
    </row>
    <row r="3346" spans="1:224" x14ac:dyDescent="0.25">
      <c r="A3346" s="127">
        <v>45169</v>
      </c>
      <c r="B3346" s="24" t="s">
        <v>183</v>
      </c>
      <c r="C3346" s="21">
        <f t="shared" si="56"/>
        <v>-43.33</v>
      </c>
      <c r="CY3346" s="106">
        <v>-43.33</v>
      </c>
    </row>
    <row r="3347" spans="1:224" x14ac:dyDescent="0.25">
      <c r="A3347" s="127">
        <v>45169</v>
      </c>
      <c r="B3347" s="24" t="s">
        <v>84</v>
      </c>
      <c r="C3347" s="21">
        <f t="shared" si="56"/>
        <v>-56.67</v>
      </c>
      <c r="Z3347" s="79">
        <v>-8.6</v>
      </c>
      <c r="AR3347" s="106">
        <v>-14.93</v>
      </c>
      <c r="BO3347" s="106">
        <v>-16.86</v>
      </c>
      <c r="CA3347" s="106">
        <v>-16.28</v>
      </c>
    </row>
    <row r="3348" spans="1:224" x14ac:dyDescent="0.25">
      <c r="A3348" s="127">
        <v>45169</v>
      </c>
      <c r="B3348" s="24" t="s">
        <v>65</v>
      </c>
      <c r="C3348" s="21">
        <f t="shared" si="56"/>
        <v>0</v>
      </c>
    </row>
    <row r="3349" spans="1:224" x14ac:dyDescent="0.25">
      <c r="A3349" s="127">
        <v>45169</v>
      </c>
      <c r="B3349" s="24" t="s">
        <v>53</v>
      </c>
      <c r="C3349" s="21">
        <f t="shared" si="56"/>
        <v>-81.245000000000005</v>
      </c>
      <c r="AD3349" s="115">
        <v>-28.975000000000001</v>
      </c>
      <c r="AG3349" s="106">
        <v>-17.66</v>
      </c>
      <c r="CY3349" s="106">
        <v>-34.61</v>
      </c>
    </row>
    <row r="3350" spans="1:224" x14ac:dyDescent="0.25">
      <c r="A3350" s="127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106">
        <v>-14.95</v>
      </c>
      <c r="AW3350" s="106">
        <f>-15.95-7.96</f>
        <v>-23.91</v>
      </c>
      <c r="CA3350" s="106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6"/>
        <v>-29.504999999999999</v>
      </c>
      <c r="D3354" s="386">
        <v>-7.54</v>
      </c>
      <c r="E3354" s="386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106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6"/>
        <v>1034.0650000000001</v>
      </c>
      <c r="AN3357" s="106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106">
        <v>473.05</v>
      </c>
      <c r="BO3358" s="106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6"/>
        <v>1049.76</v>
      </c>
      <c r="AN3361" s="106">
        <v>58.64</v>
      </c>
      <c r="AR3361" s="106">
        <v>137.44</v>
      </c>
      <c r="AW3361" s="106">
        <v>300.79000000000002</v>
      </c>
      <c r="BC3361" s="106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106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6"/>
        <v>-510.16</v>
      </c>
      <c r="AG3363" s="106">
        <v>-34.28</v>
      </c>
      <c r="AW3363" s="106">
        <v>-70.930000000000007</v>
      </c>
      <c r="BC3363" s="106">
        <v>-34.76</v>
      </c>
      <c r="BO3363" s="106">
        <v>-98.46</v>
      </c>
      <c r="CA3363" s="106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6"/>
        <v>-8.51</v>
      </c>
      <c r="BC3367" s="106">
        <v>-8.51</v>
      </c>
    </row>
    <row r="3368" spans="1:242" x14ac:dyDescent="0.25">
      <c r="A3368" s="127">
        <v>45175</v>
      </c>
      <c r="B3368" s="24" t="s">
        <v>44</v>
      </c>
      <c r="C3368" s="21">
        <f t="shared" si="56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6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6"/>
        <v>-16.149999999999999</v>
      </c>
      <c r="BC3370" s="106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6"/>
        <v>-15.755000000000001</v>
      </c>
      <c r="BO3373" s="106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6"/>
        <v>-10.54</v>
      </c>
      <c r="CA3375" s="106">
        <v>-6.1</v>
      </c>
      <c r="CG3375" s="106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7">SUM(D3377:JT3377)</f>
        <v>-93.004999999999995</v>
      </c>
      <c r="BO3377" s="106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7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7"/>
        <v>-178</v>
      </c>
      <c r="AG3379" s="106">
        <v>-17.13</v>
      </c>
      <c r="AW3379" s="106">
        <v>-45.28</v>
      </c>
      <c r="BC3379" s="106">
        <v>-49.41</v>
      </c>
      <c r="BO3379" s="106">
        <v>-32.68</v>
      </c>
      <c r="DK3379" s="106">
        <v>-33.5</v>
      </c>
    </row>
    <row r="3380" spans="1:224" x14ac:dyDescent="0.25">
      <c r="A3380" s="127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7"/>
        <v>-150.59</v>
      </c>
      <c r="AW3381" s="106">
        <v>-87.04</v>
      </c>
      <c r="BC3381" s="106">
        <v>-63.55</v>
      </c>
    </row>
    <row r="3382" spans="1:224" x14ac:dyDescent="0.25">
      <c r="A3382" s="127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7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7"/>
        <v>-119.51</v>
      </c>
      <c r="X3384" s="42">
        <v>-16.3</v>
      </c>
      <c r="AA3384" s="42">
        <v>-16.84</v>
      </c>
      <c r="AG3384" s="106">
        <v>-17.22</v>
      </c>
      <c r="BC3384" s="106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7"/>
        <v>-596.66999999999996</v>
      </c>
      <c r="AG3385" s="106">
        <v>-68.77</v>
      </c>
      <c r="AR3385" s="106">
        <v>-31.16</v>
      </c>
      <c r="AW3385" s="106">
        <v>-27.55</v>
      </c>
      <c r="BO3385" s="106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7"/>
        <v>-32.83</v>
      </c>
      <c r="AR3386" s="106">
        <v>-7.78</v>
      </c>
      <c r="AW3386" s="106">
        <v>-7.93</v>
      </c>
      <c r="BC3386" s="106">
        <v>-8.48</v>
      </c>
      <c r="BO3386" s="106">
        <v>-8.64</v>
      </c>
    </row>
    <row r="3387" spans="1:224" x14ac:dyDescent="0.25">
      <c r="A3387" s="127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7"/>
        <v>0</v>
      </c>
    </row>
    <row r="3390" spans="1:224" x14ac:dyDescent="0.25">
      <c r="A3390" s="127">
        <v>45181</v>
      </c>
      <c r="B3390" s="24" t="s">
        <v>17</v>
      </c>
      <c r="C3390" s="21">
        <f t="shared" si="57"/>
        <v>-33.590000000000003</v>
      </c>
      <c r="BO3390" s="106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7"/>
        <v>-31.395</v>
      </c>
      <c r="AN3393" s="106">
        <v>-7.24</v>
      </c>
      <c r="AW3393" s="106">
        <v>-7.97</v>
      </c>
      <c r="BC3393" s="106">
        <v>-8.11</v>
      </c>
      <c r="BO3393" s="106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7"/>
        <v>-32.92</v>
      </c>
      <c r="AW3395" s="106">
        <v>-7.95</v>
      </c>
      <c r="BC3395" s="106">
        <v>-8.3699999999999992</v>
      </c>
      <c r="BO3395" s="106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7"/>
        <v>-21.97</v>
      </c>
      <c r="AW3397" s="106">
        <v>-7.98</v>
      </c>
      <c r="BC3397" s="106">
        <v>-9.85</v>
      </c>
      <c r="CM3397" s="106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7"/>
        <v>0</v>
      </c>
    </row>
    <row r="3400" spans="1:235" x14ac:dyDescent="0.25">
      <c r="A3400" s="127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7"/>
        <v>554.72500000000002</v>
      </c>
      <c r="BI3402" s="106">
        <v>65.584999999999994</v>
      </c>
      <c r="CA3402" s="106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7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7"/>
        <v>-550.36</v>
      </c>
      <c r="BC3405" s="106">
        <v>-100.66</v>
      </c>
      <c r="BI3405" s="106">
        <v>-33.29</v>
      </c>
      <c r="CA3405" s="106">
        <v>-69.989999999999995</v>
      </c>
      <c r="CG3405" s="106">
        <v>-63.12</v>
      </c>
      <c r="CR3405" s="375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7"/>
        <v>-9.9700000000000006</v>
      </c>
      <c r="AW3406" s="106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7"/>
        <v>-14.195</v>
      </c>
      <c r="D3407" s="386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7"/>
        <v>-16.905000000000001</v>
      </c>
      <c r="AR3408" s="106">
        <v>-8.31</v>
      </c>
      <c r="BI3408" s="106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7"/>
        <v>-90.77</v>
      </c>
      <c r="AN3409" s="106">
        <v>-14.73</v>
      </c>
      <c r="AR3409" s="106">
        <v>-15.96</v>
      </c>
      <c r="AW3409" s="106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7"/>
        <v>204.85</v>
      </c>
      <c r="CA3410" s="106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7"/>
        <v>-66.19</v>
      </c>
      <c r="AR3411" s="106">
        <v>-14.94</v>
      </c>
      <c r="BC3411" s="106">
        <v>-17.05</v>
      </c>
      <c r="CG3411" s="106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7"/>
        <v>-18.850000000000001</v>
      </c>
      <c r="BI3412" s="106">
        <v>-8.36</v>
      </c>
      <c r="CA3412" s="106">
        <v>-10.49</v>
      </c>
    </row>
    <row r="3413" spans="1:208" x14ac:dyDescent="0.25">
      <c r="A3413" s="127">
        <v>45188</v>
      </c>
      <c r="B3413" s="24" t="s">
        <v>27</v>
      </c>
      <c r="C3413" s="21">
        <f t="shared" si="57"/>
        <v>-15.59</v>
      </c>
      <c r="AR3413" s="106">
        <v>-15.59</v>
      </c>
    </row>
    <row r="3414" spans="1:208" x14ac:dyDescent="0.25">
      <c r="A3414" s="127">
        <v>45188</v>
      </c>
      <c r="B3414" s="24" t="s">
        <v>20</v>
      </c>
      <c r="C3414" s="21">
        <f t="shared" si="57"/>
        <v>-9.6199999999999992</v>
      </c>
      <c r="CA3414" s="106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106">
        <v>-7.94</v>
      </c>
      <c r="BO3415" s="106">
        <v>-8.8149999999999995</v>
      </c>
      <c r="CA3415" s="106">
        <v>-9.14</v>
      </c>
      <c r="CG3415" s="106">
        <v>-17.32</v>
      </c>
    </row>
    <row r="3416" spans="1:208" x14ac:dyDescent="0.25">
      <c r="A3416" s="127">
        <v>45188</v>
      </c>
      <c r="B3416" s="24" t="s">
        <v>79</v>
      </c>
      <c r="C3416" s="21">
        <f t="shared" si="57"/>
        <v>-16.649999999999999</v>
      </c>
      <c r="AW3416" s="106">
        <v>-7.95</v>
      </c>
      <c r="CG3416" s="106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7"/>
        <v>-58.74</v>
      </c>
      <c r="BI3417" s="106">
        <v>-15.34</v>
      </c>
      <c r="BO3417" s="106">
        <v>-17.72</v>
      </c>
      <c r="CA3417" s="106">
        <v>-8.49</v>
      </c>
      <c r="CG3417" s="106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7"/>
        <v>-146.56</v>
      </c>
      <c r="AW3418" s="106">
        <v>-31.18</v>
      </c>
      <c r="BC3418" s="106">
        <v>-30.97</v>
      </c>
      <c r="CE3418" s="42">
        <v>-9.5</v>
      </c>
      <c r="CG3418" s="106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7"/>
        <v>1205.595</v>
      </c>
      <c r="BI3419" s="106">
        <v>165.39500000000001</v>
      </c>
      <c r="BO3419" s="106">
        <v>134.6</v>
      </c>
      <c r="BU3419" s="106">
        <v>158.39500000000001</v>
      </c>
      <c r="CA3419" s="106">
        <v>102.485</v>
      </c>
      <c r="CG3419" s="106">
        <v>95.26</v>
      </c>
      <c r="CS3419" s="74">
        <v>158.58000000000001</v>
      </c>
      <c r="CY3419" s="106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7"/>
        <v>-58.17</v>
      </c>
      <c r="BI3420" s="106">
        <v>-8.3249999999999993</v>
      </c>
      <c r="BO3420" s="106">
        <v>-8.17</v>
      </c>
      <c r="BU3420" s="106">
        <v>-15.945</v>
      </c>
      <c r="CA3420" s="106">
        <v>-17.63</v>
      </c>
      <c r="CG3420" s="106">
        <v>-8.1</v>
      </c>
    </row>
    <row r="3421" spans="1:208" x14ac:dyDescent="0.25">
      <c r="A3421" s="127">
        <v>45189</v>
      </c>
      <c r="B3421" s="24" t="s">
        <v>32</v>
      </c>
      <c r="C3421" s="21">
        <f t="shared" si="57"/>
        <v>-486.21499999999997</v>
      </c>
      <c r="AN3421" s="106">
        <v>-17.239999999999998</v>
      </c>
      <c r="AR3421" s="106">
        <v>-23.26</v>
      </c>
      <c r="AW3421" s="106">
        <v>-28.61</v>
      </c>
      <c r="BC3421" s="106">
        <v>-48.57</v>
      </c>
      <c r="BI3421" s="106">
        <v>-66.094999999999999</v>
      </c>
      <c r="BO3421" s="106">
        <v>-67.239999999999995</v>
      </c>
      <c r="BU3421" s="106">
        <v>-62.2</v>
      </c>
      <c r="CA3421" s="106">
        <v>-42.44</v>
      </c>
      <c r="CG3421" s="106">
        <v>-32.270000000000003</v>
      </c>
      <c r="CS3421" s="74">
        <v>-32.19</v>
      </c>
      <c r="CY3421" s="106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7"/>
        <v>-106.035</v>
      </c>
      <c r="BO3422" s="106">
        <v>-25.55</v>
      </c>
      <c r="BU3422" s="106">
        <v>-24.465</v>
      </c>
      <c r="CA3422" s="106">
        <v>-25.36</v>
      </c>
      <c r="CG3422" s="106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7"/>
        <v>-31.94</v>
      </c>
      <c r="BU3423" s="106">
        <v>-31.94</v>
      </c>
    </row>
    <row r="3424" spans="1:208" x14ac:dyDescent="0.25">
      <c r="A3424" s="127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7"/>
        <v>-31.44</v>
      </c>
      <c r="V3425" s="74">
        <v>-6.92</v>
      </c>
      <c r="AR3425" s="106">
        <v>-7.89</v>
      </c>
      <c r="AW3425" s="106">
        <v>-8.3800000000000008</v>
      </c>
      <c r="BI3425" s="106">
        <v>-8.25</v>
      </c>
    </row>
    <row r="3426" spans="1:224" x14ac:dyDescent="0.25">
      <c r="A3426" s="127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106">
        <v>419.43599999999998</v>
      </c>
      <c r="BI3426" s="106">
        <v>297.54500000000002</v>
      </c>
      <c r="BO3426" s="106">
        <v>272.8</v>
      </c>
      <c r="BU3426" s="106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7"/>
        <v>1450.875</v>
      </c>
      <c r="BI3427" s="106">
        <v>303.98</v>
      </c>
      <c r="BO3427" s="106">
        <v>289.64999999999998</v>
      </c>
      <c r="CG3427" s="106">
        <v>290.07499999999999</v>
      </c>
      <c r="CY3427" s="106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7"/>
        <v>-107.05</v>
      </c>
      <c r="T3428" s="42">
        <v>33.58</v>
      </c>
      <c r="AA3428" s="42">
        <v>33.630000000000003</v>
      </c>
      <c r="AN3428" s="106">
        <v>-15.99</v>
      </c>
      <c r="BI3428" s="106">
        <v>-31.79</v>
      </c>
      <c r="BO3428" s="106">
        <v>-81.87</v>
      </c>
      <c r="BY3428" s="42">
        <v>34.36</v>
      </c>
      <c r="CK3428" s="42">
        <v>34.81</v>
      </c>
      <c r="CS3428" s="74">
        <v>-32.229999999999997</v>
      </c>
      <c r="CY3428" s="106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7"/>
        <v>-206.16</v>
      </c>
      <c r="BO3429" s="106">
        <v>-79.489999999999995</v>
      </c>
      <c r="BU3429" s="106">
        <v>-62.384999999999998</v>
      </c>
      <c r="CG3429" s="106">
        <v>-32.164999999999999</v>
      </c>
      <c r="CY3429" s="106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7"/>
        <v>-517.15499999999997</v>
      </c>
      <c r="AN3430" s="106">
        <v>-34.380000000000003</v>
      </c>
      <c r="AW3430" s="106">
        <v>-65.569999999999993</v>
      </c>
      <c r="BC3430" s="106">
        <v>-28.9</v>
      </c>
      <c r="BI3430" s="106">
        <v>-66.224999999999994</v>
      </c>
      <c r="BO3430" s="106">
        <v>-66.53</v>
      </c>
      <c r="BU3430" s="106">
        <v>-65.33</v>
      </c>
      <c r="CG3430" s="106">
        <v>-60.88</v>
      </c>
      <c r="CS3430" s="74">
        <v>-32.229999999999997</v>
      </c>
      <c r="CY3430" s="106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7"/>
        <v>-31.44</v>
      </c>
      <c r="V3431" s="74">
        <v>-6.92</v>
      </c>
      <c r="AR3431" s="106">
        <v>-7.89</v>
      </c>
      <c r="AU3431" s="42">
        <v>-8.3800000000000008</v>
      </c>
      <c r="BI3431" s="106">
        <v>-8.25</v>
      </c>
    </row>
    <row r="3432" spans="1:224" x14ac:dyDescent="0.25">
      <c r="A3432" s="127">
        <v>45191</v>
      </c>
      <c r="B3432" s="24" t="s">
        <v>48</v>
      </c>
      <c r="C3432" s="21">
        <f t="shared" si="57"/>
        <v>-14.68</v>
      </c>
      <c r="AN3432" s="106">
        <v>-14.68</v>
      </c>
    </row>
    <row r="3433" spans="1:224" x14ac:dyDescent="0.25">
      <c r="A3433" s="127">
        <v>45191</v>
      </c>
      <c r="B3433" s="24" t="s">
        <v>84</v>
      </c>
      <c r="C3433" s="21">
        <f t="shared" si="57"/>
        <v>-42.814999999999998</v>
      </c>
      <c r="BU3433" s="106">
        <v>-17.004999999999999</v>
      </c>
      <c r="CA3433" s="106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7"/>
        <v>-50.77</v>
      </c>
      <c r="BI3434" s="106">
        <v>-16.565000000000001</v>
      </c>
      <c r="BU3434" s="106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7"/>
        <v>-49.755000000000003</v>
      </c>
      <c r="AW3435" s="106">
        <v>-8.42</v>
      </c>
      <c r="BC3435" s="106">
        <v>-8.4</v>
      </c>
      <c r="BI3435" s="106">
        <v>-7.57</v>
      </c>
      <c r="BO3435" s="106">
        <v>-8.7149999999999999</v>
      </c>
      <c r="BY3435" s="42">
        <v>-8.5500000000000007</v>
      </c>
      <c r="CG3435" s="106">
        <v>-8.1</v>
      </c>
    </row>
    <row r="3436" spans="1:224" x14ac:dyDescent="0.25">
      <c r="A3436" s="127">
        <v>45191</v>
      </c>
      <c r="B3436" s="24" t="s">
        <v>79</v>
      </c>
      <c r="C3436" s="21">
        <f t="shared" si="57"/>
        <v>-33.244999999999997</v>
      </c>
      <c r="BO3436" s="106">
        <v>-8.4600000000000009</v>
      </c>
      <c r="CA3436" s="106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7"/>
        <v>-91.57</v>
      </c>
      <c r="BU3437" s="106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7"/>
        <v>-64.704999999999998</v>
      </c>
      <c r="BI3438" s="106">
        <v>-8.59</v>
      </c>
      <c r="BU3438" s="106">
        <v>-15.904999999999999</v>
      </c>
      <c r="CY3438" s="106">
        <v>-40.21</v>
      </c>
    </row>
    <row r="3439" spans="1:224" x14ac:dyDescent="0.25">
      <c r="A3439" s="127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7"/>
        <v>-16.59</v>
      </c>
      <c r="BU3440" s="106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8">SUM(D3441:JT3441)</f>
        <v>-31.3</v>
      </c>
      <c r="AN3441" s="106">
        <v>-6.43</v>
      </c>
      <c r="AR3441" s="106">
        <v>-7.77</v>
      </c>
      <c r="BC3441" s="106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8"/>
        <v>953.86400000000003</v>
      </c>
      <c r="BU3442" s="106">
        <v>311.10399999999998</v>
      </c>
      <c r="CA3442" s="106">
        <v>97.18</v>
      </c>
      <c r="CM3442" s="106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8"/>
        <v>-178.48</v>
      </c>
      <c r="BU3443" s="106">
        <v>-30.64</v>
      </c>
      <c r="CA3443" s="106">
        <v>-32.840000000000003</v>
      </c>
      <c r="CM3443" s="106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8"/>
        <v>-38.725000000000001</v>
      </c>
      <c r="BI3444" s="106">
        <f>-8.09-8.08</f>
        <v>-16.170000000000002</v>
      </c>
      <c r="BO3444" s="106">
        <v>-8.23</v>
      </c>
      <c r="BU3444" s="106">
        <v>-7.5750000000000002</v>
      </c>
      <c r="CA3444" s="106">
        <v>-6.75</v>
      </c>
    </row>
    <row r="3445" spans="1:150" x14ac:dyDescent="0.25">
      <c r="A3445" s="127">
        <v>45192</v>
      </c>
      <c r="B3445" s="24" t="s">
        <v>184</v>
      </c>
      <c r="C3445" s="21">
        <f t="shared" si="58"/>
        <v>-308.03500000000003</v>
      </c>
      <c r="AN3445" s="106">
        <v>-8.6199999999999992</v>
      </c>
      <c r="AR3445" s="106">
        <v>-7.72</v>
      </c>
      <c r="BC3445" s="106">
        <v>-31.28</v>
      </c>
      <c r="BI3445" s="106">
        <v>-31.98</v>
      </c>
      <c r="BO3445" s="106">
        <v>-64.3</v>
      </c>
      <c r="BU3445" s="106">
        <v>-49.494999999999997</v>
      </c>
      <c r="CA3445" s="106">
        <v>-33.31</v>
      </c>
      <c r="CG3445" s="106">
        <v>-16.13</v>
      </c>
      <c r="CM3445" s="106">
        <v>-16.03</v>
      </c>
      <c r="CS3445" s="74">
        <v>-16.16</v>
      </c>
      <c r="CY3445" s="106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8"/>
        <v>-131.40299999999999</v>
      </c>
      <c r="BI3446" s="106">
        <v>-29.38</v>
      </c>
      <c r="BO3446" s="106">
        <v>-34</v>
      </c>
      <c r="BU3446" s="106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8"/>
        <v>-41.8</v>
      </c>
      <c r="BC3448" s="106">
        <v>-8.65</v>
      </c>
      <c r="BI3448" s="106">
        <v>-16.809999999999999</v>
      </c>
      <c r="BO3448" s="106">
        <v>-7.8150000000000004</v>
      </c>
      <c r="BU3448" s="106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8"/>
        <v>-48.68</v>
      </c>
      <c r="AA3449" s="42">
        <v>-16.52</v>
      </c>
      <c r="CM3449" s="106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8"/>
        <v>-34.520000000000003</v>
      </c>
      <c r="AN3450" s="106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8"/>
        <v>-47.634999999999998</v>
      </c>
      <c r="AW3451" s="106">
        <v>-6.94</v>
      </c>
      <c r="BI3451" s="106">
        <v>-8.15</v>
      </c>
      <c r="BO3451" s="106">
        <v>-8.02</v>
      </c>
      <c r="BU3451" s="106">
        <v>-8.0500000000000007</v>
      </c>
      <c r="CA3451" s="106">
        <v>-8.1999999999999993</v>
      </c>
      <c r="CG3451" s="106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106">
        <v>-7.84</v>
      </c>
      <c r="AW3453" s="106">
        <v>-15.86</v>
      </c>
      <c r="BC3453" s="106">
        <v>-22.38</v>
      </c>
      <c r="BI3453" s="106">
        <v>-16.27</v>
      </c>
      <c r="BO3453" s="106">
        <v>-15.95</v>
      </c>
      <c r="BU3453" s="106">
        <v>-15.555</v>
      </c>
      <c r="CA3453" s="106">
        <v>-16.079999999999998</v>
      </c>
      <c r="CG3453" s="106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8"/>
        <v>-32.15</v>
      </c>
      <c r="BC3454" s="106">
        <v>-7.75</v>
      </c>
      <c r="BI3454" s="106">
        <v>-8.14</v>
      </c>
      <c r="BO3454" s="106">
        <v>-8.02</v>
      </c>
      <c r="BU3454" s="106">
        <v>-8.24</v>
      </c>
    </row>
    <row r="3455" spans="1:150" x14ac:dyDescent="0.25">
      <c r="A3455" s="127">
        <v>45195</v>
      </c>
      <c r="B3455" s="24" t="s">
        <v>113</v>
      </c>
      <c r="C3455" s="21">
        <f t="shared" si="58"/>
        <v>1176.79</v>
      </c>
      <c r="CA3455" s="106">
        <f>213.64+128.87</f>
        <v>342.51</v>
      </c>
      <c r="CS3455" s="74">
        <v>314.37</v>
      </c>
      <c r="DE3455" s="74">
        <v>102.71</v>
      </c>
      <c r="DK3455" s="106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8"/>
        <v>-100.64</v>
      </c>
      <c r="BC3456" s="106">
        <v>-16.5</v>
      </c>
      <c r="BI3456" s="106">
        <v>-17.105</v>
      </c>
      <c r="BO3456" s="106">
        <v>-17.13</v>
      </c>
      <c r="CA3456" s="106">
        <v>-16.22</v>
      </c>
      <c r="CG3456" s="106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8"/>
        <v>-17.73</v>
      </c>
      <c r="CA3457" s="106">
        <v>-17.73</v>
      </c>
    </row>
    <row r="3458" spans="1:221" x14ac:dyDescent="0.25">
      <c r="A3458" s="127">
        <v>45196</v>
      </c>
      <c r="B3458" s="24" t="s">
        <v>57</v>
      </c>
      <c r="C3458" s="21">
        <f t="shared" si="58"/>
        <v>-16.84</v>
      </c>
      <c r="BC3458" s="106">
        <v>-8.2100000000000009</v>
      </c>
      <c r="BI3458" s="106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8"/>
        <v>-41.435000000000002</v>
      </c>
      <c r="CM3459" s="106">
        <v>-16.63</v>
      </c>
      <c r="CS3459" s="74">
        <v>-16.765000000000001</v>
      </c>
      <c r="CY3459" s="106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8"/>
        <v>-1170.375</v>
      </c>
      <c r="P3460" s="106">
        <v>-33.229999999999997</v>
      </c>
      <c r="T3460" s="42">
        <v>-33.58</v>
      </c>
      <c r="AW3460" s="106">
        <v>-61.12</v>
      </c>
      <c r="BC3460" s="106">
        <v>-67.040000000000006</v>
      </c>
      <c r="BO3460" s="106">
        <v>-67.805000000000007</v>
      </c>
      <c r="BU3460" s="106">
        <v>-68.245000000000005</v>
      </c>
      <c r="CA3460" s="106">
        <v>-170.655</v>
      </c>
      <c r="CG3460" s="106">
        <v>-64.224999999999994</v>
      </c>
      <c r="CM3460" s="106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8"/>
        <v>1157.8599999999999</v>
      </c>
      <c r="CM3461" s="106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8"/>
        <v>-140.38</v>
      </c>
      <c r="E3462" s="386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8"/>
        <v>-39.840000000000003</v>
      </c>
      <c r="AN3463" s="106">
        <v>-5.91</v>
      </c>
      <c r="BI3463" s="106">
        <v>-16.864999999999998</v>
      </c>
      <c r="BO3463" s="106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8"/>
        <v>-14.345000000000001</v>
      </c>
      <c r="BI3464" s="106">
        <v>-7.5149999999999997</v>
      </c>
      <c r="BU3464" s="106">
        <v>-6.83</v>
      </c>
    </row>
    <row r="3465" spans="1:221" x14ac:dyDescent="0.25">
      <c r="A3465" s="127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8"/>
        <v>204.52</v>
      </c>
      <c r="AW3466" s="106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8"/>
        <v>-68.34</v>
      </c>
      <c r="BO3467" s="106">
        <v>-68.34</v>
      </c>
    </row>
    <row r="3468" spans="1:221" x14ac:dyDescent="0.25">
      <c r="A3468" s="127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8"/>
        <v>1082.3800000000001</v>
      </c>
      <c r="L3469" s="69">
        <v>312.32</v>
      </c>
      <c r="AW3469" s="106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8"/>
        <v>-49.256</v>
      </c>
      <c r="BC3470" s="106">
        <v>-33.340000000000003</v>
      </c>
      <c r="BU3470" s="106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8"/>
        <v>134.51</v>
      </c>
      <c r="AR3471" s="106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8"/>
        <v>-7.18</v>
      </c>
      <c r="CY3472" s="106">
        <v>-7.18</v>
      </c>
    </row>
    <row r="3473" spans="1:224" x14ac:dyDescent="0.25">
      <c r="A3473" s="127">
        <v>45198</v>
      </c>
      <c r="B3473" s="24" t="s">
        <v>33</v>
      </c>
      <c r="C3473" s="21">
        <f t="shared" si="58"/>
        <v>-41.99</v>
      </c>
      <c r="AW3473" s="106">
        <v>-7.94</v>
      </c>
      <c r="BC3473" s="106">
        <v>-8.36</v>
      </c>
      <c r="BI3473" s="106">
        <v>-8.9350000000000005</v>
      </c>
      <c r="BO3473" s="106">
        <v>-8.6449999999999996</v>
      </c>
      <c r="BU3473" s="106">
        <v>-8.11</v>
      </c>
    </row>
    <row r="3474" spans="1:224" x14ac:dyDescent="0.25">
      <c r="A3474" s="127">
        <v>45198</v>
      </c>
      <c r="B3474" s="24" t="s">
        <v>25</v>
      </c>
      <c r="C3474" s="21">
        <f t="shared" si="58"/>
        <v>-25.28</v>
      </c>
      <c r="V3474" s="74">
        <v>-8.11</v>
      </c>
      <c r="AG3474" s="106">
        <v>-8.6199999999999992</v>
      </c>
      <c r="AN3474" s="106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8"/>
        <v>-31.92</v>
      </c>
      <c r="AW3475" s="106">
        <v>-7.97</v>
      </c>
      <c r="BC3475" s="106">
        <v>-8.24</v>
      </c>
      <c r="BI3475" s="106">
        <v>-7.9649999999999999</v>
      </c>
      <c r="BU3475" s="106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8"/>
        <v>-15.15</v>
      </c>
      <c r="Z3476" s="79">
        <v>-6.67</v>
      </c>
      <c r="CA3476" s="106">
        <v>-8.48</v>
      </c>
    </row>
    <row r="3477" spans="1:224" x14ac:dyDescent="0.25">
      <c r="A3477" s="127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106">
        <v>-15.93</v>
      </c>
      <c r="BC3477" s="106">
        <v>-8.41</v>
      </c>
      <c r="BI3477" s="106">
        <v>-8.23</v>
      </c>
      <c r="BU3477" s="106">
        <v>-8.5500000000000007</v>
      </c>
      <c r="CA3477" s="106">
        <v>-8.4250000000000007</v>
      </c>
      <c r="CG3477" s="106">
        <v>-8.2050000000000001</v>
      </c>
      <c r="CM3477" s="106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8"/>
        <v>-288.16500000000002</v>
      </c>
      <c r="AR3478" s="106">
        <v>-16.504999999999999</v>
      </c>
      <c r="AW3478" s="106">
        <v>-36.26</v>
      </c>
      <c r="BC3478" s="106">
        <v>-33.549999999999997</v>
      </c>
      <c r="BI3478" s="106">
        <v>-34.484999999999999</v>
      </c>
      <c r="BM3478" s="88">
        <v>-15.82</v>
      </c>
      <c r="BU3478" s="106">
        <v>-32.9</v>
      </c>
      <c r="CA3478" s="106">
        <v>-68.489999999999995</v>
      </c>
      <c r="CG3478" s="106">
        <v>-33.585000000000001</v>
      </c>
      <c r="CM3478" s="106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8"/>
        <v>-180.07499999999999</v>
      </c>
      <c r="AR3479" s="106">
        <v>-33.119999999999997</v>
      </c>
      <c r="BC3479" s="106">
        <v>-33.61</v>
      </c>
      <c r="BI3479" s="106">
        <v>-29.9</v>
      </c>
      <c r="BO3479" s="106">
        <v>-16.344999999999999</v>
      </c>
      <c r="CA3479" s="106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8"/>
        <v>-136.12</v>
      </c>
      <c r="CM3480" s="106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8"/>
        <v>-16.96</v>
      </c>
      <c r="BU3482" s="106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8"/>
        <v>-42.09</v>
      </c>
      <c r="BI3486" s="106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8"/>
        <v>-16.756</v>
      </c>
      <c r="BC3487" s="106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106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8"/>
        <v>-100.86499999999999</v>
      </c>
      <c r="M3490" s="92">
        <v>-9.31</v>
      </c>
      <c r="Z3490" s="79">
        <v>-7.47</v>
      </c>
      <c r="AN3490" s="106">
        <v>-8.6300000000000008</v>
      </c>
      <c r="AW3490" s="106">
        <v>-7.99</v>
      </c>
      <c r="BC3490" s="106">
        <v>-16.84</v>
      </c>
      <c r="BO3490" s="106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8"/>
        <v>-24.99</v>
      </c>
      <c r="BM3491" s="88">
        <v>-7.86</v>
      </c>
      <c r="BY3491" s="42">
        <v>-8.7799999999999994</v>
      </c>
      <c r="CM3491" s="106">
        <v>-8.35</v>
      </c>
    </row>
    <row r="3492" spans="1:137" x14ac:dyDescent="0.25">
      <c r="A3492" s="127">
        <v>45202</v>
      </c>
      <c r="B3492" s="24" t="s">
        <v>139</v>
      </c>
      <c r="C3492" s="21">
        <f t="shared" si="58"/>
        <v>-48.354999999999997</v>
      </c>
      <c r="BU3492" s="106">
        <v>-7.79</v>
      </c>
      <c r="CA3492" s="106">
        <v>-8.4049999999999994</v>
      </c>
      <c r="CG3492" s="106">
        <v>-8.0399999999999991</v>
      </c>
      <c r="CS3492" s="74">
        <v>-8.02</v>
      </c>
      <c r="CY3492" s="106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8"/>
        <v>-66.260000000000005</v>
      </c>
      <c r="AW3493" s="106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8"/>
        <v>-25.58</v>
      </c>
      <c r="E3494" s="386">
        <v>-25.58</v>
      </c>
    </row>
    <row r="3495" spans="1:137" x14ac:dyDescent="0.25">
      <c r="A3495" s="127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8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8"/>
        <v>-16.645</v>
      </c>
      <c r="CG3497" s="106">
        <v>-8.2650000000000006</v>
      </c>
      <c r="CM3497" s="106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8"/>
        <v>-156.85499999999999</v>
      </c>
      <c r="AR3498" s="106">
        <v>-24.02</v>
      </c>
      <c r="AW3498" s="106">
        <v>-8.1</v>
      </c>
      <c r="BC3498" s="106">
        <v>-16.809999999999999</v>
      </c>
      <c r="BI3498" s="106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8"/>
        <v>-152.02500000000001</v>
      </c>
      <c r="AN3499" s="106">
        <v>-8.59</v>
      </c>
      <c r="BC3499" s="106">
        <v>-75.5</v>
      </c>
      <c r="BI3499" s="106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27">
        <v>45204</v>
      </c>
      <c r="B3500" s="24" t="s">
        <v>17</v>
      </c>
      <c r="C3500" s="21">
        <f t="shared" si="58"/>
        <v>-67.069999999999993</v>
      </c>
      <c r="AW3500" s="106">
        <f>-9-8.01</f>
        <v>-17.010000000000002</v>
      </c>
      <c r="BC3500" s="106">
        <f>-8.42-8.37</f>
        <v>-16.79</v>
      </c>
      <c r="BI3500" s="106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106">
        <v>-3.5</v>
      </c>
      <c r="CG3501" s="106">
        <v>-7.98</v>
      </c>
    </row>
    <row r="3502" spans="1:137" x14ac:dyDescent="0.25">
      <c r="A3502" s="127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8"/>
        <v>936.44500000000005</v>
      </c>
      <c r="BO3503" s="106">
        <v>149.93</v>
      </c>
      <c r="BU3503" s="106">
        <v>150.9</v>
      </c>
      <c r="CA3503" s="106">
        <v>161.30500000000001</v>
      </c>
      <c r="CG3503" s="106">
        <v>165.73</v>
      </c>
      <c r="CY3503" s="106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9">SUM(D3505:JT3505)</f>
        <v>-7.835</v>
      </c>
      <c r="BI3505" s="106">
        <v>-7.835</v>
      </c>
    </row>
    <row r="3506" spans="1:235" x14ac:dyDescent="0.25">
      <c r="A3506" s="127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9"/>
        <v>-168.34</v>
      </c>
      <c r="AW3507" s="106">
        <v>-36.14</v>
      </c>
      <c r="BC3507" s="106">
        <v>-16.91</v>
      </c>
      <c r="BI3507" s="106">
        <v>-33.24</v>
      </c>
      <c r="CS3507" s="74">
        <v>-16.675000000000001</v>
      </c>
      <c r="CY3507" s="106">
        <v>-32.130000000000003</v>
      </c>
      <c r="DK3507" s="106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9"/>
        <v>-103.55</v>
      </c>
      <c r="AN3509" s="106">
        <v>-68.98</v>
      </c>
      <c r="AW3509" s="106">
        <v>-34.57</v>
      </c>
    </row>
    <row r="3510" spans="1:235" x14ac:dyDescent="0.25">
      <c r="A3510" s="127">
        <v>45208</v>
      </c>
      <c r="B3510" s="24" t="s">
        <v>17</v>
      </c>
      <c r="C3510" s="21">
        <f t="shared" si="59"/>
        <v>-43.2</v>
      </c>
      <c r="AN3510" s="106">
        <v>-8.64</v>
      </c>
      <c r="AW3510" s="106">
        <v>-9.1</v>
      </c>
      <c r="BI3510" s="106">
        <v>-8.4700000000000006</v>
      </c>
      <c r="BO3510" s="106">
        <v>-8.65</v>
      </c>
      <c r="BU3510" s="106">
        <v>-8.34</v>
      </c>
    </row>
    <row r="3511" spans="1:235" x14ac:dyDescent="0.25">
      <c r="A3511" s="127">
        <v>45209</v>
      </c>
      <c r="B3511" s="24" t="s">
        <v>20</v>
      </c>
      <c r="C3511" s="21">
        <f t="shared" si="59"/>
        <v>-32.32</v>
      </c>
      <c r="P3511" s="106">
        <v>-7.26</v>
      </c>
      <c r="AW3511" s="106">
        <v>-9.02</v>
      </c>
      <c r="BC3511" s="106">
        <v>-8.48</v>
      </c>
      <c r="BI3511" s="106">
        <v>-7.56</v>
      </c>
    </row>
    <row r="3512" spans="1:235" x14ac:dyDescent="0.25">
      <c r="A3512" s="127">
        <v>45209</v>
      </c>
      <c r="B3512" s="24" t="s">
        <v>133</v>
      </c>
      <c r="C3512" s="21">
        <f t="shared" si="59"/>
        <v>-152.03</v>
      </c>
      <c r="AG3512" s="106">
        <v>-34.4</v>
      </c>
      <c r="BC3512" s="106">
        <v>-33.72</v>
      </c>
      <c r="BO3512" s="106">
        <v>-35.380000000000003</v>
      </c>
      <c r="BU3512" s="106">
        <v>-16.72</v>
      </c>
      <c r="CA3512" s="106">
        <v>-31.81</v>
      </c>
    </row>
    <row r="3513" spans="1:235" x14ac:dyDescent="0.25">
      <c r="A3513" s="127">
        <v>45209</v>
      </c>
      <c r="B3513" s="24" t="s">
        <v>75</v>
      </c>
      <c r="C3513" s="21">
        <f t="shared" si="59"/>
        <v>-17.63</v>
      </c>
      <c r="BA3513" s="42">
        <v>-9.32</v>
      </c>
      <c r="BO3513" s="106">
        <v>-8.31</v>
      </c>
    </row>
    <row r="3514" spans="1:235" x14ac:dyDescent="0.25">
      <c r="A3514" s="127">
        <v>45209</v>
      </c>
      <c r="B3514" s="24" t="s">
        <v>29</v>
      </c>
      <c r="C3514" s="21">
        <f t="shared" si="59"/>
        <v>-16.36</v>
      </c>
      <c r="BO3514" s="106">
        <v>-8.01</v>
      </c>
      <c r="BU3514" s="106">
        <v>-8.35</v>
      </c>
    </row>
    <row r="3515" spans="1:235" x14ac:dyDescent="0.25">
      <c r="A3515" s="127">
        <v>45209</v>
      </c>
      <c r="B3515" s="24" t="s">
        <v>152</v>
      </c>
      <c r="C3515" s="21">
        <f t="shared" si="59"/>
        <v>-100.81</v>
      </c>
      <c r="BU3515" s="106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106">
        <v>-32.15</v>
      </c>
      <c r="BA3516" s="42">
        <v>-27.66</v>
      </c>
      <c r="BI3516" s="106">
        <f>-32.715-33.535</f>
        <v>-66.25</v>
      </c>
      <c r="BO3516" s="106">
        <f>-39.975-32.935</f>
        <v>-72.91</v>
      </c>
      <c r="BU3516" s="106">
        <v>-16.68</v>
      </c>
      <c r="CA3516" s="106">
        <v>-15.79</v>
      </c>
      <c r="CG3516" s="106">
        <v>-16.600000000000001</v>
      </c>
      <c r="CM3516" s="106">
        <v>-16.75</v>
      </c>
    </row>
    <row r="3517" spans="1:235" x14ac:dyDescent="0.25">
      <c r="A3517" s="127">
        <v>45209</v>
      </c>
      <c r="B3517" s="24" t="s">
        <v>48</v>
      </c>
      <c r="C3517" s="21">
        <f t="shared" si="59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9"/>
        <v>-8.11</v>
      </c>
      <c r="AR3519" s="106">
        <v>-8.11</v>
      </c>
    </row>
    <row r="3520" spans="1:235" x14ac:dyDescent="0.25">
      <c r="A3520" s="127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106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9"/>
        <v>-64.11</v>
      </c>
      <c r="BA3524" s="42">
        <v>-9.19</v>
      </c>
      <c r="BI3524" s="106">
        <v>-13.8</v>
      </c>
      <c r="BO3524" s="106">
        <v>-8.0500000000000007</v>
      </c>
      <c r="CG3524" s="106">
        <v>-16.32</v>
      </c>
      <c r="CM3524" s="106">
        <v>-16.75</v>
      </c>
    </row>
    <row r="3525" spans="1:216" x14ac:dyDescent="0.25">
      <c r="A3525" s="127">
        <v>45211</v>
      </c>
      <c r="B3525" s="24" t="s">
        <v>48</v>
      </c>
      <c r="C3525" s="21">
        <f t="shared" si="59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106">
        <v>260.18</v>
      </c>
      <c r="AN3526" s="106">
        <v>276.38</v>
      </c>
      <c r="BI3526" s="106">
        <v>180.51</v>
      </c>
      <c r="CS3526" s="74">
        <v>229.76499999999999</v>
      </c>
      <c r="CY3526" s="106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9"/>
        <v>-239.745</v>
      </c>
      <c r="AW3527" s="106">
        <v>-72.19</v>
      </c>
      <c r="BM3527" s="88">
        <v>-34.89</v>
      </c>
      <c r="CG3527" s="106">
        <v>-66.349999999999994</v>
      </c>
      <c r="CS3527" s="74">
        <v>-33.145000000000003</v>
      </c>
      <c r="CY3527" s="106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9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9"/>
        <v>0</v>
      </c>
    </row>
    <row r="3531" spans="1:216" x14ac:dyDescent="0.25">
      <c r="A3531" s="127">
        <v>45211</v>
      </c>
      <c r="B3531" s="29" t="s">
        <v>185</v>
      </c>
      <c r="C3531" s="21">
        <f t="shared" si="59"/>
        <v>-25.49</v>
      </c>
      <c r="P3531" s="106">
        <v>-7.29</v>
      </c>
      <c r="AW3531" s="106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9"/>
        <v>-36.06</v>
      </c>
      <c r="AW3532" s="106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9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9"/>
        <v>-58.16</v>
      </c>
      <c r="V3534" s="74">
        <v>-7.56</v>
      </c>
      <c r="AC3534" s="106">
        <v>-8.15</v>
      </c>
      <c r="AG3534" s="106">
        <v>-8.6199999999999992</v>
      </c>
      <c r="AN3534" s="106">
        <v>-8.61</v>
      </c>
      <c r="BI3534" s="106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9"/>
        <v>-35.97</v>
      </c>
      <c r="BA3535" s="42">
        <v>-18.7</v>
      </c>
      <c r="BO3535" s="106">
        <v>-17.27</v>
      </c>
    </row>
    <row r="3536" spans="1:216" x14ac:dyDescent="0.25">
      <c r="A3536" s="127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9"/>
        <v>-49.61</v>
      </c>
      <c r="P3537" s="106">
        <v>-8.51</v>
      </c>
      <c r="AC3537" s="106">
        <v>-8.1300000000000008</v>
      </c>
      <c r="AG3537" s="106">
        <v>-8.6</v>
      </c>
      <c r="AN3537" s="106">
        <v>-9.1300000000000008</v>
      </c>
      <c r="AW3537" s="106">
        <v>-6.96</v>
      </c>
      <c r="CA3537" s="106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9"/>
        <v>-40.97</v>
      </c>
      <c r="AC3538" s="106">
        <v>-7.44</v>
      </c>
      <c r="BS3538" s="42">
        <v>-8.2100000000000009</v>
      </c>
      <c r="BY3538" s="42">
        <v>-8.77</v>
      </c>
      <c r="CM3538" s="106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9"/>
        <v>-124.645</v>
      </c>
      <c r="Z3539" s="79">
        <v>-28.84</v>
      </c>
      <c r="BI3539" s="106">
        <v>-28.76</v>
      </c>
      <c r="DK3539" s="106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9"/>
        <v>-16.93</v>
      </c>
      <c r="AW3540" s="106">
        <v>-8.69</v>
      </c>
      <c r="CY3540" s="106">
        <v>-8.24</v>
      </c>
    </row>
    <row r="3541" spans="1:221" x14ac:dyDescent="0.25">
      <c r="A3541" s="127">
        <v>45213</v>
      </c>
      <c r="B3541" s="24" t="s">
        <v>113</v>
      </c>
      <c r="C3541" s="21">
        <f t="shared" si="59"/>
        <v>1008.77</v>
      </c>
      <c r="BO3541" s="106">
        <v>167.69</v>
      </c>
      <c r="BU3541" s="106">
        <v>161.785</v>
      </c>
      <c r="CA3541" s="106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9"/>
        <v>-233.565</v>
      </c>
      <c r="AC3542" s="106">
        <v>-24.46</v>
      </c>
      <c r="AW3542" s="106">
        <v>-13.85</v>
      </c>
      <c r="BI3542" s="106">
        <v>-15.88</v>
      </c>
      <c r="BO3542" s="106">
        <v>-23.94</v>
      </c>
      <c r="BU3542" s="106">
        <v>-64.430000000000007</v>
      </c>
      <c r="CA3542" s="106">
        <v>-32.984999999999999</v>
      </c>
      <c r="CG3542" s="106">
        <v>-16.66</v>
      </c>
      <c r="CM3542" s="106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9"/>
        <v>-100.155</v>
      </c>
      <c r="AR3543" s="106">
        <v>-33.99</v>
      </c>
      <c r="BO3543" s="106">
        <v>-33.9</v>
      </c>
      <c r="BU3543" s="106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9"/>
        <v>-31.12</v>
      </c>
      <c r="BU3545" s="106">
        <v>-31.12</v>
      </c>
    </row>
    <row r="3546" spans="1:221" x14ac:dyDescent="0.25">
      <c r="A3546" s="127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9"/>
        <v>-46.524999999999999</v>
      </c>
      <c r="BI3548" s="106">
        <v>-14.835000000000001</v>
      </c>
      <c r="CA3548" s="106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9"/>
        <v>-15.92</v>
      </c>
      <c r="BO3549" s="106">
        <v>-15.92</v>
      </c>
    </row>
    <row r="3550" spans="1:221" x14ac:dyDescent="0.25">
      <c r="A3550" s="127">
        <v>45216</v>
      </c>
      <c r="B3550" s="24" t="s">
        <v>20</v>
      </c>
      <c r="C3550" s="21">
        <f t="shared" si="59"/>
        <v>-60.35</v>
      </c>
      <c r="CA3550" s="106">
        <v>-8.3849999999999998</v>
      </c>
      <c r="CG3550" s="106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9"/>
        <v>31.27</v>
      </c>
      <c r="DG3551" s="126">
        <v>15.97</v>
      </c>
      <c r="DM3551" s="46">
        <v>15.3</v>
      </c>
    </row>
    <row r="3552" spans="1:221" x14ac:dyDescent="0.25">
      <c r="A3552" s="127">
        <v>45216</v>
      </c>
      <c r="B3552" s="24" t="s">
        <v>25</v>
      </c>
      <c r="C3552" s="21">
        <f t="shared" si="59"/>
        <v>-24.37</v>
      </c>
      <c r="DE3552" s="74">
        <v>-5.3</v>
      </c>
      <c r="DG3552" s="126">
        <v>-7.68</v>
      </c>
      <c r="DK3552" s="106">
        <v>-3.82</v>
      </c>
      <c r="DM3552" s="46">
        <v>-7.57</v>
      </c>
    </row>
    <row r="3553" spans="1:226" x14ac:dyDescent="0.25">
      <c r="A3553" s="127">
        <v>45217</v>
      </c>
      <c r="B3553" s="24" t="s">
        <v>113</v>
      </c>
      <c r="C3553" s="21">
        <f t="shared" si="59"/>
        <v>978.44500000000005</v>
      </c>
      <c r="BC3553" s="106">
        <v>429.04</v>
      </c>
      <c r="BI3553" s="106">
        <v>204.81</v>
      </c>
      <c r="BU3553" s="106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9"/>
        <v>-1.37</v>
      </c>
      <c r="BU3555" s="106">
        <v>-1.37</v>
      </c>
    </row>
    <row r="3556" spans="1:226" x14ac:dyDescent="0.25">
      <c r="A3556" s="127">
        <v>45217</v>
      </c>
      <c r="B3556" s="24" t="s">
        <v>48</v>
      </c>
      <c r="C3556" s="21">
        <f t="shared" si="59"/>
        <v>-8.64</v>
      </c>
      <c r="BO3556" s="106">
        <v>-8.64</v>
      </c>
    </row>
    <row r="3557" spans="1:226" x14ac:dyDescent="0.25">
      <c r="A3557" s="127">
        <v>45218</v>
      </c>
      <c r="B3557" s="24" t="s">
        <v>161</v>
      </c>
      <c r="C3557" s="21">
        <f t="shared" si="59"/>
        <v>-31.43</v>
      </c>
      <c r="AG3557" s="106">
        <v>-17.22</v>
      </c>
      <c r="BC3557" s="106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9"/>
        <v>-437.26</v>
      </c>
      <c r="BC3558" s="106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9"/>
        <v>-65.765000000000001</v>
      </c>
      <c r="AN3559" s="106">
        <v>-8.68</v>
      </c>
      <c r="AR3559" s="106">
        <v>-8.83</v>
      </c>
      <c r="AW3559" s="106">
        <v>-6.9249999999999998</v>
      </c>
      <c r="BC3559" s="106">
        <v>-6.99</v>
      </c>
      <c r="BI3559" s="106">
        <v>-9.08</v>
      </c>
      <c r="BO3559" s="106">
        <v>-8.6199999999999992</v>
      </c>
      <c r="BU3559" s="106">
        <v>-8.35</v>
      </c>
      <c r="CA3559" s="106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9"/>
        <v>-1184.9449999999999</v>
      </c>
      <c r="BC3560" s="106">
        <v>-85.27</v>
      </c>
      <c r="BI3560" s="106">
        <v>-137.15</v>
      </c>
      <c r="BO3560" s="106">
        <v>-35.090000000000003</v>
      </c>
      <c r="BU3560" s="106">
        <v>-31.795000000000002</v>
      </c>
      <c r="CA3560" s="106">
        <v>-132.63499999999999</v>
      </c>
      <c r="CG3560" s="106">
        <v>-134.85</v>
      </c>
      <c r="CM3560" s="106">
        <v>-132.4</v>
      </c>
      <c r="CS3560" s="74">
        <v>-67.015000000000001</v>
      </c>
      <c r="CY3560" s="106">
        <v>-66.05</v>
      </c>
      <c r="DE3560" s="74">
        <v>-36.01</v>
      </c>
      <c r="DK3560" s="106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9"/>
        <v>-33.200000000000003</v>
      </c>
      <c r="BU3561" s="106">
        <v>-8.32</v>
      </c>
      <c r="CG3561" s="106">
        <v>-8.48</v>
      </c>
      <c r="CM3561" s="106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9"/>
        <v>-8.27</v>
      </c>
      <c r="CY3563" s="106">
        <v>-8.27</v>
      </c>
    </row>
    <row r="3564" spans="1:226" x14ac:dyDescent="0.25">
      <c r="A3564" s="127">
        <v>45219</v>
      </c>
      <c r="B3564" s="24" t="s">
        <v>20</v>
      </c>
      <c r="C3564" s="21">
        <f t="shared" si="59"/>
        <v>-6.6349999999999998</v>
      </c>
      <c r="BI3564" s="106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9"/>
        <v>-15.2</v>
      </c>
      <c r="BC3565" s="106">
        <v>-6.97</v>
      </c>
      <c r="BI3565" s="106">
        <v>-8.23</v>
      </c>
    </row>
    <row r="3566" spans="1:226" x14ac:dyDescent="0.25">
      <c r="A3566" s="127">
        <v>45219</v>
      </c>
      <c r="B3566" s="24" t="s">
        <v>17</v>
      </c>
      <c r="C3566" s="21">
        <f t="shared" si="59"/>
        <v>-33.200000000000003</v>
      </c>
      <c r="BU3566" s="106">
        <v>-8.32</v>
      </c>
      <c r="CG3566" s="106">
        <v>-8.48</v>
      </c>
      <c r="CM3566" s="106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9"/>
        <v>-191.66499999999999</v>
      </c>
      <c r="BC3568" s="106">
        <v>-29.07</v>
      </c>
      <c r="BI3568" s="106">
        <v>-63.3</v>
      </c>
      <c r="CM3568" s="106">
        <v>-33.130000000000003</v>
      </c>
      <c r="DE3568" s="74">
        <v>-32.65</v>
      </c>
      <c r="DK3568" s="106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60">SUM(D3569:JT3569)</f>
        <v>-160.80500000000001</v>
      </c>
      <c r="AN3569" s="106">
        <v>-25.93</v>
      </c>
      <c r="AR3569" s="106">
        <v>-25.695</v>
      </c>
      <c r="AW3569" s="106">
        <v>-29.15</v>
      </c>
      <c r="BC3569" s="106">
        <v>-28.48</v>
      </c>
      <c r="BO3569" s="106">
        <v>-25.85</v>
      </c>
      <c r="CG3569" s="106">
        <v>-25.7</v>
      </c>
    </row>
    <row r="3570" spans="1:221" x14ac:dyDescent="0.25">
      <c r="A3570" s="127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60"/>
        <v>976.96</v>
      </c>
      <c r="BI3571" s="106">
        <v>205.56</v>
      </c>
      <c r="BU3571" s="106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60"/>
        <v>-198.535</v>
      </c>
      <c r="AC3573" s="106">
        <v>-33.340000000000003</v>
      </c>
      <c r="BU3573" s="106">
        <v>-33.725000000000001</v>
      </c>
      <c r="BY3573" s="42">
        <v>-8.4700000000000006</v>
      </c>
      <c r="CA3573" s="106">
        <f>-8.21-8.31-6.92</f>
        <v>-23.44</v>
      </c>
      <c r="CG3573" s="106">
        <v>-32.28</v>
      </c>
      <c r="CM3573" s="106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106">
        <v>-33.04</v>
      </c>
      <c r="AN3574" s="106">
        <v>-34.39</v>
      </c>
      <c r="AW3574" s="106">
        <v>-101.5</v>
      </c>
      <c r="BC3574" s="106">
        <v>-85.73</v>
      </c>
      <c r="BU3574" s="106">
        <v>-66.084999999999994</v>
      </c>
      <c r="CA3574" s="106">
        <v>-33.034999999999997</v>
      </c>
      <c r="CG3574" s="106">
        <v>-34.08</v>
      </c>
      <c r="CS3574" s="74">
        <v>-32.924999999999997</v>
      </c>
      <c r="DK3574" s="106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60"/>
        <v>-33.884999999999998</v>
      </c>
      <c r="AW3575" s="106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60"/>
        <v>-41.47</v>
      </c>
      <c r="AN3576" s="106">
        <v>-8.6300000000000008</v>
      </c>
      <c r="AR3576" s="106">
        <v>-8.27</v>
      </c>
      <c r="AW3576" s="106">
        <v>-6.82</v>
      </c>
      <c r="BU3576" s="106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60"/>
        <v>-197.58500000000001</v>
      </c>
      <c r="BU3577" s="106">
        <v>-68.234999999999999</v>
      </c>
      <c r="CY3577" s="106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60"/>
        <v>-15.68</v>
      </c>
      <c r="BI3578" s="106">
        <v>-7.91</v>
      </c>
      <c r="BO3578" s="106">
        <v>-7.77</v>
      </c>
    </row>
    <row r="3579" spans="1:221" x14ac:dyDescent="0.25">
      <c r="A3579" s="127">
        <v>45223</v>
      </c>
      <c r="B3579" s="24" t="s">
        <v>138</v>
      </c>
      <c r="C3579" s="21">
        <f t="shared" si="60"/>
        <v>-17.27</v>
      </c>
      <c r="AN3579" s="106">
        <v>-17.27</v>
      </c>
    </row>
    <row r="3580" spans="1:221" x14ac:dyDescent="0.25">
      <c r="A3580" s="127">
        <v>45223</v>
      </c>
      <c r="B3580" s="24" t="s">
        <v>65</v>
      </c>
      <c r="C3580" s="21">
        <f t="shared" si="60"/>
        <v>-61.72</v>
      </c>
      <c r="AR3580" s="106">
        <v>-61.72</v>
      </c>
    </row>
    <row r="3581" spans="1:221" x14ac:dyDescent="0.25">
      <c r="A3581" s="127">
        <v>45223</v>
      </c>
      <c r="B3581" s="24" t="s">
        <v>75</v>
      </c>
      <c r="C3581" s="21">
        <f t="shared" si="60"/>
        <v>-16.72</v>
      </c>
      <c r="AC3581" s="106">
        <v>-8.15</v>
      </c>
      <c r="BI3581" s="106">
        <v>-8.57</v>
      </c>
    </row>
    <row r="3582" spans="1:221" x14ac:dyDescent="0.25">
      <c r="A3582" s="127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27">
        <v>45223</v>
      </c>
      <c r="B3583" s="24" t="s">
        <v>20</v>
      </c>
      <c r="C3583" s="21">
        <f t="shared" si="60"/>
        <v>-28.06</v>
      </c>
      <c r="V3583" s="74">
        <v>-6.15</v>
      </c>
      <c r="AC3583" s="106">
        <v>-8.15</v>
      </c>
      <c r="AN3583" s="106">
        <v>-8.58</v>
      </c>
      <c r="AR3583" s="106">
        <v>-5.18</v>
      </c>
    </row>
    <row r="3584" spans="1:221" x14ac:dyDescent="0.25">
      <c r="A3584" s="127">
        <v>45223</v>
      </c>
      <c r="B3584" s="24" t="s">
        <v>113</v>
      </c>
      <c r="C3584" s="21">
        <f t="shared" si="60"/>
        <v>842.04</v>
      </c>
      <c r="BO3584" s="106">
        <v>283.61500000000001</v>
      </c>
      <c r="CA3584" s="106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60"/>
        <v>-3.72</v>
      </c>
      <c r="AR3585" s="106">
        <v>-3.72</v>
      </c>
    </row>
    <row r="3586" spans="1:208" x14ac:dyDescent="0.25">
      <c r="A3586" s="127">
        <v>45224</v>
      </c>
      <c r="B3586" s="24" t="s">
        <v>184</v>
      </c>
      <c r="C3586" s="21">
        <f t="shared" si="60"/>
        <v>-145.245</v>
      </c>
      <c r="AN3586" s="106">
        <v>-34.479999999999997</v>
      </c>
      <c r="AR3586" s="106">
        <v>-21.16</v>
      </c>
      <c r="BI3586" s="106">
        <v>-42.85</v>
      </c>
      <c r="BU3586" s="106">
        <v>-8.2899999999999991</v>
      </c>
      <c r="CA3586" s="106">
        <v>-8.09</v>
      </c>
      <c r="CG3586" s="106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60"/>
        <v>-258.33999999999997</v>
      </c>
      <c r="AW3587" s="106">
        <v>-27.42</v>
      </c>
      <c r="BC3587" s="106">
        <v>-29.31</v>
      </c>
      <c r="BI3587" s="106">
        <v>-34.22</v>
      </c>
      <c r="BO3587" s="106">
        <v>-33.125</v>
      </c>
      <c r="BU3587" s="106">
        <v>-33.880000000000003</v>
      </c>
      <c r="CA3587" s="106">
        <v>-32.424999999999997</v>
      </c>
      <c r="CM3587" s="106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60"/>
        <v>0</v>
      </c>
    </row>
    <row r="3589" spans="1:208" x14ac:dyDescent="0.25">
      <c r="A3589" s="127">
        <v>45224</v>
      </c>
      <c r="B3589" s="24" t="s">
        <v>43</v>
      </c>
      <c r="C3589" s="21">
        <f t="shared" si="60"/>
        <v>-99.094999999999999</v>
      </c>
      <c r="BO3589" s="106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60"/>
        <v>-73.635000000000005</v>
      </c>
      <c r="DE3591" s="74">
        <v>-9.25</v>
      </c>
      <c r="DK3591" s="106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60"/>
        <v>-681.69</v>
      </c>
      <c r="AR3592" s="106">
        <v>-31.55</v>
      </c>
      <c r="AW3592" s="106">
        <v>-64.064999999999998</v>
      </c>
      <c r="BC3592" s="106">
        <v>-57.06</v>
      </c>
      <c r="BI3592" s="106">
        <v>-68.45</v>
      </c>
      <c r="BO3592" s="106">
        <v>-67.87</v>
      </c>
      <c r="BU3592" s="106">
        <v>-64.754999999999995</v>
      </c>
      <c r="CA3592" s="106">
        <v>-65.44</v>
      </c>
      <c r="CM3592" s="106">
        <v>-64.92</v>
      </c>
      <c r="CS3592" s="74">
        <v>-67.05</v>
      </c>
      <c r="CY3592" s="106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60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106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60"/>
        <v>-61.23</v>
      </c>
      <c r="AN3597" s="106">
        <v>-29.31</v>
      </c>
      <c r="CS3597" s="74">
        <v>-15.36</v>
      </c>
      <c r="CY3597" s="106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60"/>
        <v>-33.265000000000001</v>
      </c>
      <c r="BI3598" s="106">
        <v>-8.5299999999999994</v>
      </c>
      <c r="BO3598" s="106">
        <v>-8.61</v>
      </c>
      <c r="CA3598" s="106">
        <v>-16.125</v>
      </c>
    </row>
    <row r="3599" spans="1:208" x14ac:dyDescent="0.25">
      <c r="A3599" s="127">
        <v>45226</v>
      </c>
      <c r="B3599" s="24" t="s">
        <v>20</v>
      </c>
      <c r="C3599" s="21">
        <f t="shared" si="60"/>
        <v>-130.4</v>
      </c>
      <c r="AW3599" s="106">
        <v>-6.77</v>
      </c>
      <c r="BI3599" s="106">
        <v>-8.61</v>
      </c>
      <c r="BO3599" s="106">
        <v>-7.96</v>
      </c>
      <c r="BU3599" s="106">
        <v>-7.68</v>
      </c>
      <c r="CA3599" s="106">
        <v>-8.1199999999999992</v>
      </c>
      <c r="CG3599" s="106">
        <v>-8.48</v>
      </c>
      <c r="CM3599" s="106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60"/>
        <v>0</v>
      </c>
    </row>
    <row r="3602" spans="1:218" x14ac:dyDescent="0.25">
      <c r="A3602" s="127">
        <v>45226</v>
      </c>
      <c r="B3602" s="24" t="s">
        <v>59</v>
      </c>
      <c r="C3602" s="21">
        <f t="shared" si="60"/>
        <v>-7.8</v>
      </c>
      <c r="BU3602" s="106">
        <v>-3.48</v>
      </c>
      <c r="CY3602" s="106">
        <v>-4.32</v>
      </c>
    </row>
    <row r="3603" spans="1:218" x14ac:dyDescent="0.25">
      <c r="A3603" s="127">
        <v>45227</v>
      </c>
      <c r="B3603" s="24" t="s">
        <v>184</v>
      </c>
      <c r="C3603" s="21">
        <f t="shared" si="60"/>
        <v>-59.34</v>
      </c>
      <c r="BO3603" s="106">
        <v>-16.824999999999999</v>
      </c>
      <c r="CA3603" s="106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60"/>
        <v>-8.09</v>
      </c>
      <c r="CA3604" s="106">
        <v>-8.09</v>
      </c>
    </row>
    <row r="3605" spans="1:218" x14ac:dyDescent="0.25">
      <c r="A3605" s="127">
        <v>45227</v>
      </c>
      <c r="B3605" s="24" t="s">
        <v>113</v>
      </c>
      <c r="C3605" s="21">
        <f t="shared" si="60"/>
        <v>1006.253</v>
      </c>
      <c r="AR3605" s="106">
        <v>273.37799999999999</v>
      </c>
      <c r="CY3605" s="106">
        <v>172.49</v>
      </c>
      <c r="DK3605" s="106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60"/>
        <v>-166.81</v>
      </c>
      <c r="AR3606" s="106">
        <v>-34.22</v>
      </c>
      <c r="BI3606" s="106">
        <v>-34.159999999999997</v>
      </c>
      <c r="BO3606" s="106">
        <v>-33.674999999999997</v>
      </c>
      <c r="CA3606" s="106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60"/>
        <v>-151.565</v>
      </c>
      <c r="AN3607" s="106">
        <v>-34.409999999999997</v>
      </c>
      <c r="BI3607" s="106">
        <v>-33.734999999999999</v>
      </c>
      <c r="BO3607" s="106">
        <v>-16.425000000000001</v>
      </c>
      <c r="CA3607" s="106">
        <v>-32.424999999999997</v>
      </c>
      <c r="CY3607" s="106">
        <v>-34.57</v>
      </c>
    </row>
    <row r="3608" spans="1:218" x14ac:dyDescent="0.25">
      <c r="A3608" s="127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60"/>
        <v>-28.315000000000001</v>
      </c>
      <c r="CA3610" s="106">
        <v>-8.1150000000000002</v>
      </c>
      <c r="CG3610" s="106">
        <v>-4.12</v>
      </c>
      <c r="CM3610" s="106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60"/>
        <v>-48.1</v>
      </c>
      <c r="AR3611" s="106">
        <v>-8.57</v>
      </c>
      <c r="BI3611" s="106">
        <v>-8.5299999999999994</v>
      </c>
      <c r="DE3611" s="74">
        <v>-16.579999999999998</v>
      </c>
      <c r="DK3611" s="106">
        <v>-14.42</v>
      </c>
    </row>
    <row r="3612" spans="1:218" x14ac:dyDescent="0.25">
      <c r="A3612" s="127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60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60"/>
        <v>-17.414999999999999</v>
      </c>
      <c r="BI3614" s="106">
        <v>-8.6999999999999993</v>
      </c>
      <c r="CA3614" s="106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60"/>
        <v>-63.655000000000001</v>
      </c>
      <c r="BI3615" s="106">
        <v>-31.274999999999999</v>
      </c>
      <c r="CA3615" s="106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60"/>
        <v>1199.1199999999999</v>
      </c>
      <c r="CA3617" s="106">
        <v>64.305000000000007</v>
      </c>
      <c r="CM3617" s="106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60"/>
        <v>0</v>
      </c>
    </row>
    <row r="3619" spans="1:208" x14ac:dyDescent="0.25">
      <c r="A3619" s="127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60"/>
        <v>-6.6950000000000003</v>
      </c>
      <c r="AW3620" s="106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60"/>
        <v>-15.63</v>
      </c>
      <c r="D3621" s="386">
        <v>-7.14</v>
      </c>
      <c r="E3621" s="386">
        <v>-8.49</v>
      </c>
    </row>
    <row r="3622" spans="1:208" x14ac:dyDescent="0.25">
      <c r="A3622" s="127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60"/>
        <v>-8.0749999999999993</v>
      </c>
      <c r="CA3623" s="106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60"/>
        <v>-17.100000000000001</v>
      </c>
      <c r="AN3624" s="106">
        <v>-8.61</v>
      </c>
      <c r="AR3624" s="106">
        <v>-8.49</v>
      </c>
    </row>
    <row r="3625" spans="1:208" x14ac:dyDescent="0.25">
      <c r="A3625" s="127">
        <v>45233</v>
      </c>
      <c r="B3625" s="24" t="s">
        <v>48</v>
      </c>
      <c r="C3625" s="21">
        <f t="shared" si="60"/>
        <v>-16.28</v>
      </c>
      <c r="CM3625" s="106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60"/>
        <v>-15.05</v>
      </c>
      <c r="D3626" s="386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60"/>
        <v>-36.229999999999997</v>
      </c>
      <c r="AW3627" s="106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60"/>
        <v>-15.59</v>
      </c>
      <c r="CS3628" s="74">
        <v>-7.3</v>
      </c>
      <c r="CY3628" s="106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60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60"/>
        <v>-16.684999999999999</v>
      </c>
      <c r="BI3631" s="106">
        <v>-8.4949999999999992</v>
      </c>
      <c r="BO3631" s="106">
        <v>-8.19</v>
      </c>
    </row>
    <row r="3632" spans="1:208" x14ac:dyDescent="0.25">
      <c r="A3632" s="127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61">SUM(D3633:JT3633)</f>
        <v>-17.21</v>
      </c>
      <c r="BU3633" s="106">
        <v>-17.21</v>
      </c>
    </row>
    <row r="3634" spans="1:241" x14ac:dyDescent="0.25">
      <c r="A3634" s="127">
        <v>45237</v>
      </c>
      <c r="B3634" s="24" t="s">
        <v>68</v>
      </c>
      <c r="C3634" s="21">
        <f t="shared" si="61"/>
        <v>-67.63</v>
      </c>
      <c r="BI3634" s="106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61"/>
        <v>-164.09</v>
      </c>
      <c r="CM3636" s="106">
        <v>-31.59</v>
      </c>
      <c r="CY3636" s="106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61"/>
        <v>902.15</v>
      </c>
      <c r="BI3637" s="106">
        <f>63.36+152.94</f>
        <v>216.3</v>
      </c>
      <c r="BO3637" s="106">
        <v>33.5</v>
      </c>
      <c r="BU3637" s="106">
        <v>34.445</v>
      </c>
      <c r="CA3637" s="106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106">
        <v>-8.125</v>
      </c>
      <c r="BU3638" s="106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61"/>
        <v>-100.435</v>
      </c>
      <c r="AN3639" s="106">
        <v>-16.579999999999998</v>
      </c>
      <c r="AR3639" s="106">
        <v>-17.27</v>
      </c>
      <c r="BO3639" s="106">
        <v>-33.5</v>
      </c>
      <c r="CA3639" s="106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61"/>
        <v>-25.11</v>
      </c>
      <c r="P3640" s="106">
        <v>-8.16</v>
      </c>
      <c r="CM3640" s="106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61"/>
        <v>-70.790000000000006</v>
      </c>
      <c r="BI3641" s="106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61"/>
        <v>74.875</v>
      </c>
      <c r="Z3642" s="79">
        <v>7.04</v>
      </c>
      <c r="AD3642" s="115">
        <v>7.4950000000000001</v>
      </c>
      <c r="AN3642" s="106">
        <v>7.9</v>
      </c>
      <c r="AR3642" s="106">
        <v>8.94</v>
      </c>
      <c r="BC3642" s="106">
        <v>7.8</v>
      </c>
      <c r="BI3642" s="106">
        <v>6.46</v>
      </c>
      <c r="CG3642" s="106">
        <v>5.42</v>
      </c>
      <c r="CS3642" s="74">
        <v>5.66</v>
      </c>
      <c r="DK3642" s="106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61"/>
        <v>-6.89</v>
      </c>
      <c r="D3643" s="386">
        <v>-6.89</v>
      </c>
    </row>
    <row r="3644" spans="1:241" x14ac:dyDescent="0.25">
      <c r="A3644" s="127">
        <v>45238</v>
      </c>
      <c r="B3644" s="24" t="s">
        <v>147</v>
      </c>
      <c r="C3644" s="21">
        <f t="shared" si="61"/>
        <v>-17.350000000000001</v>
      </c>
      <c r="BI3644" s="106">
        <v>-8.7249999999999996</v>
      </c>
      <c r="BU3644" s="106">
        <v>-8.625</v>
      </c>
    </row>
    <row r="3645" spans="1:241" x14ac:dyDescent="0.25">
      <c r="A3645" s="127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61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106">
        <v>-34.479999999999997</v>
      </c>
      <c r="AR3647" s="106">
        <v>-34.36</v>
      </c>
      <c r="AW3647" s="106">
        <v>-32.869999999999997</v>
      </c>
      <c r="CA3647" s="106">
        <v>-64.314999999999998</v>
      </c>
      <c r="CM3647" s="106">
        <v>-167.51</v>
      </c>
      <c r="CY3647" s="106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61"/>
        <v>-133.76</v>
      </c>
      <c r="CM3648" s="106">
        <v>-32.409999999999997</v>
      </c>
      <c r="DE3648" s="74">
        <v>-67.17</v>
      </c>
      <c r="DK3648" s="106">
        <v>-34.18</v>
      </c>
    </row>
    <row r="3649" spans="1:214" x14ac:dyDescent="0.25">
      <c r="A3649" s="127">
        <v>45240</v>
      </c>
      <c r="B3649" s="24" t="s">
        <v>139</v>
      </c>
      <c r="C3649" s="21">
        <f t="shared" si="61"/>
        <v>-7.28</v>
      </c>
      <c r="CY3649" s="106">
        <v>-7.28</v>
      </c>
    </row>
    <row r="3650" spans="1:214" x14ac:dyDescent="0.25">
      <c r="A3650" s="127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61"/>
        <v>-17.145</v>
      </c>
      <c r="BI3652" s="106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61"/>
        <v>-10.06</v>
      </c>
      <c r="Z3655" s="79">
        <v>-1.52</v>
      </c>
      <c r="CA3655" s="106">
        <v>-5</v>
      </c>
      <c r="CG3655" s="106">
        <v>-3.54</v>
      </c>
    </row>
    <row r="3656" spans="1:214" x14ac:dyDescent="0.25">
      <c r="A3656" s="127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106">
        <v>-8.64</v>
      </c>
      <c r="AW3656" s="106">
        <v>-7.08</v>
      </c>
      <c r="BI3656" s="106">
        <v>-17.29</v>
      </c>
      <c r="BO3656" s="106">
        <v>-24.725000000000001</v>
      </c>
      <c r="BU3656" s="106">
        <v>-33.725000000000001</v>
      </c>
      <c r="CA3656" s="106">
        <v>-7.98</v>
      </c>
      <c r="CG3656" s="106">
        <v>-31.83</v>
      </c>
    </row>
    <row r="3657" spans="1:214" x14ac:dyDescent="0.25">
      <c r="A3657" s="127">
        <v>45244</v>
      </c>
      <c r="B3657" s="24" t="s">
        <v>113</v>
      </c>
      <c r="C3657" s="21">
        <f t="shared" si="61"/>
        <v>1005.17</v>
      </c>
      <c r="AN3657" s="106">
        <v>68.974999999999994</v>
      </c>
      <c r="BC3657" s="106">
        <v>179.63</v>
      </c>
      <c r="BO3657" s="106">
        <v>158.44499999999999</v>
      </c>
      <c r="BU3657" s="106">
        <v>166.19499999999999</v>
      </c>
      <c r="CG3657" s="106">
        <v>159.46</v>
      </c>
      <c r="CY3657" s="106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61"/>
        <v>-35.74</v>
      </c>
      <c r="AW3658" s="106">
        <v>-17.66</v>
      </c>
      <c r="BC3658" s="106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61"/>
        <v>-16.239999999999998</v>
      </c>
      <c r="BO3659" s="106">
        <v>-8</v>
      </c>
      <c r="BU3659" s="106">
        <v>-8.24</v>
      </c>
    </row>
    <row r="3660" spans="1:214" x14ac:dyDescent="0.25">
      <c r="A3660" s="127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61"/>
        <v>-191.35</v>
      </c>
      <c r="AC3661" s="106">
        <v>-8.18</v>
      </c>
      <c r="AR3661" s="106">
        <v>-8.49</v>
      </c>
      <c r="BC3661" s="106">
        <v>-17.940000000000001</v>
      </c>
      <c r="BI3661" s="106">
        <v>-27.135000000000002</v>
      </c>
      <c r="BO3661" s="106">
        <v>-15.41</v>
      </c>
      <c r="CA3661" s="106">
        <v>-8.0649999999999995</v>
      </c>
      <c r="CG3661" s="106">
        <v>-15.84</v>
      </c>
      <c r="CY3661" s="106">
        <v>-17.355</v>
      </c>
      <c r="DE3661" s="74">
        <v>-16.62</v>
      </c>
      <c r="DK3661" s="106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61"/>
        <v>-14.164999999999999</v>
      </c>
      <c r="D3663" s="386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61"/>
        <v>-333.42500000000001</v>
      </c>
      <c r="BO3664" s="106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61"/>
        <v>-176.23</v>
      </c>
      <c r="Z3665" s="79">
        <v>-29.93</v>
      </c>
      <c r="AC3665" s="106">
        <v>-32.380000000000003</v>
      </c>
      <c r="AN3665" s="106">
        <v>-17.260000000000002</v>
      </c>
      <c r="AR3665" s="106">
        <v>-34.08</v>
      </c>
      <c r="AW3665" s="106">
        <v>-32.799999999999997</v>
      </c>
      <c r="BO3665" s="106">
        <v>-29.78</v>
      </c>
    </row>
    <row r="3666" spans="1:156" x14ac:dyDescent="0.25">
      <c r="A3666" s="127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61"/>
        <v>-62.33</v>
      </c>
      <c r="AW3668" s="106">
        <v>-62.33</v>
      </c>
    </row>
    <row r="3669" spans="1:156" x14ac:dyDescent="0.25">
      <c r="A3669" s="127">
        <v>45246</v>
      </c>
      <c r="B3669" s="24" t="s">
        <v>139</v>
      </c>
      <c r="C3669" s="21">
        <f t="shared" si="61"/>
        <v>-58.515000000000001</v>
      </c>
      <c r="BU3669" s="106">
        <v>-8.57</v>
      </c>
      <c r="CG3669" s="106">
        <v>-15.86</v>
      </c>
      <c r="CM3669" s="106">
        <v>-16.68</v>
      </c>
      <c r="CY3669" s="106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61"/>
        <v>-572.12800000000004</v>
      </c>
      <c r="AC3670" s="106">
        <v>-16.27</v>
      </c>
      <c r="AN3670" s="106">
        <v>-8.5500000000000007</v>
      </c>
      <c r="AR3670" s="106">
        <v>-8.5380000000000003</v>
      </c>
      <c r="BI3670" s="106">
        <v>-36.314999999999998</v>
      </c>
      <c r="BM3670" s="88">
        <f>-8.77-8.78-8.75</f>
        <v>-26.3</v>
      </c>
      <c r="BO3670" s="106">
        <v>-8.1300000000000008</v>
      </c>
      <c r="BU3670" s="106">
        <v>-66.8</v>
      </c>
      <c r="CA3670" s="106">
        <v>-64.314999999999998</v>
      </c>
      <c r="CG3670" s="106">
        <v>-31.83</v>
      </c>
      <c r="DE3670" s="74">
        <v>-33.83</v>
      </c>
      <c r="DK3670" s="106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61"/>
        <v>-32.104999999999997</v>
      </c>
      <c r="AC3671" s="106">
        <v>-8.3800000000000008</v>
      </c>
      <c r="AR3671" s="106">
        <v>-7.41</v>
      </c>
      <c r="CG3671" s="106">
        <v>-8.3149999999999995</v>
      </c>
      <c r="CM3671" s="106">
        <v>-8</v>
      </c>
    </row>
    <row r="3672" spans="1:156" x14ac:dyDescent="0.25">
      <c r="A3672" s="127">
        <v>45247</v>
      </c>
      <c r="B3672" s="24" t="s">
        <v>20</v>
      </c>
      <c r="C3672" s="21">
        <f t="shared" si="61"/>
        <v>-17.32</v>
      </c>
      <c r="BI3672" s="106">
        <v>-9.09</v>
      </c>
      <c r="BU3672" s="106">
        <v>-8.23</v>
      </c>
    </row>
    <row r="3673" spans="1:156" x14ac:dyDescent="0.25">
      <c r="A3673" s="127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61"/>
        <v>-24.31</v>
      </c>
      <c r="BU3674" s="106">
        <v>-8.2650000000000006</v>
      </c>
      <c r="CA3674" s="106">
        <v>-8.0250000000000004</v>
      </c>
      <c r="CM3674" s="106">
        <v>-8.02</v>
      </c>
    </row>
    <row r="3675" spans="1:156" x14ac:dyDescent="0.25">
      <c r="A3675" s="127">
        <v>45250</v>
      </c>
      <c r="B3675" s="24" t="s">
        <v>162</v>
      </c>
      <c r="C3675" s="21">
        <f t="shared" si="61"/>
        <v>-34.335000000000001</v>
      </c>
      <c r="CY3675" s="106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61"/>
        <v>-17.195</v>
      </c>
      <c r="BI3676" s="106">
        <v>-9.1050000000000004</v>
      </c>
      <c r="CM3676" s="106">
        <v>-8.09</v>
      </c>
    </row>
    <row r="3677" spans="1:156" x14ac:dyDescent="0.25">
      <c r="A3677" s="127">
        <v>45251</v>
      </c>
      <c r="B3677" s="24" t="s">
        <v>151</v>
      </c>
      <c r="C3677" s="21">
        <f t="shared" si="61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106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61"/>
        <v>-25.28</v>
      </c>
      <c r="BI3679" s="106">
        <v>-9.09</v>
      </c>
      <c r="BU3679" s="106">
        <v>-8.2149999999999999</v>
      </c>
      <c r="CG3679" s="106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61"/>
        <v>-16.260000000000002</v>
      </c>
      <c r="CM3680" s="106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61"/>
        <v>-137.73500000000001</v>
      </c>
      <c r="AN3681" s="106">
        <v>-34.524999999999999</v>
      </c>
      <c r="BC3681" s="106">
        <v>-35.93</v>
      </c>
      <c r="BI3681" s="106">
        <v>-18.190000000000001</v>
      </c>
      <c r="CA3681" s="106">
        <v>-33.115000000000002</v>
      </c>
      <c r="CG3681" s="106">
        <v>-15.975</v>
      </c>
    </row>
    <row r="3682" spans="1:241" x14ac:dyDescent="0.25">
      <c r="A3682" s="127">
        <v>45252</v>
      </c>
      <c r="B3682" s="24" t="s">
        <v>17</v>
      </c>
      <c r="C3682" s="21">
        <f t="shared" si="61"/>
        <v>-42.73</v>
      </c>
      <c r="AR3682" s="106">
        <v>-8.48</v>
      </c>
      <c r="BC3682" s="106">
        <v>-9.0399999999999991</v>
      </c>
      <c r="BI3682" s="106">
        <v>-9.19</v>
      </c>
      <c r="CA3682" s="106">
        <v>-16.02</v>
      </c>
    </row>
    <row r="3683" spans="1:241" x14ac:dyDescent="0.25">
      <c r="A3683" s="127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61"/>
        <v>1032.395</v>
      </c>
      <c r="AN3685" s="106">
        <v>69</v>
      </c>
      <c r="BI3685" s="106">
        <f>89.32+35.91</f>
        <v>125.23</v>
      </c>
      <c r="BO3685" s="106">
        <v>136.6</v>
      </c>
      <c r="BU3685" s="106">
        <v>114.95</v>
      </c>
      <c r="CA3685" s="106">
        <v>81.224999999999994</v>
      </c>
      <c r="CG3685" s="106">
        <v>101.17</v>
      </c>
      <c r="CS3685" s="74">
        <v>83.8</v>
      </c>
      <c r="DE3685" s="74">
        <v>69.09</v>
      </c>
      <c r="DK3685" s="106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61"/>
        <v>-201.21</v>
      </c>
      <c r="Z3686" s="79">
        <v>-7.48</v>
      </c>
      <c r="AR3686" s="106">
        <v>-17.149999999999999</v>
      </c>
      <c r="AW3686" s="106">
        <v>-16.05</v>
      </c>
      <c r="BC3686" s="106">
        <v>-17.945</v>
      </c>
      <c r="BI3686" s="106">
        <v>-18.38</v>
      </c>
      <c r="BO3686" s="106">
        <v>-25.31</v>
      </c>
      <c r="BU3686" s="106">
        <v>-24.5</v>
      </c>
      <c r="CA3686" s="106">
        <v>-24.14</v>
      </c>
      <c r="CG3686" s="106">
        <v>-8.5350000000000001</v>
      </c>
      <c r="CM3686" s="106">
        <v>-16.36</v>
      </c>
      <c r="CS3686" s="74">
        <v>-8.2200000000000006</v>
      </c>
      <c r="CY3686" s="106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61"/>
        <v>-5.81</v>
      </c>
      <c r="AR3687" s="106">
        <v>-5.81</v>
      </c>
    </row>
    <row r="3688" spans="1:241" x14ac:dyDescent="0.25">
      <c r="A3688" s="127">
        <v>45254</v>
      </c>
      <c r="B3688" s="24" t="s">
        <v>29</v>
      </c>
      <c r="C3688" s="21">
        <f t="shared" si="61"/>
        <v>-5.5</v>
      </c>
      <c r="AC3688" s="106">
        <v>-5.5</v>
      </c>
    </row>
    <row r="3689" spans="1:241" x14ac:dyDescent="0.25">
      <c r="A3689" s="127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106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61"/>
        <v>0</v>
      </c>
    </row>
    <row r="3692" spans="1:241" x14ac:dyDescent="0.25">
      <c r="A3692" s="127">
        <v>45254</v>
      </c>
      <c r="B3692" s="24" t="s">
        <v>115</v>
      </c>
      <c r="C3692" s="21">
        <f t="shared" si="61"/>
        <v>101.75</v>
      </c>
      <c r="E3692" s="386">
        <v>101.75</v>
      </c>
    </row>
    <row r="3693" spans="1:241" x14ac:dyDescent="0.25">
      <c r="A3693" s="127">
        <v>45254</v>
      </c>
      <c r="B3693" s="24" t="s">
        <v>17</v>
      </c>
      <c r="C3693" s="21">
        <f t="shared" si="61"/>
        <v>-8.4700000000000006</v>
      </c>
      <c r="CA3693" s="106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61"/>
        <v>-171.22</v>
      </c>
      <c r="BC3695" s="106">
        <v>-35.865000000000002</v>
      </c>
      <c r="BI3695" s="106">
        <v>-35.365000000000002</v>
      </c>
      <c r="BO3695" s="106">
        <v>-34.130000000000003</v>
      </c>
      <c r="BU3695" s="106">
        <v>-32.94</v>
      </c>
      <c r="CM3695" s="106">
        <v>-32.92</v>
      </c>
    </row>
    <row r="3696" spans="1:241" x14ac:dyDescent="0.25">
      <c r="A3696" s="127">
        <v>45254</v>
      </c>
      <c r="B3696" s="24" t="s">
        <v>184</v>
      </c>
      <c r="C3696" s="21">
        <f t="shared" si="61"/>
        <v>-32.35</v>
      </c>
      <c r="CA3696" s="106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62">SUM(D3697:JT3697)</f>
        <v>-25.26</v>
      </c>
      <c r="E3697" s="386">
        <v>-25.26</v>
      </c>
    </row>
    <row r="3698" spans="1:214" x14ac:dyDescent="0.25">
      <c r="A3698" s="127">
        <v>45254</v>
      </c>
      <c r="B3698" s="24" t="s">
        <v>174</v>
      </c>
      <c r="C3698" s="21">
        <f t="shared" si="62"/>
        <v>-42.255000000000003</v>
      </c>
      <c r="CG3698" s="106">
        <v>-17.035</v>
      </c>
      <c r="CM3698" s="106">
        <v>-25.22</v>
      </c>
    </row>
    <row r="3699" spans="1:214" x14ac:dyDescent="0.25">
      <c r="A3699" s="127">
        <v>45257</v>
      </c>
      <c r="B3699" s="24" t="s">
        <v>149</v>
      </c>
      <c r="C3699" s="21">
        <f t="shared" si="62"/>
        <v>-8.61</v>
      </c>
      <c r="AR3699" s="106">
        <v>-8.61</v>
      </c>
    </row>
    <row r="3700" spans="1:214" x14ac:dyDescent="0.25">
      <c r="A3700" s="127">
        <v>45257</v>
      </c>
      <c r="B3700" s="24" t="s">
        <v>75</v>
      </c>
      <c r="C3700" s="21">
        <f t="shared" si="62"/>
        <v>-33.64</v>
      </c>
      <c r="AR3700" s="106">
        <v>-17.22</v>
      </c>
      <c r="BU3700" s="106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62"/>
        <v>-33.965000000000003</v>
      </c>
      <c r="BC3701" s="106">
        <v>-8.9250000000000007</v>
      </c>
      <c r="BI3701" s="106">
        <v>-9.0350000000000001</v>
      </c>
      <c r="BO3701" s="106">
        <v>-8.4849999999999994</v>
      </c>
      <c r="CA3701" s="106">
        <v>-7.52</v>
      </c>
    </row>
    <row r="3702" spans="1:214" x14ac:dyDescent="0.25">
      <c r="A3702" s="127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106">
        <v>69.295000000000002</v>
      </c>
      <c r="AR3703" s="106">
        <v>74.325000000000003</v>
      </c>
      <c r="AW3703" s="106">
        <v>106.1</v>
      </c>
      <c r="BC3703" s="106">
        <v>216.32</v>
      </c>
      <c r="BI3703" s="106">
        <v>213.53</v>
      </c>
      <c r="BO3703" s="106">
        <v>34.299999999999997</v>
      </c>
      <c r="BU3703" s="106">
        <v>65.834999999999994</v>
      </c>
      <c r="CA3703" s="106">
        <v>98.25</v>
      </c>
      <c r="CG3703" s="106">
        <f>75.89+242.25</f>
        <v>318.14</v>
      </c>
      <c r="CS3703" s="74">
        <v>206.04</v>
      </c>
      <c r="CY3703" s="106">
        <v>104.655</v>
      </c>
      <c r="DE3703" s="74">
        <v>68.045000000000002</v>
      </c>
      <c r="DK3703" s="106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62"/>
        <v>-848.43499999999995</v>
      </c>
      <c r="V3704" s="74">
        <v>-29.41</v>
      </c>
      <c r="AC3704" s="106">
        <v>-55.97</v>
      </c>
      <c r="AD3704" s="115">
        <v>-7.4950000000000001</v>
      </c>
      <c r="AG3704" s="106">
        <v>-69.234999999999999</v>
      </c>
      <c r="AN3704" s="106">
        <v>-34.715000000000003</v>
      </c>
      <c r="AR3704" s="106">
        <v>-37.325000000000003</v>
      </c>
      <c r="BI3704" s="106">
        <v>-35.695</v>
      </c>
      <c r="BU3704" s="106">
        <v>-65.834999999999994</v>
      </c>
      <c r="CA3704" s="106">
        <v>-98.25</v>
      </c>
      <c r="CG3704" s="106">
        <v>-102.14</v>
      </c>
      <c r="CM3704" s="106">
        <v>-64.239999999999995</v>
      </c>
      <c r="CS3704" s="74">
        <v>-34.344999999999999</v>
      </c>
      <c r="CY3704" s="106">
        <v>-34.85</v>
      </c>
      <c r="DK3704" s="106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106">
        <v>-17.25</v>
      </c>
      <c r="AR3705" s="106">
        <v>-17.010000000000002</v>
      </c>
      <c r="BI3705" s="106">
        <v>-26.49</v>
      </c>
      <c r="BU3705" s="106">
        <v>-49.11</v>
      </c>
      <c r="CM3705" s="106">
        <v>-48.9</v>
      </c>
      <c r="CS3705" s="74">
        <v>-33.57</v>
      </c>
      <c r="CY3705" s="106">
        <v>-17.385000000000002</v>
      </c>
      <c r="DE3705" s="74">
        <v>-35.445</v>
      </c>
      <c r="DK3705" s="106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62"/>
        <v>-66.415000000000006</v>
      </c>
      <c r="CM3706" s="106">
        <v>-32.43</v>
      </c>
      <c r="CS3706" s="74">
        <v>-16.635000000000002</v>
      </c>
      <c r="CY3706" s="106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62"/>
        <v>-514.39499999999998</v>
      </c>
      <c r="AW3708" s="106">
        <v>-70.415000000000006</v>
      </c>
      <c r="BC3708" s="106">
        <v>-72.094999999999999</v>
      </c>
      <c r="BI3708" s="106">
        <v>-71.474999999999994</v>
      </c>
      <c r="BO3708" s="106">
        <v>-34.299999999999997</v>
      </c>
      <c r="BY3708" s="42">
        <v>-33.43</v>
      </c>
      <c r="CA3708" s="106">
        <v>-32.884999999999998</v>
      </c>
      <c r="CG3708" s="106">
        <v>-65.58</v>
      </c>
      <c r="CM3708" s="106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62"/>
        <v>-448.05</v>
      </c>
      <c r="AW3709" s="106">
        <v>-35.685000000000002</v>
      </c>
      <c r="BC3709" s="106">
        <v>-35.96</v>
      </c>
      <c r="BI3709" s="106">
        <v>-35.524999999999999</v>
      </c>
      <c r="BO3709" s="106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106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62"/>
        <v>-9.3350000000000009</v>
      </c>
      <c r="AR3710" s="106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62"/>
        <v>-25.465</v>
      </c>
      <c r="Z3711" s="79">
        <v>-7.51</v>
      </c>
      <c r="BC3711" s="106">
        <v>-9.0549999999999997</v>
      </c>
      <c r="BI3711" s="106">
        <v>-8.9</v>
      </c>
    </row>
    <row r="3712" spans="1:214" x14ac:dyDescent="0.25">
      <c r="A3712" s="127">
        <v>45260</v>
      </c>
      <c r="B3712" s="24" t="s">
        <v>33</v>
      </c>
      <c r="C3712" s="21">
        <f t="shared" si="62"/>
        <v>-25.67</v>
      </c>
      <c r="BI3712" s="106">
        <v>-8.875</v>
      </c>
      <c r="BO3712" s="106">
        <v>-8.5549999999999997</v>
      </c>
      <c r="BU3712" s="106">
        <v>-8.24</v>
      </c>
    </row>
    <row r="3713" spans="1:227" x14ac:dyDescent="0.25">
      <c r="A3713" s="127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106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106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62"/>
        <v>-66.655000000000001</v>
      </c>
      <c r="AR3717" s="106">
        <v>-9.2149999999999999</v>
      </c>
      <c r="AW3717" s="106">
        <v>-8.08</v>
      </c>
      <c r="BC3717" s="106">
        <v>-9.0500000000000007</v>
      </c>
      <c r="BI3717" s="106">
        <v>-8.875</v>
      </c>
      <c r="BO3717" s="106">
        <v>-16.594999999999999</v>
      </c>
      <c r="BU3717" s="106">
        <v>-8.24</v>
      </c>
      <c r="CA3717" s="106">
        <v>-6.6</v>
      </c>
    </row>
    <row r="3718" spans="1:227" x14ac:dyDescent="0.25">
      <c r="A3718" s="127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62"/>
        <v>0</v>
      </c>
    </row>
    <row r="3722" spans="1:227" x14ac:dyDescent="0.25">
      <c r="A3722" s="127">
        <v>45264</v>
      </c>
      <c r="B3722" s="24" t="s">
        <v>184</v>
      </c>
      <c r="C3722" s="21">
        <f t="shared" si="62"/>
        <v>-81.834999999999994</v>
      </c>
      <c r="DK3722" s="106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62"/>
        <v>-91.51</v>
      </c>
      <c r="AN3723" s="106">
        <v>-17.245000000000001</v>
      </c>
      <c r="AR3723" s="106">
        <v>-18.45</v>
      </c>
      <c r="AW3723" s="106">
        <v>-23.19</v>
      </c>
      <c r="CG3723" s="106">
        <v>-16.635000000000002</v>
      </c>
      <c r="CM3723" s="106">
        <v>-15.99</v>
      </c>
    </row>
    <row r="3724" spans="1:227" x14ac:dyDescent="0.25">
      <c r="A3724" s="127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62"/>
        <v>10.08</v>
      </c>
      <c r="N3725" s="42">
        <v>7.57</v>
      </c>
      <c r="AW3725" s="106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62"/>
        <v>-60.33</v>
      </c>
      <c r="BI3727" s="106">
        <v>-60.33</v>
      </c>
    </row>
    <row r="3728" spans="1:227" x14ac:dyDescent="0.25">
      <c r="A3728" s="127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62"/>
        <v>-49.924999999999997</v>
      </c>
      <c r="AW3730" s="106">
        <v>-8.2200000000000006</v>
      </c>
      <c r="CG3730" s="106">
        <v>-8.5150000000000006</v>
      </c>
      <c r="CM3730" s="106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27">
        <v>45265</v>
      </c>
      <c r="B3732" s="24" t="s">
        <v>138</v>
      </c>
      <c r="C3732" s="21">
        <f t="shared" si="62"/>
        <v>-8.5050000000000008</v>
      </c>
      <c r="BO3732" s="106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62"/>
        <v>-65.995000000000005</v>
      </c>
      <c r="N3733" s="42">
        <v>-7.57</v>
      </c>
      <c r="AW3733" s="106">
        <v>-8.4499999999999993</v>
      </c>
      <c r="BC3733" s="106">
        <v>-9.09</v>
      </c>
      <c r="BI3733" s="106">
        <v>-8.9</v>
      </c>
      <c r="BO3733" s="106">
        <v>-6.86</v>
      </c>
      <c r="CG3733" s="106">
        <v>-8.5549999999999997</v>
      </c>
      <c r="CM3733" s="106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106">
        <v>144.86000000000001</v>
      </c>
      <c r="AW3735" s="106">
        <v>141.66999999999999</v>
      </c>
      <c r="BC3735" s="106">
        <v>72.069999999999993</v>
      </c>
      <c r="BI3735" s="106">
        <v>106.58</v>
      </c>
      <c r="CA3735" s="106">
        <v>99.16</v>
      </c>
      <c r="CM3735" s="106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62"/>
        <v>491.71499999999997</v>
      </c>
      <c r="AN3736" s="106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62"/>
        <v>-105.185</v>
      </c>
      <c r="AN3738" s="106">
        <v>-34.555</v>
      </c>
      <c r="AW3738" s="106">
        <v>-35.130000000000003</v>
      </c>
      <c r="BI3738" s="106">
        <v>-35.5</v>
      </c>
    </row>
    <row r="3739" spans="1:233" x14ac:dyDescent="0.25">
      <c r="A3739" s="127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62"/>
        <v>-42.77</v>
      </c>
      <c r="BI3741" s="106">
        <v>-8.8249999999999993</v>
      </c>
      <c r="CA3741" s="106">
        <v>-8.23</v>
      </c>
      <c r="CG3741" s="106">
        <v>-8.5399999999999991</v>
      </c>
      <c r="CM3741" s="106">
        <v>-8.4700000000000006</v>
      </c>
      <c r="CY3741" s="106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62"/>
        <v>-52.125</v>
      </c>
      <c r="AN3742" s="106">
        <v>-8.5950000000000006</v>
      </c>
      <c r="AR3742" s="106">
        <v>-9.0449999999999999</v>
      </c>
      <c r="AW3742" s="106">
        <v>-8.4749999999999996</v>
      </c>
      <c r="BC3742" s="106">
        <v>-8.9250000000000007</v>
      </c>
      <c r="BI3742" s="106">
        <v>-8.8550000000000004</v>
      </c>
      <c r="CA3742" s="106">
        <v>-8.23</v>
      </c>
    </row>
    <row r="3743" spans="1:233" x14ac:dyDescent="0.25">
      <c r="A3743" s="127">
        <v>45267</v>
      </c>
      <c r="B3743" s="24" t="s">
        <v>127</v>
      </c>
      <c r="C3743" s="21">
        <f t="shared" si="62"/>
        <v>-26.305</v>
      </c>
      <c r="AN3743" s="106">
        <v>-8.64</v>
      </c>
      <c r="AW3743" s="106">
        <v>-8.77</v>
      </c>
      <c r="BI3743" s="106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62"/>
        <v>-17.14</v>
      </c>
      <c r="BI3744" s="106">
        <v>-8.91</v>
      </c>
      <c r="CA3744" s="106">
        <v>-8.23</v>
      </c>
    </row>
    <row r="3745" spans="1:214" x14ac:dyDescent="0.25">
      <c r="A3745" s="127">
        <v>45267</v>
      </c>
      <c r="B3745" s="24" t="s">
        <v>20</v>
      </c>
      <c r="C3745" s="21">
        <f t="shared" si="62"/>
        <v>-8.42</v>
      </c>
      <c r="CA3745" s="106">
        <v>-8.42</v>
      </c>
    </row>
    <row r="3746" spans="1:214" x14ac:dyDescent="0.25">
      <c r="A3746" s="127">
        <v>45267</v>
      </c>
      <c r="B3746" s="24" t="s">
        <v>139</v>
      </c>
      <c r="C3746" s="21">
        <f t="shared" si="62"/>
        <v>-8.9250000000000007</v>
      </c>
      <c r="BI3746" s="106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62"/>
        <v>-26.67</v>
      </c>
      <c r="BI3747" s="106">
        <v>-26.67</v>
      </c>
    </row>
    <row r="3748" spans="1:214" x14ac:dyDescent="0.25">
      <c r="A3748" s="127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106">
        <v>-8.64</v>
      </c>
      <c r="AR3748" s="106">
        <v>-9</v>
      </c>
      <c r="AW3748" s="106">
        <v>-8.7050000000000001</v>
      </c>
      <c r="CA3748" s="106">
        <v>-66.05</v>
      </c>
    </row>
    <row r="3749" spans="1:214" x14ac:dyDescent="0.25">
      <c r="A3749" s="127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106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62"/>
        <v>-17.09</v>
      </c>
      <c r="E3750" s="386">
        <v>-17.09</v>
      </c>
    </row>
    <row r="3751" spans="1:214" x14ac:dyDescent="0.25">
      <c r="A3751" s="127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106">
        <v>108</v>
      </c>
      <c r="BI3751" s="106">
        <v>158.91999999999999</v>
      </c>
      <c r="DK3751" s="106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62"/>
        <v>531.505</v>
      </c>
      <c r="AN3752" s="106">
        <f>180.7+129.395</f>
        <v>310.09500000000003</v>
      </c>
      <c r="AR3752" s="106">
        <v>221.41</v>
      </c>
    </row>
    <row r="3753" spans="1:214" x14ac:dyDescent="0.25">
      <c r="A3753" s="127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62"/>
        <v>-16.984999999999999</v>
      </c>
      <c r="CM3754" s="106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62"/>
        <v>-25.54</v>
      </c>
      <c r="V3756" s="74">
        <v>-7.57</v>
      </c>
      <c r="BC3756" s="106">
        <v>-9.1050000000000004</v>
      </c>
      <c r="BI3756" s="106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62"/>
        <v>-243.88</v>
      </c>
      <c r="AG3757" s="106">
        <v>-17.2</v>
      </c>
      <c r="AN3757" s="106">
        <v>-25.815000000000001</v>
      </c>
      <c r="AR3757" s="106">
        <v>-18.114999999999998</v>
      </c>
      <c r="AW3757" s="106">
        <v>-35.695</v>
      </c>
      <c r="BC3757" s="106">
        <v>-35.880000000000003</v>
      </c>
      <c r="BI3757" s="106">
        <v>-35.770000000000003</v>
      </c>
      <c r="CG3757" s="106">
        <v>-25</v>
      </c>
      <c r="CM3757" s="106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62"/>
        <v>856.60500000000002</v>
      </c>
      <c r="BO3759" s="106">
        <v>205.37</v>
      </c>
      <c r="BU3759" s="106">
        <v>214.33</v>
      </c>
      <c r="CA3759" s="106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62"/>
        <v>-193.755</v>
      </c>
      <c r="BO3760" s="106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63">SUM(D3761:JT3761)</f>
        <v>-129.61000000000001</v>
      </c>
      <c r="BO3761" s="106">
        <v>-63.685000000000002</v>
      </c>
      <c r="BU3761" s="106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63"/>
        <v>-53.765000000000001</v>
      </c>
      <c r="AR3762" s="106">
        <v>-9.2799999999999994</v>
      </c>
      <c r="AW3762" s="106">
        <v>-8.85</v>
      </c>
      <c r="BC3762" s="106">
        <v>-9.07</v>
      </c>
      <c r="BI3762" s="106">
        <v>-8.82</v>
      </c>
      <c r="CA3762" s="106">
        <v>-9.1750000000000007</v>
      </c>
      <c r="CG3762" s="106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63"/>
        <v>-136.69</v>
      </c>
      <c r="BC3763" s="106">
        <v>-36.005000000000003</v>
      </c>
      <c r="BI3763" s="106">
        <v>-34.445</v>
      </c>
      <c r="BU3763" s="106">
        <v>-24.54</v>
      </c>
      <c r="CA3763" s="106">
        <v>-15.96</v>
      </c>
      <c r="CY3763" s="106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63"/>
        <v>-65.569999999999993</v>
      </c>
      <c r="BU3764" s="106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63"/>
        <v>-8.4600000000000009</v>
      </c>
      <c r="CM3765" s="106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63"/>
        <v>-54.924999999999997</v>
      </c>
      <c r="AA3769" s="42">
        <v>-8.0299999999999994</v>
      </c>
      <c r="BO3769" s="106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63"/>
        <v>-30.585000000000001</v>
      </c>
      <c r="BO3770" s="106">
        <v>-14.26</v>
      </c>
      <c r="BU3770" s="106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63"/>
        <v>-25.305</v>
      </c>
      <c r="CM3771" s="106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63"/>
        <v>-8.4450000000000003</v>
      </c>
      <c r="CM3772" s="106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106">
        <v>-7.48</v>
      </c>
      <c r="BU3773" s="106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63"/>
        <v>-9.9949999999999992</v>
      </c>
      <c r="AU3777" s="42">
        <v>25.78</v>
      </c>
      <c r="AW3777" s="106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106">
        <v>-8.9700000000000006</v>
      </c>
      <c r="BU3779" s="106">
        <v>-9.0150000000000006</v>
      </c>
      <c r="CA3779" s="106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63"/>
        <v>612.41999999999996</v>
      </c>
      <c r="BO3782" s="106">
        <v>95.515000000000001</v>
      </c>
      <c r="BU3782" s="106">
        <v>99.07</v>
      </c>
      <c r="CG3782" s="106">
        <v>64.209999999999994</v>
      </c>
      <c r="CM3782" s="106">
        <v>65.8</v>
      </c>
      <c r="CY3782" s="106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63"/>
        <v>-170.8</v>
      </c>
      <c r="AN3784" s="106">
        <v>-8.61</v>
      </c>
      <c r="AR3784" s="106">
        <v>-18.605</v>
      </c>
      <c r="BC3784" s="106">
        <v>-44.88</v>
      </c>
      <c r="BI3784" s="106">
        <v>-17.84</v>
      </c>
      <c r="BO3784" s="106">
        <v>-30.914999999999999</v>
      </c>
      <c r="CA3784" s="106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63"/>
        <v>-50.984999999999999</v>
      </c>
      <c r="AN3785" s="106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63"/>
        <v>-82.38</v>
      </c>
      <c r="BI3786" s="106">
        <v>-17.535</v>
      </c>
      <c r="CM3786" s="106">
        <v>-32.715000000000003</v>
      </c>
      <c r="CY3786" s="106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63"/>
        <v>-49.765000000000001</v>
      </c>
      <c r="BI3787" s="106">
        <v>-8.85</v>
      </c>
      <c r="BO3787" s="106">
        <v>-8.08</v>
      </c>
      <c r="CA3787" s="106">
        <v>-7.9950000000000001</v>
      </c>
      <c r="CG3787" s="106">
        <v>-8.0399999999999991</v>
      </c>
      <c r="CM3787" s="106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106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63"/>
        <v>-82.515000000000001</v>
      </c>
      <c r="BU3790" s="106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63"/>
        <v>-8.18</v>
      </c>
      <c r="BO3791" s="106">
        <v>-8.18</v>
      </c>
    </row>
    <row r="3792" spans="1:226" x14ac:dyDescent="0.25">
      <c r="A3792" s="127">
        <v>45282</v>
      </c>
      <c r="B3792" s="24" t="s">
        <v>68</v>
      </c>
      <c r="C3792" s="21">
        <f t="shared" si="63"/>
        <v>-131.965</v>
      </c>
      <c r="BO3792" s="106">
        <v>-32.854999999999997</v>
      </c>
      <c r="BU3792" s="106">
        <v>-32.914999999999999</v>
      </c>
      <c r="CA3792" s="106">
        <v>-31.895</v>
      </c>
      <c r="DK3792" s="106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63"/>
        <v>-35.869999999999997</v>
      </c>
      <c r="BC3793" s="106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63"/>
        <v>0</v>
      </c>
    </row>
    <row r="3795" spans="1:208" x14ac:dyDescent="0.25">
      <c r="A3795" s="127">
        <v>45285</v>
      </c>
      <c r="B3795" s="24" t="s">
        <v>184</v>
      </c>
      <c r="C3795" s="21">
        <f t="shared" si="63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63"/>
        <v>-130.505</v>
      </c>
      <c r="BI3796" s="106">
        <v>-33.520000000000003</v>
      </c>
      <c r="BU3796" s="106">
        <v>-33.935000000000002</v>
      </c>
      <c r="CA3796" s="106">
        <v>-31.125</v>
      </c>
      <c r="CG3796" s="106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63"/>
        <v>-16.38</v>
      </c>
      <c r="BC3797" s="106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63"/>
        <v>1122.58</v>
      </c>
      <c r="AW3799" s="106">
        <v>105.19499999999999</v>
      </c>
      <c r="BC3799" s="106">
        <v>34.56</v>
      </c>
      <c r="BI3799" s="106">
        <v>100.6</v>
      </c>
      <c r="BU3799" s="106">
        <v>216.505</v>
      </c>
      <c r="CA3799" s="106">
        <v>75.855000000000004</v>
      </c>
      <c r="CG3799" s="106">
        <v>95.125</v>
      </c>
      <c r="CM3799" s="106">
        <v>66.900000000000006</v>
      </c>
      <c r="CS3799" s="74">
        <v>166.82499999999999</v>
      </c>
      <c r="CY3799" s="106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63"/>
        <v>-36.28</v>
      </c>
      <c r="AW3800" s="106">
        <v>-36.28</v>
      </c>
    </row>
    <row r="3801" spans="1:208" x14ac:dyDescent="0.25">
      <c r="A3801" s="127">
        <v>45285</v>
      </c>
      <c r="B3801" s="24" t="s">
        <v>149</v>
      </c>
      <c r="C3801" s="21">
        <f t="shared" si="63"/>
        <v>-8.6</v>
      </c>
      <c r="BC3801" s="106">
        <v>-8.6</v>
      </c>
    </row>
    <row r="3802" spans="1:208" x14ac:dyDescent="0.25">
      <c r="A3802" s="127">
        <v>45286</v>
      </c>
      <c r="B3802" s="24" t="s">
        <v>75</v>
      </c>
      <c r="C3802" s="21">
        <f t="shared" si="63"/>
        <v>-167.47</v>
      </c>
      <c r="AN3802" s="106">
        <v>-8.6750000000000007</v>
      </c>
      <c r="AR3802" s="106">
        <v>-19.184999999999999</v>
      </c>
      <c r="AW3802" s="106">
        <v>-18.074999999999999</v>
      </c>
      <c r="BC3802" s="106">
        <v>-17.254999999999999</v>
      </c>
      <c r="BI3802" s="106">
        <v>-8.9550000000000001</v>
      </c>
      <c r="BO3802" s="106">
        <v>-7.5549999999999997</v>
      </c>
      <c r="BU3802" s="106">
        <v>-24.65</v>
      </c>
      <c r="CA3802" s="106">
        <v>-22.26</v>
      </c>
      <c r="CG3802" s="106">
        <v>-16.079999999999998</v>
      </c>
      <c r="CM3802" s="106">
        <v>-24.78</v>
      </c>
    </row>
    <row r="3803" spans="1:208" x14ac:dyDescent="0.25">
      <c r="A3803" s="127">
        <v>45286</v>
      </c>
      <c r="B3803" s="24" t="s">
        <v>20</v>
      </c>
      <c r="C3803" s="21">
        <f t="shared" si="63"/>
        <v>-24.664999999999999</v>
      </c>
      <c r="BU3803" s="106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63"/>
        <v>-87.644999999999996</v>
      </c>
      <c r="AR3805" s="106">
        <v>-18.645</v>
      </c>
      <c r="BU3805" s="106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63"/>
        <v>-42.31</v>
      </c>
      <c r="AR3807" s="106">
        <v>-8.89</v>
      </c>
      <c r="BC3807" s="106">
        <v>-8.7050000000000001</v>
      </c>
      <c r="BI3807" s="106">
        <v>-8.5649999999999995</v>
      </c>
      <c r="BO3807" s="106">
        <v>-7.93</v>
      </c>
      <c r="BU3807" s="106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63"/>
        <v>926.43499999999995</v>
      </c>
      <c r="AW3808" s="106">
        <v>101.06</v>
      </c>
      <c r="BC3808" s="106">
        <v>166.98</v>
      </c>
      <c r="BI3808" s="106">
        <v>155.36500000000001</v>
      </c>
      <c r="BO3808" s="106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63"/>
        <v>-475.78500000000003</v>
      </c>
      <c r="V3809" s="74">
        <v>-141.63999999999999</v>
      </c>
      <c r="BO3809" s="106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63"/>
        <v>-497.86</v>
      </c>
      <c r="BO3810" s="106">
        <v>-76.055000000000007</v>
      </c>
      <c r="BU3810" s="106">
        <v>-99.33</v>
      </c>
      <c r="CA3810" s="106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63"/>
        <v>-196.91499999999999</v>
      </c>
      <c r="V3811" s="74">
        <v>-2.5</v>
      </c>
      <c r="Z3811" s="79">
        <v>-4.54</v>
      </c>
      <c r="AN3811" s="106">
        <v>-8.6850000000000005</v>
      </c>
      <c r="AR3811" s="106">
        <v>-9.31</v>
      </c>
      <c r="AW3811" s="106">
        <v>-26.1</v>
      </c>
      <c r="BC3811" s="106">
        <v>-22.905000000000001</v>
      </c>
      <c r="BI3811" s="106">
        <v>-25.21</v>
      </c>
      <c r="BU3811" s="106">
        <v>-8.2149999999999999</v>
      </c>
      <c r="CA3811" s="106">
        <v>-14.09</v>
      </c>
      <c r="CG3811" s="106">
        <v>-24.21</v>
      </c>
      <c r="CY3811" s="106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63"/>
        <v>-64.575000000000003</v>
      </c>
      <c r="BC3812" s="106">
        <v>-7.6150000000000002</v>
      </c>
      <c r="BI3812" s="106">
        <v>-7.81</v>
      </c>
      <c r="BO3812" s="106">
        <v>-7.63</v>
      </c>
      <c r="BU3812" s="106">
        <v>-8.2100000000000009</v>
      </c>
      <c r="CA3812" s="106">
        <v>-8.3800000000000008</v>
      </c>
      <c r="CG3812" s="106">
        <v>-7.9850000000000003</v>
      </c>
      <c r="CS3812" s="74">
        <v>-8.39</v>
      </c>
      <c r="CY3812" s="106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63"/>
        <v>-16.77</v>
      </c>
      <c r="AR3815" s="106">
        <v>-9.0299999999999994</v>
      </c>
      <c r="BI3815" s="106">
        <v>-7.74</v>
      </c>
    </row>
    <row r="3816" spans="1:208" x14ac:dyDescent="0.25">
      <c r="A3816" s="127">
        <v>45289</v>
      </c>
      <c r="B3816" s="24" t="s">
        <v>84</v>
      </c>
      <c r="C3816" s="21">
        <f t="shared" si="63"/>
        <v>-88.32</v>
      </c>
      <c r="Z3816" s="79">
        <v>-7.5</v>
      </c>
      <c r="AN3816" s="106">
        <v>-26.01</v>
      </c>
      <c r="CG3816" s="106">
        <v>-24.94</v>
      </c>
      <c r="CM3816" s="106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63"/>
        <v>-56.15</v>
      </c>
      <c r="CA3817" s="106">
        <v>-7.9850000000000003</v>
      </c>
      <c r="CG3817" s="106">
        <v>-24.065000000000001</v>
      </c>
      <c r="CM3817" s="106">
        <v>-24.1</v>
      </c>
    </row>
    <row r="3818" spans="1:208" x14ac:dyDescent="0.25">
      <c r="A3818" s="127">
        <v>45289</v>
      </c>
      <c r="B3818" s="24" t="s">
        <v>138</v>
      </c>
      <c r="C3818" s="21">
        <f t="shared" si="63"/>
        <v>-174.32499999999999</v>
      </c>
      <c r="AW3818" s="106">
        <v>-17.945</v>
      </c>
      <c r="BC3818" s="106">
        <v>-20.010000000000002</v>
      </c>
      <c r="BI3818" s="106">
        <v>-17.39</v>
      </c>
      <c r="BO3818" s="106">
        <v>-15.045</v>
      </c>
      <c r="CG3818" s="106">
        <v>-16.05</v>
      </c>
      <c r="CM3818" s="106">
        <v>-8.0299999999999994</v>
      </c>
      <c r="CS3818" s="74">
        <v>-24.04</v>
      </c>
      <c r="CY3818" s="106">
        <v>-24.164999999999999</v>
      </c>
      <c r="DE3818" s="74">
        <v>-16.809999999999999</v>
      </c>
      <c r="DK3818" s="106">
        <v>-14.84</v>
      </c>
    </row>
    <row r="3819" spans="1:208" x14ac:dyDescent="0.25">
      <c r="A3819" s="127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106">
        <v>-41.814999999999998</v>
      </c>
      <c r="CS3820" s="74">
        <v>-42.09</v>
      </c>
      <c r="CY3820" s="106">
        <v>-16.77</v>
      </c>
    </row>
    <row r="3821" spans="1:208" x14ac:dyDescent="0.25">
      <c r="A3821" s="127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106">
        <v>-26.605</v>
      </c>
      <c r="BI3821" s="106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63"/>
        <v>-34.145000000000003</v>
      </c>
      <c r="CY3822" s="106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63"/>
        <v>-16.25</v>
      </c>
      <c r="DK3824" s="106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4"/>
        <v>-37.465000000000003</v>
      </c>
      <c r="AW3826" s="106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4"/>
        <v>-40.520000000000003</v>
      </c>
      <c r="Z3830" s="79">
        <v>-8.68</v>
      </c>
      <c r="AG3830" s="106">
        <v>-8.65</v>
      </c>
      <c r="CY3830" s="106">
        <v>-23.19</v>
      </c>
    </row>
    <row r="3831" spans="1:208" x14ac:dyDescent="0.25">
      <c r="A3831" s="127">
        <v>45296</v>
      </c>
      <c r="B3831" s="24" t="s">
        <v>65</v>
      </c>
      <c r="C3831" s="21">
        <f t="shared" si="64"/>
        <v>-138.67500000000001</v>
      </c>
      <c r="AN3831" s="106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106">
        <v>-34.549999999999997</v>
      </c>
      <c r="AR3833" s="106">
        <v>-35.93</v>
      </c>
      <c r="CY3833" s="106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4"/>
        <v>-8.18</v>
      </c>
      <c r="BI3835" s="106">
        <v>-8.18</v>
      </c>
    </row>
    <row r="3836" spans="1:208" x14ac:dyDescent="0.25">
      <c r="A3836" s="127">
        <v>45296</v>
      </c>
      <c r="B3836" s="24" t="s">
        <v>48</v>
      </c>
      <c r="C3836" s="21">
        <f t="shared" si="64"/>
        <v>-17.195</v>
      </c>
      <c r="BI3836" s="106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27">
        <v>45297</v>
      </c>
      <c r="B3838" s="24" t="s">
        <v>113</v>
      </c>
      <c r="C3838" s="21">
        <f t="shared" si="64"/>
        <v>2389.2800000000002</v>
      </c>
      <c r="AW3838" s="106">
        <v>215.59</v>
      </c>
      <c r="BI3838" s="106">
        <v>209</v>
      </c>
      <c r="BO3838" s="106">
        <v>193.98</v>
      </c>
      <c r="BU3838" s="106">
        <v>196.035</v>
      </c>
      <c r="CA3838" s="106">
        <v>198.53</v>
      </c>
      <c r="CG3838" s="106">
        <v>197.13</v>
      </c>
      <c r="CM3838" s="106">
        <v>192.19499999999999</v>
      </c>
      <c r="CS3838" s="74">
        <v>197.47</v>
      </c>
      <c r="CY3838" s="106">
        <v>196.76</v>
      </c>
      <c r="DK3838" s="106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4"/>
        <v>-622.03</v>
      </c>
      <c r="BC3839" s="106">
        <v>-26.844999999999999</v>
      </c>
      <c r="BI3839" s="106">
        <v>-70.084999999999994</v>
      </c>
      <c r="BO3839" s="106">
        <v>-65.334999999999994</v>
      </c>
      <c r="BU3839" s="106">
        <v>-63.7</v>
      </c>
      <c r="CA3839" s="106">
        <v>-98.905000000000001</v>
      </c>
      <c r="CG3839" s="106">
        <v>-66.25</v>
      </c>
      <c r="CM3839" s="106">
        <v>-64.185000000000002</v>
      </c>
      <c r="CS3839" s="74">
        <v>-32.74</v>
      </c>
      <c r="CY3839" s="106">
        <v>-32.994999999999997</v>
      </c>
      <c r="DK3839" s="106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4"/>
        <v>-127.375</v>
      </c>
      <c r="BC3840" s="106">
        <v>-27.89</v>
      </c>
      <c r="BU3840" s="106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4"/>
        <v>-52.945</v>
      </c>
      <c r="AW3842" s="106">
        <v>-18.03</v>
      </c>
      <c r="CA3842" s="106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4"/>
        <v>-191.04499999999999</v>
      </c>
      <c r="AN3843" s="106">
        <v>-8.6549999999999994</v>
      </c>
      <c r="AR3843" s="106">
        <v>-8.8149999999999995</v>
      </c>
      <c r="AW3843" s="106">
        <v>-9.11</v>
      </c>
      <c r="BC3843" s="106">
        <f>-9.09-7.525-6.76</f>
        <v>-23.375</v>
      </c>
      <c r="BI3843" s="106">
        <f>-8.69-8.69-8.725</f>
        <v>-26.105</v>
      </c>
      <c r="BO3843" s="106">
        <f>-8.15-8.18-8.165</f>
        <v>-24.495000000000001</v>
      </c>
      <c r="BU3843" s="106">
        <v>-7.93</v>
      </c>
      <c r="CA3843" s="106">
        <f>-8.275-7.96</f>
        <v>-16.234999999999999</v>
      </c>
      <c r="CG3843" s="106">
        <f>-8.445-8.485-8.475</f>
        <v>-25.405000000000001</v>
      </c>
      <c r="CM3843" s="106">
        <f>-8.135-8.14</f>
        <v>-16.274999999999999</v>
      </c>
      <c r="CS3843" s="74">
        <v>-8.2899999999999991</v>
      </c>
      <c r="CY3843" s="106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4"/>
        <v>-17.71</v>
      </c>
      <c r="AN3844" s="106">
        <v>-8.66</v>
      </c>
      <c r="AR3844" s="106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4"/>
        <v>-447.54500000000002</v>
      </c>
      <c r="Z3846" s="79">
        <v>-30.54</v>
      </c>
      <c r="BO3846" s="106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106">
        <v>-36.024999999999999</v>
      </c>
      <c r="BI3847" s="106">
        <v>-34.67</v>
      </c>
      <c r="BO3847" s="106">
        <v>-32.354999999999997</v>
      </c>
      <c r="CG3847" s="106">
        <v>-33.64</v>
      </c>
      <c r="CM3847" s="106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4"/>
        <v>-17.135000000000002</v>
      </c>
      <c r="BU3848" s="106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4"/>
        <v>-8.9700000000000006</v>
      </c>
      <c r="AR3849" s="106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4"/>
        <v>-8.1750000000000007</v>
      </c>
      <c r="BO3850" s="106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4"/>
        <v>-15.63</v>
      </c>
      <c r="CG3851" s="106">
        <v>-8.2949999999999999</v>
      </c>
      <c r="CM3851" s="106">
        <v>-7.335</v>
      </c>
    </row>
    <row r="3852" spans="1:208" x14ac:dyDescent="0.25">
      <c r="A3852" s="127">
        <v>45300</v>
      </c>
      <c r="B3852" s="24" t="s">
        <v>20</v>
      </c>
      <c r="C3852" s="21">
        <f t="shared" si="64"/>
        <v>-53.56</v>
      </c>
      <c r="Z3852" s="79">
        <v>-7.58</v>
      </c>
      <c r="CA3852" s="106">
        <v>-8.7750000000000004</v>
      </c>
      <c r="CM3852" s="106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4"/>
        <v>0</v>
      </c>
    </row>
    <row r="3854" spans="1:208" x14ac:dyDescent="0.25">
      <c r="A3854" s="127">
        <v>45300</v>
      </c>
      <c r="B3854" s="24" t="s">
        <v>48</v>
      </c>
      <c r="C3854" s="21">
        <f t="shared" si="64"/>
        <v>-8.6300000000000008</v>
      </c>
      <c r="AN3854" s="106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4"/>
        <v>-32.5</v>
      </c>
      <c r="CA3858" s="106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4"/>
        <v>-34.634999999999998</v>
      </c>
      <c r="BI3859" s="106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4"/>
        <v>-100.19499999999999</v>
      </c>
      <c r="AN3860" s="106">
        <v>-33.42</v>
      </c>
      <c r="AR3860" s="106">
        <v>-37.145000000000003</v>
      </c>
      <c r="BI3860" s="106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4"/>
        <v>2425.712</v>
      </c>
      <c r="AN3861" s="106">
        <v>212.14</v>
      </c>
      <c r="AR3861" s="106">
        <v>108.925</v>
      </c>
      <c r="BC3861" s="106">
        <v>207.18199999999999</v>
      </c>
      <c r="BI3861" s="106">
        <v>206.36500000000001</v>
      </c>
      <c r="BO3861" s="106">
        <v>201.1</v>
      </c>
      <c r="BU3861" s="106">
        <v>197.76</v>
      </c>
      <c r="CA3861" s="106">
        <v>197.55</v>
      </c>
      <c r="CG3861" s="106">
        <v>200.8</v>
      </c>
      <c r="CM3861" s="106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4"/>
        <v>-49.26</v>
      </c>
      <c r="CA3862" s="106">
        <v>-8.1300000000000008</v>
      </c>
      <c r="CG3862" s="106">
        <v>-8.4499999999999993</v>
      </c>
      <c r="CM3862" s="106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4"/>
        <v>-241.97499999999999</v>
      </c>
      <c r="AN3863" s="106">
        <v>-8.84</v>
      </c>
      <c r="AR3863" s="106">
        <v>-18.175000000000001</v>
      </c>
      <c r="AW3863" s="106">
        <v>-26.914999999999999</v>
      </c>
      <c r="BC3863" s="106">
        <v>-25.97</v>
      </c>
      <c r="BI3863" s="106">
        <v>-34.115000000000002</v>
      </c>
      <c r="BO3863" s="106">
        <v>-37.58</v>
      </c>
      <c r="BU3863" s="106">
        <v>-40.81</v>
      </c>
      <c r="CA3863" s="106">
        <v>-32.909999999999997</v>
      </c>
      <c r="CG3863" s="106">
        <v>-8.5299999999999994</v>
      </c>
      <c r="CM3863" s="106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4"/>
        <v>-41.945</v>
      </c>
      <c r="AN3864" s="106">
        <v>-8.83</v>
      </c>
      <c r="BC3864" s="106">
        <v>-8.64</v>
      </c>
      <c r="BI3864" s="106">
        <v>-8.5150000000000006</v>
      </c>
      <c r="BO3864" s="106">
        <v>-7.79</v>
      </c>
      <c r="BU3864" s="106">
        <v>-8.17</v>
      </c>
    </row>
    <row r="3865" spans="1:167" x14ac:dyDescent="0.25">
      <c r="A3865" s="127">
        <v>45303</v>
      </c>
      <c r="B3865" s="24" t="s">
        <v>169</v>
      </c>
      <c r="C3865" s="21">
        <f t="shared" si="64"/>
        <v>-78.989999999999995</v>
      </c>
      <c r="E3865" s="386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4"/>
        <v>-66.06</v>
      </c>
      <c r="BC3866" s="106">
        <v>-16.295000000000002</v>
      </c>
      <c r="BI3866" s="106">
        <v>-16.91</v>
      </c>
      <c r="BU3866" s="106">
        <v>-8.2050000000000001</v>
      </c>
      <c r="CA3866" s="106">
        <v>-24.65</v>
      </c>
    </row>
    <row r="3867" spans="1:167" x14ac:dyDescent="0.25">
      <c r="A3867" s="127">
        <v>45303</v>
      </c>
      <c r="B3867" s="24" t="s">
        <v>18</v>
      </c>
      <c r="C3867" s="21">
        <f t="shared" si="64"/>
        <v>-492.68200000000002</v>
      </c>
      <c r="AW3867" s="106">
        <v>-35.865000000000002</v>
      </c>
      <c r="BC3867" s="106">
        <v>-34.392000000000003</v>
      </c>
      <c r="BI3867" s="106">
        <v>-35.03</v>
      </c>
      <c r="BO3867" s="106">
        <v>-30.72</v>
      </c>
      <c r="BU3867" s="106">
        <v>-32.715000000000003</v>
      </c>
      <c r="CA3867" s="106">
        <v>-65.94</v>
      </c>
      <c r="CG3867" s="106">
        <v>-67.844999999999999</v>
      </c>
      <c r="CM3867" s="106">
        <v>-32.49</v>
      </c>
      <c r="CS3867" s="74">
        <v>-30.145</v>
      </c>
      <c r="CY3867" s="106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4"/>
        <v>-84.954999999999998</v>
      </c>
      <c r="BC3869" s="106">
        <v>-51.994999999999997</v>
      </c>
      <c r="BU3869" s="106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4"/>
        <v>-165.55</v>
      </c>
      <c r="BC3871" s="106">
        <v>-34.409999999999997</v>
      </c>
      <c r="BI3871" s="106">
        <v>-34.805</v>
      </c>
      <c r="BO3871" s="106">
        <v>-31.18</v>
      </c>
      <c r="CA3871" s="106">
        <v>-32.93</v>
      </c>
      <c r="CG3871" s="106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4"/>
        <v>-71.724999999999994</v>
      </c>
      <c r="AN3872" s="106">
        <v>-17.7</v>
      </c>
      <c r="AR3872" s="106">
        <v>-18.22</v>
      </c>
      <c r="AW3872" s="106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4"/>
        <v>-21.105</v>
      </c>
      <c r="D3873" s="386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106">
        <v>-35.380000000000003</v>
      </c>
      <c r="BO3874" s="106">
        <v>-61.89</v>
      </c>
      <c r="BU3874" s="106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4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4"/>
        <v>-40.98</v>
      </c>
      <c r="BU3876" s="106">
        <v>-8.1649999999999991</v>
      </c>
      <c r="CA3876" s="106">
        <v>-16.18</v>
      </c>
      <c r="CG3876" s="106">
        <v>-8.4949999999999992</v>
      </c>
      <c r="CM3876" s="106">
        <v>-8.14</v>
      </c>
    </row>
    <row r="3877" spans="1:237" x14ac:dyDescent="0.25">
      <c r="A3877" s="127">
        <v>45307</v>
      </c>
      <c r="B3877" s="24" t="s">
        <v>169</v>
      </c>
      <c r="C3877" s="21">
        <f t="shared" si="64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4"/>
        <v>2404.12</v>
      </c>
      <c r="P3879" s="106">
        <v>144.655</v>
      </c>
      <c r="AW3879" s="106">
        <v>167.57499999999999</v>
      </c>
      <c r="BC3879" s="106">
        <v>120.155</v>
      </c>
      <c r="CA3879" s="106">
        <v>173.69</v>
      </c>
      <c r="CG3879" s="106">
        <v>99.32</v>
      </c>
      <c r="CM3879" s="106">
        <v>101.405</v>
      </c>
      <c r="CS3879" s="74">
        <v>169.75</v>
      </c>
      <c r="CY3879" s="106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27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4"/>
        <v>-33.674999999999997</v>
      </c>
      <c r="AW3887" s="106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4"/>
        <v>-27.46</v>
      </c>
      <c r="BC3888" s="106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5"/>
        <v>-64.31</v>
      </c>
      <c r="AR3890" s="106">
        <v>-9.0449999999999999</v>
      </c>
      <c r="AW3890" s="106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5"/>
        <v>-50.844999999999999</v>
      </c>
      <c r="AW3892" s="106">
        <v>-8.9499999999999993</v>
      </c>
      <c r="BC3892" s="106">
        <v>-8.2100000000000009</v>
      </c>
      <c r="BI3892" s="106">
        <v>-8.4499999999999993</v>
      </c>
      <c r="BO3892" s="106">
        <v>-8.8149999999999995</v>
      </c>
      <c r="BU3892" s="106">
        <v>-8.1950000000000003</v>
      </c>
      <c r="CA3892" s="106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5"/>
        <v>-1710.34</v>
      </c>
      <c r="AW3895" s="106">
        <v>-100.53</v>
      </c>
      <c r="BC3895" s="106">
        <v>-67.185000000000002</v>
      </c>
      <c r="BI3895" s="106">
        <v>-98.435000000000002</v>
      </c>
      <c r="CA3895" s="106">
        <v>-138.83000000000001</v>
      </c>
      <c r="CG3895" s="106">
        <v>-133.14500000000001</v>
      </c>
      <c r="CM3895" s="106">
        <v>-168.125</v>
      </c>
      <c r="CS3895" s="74">
        <v>-199.51</v>
      </c>
      <c r="CY3895" s="106">
        <v>-99.83</v>
      </c>
      <c r="DE3895" s="74">
        <v>-66.915000000000006</v>
      </c>
      <c r="DK3895" s="106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5"/>
        <v>-66.495000000000005</v>
      </c>
      <c r="AW3896" s="106">
        <v>-33.47</v>
      </c>
      <c r="CG3896" s="106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5"/>
        <v>-67.75</v>
      </c>
      <c r="DK3897" s="106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5"/>
        <v>2069.39</v>
      </c>
      <c r="BO3898" s="106">
        <v>206.08500000000001</v>
      </c>
      <c r="BU3898" s="106">
        <v>197.91499999999999</v>
      </c>
      <c r="CA3898" s="106">
        <v>188.20500000000001</v>
      </c>
      <c r="CM3898" s="106">
        <v>194.70500000000001</v>
      </c>
      <c r="CY3898" s="106">
        <v>189.24</v>
      </c>
      <c r="DE3898" s="74">
        <v>193.81</v>
      </c>
      <c r="DK3898" s="106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5"/>
        <v>-99.885000000000005</v>
      </c>
      <c r="BU3899" s="106">
        <v>-16.3</v>
      </c>
      <c r="CS3899" s="74">
        <v>-35.78</v>
      </c>
      <c r="CY3899" s="106">
        <v>-31.55</v>
      </c>
      <c r="DK3899" s="106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5"/>
        <v>-163.19</v>
      </c>
      <c r="AW3900" s="106">
        <v>-33.814999999999998</v>
      </c>
      <c r="BO3900" s="106">
        <v>-63.91</v>
      </c>
      <c r="BU3900" s="106">
        <v>-34.064999999999998</v>
      </c>
      <c r="CA3900" s="106">
        <v>-31.4</v>
      </c>
    </row>
    <row r="3901" spans="1:237" x14ac:dyDescent="0.25">
      <c r="A3901" s="127">
        <v>45314</v>
      </c>
      <c r="B3901" s="24" t="s">
        <v>184</v>
      </c>
      <c r="C3901" s="21">
        <f t="shared" si="65"/>
        <v>-539.62</v>
      </c>
      <c r="AR3901" s="106">
        <v>-18.170000000000002</v>
      </c>
      <c r="AW3901" s="106">
        <v>-69.334999999999994</v>
      </c>
      <c r="BI3901" s="106">
        <v>-67.825000000000003</v>
      </c>
      <c r="BO3901" s="106">
        <v>-31.465</v>
      </c>
      <c r="BU3901" s="106">
        <v>-32.69</v>
      </c>
      <c r="CG3901" s="106">
        <v>-30.535</v>
      </c>
      <c r="CM3901" s="106">
        <v>-32.479999999999997</v>
      </c>
      <c r="CS3901" s="74">
        <v>-32.835000000000001</v>
      </c>
      <c r="CY3901" s="106">
        <v>-31.125</v>
      </c>
      <c r="DE3901" s="74">
        <v>-66.78</v>
      </c>
      <c r="DK3901" s="106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5"/>
        <v>-23.59</v>
      </c>
      <c r="BC3902" s="106">
        <v>-7.9349999999999996</v>
      </c>
      <c r="BO3902" s="106">
        <v>-7.415</v>
      </c>
      <c r="BU3902" s="106">
        <v>-8.24</v>
      </c>
    </row>
    <row r="3903" spans="1:237" x14ac:dyDescent="0.25">
      <c r="A3903" s="127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106">
        <v>-8.3550000000000004</v>
      </c>
      <c r="BO3904" s="106">
        <v>-7.71</v>
      </c>
    </row>
    <row r="3905" spans="1:208" x14ac:dyDescent="0.25">
      <c r="A3905" s="127">
        <v>45314</v>
      </c>
      <c r="B3905" s="24" t="s">
        <v>178</v>
      </c>
      <c r="C3905" s="21">
        <f t="shared" si="65"/>
        <v>-122.125</v>
      </c>
      <c r="BC3905" s="106">
        <v>-56.68</v>
      </c>
      <c r="BU3905" s="106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5"/>
        <v>-8.4600000000000009</v>
      </c>
      <c r="BO3906" s="106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5"/>
        <v>-30.295000000000002</v>
      </c>
      <c r="BI3907" s="106">
        <v>-14.965</v>
      </c>
      <c r="BO3907" s="106">
        <v>-7.25</v>
      </c>
      <c r="CA3907" s="106">
        <v>-8.08</v>
      </c>
    </row>
    <row r="3908" spans="1:208" x14ac:dyDescent="0.25">
      <c r="A3908" s="127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106">
        <v>-8.3550000000000004</v>
      </c>
      <c r="BO3908" s="106">
        <v>-7.71</v>
      </c>
    </row>
    <row r="3909" spans="1:208" x14ac:dyDescent="0.25">
      <c r="A3909" s="127">
        <v>45315</v>
      </c>
      <c r="B3909" s="24" t="s">
        <v>184</v>
      </c>
      <c r="C3909" s="21">
        <f t="shared" si="65"/>
        <v>-140.72</v>
      </c>
      <c r="AG3909" s="106">
        <v>-8.61</v>
      </c>
      <c r="AN3909" s="106">
        <v>-8.86</v>
      </c>
      <c r="AR3909" s="106">
        <v>-9.08</v>
      </c>
      <c r="AW3909" s="106">
        <v>-25.395</v>
      </c>
      <c r="BO3909" s="106">
        <v>-15.9</v>
      </c>
      <c r="CA3909" s="106">
        <v>-40.47</v>
      </c>
      <c r="CM3909" s="106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5"/>
        <v>-113.495</v>
      </c>
      <c r="BI3912" s="106">
        <v>-29.47</v>
      </c>
      <c r="BO3912" s="106">
        <v>-32.4</v>
      </c>
      <c r="BU3912" s="106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5"/>
        <v>2236.9050000000002</v>
      </c>
      <c r="P3913" s="106">
        <v>129.435</v>
      </c>
      <c r="AW3913" s="106">
        <v>148.465</v>
      </c>
      <c r="BC3913" s="106">
        <v>100.105</v>
      </c>
      <c r="CA3913" s="106">
        <v>168.76499999999999</v>
      </c>
      <c r="CG3913" s="106">
        <v>301.97000000000003</v>
      </c>
      <c r="CM3913" s="106">
        <v>133.685</v>
      </c>
      <c r="CS3913" s="74">
        <v>166.91</v>
      </c>
      <c r="CY3913" s="106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5"/>
        <v>2074.1880000000001</v>
      </c>
      <c r="AN3914" s="106">
        <v>104.85</v>
      </c>
      <c r="AW3914" s="106">
        <v>198.393</v>
      </c>
      <c r="BC3914" s="106">
        <v>204.88</v>
      </c>
      <c r="BI3914" s="106">
        <v>196.54499999999999</v>
      </c>
      <c r="BO3914" s="106">
        <v>187.33500000000001</v>
      </c>
      <c r="BU3914" s="106">
        <v>204.41499999999999</v>
      </c>
      <c r="CA3914" s="106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5"/>
        <v>-187.7</v>
      </c>
      <c r="T3916" s="42">
        <v>-14.66</v>
      </c>
      <c r="BC3916" s="106">
        <v>-41.104999999999997</v>
      </c>
      <c r="BI3916" s="106">
        <v>-31.425000000000001</v>
      </c>
      <c r="BU3916" s="106">
        <v>-34.14</v>
      </c>
      <c r="CG3916" s="106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5"/>
        <v>-120.27500000000001</v>
      </c>
      <c r="BC3917" s="106">
        <v>-53.195</v>
      </c>
      <c r="BI3917" s="106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5"/>
        <v>-223</v>
      </c>
      <c r="BC3918" s="106">
        <v>-34.200000000000003</v>
      </c>
      <c r="BI3918" s="106">
        <v>-30.405000000000001</v>
      </c>
      <c r="BO3918" s="106">
        <v>-31.74</v>
      </c>
      <c r="BU3918" s="106">
        <v>-33.895000000000003</v>
      </c>
      <c r="CS3918" s="74">
        <v>-32.090000000000003</v>
      </c>
      <c r="CY3918" s="106">
        <v>-32.674999999999997</v>
      </c>
      <c r="DK3918" s="106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5"/>
        <v>-7.49</v>
      </c>
      <c r="BI3919" s="106">
        <v>-7.49</v>
      </c>
    </row>
    <row r="3920" spans="1:208" x14ac:dyDescent="0.25">
      <c r="A3920" s="127">
        <v>45317</v>
      </c>
      <c r="B3920" s="24" t="s">
        <v>33</v>
      </c>
      <c r="C3920" s="21">
        <f t="shared" si="65"/>
        <v>-24.385000000000002</v>
      </c>
      <c r="AR3920" s="106">
        <v>-9.0350000000000001</v>
      </c>
      <c r="BI3920" s="106">
        <v>-7.5549999999999997</v>
      </c>
      <c r="BU3920" s="106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5"/>
        <v>-159.87</v>
      </c>
      <c r="AR3922" s="106">
        <v>-9.0350000000000001</v>
      </c>
      <c r="CM3922" s="106">
        <v>-24.625</v>
      </c>
      <c r="CS3922" s="74">
        <v>-16.55</v>
      </c>
      <c r="DK3922" s="106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5"/>
        <v>-783.68499999999995</v>
      </c>
      <c r="BC3923" s="106">
        <v>-60.854999999999997</v>
      </c>
      <c r="BI3923" s="106">
        <v>-30.004999999999999</v>
      </c>
      <c r="BO3923" s="106">
        <v>-92.18</v>
      </c>
      <c r="BU3923" s="106">
        <v>-34.325000000000003</v>
      </c>
      <c r="CA3923" s="106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5"/>
        <v>-9.0399999999999991</v>
      </c>
      <c r="CA3927" s="106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5"/>
        <v>297.22000000000003</v>
      </c>
      <c r="D3930" s="386">
        <f>65.7+32.92</f>
        <v>98.62</v>
      </c>
      <c r="E3930" s="386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5"/>
        <v>-66.95</v>
      </c>
      <c r="BC3931" s="106">
        <v>-34.43</v>
      </c>
      <c r="BU3931" s="106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5"/>
        <v>-31.04</v>
      </c>
      <c r="AW3933" s="106">
        <v>-8.3550000000000004</v>
      </c>
      <c r="BC3933" s="106">
        <v>-6.6449999999999996</v>
      </c>
      <c r="BI3933" s="106">
        <v>-7.46</v>
      </c>
      <c r="CG3933" s="106">
        <v>-8.58</v>
      </c>
    </row>
    <row r="3934" spans="1:235" x14ac:dyDescent="0.25">
      <c r="A3934" s="127">
        <v>45321</v>
      </c>
      <c r="B3934" s="24" t="s">
        <v>167</v>
      </c>
      <c r="C3934" s="21">
        <f t="shared" si="65"/>
        <v>-32.805</v>
      </c>
      <c r="D3934" s="386">
        <v>-8.6300000000000008</v>
      </c>
      <c r="E3934" s="386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5"/>
        <v>-5.6</v>
      </c>
      <c r="CG3936" s="106">
        <v>-3.6</v>
      </c>
      <c r="CM3936" s="106">
        <v>-2</v>
      </c>
    </row>
    <row r="3937" spans="1:167" x14ac:dyDescent="0.25">
      <c r="A3937" s="127">
        <v>45323</v>
      </c>
      <c r="B3937" s="24" t="s">
        <v>133</v>
      </c>
      <c r="C3937" s="21">
        <f t="shared" si="65"/>
        <v>-115.105</v>
      </c>
      <c r="AR3937" s="106">
        <v>-36.115000000000002</v>
      </c>
      <c r="AW3937" s="106">
        <v>-33.450000000000003</v>
      </c>
      <c r="BC3937" s="106">
        <v>-15.324999999999999</v>
      </c>
      <c r="CA3937" s="106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5"/>
        <v>-42.145000000000003</v>
      </c>
      <c r="AN3938" s="106">
        <v>-8.8450000000000006</v>
      </c>
      <c r="AR3938" s="106">
        <v>-9.1449999999999996</v>
      </c>
      <c r="BO3938" s="106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5"/>
        <v>-33.625</v>
      </c>
      <c r="DK3939" s="106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5"/>
        <v>-7.8849999999999998</v>
      </c>
      <c r="BO3940" s="106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5"/>
        <v>-356.71499999999997</v>
      </c>
      <c r="AR3941" s="106">
        <v>-36.085000000000001</v>
      </c>
      <c r="AW3941" s="106">
        <v>-67.37</v>
      </c>
      <c r="BO3941" s="106">
        <v>-31.015000000000001</v>
      </c>
      <c r="CA3941" s="106">
        <v>-34.094999999999999</v>
      </c>
      <c r="DE3941" s="74">
        <v>-65.935000000000002</v>
      </c>
      <c r="DK3941" s="106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5"/>
        <v>-229.935</v>
      </c>
      <c r="M3943" s="92">
        <v>-29.06</v>
      </c>
      <c r="AN3943" s="106">
        <v>-35.36</v>
      </c>
      <c r="AR3943" s="106">
        <v>-33.984999999999999</v>
      </c>
      <c r="CY3943" s="106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5"/>
        <v>-39.72</v>
      </c>
      <c r="BC3944" s="106">
        <v>-17.274999999999999</v>
      </c>
      <c r="BI3944" s="106">
        <v>-14.055</v>
      </c>
      <c r="CM3944" s="106">
        <v>-8.39</v>
      </c>
    </row>
    <row r="3945" spans="1:167" x14ac:dyDescent="0.25">
      <c r="A3945" s="127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5"/>
        <v>-166.29</v>
      </c>
      <c r="CM3946" s="106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5"/>
        <v>-7.71</v>
      </c>
      <c r="BO3947" s="106">
        <v>-7.71</v>
      </c>
    </row>
    <row r="3948" spans="1:167" x14ac:dyDescent="0.25">
      <c r="A3948" s="127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106">
        <v>-8.0549999999999997</v>
      </c>
      <c r="BU3948" s="106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5"/>
        <v>-23.364999999999998</v>
      </c>
      <c r="BC3949" s="106">
        <v>-7.2850000000000001</v>
      </c>
      <c r="BI3949" s="106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5"/>
        <v>-17.535</v>
      </c>
      <c r="AN3950" s="106">
        <v>-8.84</v>
      </c>
      <c r="BC3950" s="106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27">
        <v>45328</v>
      </c>
      <c r="B3952" s="24" t="s">
        <v>156</v>
      </c>
      <c r="C3952" s="21">
        <f t="shared" si="65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6">SUM(D3953:JT3953)</f>
        <v>-67.504999999999995</v>
      </c>
      <c r="AP3953" s="42">
        <v>-17.66</v>
      </c>
      <c r="BO3953" s="106">
        <v>-16.02</v>
      </c>
      <c r="BU3953" s="106">
        <v>-8.0350000000000001</v>
      </c>
      <c r="CA3953" s="106">
        <v>-17.420000000000002</v>
      </c>
      <c r="CM3953" s="106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6"/>
        <v>-26.26</v>
      </c>
      <c r="AW3954" s="106">
        <v>-9</v>
      </c>
      <c r="CA3954" s="106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6"/>
        <v>-161.095</v>
      </c>
      <c r="P3955" s="106">
        <v>-7.96</v>
      </c>
      <c r="AN3955" s="106">
        <v>-8.84</v>
      </c>
      <c r="AR3955" s="106">
        <v>-9.0150000000000006</v>
      </c>
      <c r="AW3955" s="106">
        <v>-8.9550000000000001</v>
      </c>
      <c r="BC3955" s="106">
        <v>-8.5749999999999993</v>
      </c>
      <c r="BO3955" s="106">
        <f>-8.005-7.98-7.81</f>
        <v>-23.795000000000002</v>
      </c>
      <c r="BU3955" s="106">
        <v>-25.145</v>
      </c>
      <c r="CA3955" s="106">
        <v>-26.574999999999999</v>
      </c>
      <c r="CG3955" s="106">
        <v>-26.024999999999999</v>
      </c>
      <c r="CM3955" s="106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6"/>
        <v>-33.634999999999998</v>
      </c>
      <c r="D3956" s="386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6"/>
        <v>-143.05500000000001</v>
      </c>
      <c r="AG3957" s="106">
        <v>-8.59</v>
      </c>
      <c r="AN3957" s="106">
        <v>-26.504999999999999</v>
      </c>
      <c r="AR3957" s="106">
        <v>-9.1199999999999992</v>
      </c>
      <c r="AW3957" s="106">
        <v>-18.215</v>
      </c>
      <c r="CA3957" s="106">
        <v>-23.035</v>
      </c>
      <c r="CM3957" s="106">
        <v>-8.1300000000000008</v>
      </c>
      <c r="CY3957" s="106">
        <v>-16.18</v>
      </c>
      <c r="DE3957" s="74">
        <v>-16.260000000000002</v>
      </c>
      <c r="DK3957" s="106">
        <v>-17.02</v>
      </c>
    </row>
    <row r="3958" spans="1:226" x14ac:dyDescent="0.25">
      <c r="A3958" s="127">
        <v>45330</v>
      </c>
      <c r="B3958" s="24" t="s">
        <v>44</v>
      </c>
      <c r="C3958" s="21">
        <f t="shared" si="66"/>
        <v>0</v>
      </c>
    </row>
    <row r="3959" spans="1:226" x14ac:dyDescent="0.25">
      <c r="A3959" s="127">
        <v>45330</v>
      </c>
      <c r="B3959" s="24" t="s">
        <v>183</v>
      </c>
      <c r="C3959" s="21">
        <f t="shared" si="66"/>
        <v>-8.1349999999999998</v>
      </c>
      <c r="CY3959" s="106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6"/>
        <v>828.06</v>
      </c>
      <c r="Z3960" s="79">
        <v>96.66</v>
      </c>
      <c r="AC3960" s="106">
        <v>136.16999999999999</v>
      </c>
      <c r="AG3960" s="106">
        <v>132.47499999999999</v>
      </c>
      <c r="BO3960" s="106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6"/>
        <v>0</v>
      </c>
    </row>
    <row r="3962" spans="1:226" x14ac:dyDescent="0.25">
      <c r="A3962" s="127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106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6"/>
        <v>-32.93</v>
      </c>
      <c r="BO3964" s="106">
        <v>-16.14</v>
      </c>
      <c r="CG3964" s="106">
        <v>-16.79</v>
      </c>
    </row>
    <row r="3965" spans="1:226" x14ac:dyDescent="0.25">
      <c r="A3965" s="127">
        <v>45331</v>
      </c>
      <c r="B3965" s="24" t="s">
        <v>18</v>
      </c>
      <c r="C3965" s="21">
        <f t="shared" si="66"/>
        <v>-540.25800000000004</v>
      </c>
      <c r="AN3965" s="106">
        <v>-34.119999999999997</v>
      </c>
      <c r="AR3965" s="106">
        <v>-37.174999999999997</v>
      </c>
      <c r="AW3965" s="106">
        <v>-36.097999999999999</v>
      </c>
      <c r="BO3965" s="106">
        <v>-32.29</v>
      </c>
      <c r="CA3965" s="106">
        <v>-32.96</v>
      </c>
      <c r="CG3965" s="106">
        <v>-103.235</v>
      </c>
      <c r="CM3965" s="106">
        <v>-65.77</v>
      </c>
      <c r="CS3965" s="74">
        <v>-100.005</v>
      </c>
      <c r="CY3965" s="106">
        <v>-31.12</v>
      </c>
      <c r="DE3965" s="74">
        <v>-32.924999999999997</v>
      </c>
      <c r="DK3965" s="106">
        <v>-34.56</v>
      </c>
    </row>
    <row r="3966" spans="1:226" x14ac:dyDescent="0.25">
      <c r="A3966" s="127">
        <v>45331</v>
      </c>
      <c r="B3966" s="24" t="s">
        <v>18</v>
      </c>
      <c r="C3966" s="21">
        <f t="shared" si="66"/>
        <v>-326.87</v>
      </c>
      <c r="BO3966" s="106">
        <v>-31.48</v>
      </c>
      <c r="CA3966" s="106">
        <v>-6.53</v>
      </c>
      <c r="CG3966" s="106">
        <v>-66.844999999999999</v>
      </c>
      <c r="CM3966" s="106">
        <v>-32.49</v>
      </c>
      <c r="CS3966" s="74">
        <v>-33.134999999999998</v>
      </c>
      <c r="CY3966" s="106">
        <v>-32.17</v>
      </c>
      <c r="DE3966" s="74">
        <v>-59.14</v>
      </c>
      <c r="DK3966" s="106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6"/>
        <v>997.05</v>
      </c>
      <c r="BC3967" s="106">
        <v>97.575000000000003</v>
      </c>
      <c r="BO3967" s="106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6"/>
        <v>-263.63499999999999</v>
      </c>
      <c r="BC3968" s="106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106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6"/>
        <v>-229.07</v>
      </c>
      <c r="Z3970" s="79">
        <v>-16.175000000000001</v>
      </c>
      <c r="AN3970" s="106">
        <v>-17.675000000000001</v>
      </c>
      <c r="BO3970" s="106">
        <v>-32.284999999999997</v>
      </c>
      <c r="CA3970" s="106">
        <v>-66.8</v>
      </c>
      <c r="CG3970" s="106">
        <v>-16.43</v>
      </c>
      <c r="CM3970" s="106">
        <v>-16.225000000000001</v>
      </c>
      <c r="CY3970" s="106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6"/>
        <v>-202.04</v>
      </c>
      <c r="BC3971" s="106">
        <v>-65.424999999999997</v>
      </c>
      <c r="BO3971" s="106">
        <v>-30.19</v>
      </c>
      <c r="CG3971" s="106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6"/>
        <v>-41.23</v>
      </c>
      <c r="CG3973" s="106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106">
        <v>-8.07</v>
      </c>
      <c r="CG3974" s="106">
        <v>-33.075000000000003</v>
      </c>
      <c r="CY3974" s="106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6"/>
        <v>-8.1549999999999994</v>
      </c>
      <c r="CA3975" s="106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6"/>
        <v>-14.635</v>
      </c>
      <c r="D3976" s="386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6"/>
        <v>-24.87</v>
      </c>
      <c r="CA3977" s="106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6"/>
        <v>-24.774999999999999</v>
      </c>
      <c r="BO3979" s="106">
        <f>-8.075-8.055</f>
        <v>-16.13</v>
      </c>
      <c r="BU3979" s="106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6"/>
        <v>-16.864999999999998</v>
      </c>
      <c r="AC3980" s="106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6"/>
        <v>0</v>
      </c>
    </row>
    <row r="3982" spans="1:226" x14ac:dyDescent="0.25">
      <c r="A3982" s="127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106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6"/>
        <v>-17.579999999999998</v>
      </c>
      <c r="AW3986" s="106">
        <v>-8.9600000000000009</v>
      </c>
      <c r="BC3986" s="106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6"/>
        <v>-33.409999999999997</v>
      </c>
      <c r="AW3987" s="106">
        <v>-9</v>
      </c>
      <c r="BC3987" s="106">
        <v>-8.73</v>
      </c>
      <c r="BO3987" s="106">
        <v>-8.0749999999999993</v>
      </c>
      <c r="CA3987" s="106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6"/>
        <v>-23.17</v>
      </c>
      <c r="Z3988" s="79">
        <v>-8.02</v>
      </c>
      <c r="BO3988" s="106">
        <v>-8.06</v>
      </c>
      <c r="CM3988" s="106">
        <v>-7.09</v>
      </c>
    </row>
    <row r="3989" spans="1:221" x14ac:dyDescent="0.25">
      <c r="A3989" s="127">
        <v>45338</v>
      </c>
      <c r="B3989" s="24" t="s">
        <v>138</v>
      </c>
      <c r="C3989" s="21">
        <f t="shared" si="66"/>
        <v>-40.08</v>
      </c>
      <c r="T3989" s="42">
        <v>-7.82</v>
      </c>
      <c r="BO3989" s="106">
        <v>-8.09</v>
      </c>
      <c r="CG3989" s="106">
        <v>-7.95</v>
      </c>
      <c r="CM3989" s="106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6"/>
        <v>-141.065</v>
      </c>
      <c r="P3990" s="106">
        <v>-15.895</v>
      </c>
      <c r="AN3990" s="106">
        <v>-61.755000000000003</v>
      </c>
      <c r="AR3990" s="106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6"/>
        <v>67.069999999999993</v>
      </c>
      <c r="BL3991" s="182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6"/>
        <v>-33.65</v>
      </c>
      <c r="AR3993" s="106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6"/>
        <v>-16.745000000000001</v>
      </c>
      <c r="CA3994" s="106">
        <v>-8.15</v>
      </c>
      <c r="CG3994" s="106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6"/>
        <v>-7.18</v>
      </c>
      <c r="CA3995" s="106">
        <v>-7.18</v>
      </c>
    </row>
    <row r="3996" spans="1:221" x14ac:dyDescent="0.25">
      <c r="A3996" s="127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106">
        <f>47.255+114.67</f>
        <v>161.92500000000001</v>
      </c>
      <c r="BI3996" s="106">
        <v>134.13999999999999</v>
      </c>
      <c r="BO3996" s="106">
        <v>131.26</v>
      </c>
      <c r="BU3996" s="106">
        <v>87.125</v>
      </c>
      <c r="CA3996" s="106">
        <v>123.625</v>
      </c>
      <c r="CG3996" s="106">
        <v>98.165000000000006</v>
      </c>
      <c r="CM3996" s="106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106">
        <v>-8.5649999999999995</v>
      </c>
      <c r="BU3997" s="106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6"/>
        <v>-74.36</v>
      </c>
      <c r="BI3998" s="106">
        <v>-8.0050000000000008</v>
      </c>
      <c r="BO3998" s="106">
        <v>-16.03</v>
      </c>
      <c r="BU3998" s="106">
        <v>-8.74</v>
      </c>
      <c r="CA3998" s="106">
        <v>-8.1750000000000007</v>
      </c>
      <c r="CM3998" s="106">
        <v>-8.5350000000000001</v>
      </c>
      <c r="CS3998" s="74">
        <v>-16.565000000000001</v>
      </c>
      <c r="CY3998" s="106">
        <v>-8.31</v>
      </c>
    </row>
    <row r="3999" spans="1:221" x14ac:dyDescent="0.25">
      <c r="A3999" s="127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6"/>
        <v>-14.49</v>
      </c>
      <c r="AC4000" s="106">
        <v>-1.7350000000000001</v>
      </c>
      <c r="BI4000" s="106">
        <v>-2.3650000000000002</v>
      </c>
      <c r="BO4000" s="106">
        <v>-2.75</v>
      </c>
      <c r="CM4000" s="106">
        <v>-1.7</v>
      </c>
      <c r="CS4000" s="74">
        <v>-1.8</v>
      </c>
      <c r="CY4000" s="106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6"/>
        <v>-199.595</v>
      </c>
      <c r="AN4001" s="106">
        <v>-8.67</v>
      </c>
      <c r="AR4001" s="106">
        <v>-9.0299999999999994</v>
      </c>
      <c r="AW4001" s="106">
        <v>-9.0050000000000008</v>
      </c>
      <c r="BC4001" s="106">
        <v>-16.420000000000002</v>
      </c>
      <c r="BI4001" s="106">
        <v>-24.535</v>
      </c>
      <c r="BO4001" s="106">
        <v>-24.055</v>
      </c>
      <c r="BS4001" s="42">
        <v>-26.11</v>
      </c>
      <c r="CA4001" s="106">
        <v>-16.114999999999998</v>
      </c>
      <c r="CG4001" s="106">
        <v>-23.664999999999999</v>
      </c>
      <c r="CM4001" s="106">
        <v>-8.5449999999999999</v>
      </c>
      <c r="CS4001" s="74">
        <v>-8.6199999999999992</v>
      </c>
      <c r="CY4001" s="106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6"/>
        <v>-32.305</v>
      </c>
      <c r="BO4002" s="106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6"/>
        <v>-33.49</v>
      </c>
      <c r="BI4004" s="106">
        <v>-8.1950000000000003</v>
      </c>
      <c r="CA4004" s="106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6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6"/>
        <v>-25.925000000000001</v>
      </c>
      <c r="BI4008" s="106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6"/>
        <v>-16.78</v>
      </c>
      <c r="BO4009" s="106">
        <v>-16.78</v>
      </c>
    </row>
    <row r="4010" spans="1:226" x14ac:dyDescent="0.25">
      <c r="A4010" s="127">
        <v>45405</v>
      </c>
      <c r="B4010" s="24" t="s">
        <v>79</v>
      </c>
      <c r="C4010" s="21">
        <f t="shared" si="66"/>
        <v>-26.385000000000002</v>
      </c>
      <c r="AW4010" s="106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6"/>
        <v>-17.395</v>
      </c>
      <c r="AW4012" s="106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106">
        <v>-41.61</v>
      </c>
      <c r="DK4013" s="106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6"/>
        <v>-59.685000000000002</v>
      </c>
      <c r="BO4014" s="106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6"/>
        <v>-23.91</v>
      </c>
      <c r="E4015" s="386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6"/>
        <v>-114.495</v>
      </c>
      <c r="AW4016" s="106">
        <v>-16.684999999999999</v>
      </c>
      <c r="BC4016" s="106">
        <v>-16.364999999999998</v>
      </c>
      <c r="BI4016" s="106">
        <v>-24.725000000000001</v>
      </c>
      <c r="BO4016" s="106">
        <v>-15.96</v>
      </c>
      <c r="CA4016" s="106">
        <v>-7.55</v>
      </c>
      <c r="CM4016" s="106">
        <v>-8.5399999999999991</v>
      </c>
      <c r="CS4016" s="74">
        <v>-8.2550000000000008</v>
      </c>
      <c r="CY4016" s="106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7">SUM(D4017:JT4017)</f>
        <v>-16.62</v>
      </c>
      <c r="CY4017" s="106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7"/>
        <v>-98.52</v>
      </c>
      <c r="BL4018" s="182">
        <v>-33.549999999999997</v>
      </c>
      <c r="BO4018" s="106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7"/>
        <v>-115.52</v>
      </c>
      <c r="DK4019" s="106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7"/>
        <v>-24.76</v>
      </c>
      <c r="BO4020" s="106">
        <v>-8.15</v>
      </c>
      <c r="CA4020" s="106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7"/>
        <v>-16.47</v>
      </c>
      <c r="BL4021" s="182">
        <v>-8.4</v>
      </c>
      <c r="BO4021" s="106">
        <v>-8.07</v>
      </c>
    </row>
    <row r="4022" spans="1:214" x14ac:dyDescent="0.25">
      <c r="A4022" s="127">
        <v>45349</v>
      </c>
      <c r="B4022" s="24" t="s">
        <v>75</v>
      </c>
      <c r="C4022" s="21">
        <f t="shared" si="67"/>
        <v>-24.375</v>
      </c>
      <c r="BI4022" s="106">
        <v>-7.92</v>
      </c>
      <c r="BL4022" s="182">
        <v>-8.3800000000000008</v>
      </c>
      <c r="BO4022" s="106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7"/>
        <v>-14.22</v>
      </c>
      <c r="AW4023" s="106">
        <v>-14.22</v>
      </c>
    </row>
    <row r="4024" spans="1:214" x14ac:dyDescent="0.25">
      <c r="A4024" s="127">
        <v>45349</v>
      </c>
      <c r="B4024" s="24" t="s">
        <v>29</v>
      </c>
      <c r="C4024" s="21">
        <f t="shared" si="67"/>
        <v>-60.07</v>
      </c>
      <c r="AG4024" s="106">
        <v>-8.17</v>
      </c>
      <c r="AN4024" s="106">
        <v>-8.85</v>
      </c>
      <c r="AR4024" s="106">
        <v>-9.06</v>
      </c>
      <c r="AW4024" s="106">
        <v>-8.89</v>
      </c>
      <c r="BC4024" s="106">
        <v>-7.7</v>
      </c>
      <c r="BI4024" s="106">
        <v>-9.33</v>
      </c>
      <c r="BO4024" s="106">
        <v>-8.07</v>
      </c>
    </row>
    <row r="4025" spans="1:214" x14ac:dyDescent="0.25">
      <c r="A4025" s="127">
        <v>45349</v>
      </c>
      <c r="B4025" s="24" t="s">
        <v>20</v>
      </c>
      <c r="C4025" s="21">
        <f t="shared" si="67"/>
        <v>-15.914999999999999</v>
      </c>
      <c r="BI4025" s="106">
        <v>-7.9950000000000001</v>
      </c>
      <c r="BO4025" s="106">
        <v>-7.92</v>
      </c>
    </row>
    <row r="4026" spans="1:214" x14ac:dyDescent="0.25">
      <c r="A4026" s="127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7"/>
        <v>1065.7349999999999</v>
      </c>
      <c r="AW4027" s="106">
        <v>92.355000000000004</v>
      </c>
      <c r="BI4027" s="106">
        <v>129.76</v>
      </c>
      <c r="BO4027" s="106">
        <v>102.32</v>
      </c>
      <c r="BU4027" s="106">
        <v>199.51499999999999</v>
      </c>
      <c r="CG4027" s="106">
        <v>96.724999999999994</v>
      </c>
      <c r="CM4027" s="106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7"/>
        <v>-1428.425</v>
      </c>
      <c r="AW4028" s="106">
        <v>-110.64</v>
      </c>
      <c r="BC4028" s="106">
        <v>-96.265000000000001</v>
      </c>
      <c r="BI4028" s="106">
        <v>-64.55</v>
      </c>
      <c r="BO4028" s="106">
        <v>-102.32</v>
      </c>
      <c r="BU4028" s="106">
        <v>-132.74</v>
      </c>
      <c r="CA4028" s="106">
        <v>-132.34</v>
      </c>
      <c r="CG4028" s="106">
        <v>-96.724999999999994</v>
      </c>
      <c r="CM4028" s="106">
        <v>-132.47499999999999</v>
      </c>
      <c r="CS4028" s="74">
        <v>-97.114999999999995</v>
      </c>
      <c r="CY4028" s="106">
        <v>-99.385000000000005</v>
      </c>
      <c r="DE4028" s="74">
        <v>-98.094999999999999</v>
      </c>
      <c r="DK4028" s="106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7"/>
        <v>0</v>
      </c>
    </row>
    <row r="4033" spans="1:180" x14ac:dyDescent="0.25">
      <c r="A4033" s="127">
        <v>45351</v>
      </c>
      <c r="B4033" s="24" t="s">
        <v>152</v>
      </c>
      <c r="C4033" s="21">
        <f t="shared" si="67"/>
        <v>-34.57</v>
      </c>
      <c r="AN4033" s="106">
        <v>-34.57</v>
      </c>
    </row>
    <row r="4034" spans="1:180" x14ac:dyDescent="0.25">
      <c r="A4034" s="127">
        <v>45352</v>
      </c>
      <c r="B4034" s="24" t="s">
        <v>19</v>
      </c>
      <c r="C4034" s="21">
        <f t="shared" si="67"/>
        <v>-173.345</v>
      </c>
      <c r="AL4034" s="42">
        <f>-8.55-8.26</f>
        <v>-16.809999999999999</v>
      </c>
      <c r="AN4034" s="106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7"/>
        <v>-66.775000000000006</v>
      </c>
      <c r="BU4036" s="106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7"/>
        <v>-17.78</v>
      </c>
      <c r="AW4037" s="106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106">
        <v>-7.87</v>
      </c>
      <c r="BC4038" s="106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7"/>
        <v>-25.184999999999999</v>
      </c>
      <c r="AW4040" s="106">
        <v>-9.06</v>
      </c>
      <c r="BO4040" s="106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7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7"/>
        <v>-34.765000000000001</v>
      </c>
      <c r="AR4044" s="106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7"/>
        <v>-31.82</v>
      </c>
      <c r="BC4045" s="106">
        <v>-8.15</v>
      </c>
      <c r="BO4045" s="106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7"/>
        <v>-6.74</v>
      </c>
      <c r="AC4046" s="106">
        <v>-6.74</v>
      </c>
    </row>
    <row r="4047" spans="1:180" x14ac:dyDescent="0.25">
      <c r="A4047" s="127">
        <v>45355</v>
      </c>
      <c r="B4047" s="24" t="s">
        <v>183</v>
      </c>
      <c r="C4047" s="21">
        <f t="shared" si="67"/>
        <v>-17.350000000000001</v>
      </c>
      <c r="CY4047" s="106">
        <v>-8.4600000000000009</v>
      </c>
      <c r="DK4047" s="106">
        <v>-8.89</v>
      </c>
    </row>
    <row r="4048" spans="1:180" x14ac:dyDescent="0.25">
      <c r="A4048" s="127">
        <v>45356</v>
      </c>
      <c r="B4048" s="24" t="s">
        <v>138</v>
      </c>
      <c r="C4048" s="21">
        <f t="shared" si="67"/>
        <v>-24.3</v>
      </c>
      <c r="BA4048" s="42">
        <v>-17.84</v>
      </c>
      <c r="CA4048" s="106">
        <v>-6.46</v>
      </c>
    </row>
    <row r="4049" spans="1:221" x14ac:dyDescent="0.25">
      <c r="A4049" s="127">
        <v>45356</v>
      </c>
      <c r="B4049" s="24" t="s">
        <v>139</v>
      </c>
      <c r="C4049" s="21">
        <f t="shared" si="67"/>
        <v>-57.4</v>
      </c>
      <c r="BS4049" s="42">
        <v>-8.2100000000000009</v>
      </c>
      <c r="CA4049" s="106">
        <v>-6.48</v>
      </c>
      <c r="CG4049" s="106">
        <v>-8.31</v>
      </c>
      <c r="CM4049" s="106">
        <v>-8.5250000000000004</v>
      </c>
      <c r="CS4049" s="74">
        <v>-8.6300000000000008</v>
      </c>
      <c r="CY4049" s="106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7"/>
        <v>-54.96</v>
      </c>
      <c r="BL4050" s="182">
        <v>-8.3699999999999992</v>
      </c>
      <c r="CA4050" s="106">
        <v>-6.44</v>
      </c>
      <c r="CG4050" s="106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106">
        <v>65.760000000000005</v>
      </c>
      <c r="BC4051" s="106">
        <v>96.064999999999998</v>
      </c>
      <c r="BU4051" s="106">
        <v>66.66</v>
      </c>
      <c r="CA4051" s="106">
        <v>99.94</v>
      </c>
      <c r="CY4051" s="106">
        <v>114.495</v>
      </c>
      <c r="DE4051" s="74">
        <v>102.505</v>
      </c>
      <c r="DK4051" s="106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7"/>
        <v>-6.58</v>
      </c>
      <c r="BI4052" s="106">
        <v>-6.58</v>
      </c>
    </row>
    <row r="4053" spans="1:221" x14ac:dyDescent="0.25">
      <c r="A4053" s="127">
        <v>45357</v>
      </c>
      <c r="B4053" s="24" t="s">
        <v>133</v>
      </c>
      <c r="C4053" s="21">
        <f t="shared" si="67"/>
        <v>-115.25</v>
      </c>
      <c r="BI4053" s="106">
        <v>-31.74</v>
      </c>
      <c r="BU4053" s="106">
        <v>-16.675000000000001</v>
      </c>
      <c r="CA4053" s="106">
        <v>-33.484999999999999</v>
      </c>
      <c r="CY4053" s="106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106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7"/>
        <v>-68.215000000000003</v>
      </c>
      <c r="AW4058" s="106">
        <v>-17.350000000000001</v>
      </c>
      <c r="BC4058" s="106">
        <v>-16.454999999999998</v>
      </c>
      <c r="BM4058" s="88">
        <v>-9.32</v>
      </c>
      <c r="BU4058" s="106">
        <v>-8.3149999999999995</v>
      </c>
      <c r="CA4058" s="106">
        <v>-8.3049999999999997</v>
      </c>
      <c r="CG4058" s="106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106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7"/>
        <v>0</v>
      </c>
    </row>
    <row r="4061" spans="1:221" x14ac:dyDescent="0.25">
      <c r="A4061" s="127">
        <v>45359</v>
      </c>
      <c r="B4061" s="24" t="s">
        <v>188</v>
      </c>
      <c r="C4061" s="21">
        <f t="shared" si="67"/>
        <v>-22.05</v>
      </c>
      <c r="BU4061" s="106">
        <v>-8.3450000000000006</v>
      </c>
      <c r="CA4061" s="106">
        <v>-6.36</v>
      </c>
      <c r="CM4061" s="106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7"/>
        <v>-66.900000000000006</v>
      </c>
      <c r="BC4063" s="106">
        <v>-8.7349999999999994</v>
      </c>
      <c r="BI4063" s="106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7"/>
        <v>34.18</v>
      </c>
      <c r="AN4064" s="106">
        <v>34.18</v>
      </c>
    </row>
    <row r="4065" spans="1:224" x14ac:dyDescent="0.25">
      <c r="A4065" s="127">
        <v>45359</v>
      </c>
      <c r="B4065" s="24" t="s">
        <v>152</v>
      </c>
      <c r="C4065" s="21">
        <f t="shared" si="67"/>
        <v>-261.495</v>
      </c>
      <c r="AW4065" s="106">
        <v>-65.825000000000003</v>
      </c>
      <c r="CA4065" s="106">
        <v>-63.784999999999997</v>
      </c>
      <c r="CY4065" s="106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7"/>
        <v>0</v>
      </c>
    </row>
    <row r="4067" spans="1:224" x14ac:dyDescent="0.25">
      <c r="A4067" s="127">
        <v>45362</v>
      </c>
      <c r="B4067" s="24" t="s">
        <v>133</v>
      </c>
      <c r="C4067" s="21">
        <f t="shared" si="67"/>
        <v>-96.98</v>
      </c>
      <c r="DE4067" s="74">
        <v>-34.204999999999998</v>
      </c>
      <c r="DK4067" s="106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7"/>
        <v>-17.68</v>
      </c>
      <c r="AW4068" s="106">
        <v>-9.3450000000000006</v>
      </c>
      <c r="BU4068" s="106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7"/>
        <v>-101.325</v>
      </c>
      <c r="AR4070" s="106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106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7"/>
        <v>521.22500000000002</v>
      </c>
      <c r="BI4075" s="106">
        <v>35.155000000000001</v>
      </c>
      <c r="BO4075" s="106">
        <v>33.284999999999997</v>
      </c>
      <c r="BU4075" s="106">
        <v>32.4</v>
      </c>
      <c r="CG4075" s="106">
        <v>100.625</v>
      </c>
      <c r="CM4075" s="106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106">
        <v>-68.105000000000004</v>
      </c>
      <c r="CS4076" s="74">
        <v>-25.2</v>
      </c>
      <c r="CY4076" s="106">
        <v>-56.854999999999997</v>
      </c>
      <c r="DE4076" s="74">
        <v>-64.14</v>
      </c>
      <c r="DK4076" s="106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7"/>
        <v>-14.57</v>
      </c>
      <c r="BC4078" s="106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7"/>
        <v>-7.89</v>
      </c>
      <c r="AC4079" s="106">
        <v>-7.89</v>
      </c>
    </row>
    <row r="4080" spans="1:224" x14ac:dyDescent="0.25">
      <c r="A4080" s="127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8">SUM(D4081:JT4081)</f>
        <v>-17.29</v>
      </c>
      <c r="AR4081" s="106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106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8"/>
        <v>-16.305</v>
      </c>
      <c r="BI4084" s="106">
        <v>-7.92</v>
      </c>
      <c r="BO4084" s="106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8"/>
        <v>-17.484999999999999</v>
      </c>
      <c r="AR4086" s="106">
        <v>-8.8699999999999992</v>
      </c>
      <c r="BI4086" s="106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8"/>
        <v>-15.3</v>
      </c>
      <c r="BC4087" s="106">
        <v>-7.3</v>
      </c>
      <c r="BI4087" s="106">
        <v>-8</v>
      </c>
    </row>
    <row r="4088" spans="1:231" x14ac:dyDescent="0.25">
      <c r="A4088" s="127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8"/>
        <v>-40.82</v>
      </c>
      <c r="D4090" s="386">
        <v>-8.8000000000000007</v>
      </c>
      <c r="E4090" s="386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106">
        <v>-17.600000000000001</v>
      </c>
      <c r="BO4092" s="106">
        <v>-16.66</v>
      </c>
      <c r="BU4092" s="106">
        <v>-16.645</v>
      </c>
      <c r="CC4092" s="126">
        <v>-7.56</v>
      </c>
      <c r="CG4092" s="106">
        <v>-8.24</v>
      </c>
    </row>
    <row r="4093" spans="1:231" x14ac:dyDescent="0.25">
      <c r="A4093" s="127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8"/>
        <v>-103.345</v>
      </c>
      <c r="AC4095" s="106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8"/>
        <v>-25.05</v>
      </c>
      <c r="AN4096" s="106">
        <v>-8.64</v>
      </c>
      <c r="BC4096" s="106">
        <v>-8.2850000000000001</v>
      </c>
      <c r="BU4096" s="106">
        <v>-8.125</v>
      </c>
    </row>
    <row r="4097" spans="1:235" x14ac:dyDescent="0.25">
      <c r="A4097" s="127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106">
        <v>99.715000000000003</v>
      </c>
      <c r="AW4098" s="106">
        <v>69.63</v>
      </c>
      <c r="BU4098" s="106">
        <v>132.745</v>
      </c>
      <c r="CY4098" s="106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8"/>
        <v>192.27500000000001</v>
      </c>
      <c r="BI4099" s="106">
        <v>64.510000000000005</v>
      </c>
      <c r="BO4099" s="106">
        <v>62.42</v>
      </c>
      <c r="CA4099" s="106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8"/>
        <v>939.16</v>
      </c>
      <c r="AG4100" s="106">
        <v>106.05</v>
      </c>
      <c r="AW4100" s="106">
        <v>74.605000000000004</v>
      </c>
      <c r="CS4100" s="74">
        <v>101.1</v>
      </c>
      <c r="CY4100" s="106">
        <v>69.415000000000006</v>
      </c>
      <c r="DE4100" s="74">
        <v>114.74</v>
      </c>
      <c r="DK4100" s="106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8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8"/>
        <v>-50.475000000000001</v>
      </c>
      <c r="AN4103" s="106">
        <v>-8.66</v>
      </c>
      <c r="BC4103" s="106">
        <v>-8.2850000000000001</v>
      </c>
      <c r="BO4103" s="106">
        <v>-16.829999999999998</v>
      </c>
      <c r="CA4103" s="106">
        <v>-8.15</v>
      </c>
      <c r="CM4103" s="106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8"/>
        <v>-8.75</v>
      </c>
      <c r="BI4104" s="106">
        <v>-8.75</v>
      </c>
    </row>
    <row r="4105" spans="1:235" x14ac:dyDescent="0.25">
      <c r="A4105" s="127">
        <v>45377</v>
      </c>
      <c r="B4105" s="24" t="s">
        <v>31</v>
      </c>
      <c r="C4105" s="21">
        <f t="shared" si="68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8"/>
        <v>-33.155000000000001</v>
      </c>
      <c r="BI4107" s="106">
        <v>-16.5</v>
      </c>
      <c r="BU4107" s="106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8"/>
        <v>-7.8</v>
      </c>
      <c r="BI4108" s="106">
        <v>-7.8</v>
      </c>
    </row>
    <row r="4109" spans="1:235" x14ac:dyDescent="0.25">
      <c r="A4109" s="127">
        <v>45377</v>
      </c>
      <c r="B4109" s="24" t="s">
        <v>20</v>
      </c>
      <c r="C4109" s="21">
        <f t="shared" si="68"/>
        <v>-16.245000000000001</v>
      </c>
      <c r="BU4109" s="106">
        <v>-8.0549999999999997</v>
      </c>
      <c r="CA4109" s="106">
        <v>-8.19</v>
      </c>
    </row>
    <row r="4110" spans="1:235" x14ac:dyDescent="0.25">
      <c r="A4110" s="127">
        <v>45377</v>
      </c>
      <c r="B4110" s="24" t="s">
        <v>184</v>
      </c>
      <c r="C4110" s="21">
        <f t="shared" si="68"/>
        <v>-116.61499999999999</v>
      </c>
      <c r="BC4110" s="106">
        <v>-6.69</v>
      </c>
      <c r="BI4110" s="106">
        <v>-26.395</v>
      </c>
      <c r="BU4110" s="106">
        <v>-16.22</v>
      </c>
      <c r="CA4110" s="106">
        <v>-16.34</v>
      </c>
      <c r="CS4110" s="74">
        <v>-25.065000000000001</v>
      </c>
      <c r="CY4110" s="106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8"/>
        <v>-101.11</v>
      </c>
      <c r="CG4113" s="106">
        <v>-33.884999999999998</v>
      </c>
      <c r="CY4113" s="106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106">
        <v>-1.55</v>
      </c>
      <c r="CM4114" s="106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8"/>
        <v>-96.405000000000001</v>
      </c>
      <c r="BC4115" s="106">
        <v>-8.3149999999999995</v>
      </c>
      <c r="BI4115" s="106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8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8"/>
        <v>-198.45500000000001</v>
      </c>
      <c r="BI4117" s="106">
        <v>-7.23</v>
      </c>
      <c r="BO4117" s="106">
        <v>-8.2550000000000008</v>
      </c>
      <c r="BU4117" s="106">
        <v>-8.34</v>
      </c>
      <c r="CA4117" s="106">
        <v>-8.15</v>
      </c>
      <c r="CM4117" s="106">
        <v>-33.89</v>
      </c>
      <c r="CS4117" s="74">
        <v>-34.06</v>
      </c>
      <c r="CY4117" s="106">
        <v>-32.11</v>
      </c>
      <c r="DE4117" s="74">
        <v>-34.090000000000003</v>
      </c>
      <c r="DK4117" s="106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8"/>
        <v>-167.77500000000001</v>
      </c>
      <c r="BO4118" s="106">
        <v>-17.149999999999999</v>
      </c>
      <c r="BU4118" s="106">
        <v>-16.684999999999999</v>
      </c>
      <c r="CA4118" s="106">
        <v>-16.324999999999999</v>
      </c>
      <c r="CG4118" s="106">
        <v>-15.935</v>
      </c>
      <c r="CY4118" s="106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106">
        <v>-8.66</v>
      </c>
      <c r="AW4119" s="106">
        <v>-17.420000000000002</v>
      </c>
      <c r="BC4119" s="106">
        <v>-8.1449999999999996</v>
      </c>
      <c r="BO4119" s="106">
        <v>-15.115</v>
      </c>
      <c r="BU4119" s="106">
        <v>-16.715</v>
      </c>
      <c r="CA4119" s="106">
        <v>-8.19</v>
      </c>
      <c r="CG4119" s="106">
        <v>-7.98</v>
      </c>
    </row>
    <row r="4120" spans="1:231" x14ac:dyDescent="0.25">
      <c r="A4120" s="127">
        <v>45380</v>
      </c>
      <c r="B4120" s="24" t="s">
        <v>48</v>
      </c>
      <c r="C4120" s="21">
        <f t="shared" si="68"/>
        <v>10.87</v>
      </c>
      <c r="BU4120" s="106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106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8"/>
        <v>-24.12</v>
      </c>
      <c r="DK4122" s="106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8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8"/>
        <v>-24.925000000000001</v>
      </c>
      <c r="BO4125" s="106">
        <v>-8.06</v>
      </c>
      <c r="BU4125" s="106">
        <v>-8.33</v>
      </c>
      <c r="CM4125" s="106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8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8"/>
        <v>-16.074999999999999</v>
      </c>
      <c r="CY4127" s="106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106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8"/>
        <v>-21.475000000000001</v>
      </c>
      <c r="CM4129" s="106">
        <v>-9.9749999999999996</v>
      </c>
      <c r="CS4129" s="74">
        <v>-1.9</v>
      </c>
      <c r="CY4129" s="106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8"/>
        <v>0</v>
      </c>
    </row>
    <row r="4132" spans="1:131" x14ac:dyDescent="0.25">
      <c r="A4132" s="127">
        <v>45385</v>
      </c>
      <c r="B4132" s="24" t="s">
        <v>17</v>
      </c>
      <c r="C4132" s="21">
        <f t="shared" si="68"/>
        <v>-20.53</v>
      </c>
      <c r="BO4132" s="106">
        <v>-5.24</v>
      </c>
      <c r="DK4132" s="106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8"/>
        <v>-8.33</v>
      </c>
      <c r="BU4134" s="106">
        <v>-8.33</v>
      </c>
    </row>
    <row r="4135" spans="1:131" x14ac:dyDescent="0.25">
      <c r="A4135" s="127">
        <v>45387</v>
      </c>
      <c r="B4135" s="24" t="s">
        <v>113</v>
      </c>
      <c r="C4135" s="21">
        <f t="shared" si="68"/>
        <v>848.77</v>
      </c>
      <c r="BC4135" s="106">
        <v>60.64</v>
      </c>
      <c r="BI4135" s="106">
        <v>91.58</v>
      </c>
      <c r="BO4135" s="106">
        <v>99.72</v>
      </c>
      <c r="CA4135" s="106">
        <v>97.754999999999995</v>
      </c>
      <c r="CG4135" s="106">
        <v>99.43</v>
      </c>
      <c r="CM4135" s="106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8"/>
        <v>-164.76499999999999</v>
      </c>
      <c r="AW4136" s="106">
        <v>-17.47</v>
      </c>
      <c r="BC4136" s="106">
        <v>-17.34</v>
      </c>
      <c r="BI4136" s="106">
        <v>-15.37</v>
      </c>
      <c r="BO4136" s="106">
        <v>-16.36</v>
      </c>
      <c r="BU4136" s="106">
        <v>-14.12</v>
      </c>
      <c r="CA4136" s="106">
        <v>-16.3</v>
      </c>
      <c r="CG4136" s="106">
        <v>-16.61</v>
      </c>
      <c r="CM4136" s="106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8"/>
        <v>-133.08000000000001</v>
      </c>
      <c r="AG4137" s="106">
        <v>-8.59</v>
      </c>
      <c r="AN4137" s="106">
        <v>-8.2200000000000006</v>
      </c>
      <c r="AW4137" s="106">
        <v>-18.395</v>
      </c>
      <c r="BC4137" s="106">
        <v>-16.13</v>
      </c>
      <c r="BI4137" s="106">
        <v>-15.21</v>
      </c>
      <c r="BO4137" s="106">
        <v>-16.385000000000002</v>
      </c>
      <c r="CM4137" s="106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8"/>
        <v>-24.65</v>
      </c>
      <c r="BC4138" s="106">
        <v>-8.0649999999999995</v>
      </c>
      <c r="CA4138" s="106">
        <v>-8.1449999999999996</v>
      </c>
      <c r="CM4138" s="106">
        <v>-8.44</v>
      </c>
    </row>
    <row r="4139" spans="1:131" x14ac:dyDescent="0.25">
      <c r="A4139" s="127">
        <v>45387</v>
      </c>
      <c r="B4139" s="24" t="s">
        <v>133</v>
      </c>
      <c r="C4139" s="21">
        <f t="shared" si="68"/>
        <v>-94.625</v>
      </c>
      <c r="BI4139" s="106">
        <v>-61</v>
      </c>
      <c r="BO4139" s="106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8"/>
        <v>34.125</v>
      </c>
      <c r="AN4140" s="106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8"/>
        <v>-27.19</v>
      </c>
      <c r="AR4141" s="106">
        <v>-3.92</v>
      </c>
      <c r="BC4141" s="106">
        <v>-6.65</v>
      </c>
      <c r="BO4141" s="106">
        <v>-8.34</v>
      </c>
      <c r="CG4141" s="106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8"/>
        <v>-41.18</v>
      </c>
      <c r="CA4142" s="106">
        <v>-8.1150000000000002</v>
      </c>
      <c r="CG4142" s="106">
        <v>-8.2899999999999991</v>
      </c>
      <c r="CM4142" s="106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8"/>
        <v>-32.204999999999998</v>
      </c>
      <c r="BI4143" s="106">
        <v>-7.34</v>
      </c>
      <c r="BL4143" s="182">
        <v>-8.3699999999999992</v>
      </c>
      <c r="BO4143" s="106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8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9"/>
        <v>-65.215000000000003</v>
      </c>
      <c r="AW4147" s="106">
        <v>-9.3849999999999998</v>
      </c>
      <c r="BC4147" s="106">
        <v>-7.98</v>
      </c>
      <c r="BJ4147" s="121">
        <v>-7.39</v>
      </c>
      <c r="BO4147" s="106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9"/>
        <v>-16.27</v>
      </c>
      <c r="AN4148" s="106">
        <v>-8.2200000000000006</v>
      </c>
      <c r="BC4148" s="106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9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9"/>
        <v>-66.364999999999995</v>
      </c>
      <c r="AW4150" s="106">
        <v>-17.29</v>
      </c>
      <c r="BC4150" s="106">
        <v>-8.0549999999999997</v>
      </c>
      <c r="CG4150" s="106">
        <v>-16.495000000000001</v>
      </c>
      <c r="CM4150" s="106">
        <v>-8.4949999999999992</v>
      </c>
      <c r="DK4150" s="106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9"/>
        <v>-66.47</v>
      </c>
      <c r="E4151" s="386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9"/>
        <v>-34.75</v>
      </c>
      <c r="AW4154" s="106">
        <v>-9.42</v>
      </c>
      <c r="BC4154" s="106">
        <v>-8.0350000000000001</v>
      </c>
      <c r="BQ4154" s="126">
        <v>-9</v>
      </c>
      <c r="CG4154" s="106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9"/>
        <v>-8.1449999999999996</v>
      </c>
      <c r="CA4155" s="106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9"/>
        <v>-8.16</v>
      </c>
      <c r="CA4157" s="106">
        <v>-8.16</v>
      </c>
    </row>
    <row r="4158" spans="1:237" x14ac:dyDescent="0.25">
      <c r="A4158" s="127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9"/>
        <v>-33.99</v>
      </c>
      <c r="Z4159" s="79">
        <v>-8.0350000000000001</v>
      </c>
      <c r="BQ4159" s="126">
        <v>-9.07</v>
      </c>
      <c r="CG4159" s="106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9"/>
        <v>-26.535</v>
      </c>
      <c r="AC4161" s="106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9"/>
        <v>-17.71</v>
      </c>
      <c r="AW4162" s="106">
        <v>-9.23</v>
      </c>
      <c r="CM4162" s="106">
        <v>-8.48</v>
      </c>
    </row>
    <row r="4163" spans="1:235" x14ac:dyDescent="0.25">
      <c r="A4163" s="127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9"/>
        <v>-32.375</v>
      </c>
      <c r="Z4164" s="79">
        <v>-16.035</v>
      </c>
      <c r="CA4164" s="106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9"/>
        <v>-30.805</v>
      </c>
      <c r="DE4166" s="74">
        <v>-16.38</v>
      </c>
      <c r="DK4166" s="106">
        <v>-6.6950000000000003</v>
      </c>
      <c r="DM4166" s="46">
        <v>-7.73</v>
      </c>
    </row>
    <row r="4167" spans="1:235" x14ac:dyDescent="0.25">
      <c r="A4167" s="127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9"/>
        <v>-32.375</v>
      </c>
      <c r="Z4169" s="79">
        <v>-16.035</v>
      </c>
      <c r="CA4169" s="106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9"/>
        <v>842.28</v>
      </c>
      <c r="BC4171" s="106">
        <v>64.064999999999998</v>
      </c>
      <c r="BI4171" s="106">
        <v>88.694999999999993</v>
      </c>
      <c r="BO4171" s="106">
        <v>97.81</v>
      </c>
      <c r="CA4171" s="106">
        <v>98.07</v>
      </c>
      <c r="CG4171" s="106">
        <v>99.26</v>
      </c>
      <c r="CM4171" s="106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106">
        <v>-16.940000000000001</v>
      </c>
      <c r="BO4172" s="106">
        <v>-7.87</v>
      </c>
    </row>
    <row r="4173" spans="1:235" x14ac:dyDescent="0.25">
      <c r="A4173" s="133">
        <v>45411</v>
      </c>
      <c r="B4173" s="64" t="s">
        <v>193</v>
      </c>
      <c r="C4173" s="21">
        <f t="shared" si="69"/>
        <v>-107.52500000000001</v>
      </c>
      <c r="V4173" s="74">
        <v>-7.12</v>
      </c>
      <c r="AC4173" s="106">
        <v>-7.68</v>
      </c>
      <c r="AN4173" s="106">
        <v>-4.82</v>
      </c>
      <c r="AW4173" s="106">
        <v>-2.2999999999999998</v>
      </c>
      <c r="BO4173" s="106">
        <v>-5.24</v>
      </c>
      <c r="BV4173" s="121">
        <v>-7.59</v>
      </c>
      <c r="CA4173" s="106">
        <f>-8.185-1.34</f>
        <v>-9.5250000000000004</v>
      </c>
      <c r="CG4173" s="106">
        <v>-17.125</v>
      </c>
      <c r="CM4173" s="106">
        <v>-15.09</v>
      </c>
      <c r="CS4173" s="74">
        <v>-17.21</v>
      </c>
      <c r="DE4173" s="74">
        <v>-10.585000000000001</v>
      </c>
      <c r="DK4173" s="106">
        <v>-3.24</v>
      </c>
    </row>
    <row r="4174" spans="1:235" x14ac:dyDescent="0.25">
      <c r="A4174" s="127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9"/>
        <v>-67.22</v>
      </c>
      <c r="CM4177" s="106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9"/>
        <v>-7.6950000000000003</v>
      </c>
      <c r="BI4178" s="106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9"/>
        <v>-8.0500000000000007</v>
      </c>
      <c r="AC4179" s="106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9"/>
        <v>-39.905000000000001</v>
      </c>
      <c r="BI4180" s="106">
        <v>-6.82</v>
      </c>
      <c r="BO4180" s="106">
        <v>-8.5649999999999995</v>
      </c>
      <c r="CG4180" s="106">
        <v>-8.2949999999999999</v>
      </c>
      <c r="CM4180" s="106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9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9"/>
        <v>-31.954999999999998</v>
      </c>
      <c r="BC4182" s="106">
        <v>-8.0850000000000009</v>
      </c>
      <c r="BI4182" s="106">
        <v>-7.36</v>
      </c>
      <c r="CA4182" s="106">
        <v>-8.2100000000000009</v>
      </c>
      <c r="CG4182" s="106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106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9"/>
        <v>-16.22</v>
      </c>
      <c r="BC4184" s="106">
        <v>-8.0749999999999993</v>
      </c>
      <c r="CA4184" s="106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9"/>
        <v>-14.574999999999999</v>
      </c>
      <c r="BI4185" s="106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9"/>
        <v>-97.91</v>
      </c>
      <c r="AW4186" s="106">
        <v>-17.45</v>
      </c>
      <c r="BC4186" s="106">
        <v>-13.78</v>
      </c>
      <c r="BO4186" s="106">
        <v>-16.815000000000001</v>
      </c>
      <c r="CA4186" s="106">
        <v>-16.29</v>
      </c>
      <c r="CG4186" s="106">
        <v>-16.605</v>
      </c>
      <c r="CM4186" s="106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9"/>
        <v>-114.12</v>
      </c>
      <c r="AN4187" s="106">
        <v>-7.82</v>
      </c>
      <c r="AW4187" s="106">
        <v>-9.3350000000000009</v>
      </c>
      <c r="BC4187" s="106">
        <v>-6.7149999999999999</v>
      </c>
      <c r="BI4187" s="106">
        <v>-7.6</v>
      </c>
      <c r="BO4187" s="106">
        <v>-6.82</v>
      </c>
      <c r="CA4187" s="106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9"/>
        <v>-426.14</v>
      </c>
      <c r="BI4188" s="106">
        <v>-29.175000000000001</v>
      </c>
      <c r="CA4188" s="106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9"/>
        <v>-7.8449999999999998</v>
      </c>
      <c r="BI4191" s="106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9"/>
        <v>-16.495000000000001</v>
      </c>
      <c r="CA4192" s="106">
        <v>-8.1750000000000007</v>
      </c>
      <c r="CM4192" s="106">
        <v>-8.32</v>
      </c>
    </row>
    <row r="4193" spans="1:199" x14ac:dyDescent="0.25">
      <c r="A4193" s="127">
        <v>45418</v>
      </c>
      <c r="B4193" s="24" t="s">
        <v>113</v>
      </c>
      <c r="C4193" s="21">
        <f t="shared" si="69"/>
        <v>1121.78</v>
      </c>
      <c r="BC4193" s="106">
        <v>64.400000000000006</v>
      </c>
      <c r="BI4193" s="106">
        <v>174.685</v>
      </c>
      <c r="BO4193" s="106">
        <v>127.495</v>
      </c>
      <c r="BU4193" s="106">
        <v>160.41</v>
      </c>
      <c r="CA4193" s="106">
        <v>131.47</v>
      </c>
      <c r="CG4193" s="106">
        <v>144.435</v>
      </c>
      <c r="CM4193" s="106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9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9"/>
        <v>-73.739999999999995</v>
      </c>
      <c r="BC4196" s="106">
        <v>-8.0649999999999995</v>
      </c>
      <c r="BI4196" s="106">
        <v>-16.68</v>
      </c>
      <c r="BO4196" s="106">
        <v>-8.15</v>
      </c>
      <c r="BU4196" s="106">
        <v>-16.2</v>
      </c>
      <c r="CA4196" s="106">
        <v>-16.350000000000001</v>
      </c>
      <c r="CG4196" s="106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9"/>
        <v>-25.46</v>
      </c>
      <c r="AW4197" s="106">
        <v>-9.2750000000000004</v>
      </c>
      <c r="BC4197" s="106">
        <v>-8.08</v>
      </c>
      <c r="BU4197" s="106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9"/>
        <v>-16.23</v>
      </c>
      <c r="BO4198" s="106">
        <v>-7.96</v>
      </c>
      <c r="CG4198" s="106">
        <v>-8.27</v>
      </c>
    </row>
    <row r="4199" spans="1:199" x14ac:dyDescent="0.25">
      <c r="A4199" s="127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9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9"/>
        <v>-62.57</v>
      </c>
      <c r="BC4201" s="106">
        <v>-16.04</v>
      </c>
      <c r="BI4201" s="106">
        <v>-15.295</v>
      </c>
      <c r="BO4201" s="106">
        <v>-16.79</v>
      </c>
      <c r="BU4201" s="106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9"/>
        <v>-16.145</v>
      </c>
      <c r="BU4202" s="106">
        <v>-8.1150000000000002</v>
      </c>
      <c r="CG4202" s="106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9"/>
        <v>-24.524999999999999</v>
      </c>
      <c r="AW4203" s="106">
        <v>-9.2949999999999999</v>
      </c>
      <c r="BC4203" s="106">
        <v>-8.06</v>
      </c>
      <c r="BI4203" s="106">
        <v>-7.17</v>
      </c>
    </row>
    <row r="4204" spans="1:199" x14ac:dyDescent="0.25">
      <c r="A4204" s="127">
        <v>45419</v>
      </c>
      <c r="B4204" s="24" t="s">
        <v>25</v>
      </c>
      <c r="C4204" s="21">
        <f t="shared" si="69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106">
        <v>-8.0549999999999997</v>
      </c>
      <c r="BO4204" s="106">
        <v>-8.6</v>
      </c>
      <c r="CA4204" s="106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9"/>
        <v>-39.875</v>
      </c>
      <c r="AU4205" s="42">
        <v>-7.87</v>
      </c>
      <c r="BC4205" s="106">
        <v>-8.0050000000000008</v>
      </c>
      <c r="BI4205" s="106">
        <v>-7.68</v>
      </c>
      <c r="BO4205" s="106">
        <v>-8.14</v>
      </c>
      <c r="BU4205" s="106">
        <v>-8.18</v>
      </c>
    </row>
    <row r="4206" spans="1:199" x14ac:dyDescent="0.25">
      <c r="A4206" s="127">
        <v>45419</v>
      </c>
      <c r="B4206" s="24" t="s">
        <v>184</v>
      </c>
      <c r="C4206" s="21">
        <f t="shared" si="69"/>
        <v>-155.04499999999999</v>
      </c>
      <c r="BI4206" s="106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9"/>
        <v>0</v>
      </c>
    </row>
    <row r="4208" spans="1:199" x14ac:dyDescent="0.25">
      <c r="A4208" s="127">
        <v>45420</v>
      </c>
      <c r="B4208" s="24" t="s">
        <v>192</v>
      </c>
      <c r="C4208" s="21">
        <f t="shared" si="69"/>
        <v>-24.545000000000002</v>
      </c>
      <c r="BO4208" s="106">
        <v>-8.4149999999999991</v>
      </c>
      <c r="BU4208" s="106">
        <v>-8.1150000000000002</v>
      </c>
      <c r="CG4208" s="106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70">SUM(D4209:JT4209)</f>
        <v>-56.87</v>
      </c>
      <c r="E4209" s="386">
        <v>-56.87</v>
      </c>
    </row>
    <row r="4210" spans="1:208" x14ac:dyDescent="0.25">
      <c r="A4210" s="127">
        <v>45420</v>
      </c>
      <c r="B4210" s="24" t="s">
        <v>31</v>
      </c>
      <c r="C4210" s="21">
        <f t="shared" si="70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106">
        <v>-32.299999999999997</v>
      </c>
      <c r="AG4211" s="106">
        <v>-30.1</v>
      </c>
      <c r="AN4211" s="106">
        <v>-13.25</v>
      </c>
      <c r="AU4211" s="42">
        <v>-17.38</v>
      </c>
      <c r="BC4211" s="106">
        <v>-16.094999999999999</v>
      </c>
      <c r="BO4211" s="106">
        <v>-61.85</v>
      </c>
      <c r="BU4211" s="106">
        <v>-64.965000000000003</v>
      </c>
      <c r="CA4211" s="106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106">
        <v>-8.125</v>
      </c>
      <c r="BI4212" s="106">
        <v>-7.2949999999999999</v>
      </c>
      <c r="BO4212" s="106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70"/>
        <v>-44.7</v>
      </c>
      <c r="D4213" s="386">
        <v>-16.395</v>
      </c>
      <c r="E4213" s="386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70"/>
        <v>0</v>
      </c>
    </row>
    <row r="4215" spans="1:208" x14ac:dyDescent="0.25">
      <c r="A4215" s="127">
        <v>45420</v>
      </c>
      <c r="B4215" s="24" t="s">
        <v>115</v>
      </c>
      <c r="C4215" s="21">
        <f t="shared" si="70"/>
        <v>106.905</v>
      </c>
      <c r="E4215" s="386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70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70"/>
        <v>0</v>
      </c>
    </row>
    <row r="4218" spans="1:208" x14ac:dyDescent="0.25">
      <c r="A4218" s="127">
        <v>45422</v>
      </c>
      <c r="B4218" s="24" t="s">
        <v>20</v>
      </c>
      <c r="C4218" s="21">
        <f t="shared" si="70"/>
        <v>-22.99</v>
      </c>
      <c r="BI4218" s="106">
        <v>-7.2249999999999996</v>
      </c>
      <c r="CA4218" s="106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70"/>
        <v>-8.1950000000000003</v>
      </c>
      <c r="BO4219" s="106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106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70"/>
        <v>0</v>
      </c>
    </row>
    <row r="4223" spans="1:208" x14ac:dyDescent="0.25">
      <c r="A4223" s="127">
        <v>45425</v>
      </c>
      <c r="B4223" s="24" t="s">
        <v>25</v>
      </c>
      <c r="C4223" s="21">
        <f t="shared" si="70"/>
        <v>-33.549999999999997</v>
      </c>
      <c r="CY4223" s="106">
        <v>-17.364999999999998</v>
      </c>
      <c r="DK4223" s="106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70"/>
        <v>1297.79</v>
      </c>
      <c r="AN4224" s="106">
        <v>284.14499999999998</v>
      </c>
      <c r="AR4224" s="106">
        <v>250.23500000000001</v>
      </c>
      <c r="AW4224" s="106">
        <v>139.5</v>
      </c>
      <c r="BU4224" s="106">
        <v>230.7</v>
      </c>
      <c r="CY4224" s="106">
        <v>134.11000000000001</v>
      </c>
      <c r="DK4224" s="106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70"/>
        <v>-16.524999999999999</v>
      </c>
      <c r="D4225" s="386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70"/>
        <v>-33.549999999999997</v>
      </c>
      <c r="AN4226" s="106">
        <v>-8.93</v>
      </c>
      <c r="AR4226" s="106">
        <v>-8.9350000000000005</v>
      </c>
      <c r="AW4226" s="106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70"/>
        <v>-16.605</v>
      </c>
      <c r="AR4227" s="106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70"/>
        <v>-17.614999999999998</v>
      </c>
      <c r="AR4228" s="106">
        <v>-9.65</v>
      </c>
      <c r="AW4228" s="106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70"/>
        <v>-13.375</v>
      </c>
      <c r="AR4229" s="106">
        <v>-5.7949999999999999</v>
      </c>
      <c r="BI4229" s="106">
        <v>-7.58</v>
      </c>
    </row>
    <row r="4230" spans="1:226" x14ac:dyDescent="0.25">
      <c r="A4230" s="127">
        <v>45426</v>
      </c>
      <c r="B4230" s="24" t="s">
        <v>138</v>
      </c>
      <c r="C4230" s="21">
        <f t="shared" si="70"/>
        <v>-9.23</v>
      </c>
      <c r="AR4230" s="106">
        <v>-9.23</v>
      </c>
    </row>
    <row r="4231" spans="1:226" x14ac:dyDescent="0.25">
      <c r="A4231" s="127">
        <v>45426</v>
      </c>
      <c r="B4231" s="24" t="s">
        <v>20</v>
      </c>
      <c r="C4231" s="21">
        <f t="shared" si="70"/>
        <v>-7.98</v>
      </c>
      <c r="AW4231" s="106">
        <v>-7.98</v>
      </c>
    </row>
    <row r="4232" spans="1:226" x14ac:dyDescent="0.25">
      <c r="A4232" s="127">
        <v>45426</v>
      </c>
      <c r="B4232" s="24" t="s">
        <v>17</v>
      </c>
      <c r="C4232" s="21">
        <f t="shared" si="70"/>
        <v>-32.54</v>
      </c>
      <c r="DK4232" s="106">
        <v>-32.54</v>
      </c>
    </row>
    <row r="4233" spans="1:226" x14ac:dyDescent="0.25">
      <c r="A4233" s="127">
        <v>45426</v>
      </c>
      <c r="B4233" s="24" t="s">
        <v>17</v>
      </c>
      <c r="C4233" s="21">
        <f t="shared" si="70"/>
        <v>-60.8</v>
      </c>
      <c r="BO4233" s="106">
        <v>-24.885000000000002</v>
      </c>
      <c r="BU4233" s="106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70"/>
        <v>-24.46</v>
      </c>
      <c r="AN4234" s="106">
        <v>-9.0150000000000006</v>
      </c>
      <c r="BU4234" s="106">
        <v>-7.2949999999999999</v>
      </c>
      <c r="CA4234" s="106">
        <v>-8.15</v>
      </c>
    </row>
    <row r="4235" spans="1:226" x14ac:dyDescent="0.25">
      <c r="A4235" s="127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27">
        <v>45427</v>
      </c>
      <c r="B4236" s="24" t="s">
        <v>184</v>
      </c>
      <c r="C4236" s="21">
        <f t="shared" si="70"/>
        <v>-95.034999999999997</v>
      </c>
      <c r="AN4236" s="106">
        <v>-8.98</v>
      </c>
      <c r="AR4236" s="106">
        <v>-9.19</v>
      </c>
      <c r="AW4236" s="106">
        <v>-15.89</v>
      </c>
      <c r="BI4236" s="106">
        <v>-21.684999999999999</v>
      </c>
      <c r="BU4236" s="106">
        <v>-15.17</v>
      </c>
      <c r="CA4236" s="106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106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106">
        <v>-8.9450000000000003</v>
      </c>
      <c r="BU4239" s="106">
        <v>-7.1150000000000002</v>
      </c>
      <c r="CG4239" s="106">
        <v>-8.0250000000000004</v>
      </c>
      <c r="CM4239" s="106">
        <v>-8.3450000000000006</v>
      </c>
      <c r="CS4239" s="74">
        <v>-7.24</v>
      </c>
      <c r="CY4239" s="106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27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70"/>
        <v>319.10000000000002</v>
      </c>
      <c r="D4242" s="386">
        <v>104.19</v>
      </c>
      <c r="E4242" s="386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70"/>
        <v>-92.4</v>
      </c>
      <c r="CS4243" s="74">
        <v>-57.62</v>
      </c>
      <c r="CY4243" s="106">
        <v>-34.78</v>
      </c>
    </row>
    <row r="4244" spans="1:226" x14ac:dyDescent="0.25">
      <c r="A4244" s="127">
        <v>45429</v>
      </c>
      <c r="B4244" s="24" t="s">
        <v>84</v>
      </c>
      <c r="C4244" s="21">
        <f t="shared" si="70"/>
        <v>-16.989999999999998</v>
      </c>
      <c r="AR4244" s="106">
        <v>-8.91</v>
      </c>
      <c r="BU4244" s="106">
        <v>-8.08</v>
      </c>
    </row>
    <row r="4245" spans="1:226" x14ac:dyDescent="0.25">
      <c r="A4245" s="127">
        <v>45429</v>
      </c>
      <c r="B4245" s="24" t="s">
        <v>75</v>
      </c>
      <c r="C4245" s="21">
        <f t="shared" si="70"/>
        <v>-8.93</v>
      </c>
      <c r="AN4245" s="106">
        <v>-8.93</v>
      </c>
    </row>
    <row r="4246" spans="1:226" x14ac:dyDescent="0.25">
      <c r="A4246" s="127">
        <v>45429</v>
      </c>
      <c r="B4246" s="24" t="s">
        <v>115</v>
      </c>
      <c r="C4246" s="21">
        <f t="shared" si="70"/>
        <v>34.435000000000002</v>
      </c>
      <c r="E4246" s="386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70"/>
        <v>-32.395000000000003</v>
      </c>
      <c r="V4247" s="74">
        <v>-7.8449999999999998</v>
      </c>
      <c r="Z4247" s="79">
        <v>-6.4950000000000001</v>
      </c>
      <c r="AN4247" s="106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70"/>
        <v>-15.055</v>
      </c>
      <c r="BI4248" s="106">
        <v>-6.9450000000000003</v>
      </c>
      <c r="BU4248" s="106">
        <v>-8.11</v>
      </c>
    </row>
    <row r="4249" spans="1:226" x14ac:dyDescent="0.25">
      <c r="A4249" s="127">
        <v>45433</v>
      </c>
      <c r="B4249" s="24" t="s">
        <v>113</v>
      </c>
      <c r="C4249" s="21">
        <f t="shared" si="70"/>
        <v>1106.18</v>
      </c>
      <c r="BC4249" s="106">
        <v>158.625</v>
      </c>
      <c r="BI4249" s="106">
        <v>162.96</v>
      </c>
      <c r="BO4249" s="106">
        <v>127.845</v>
      </c>
      <c r="CA4249" s="106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70"/>
        <v>-362.6</v>
      </c>
      <c r="AR4250" s="106">
        <v>-17.79</v>
      </c>
      <c r="BC4250" s="106">
        <v>-48.145000000000003</v>
      </c>
      <c r="BI4250" s="106">
        <v>-49.72</v>
      </c>
      <c r="BO4250" s="106">
        <v>-31.795000000000002</v>
      </c>
      <c r="BU4250" s="106">
        <v>-51.454999999999998</v>
      </c>
      <c r="CA4250" s="106">
        <v>-17.760000000000002</v>
      </c>
      <c r="DK4250" s="106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70"/>
        <v>-15.875</v>
      </c>
      <c r="BO4252" s="106">
        <v>-15.875</v>
      </c>
    </row>
    <row r="4253" spans="1:226" x14ac:dyDescent="0.25">
      <c r="A4253" s="127">
        <v>45433</v>
      </c>
      <c r="B4253" s="24" t="s">
        <v>20</v>
      </c>
      <c r="C4253" s="21">
        <f t="shared" si="70"/>
        <v>-7.9550000000000001</v>
      </c>
      <c r="BC4253" s="106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70"/>
        <v>-33.945</v>
      </c>
      <c r="CA4254" s="106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106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70"/>
        <v>-32.935000000000002</v>
      </c>
      <c r="AW4256" s="106">
        <v>-7.7949999999999999</v>
      </c>
      <c r="BU4256" s="106">
        <v>-8.7550000000000008</v>
      </c>
      <c r="CG4256" s="106">
        <v>-8.0500000000000007</v>
      </c>
      <c r="CM4256" s="106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70"/>
        <v>-24.664999999999999</v>
      </c>
      <c r="BC4257" s="106">
        <v>-7.83</v>
      </c>
      <c r="BO4257" s="106">
        <v>-7.93</v>
      </c>
      <c r="CA4257" s="106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70"/>
        <v>-50.32</v>
      </c>
      <c r="BC4258" s="106">
        <v>-15.9</v>
      </c>
      <c r="CG4258" s="106">
        <v>-17.510000000000002</v>
      </c>
      <c r="CM4258" s="106">
        <v>-16.91</v>
      </c>
    </row>
    <row r="4259" spans="1:231" x14ac:dyDescent="0.25">
      <c r="A4259" s="127">
        <v>45433</v>
      </c>
      <c r="B4259" s="24" t="s">
        <v>127</v>
      </c>
      <c r="C4259" s="21">
        <f t="shared" si="70"/>
        <v>-9.35</v>
      </c>
      <c r="AR4259" s="106">
        <v>-9.35</v>
      </c>
    </row>
    <row r="4260" spans="1:231" x14ac:dyDescent="0.25">
      <c r="A4260" s="127">
        <v>45433</v>
      </c>
      <c r="B4260" s="24" t="s">
        <v>174</v>
      </c>
      <c r="C4260" s="21">
        <f t="shared" si="70"/>
        <v>-8.6999999999999993</v>
      </c>
      <c r="CY4260" s="106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70"/>
        <v>-111.63500000000001</v>
      </c>
      <c r="CY4263" s="106">
        <v>-34.854999999999997</v>
      </c>
      <c r="DK4263" s="106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70"/>
        <v>-67.185000000000002</v>
      </c>
      <c r="AN4265" s="106">
        <v>-17.86</v>
      </c>
      <c r="AR4265" s="106">
        <v>-8.8249999999999993</v>
      </c>
      <c r="AW4265" s="106">
        <v>-7.9050000000000002</v>
      </c>
      <c r="BC4265" s="106">
        <v>-7.8</v>
      </c>
      <c r="BI4265" s="106">
        <v>-16.11</v>
      </c>
      <c r="BO4265" s="106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70"/>
        <v>-63.13</v>
      </c>
      <c r="BI4267" s="106">
        <v>-16.22</v>
      </c>
      <c r="BO4267" s="106">
        <v>-15.88</v>
      </c>
      <c r="BU4267" s="106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70"/>
        <v>-36.4</v>
      </c>
      <c r="AN4268" s="106">
        <v>-8.9600000000000009</v>
      </c>
      <c r="AR4268" s="106">
        <v>-9.0299999999999994</v>
      </c>
      <c r="CG4268" s="106">
        <v>-8.25</v>
      </c>
      <c r="CY4268" s="106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70"/>
        <v>-160.19999999999999</v>
      </c>
      <c r="AW4269" s="106">
        <v>-31.56</v>
      </c>
      <c r="BC4269" s="106">
        <v>-31.004999999999999</v>
      </c>
      <c r="BI4269" s="106">
        <v>-32.265000000000001</v>
      </c>
      <c r="CM4269" s="106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70"/>
        <v>-24.975000000000001</v>
      </c>
      <c r="AR4271" s="106">
        <v>-8.94</v>
      </c>
      <c r="BI4271" s="106">
        <v>-8.11</v>
      </c>
      <c r="BO4271" s="106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70"/>
        <v>-32.744999999999997</v>
      </c>
      <c r="BI4272" s="106">
        <v>-8.0549999999999997</v>
      </c>
      <c r="BU4272" s="106">
        <v>-8.6549999999999994</v>
      </c>
      <c r="CG4272" s="106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71">SUM(D4273:JT4273)</f>
        <v>-16.010000000000002</v>
      </c>
      <c r="AW4273" s="106">
        <v>-7.9050000000000002</v>
      </c>
      <c r="BI4273" s="106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71"/>
        <v>-39.409999999999997</v>
      </c>
      <c r="BI4275" s="106">
        <v>-8.0950000000000006</v>
      </c>
      <c r="BO4275" s="106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71"/>
        <v>-16.015000000000001</v>
      </c>
      <c r="BO4276" s="106">
        <v>-7.94</v>
      </c>
      <c r="BU4276" s="106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71"/>
        <v>-8.1300000000000008</v>
      </c>
      <c r="AC4277" s="106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71"/>
        <v>-15.795</v>
      </c>
      <c r="AW4278" s="106">
        <v>-7.9349999999999996</v>
      </c>
      <c r="BC4278" s="106">
        <v>-7.86</v>
      </c>
    </row>
    <row r="4279" spans="1:208" x14ac:dyDescent="0.25">
      <c r="A4279" s="127">
        <v>45439</v>
      </c>
      <c r="B4279" s="24" t="s">
        <v>33</v>
      </c>
      <c r="C4279" s="21">
        <f t="shared" si="71"/>
        <v>-16.315000000000001</v>
      </c>
      <c r="BC4279" s="106">
        <v>-7.8650000000000002</v>
      </c>
      <c r="BI4279" s="106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71"/>
        <v>-15.244999999999999</v>
      </c>
      <c r="BO4280" s="106">
        <v>-7.93</v>
      </c>
      <c r="BU4280" s="106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71"/>
        <v>-9.2200000000000006</v>
      </c>
      <c r="AR4283" s="106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71"/>
        <v>-98.114999999999995</v>
      </c>
      <c r="M4284" s="92">
        <v>-6.24</v>
      </c>
      <c r="AW4284" s="106">
        <v>-7.8949999999999996</v>
      </c>
      <c r="BC4284" s="106">
        <v>-7.84</v>
      </c>
      <c r="BI4284" s="106">
        <v>-8.1349999999999998</v>
      </c>
      <c r="BO4284" s="106">
        <v>-7.9649999999999999</v>
      </c>
      <c r="BU4284" s="106">
        <f>-7.03-17.46</f>
        <v>-24.49</v>
      </c>
      <c r="CA4284" s="106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71"/>
        <v>-8.74</v>
      </c>
      <c r="AC4285" s="106">
        <v>-8.74</v>
      </c>
    </row>
    <row r="4286" spans="1:208" x14ac:dyDescent="0.25">
      <c r="A4286" s="127">
        <v>45440</v>
      </c>
      <c r="B4286" s="24" t="s">
        <v>139</v>
      </c>
      <c r="C4286" s="21">
        <f t="shared" si="71"/>
        <v>-41.52</v>
      </c>
      <c r="AC4286" s="106">
        <v>-8.73</v>
      </c>
      <c r="CA4286" s="106">
        <v>-8.8800000000000008</v>
      </c>
      <c r="CG4286" s="106">
        <v>-8.0399999999999991</v>
      </c>
      <c r="CM4286" s="106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71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71"/>
        <v>-8.8800000000000008</v>
      </c>
      <c r="CA4288" s="106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106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71"/>
        <v>-30.69</v>
      </c>
      <c r="CY4290" s="106">
        <v>-6.1349999999999998</v>
      </c>
      <c r="DE4290" s="74">
        <v>-16.059999999999999</v>
      </c>
      <c r="DK4290" s="106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71"/>
        <v>-70.28</v>
      </c>
      <c r="BU4291" s="106">
        <v>-35.134999999999998</v>
      </c>
      <c r="CA4291" s="106">
        <v>-17.824999999999999</v>
      </c>
      <c r="CG4291" s="106">
        <v>-17.32</v>
      </c>
    </row>
    <row r="4292" spans="1:208" x14ac:dyDescent="0.25">
      <c r="A4292" s="127">
        <v>45441</v>
      </c>
      <c r="B4292" s="24" t="s">
        <v>184</v>
      </c>
      <c r="C4292" s="21">
        <f t="shared" si="71"/>
        <v>-80.284999999999997</v>
      </c>
      <c r="AN4292" s="106">
        <v>-18.004999999999999</v>
      </c>
      <c r="AR4292" s="106">
        <v>-9.24</v>
      </c>
      <c r="AW4292" s="106">
        <v>-15.74</v>
      </c>
      <c r="BC4292" s="106">
        <v>-15.824999999999999</v>
      </c>
      <c r="BU4292" s="106">
        <v>-12.96</v>
      </c>
      <c r="CG4292" s="106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106">
        <v>68.265000000000001</v>
      </c>
      <c r="CM4293" s="106">
        <v>17.71</v>
      </c>
    </row>
    <row r="4294" spans="1:208" x14ac:dyDescent="0.25">
      <c r="A4294" s="127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106">
        <v>-33.034999999999997</v>
      </c>
      <c r="AR4294" s="106">
        <v>-72.52</v>
      </c>
      <c r="AW4294" s="106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71"/>
        <v>-9.0299999999999994</v>
      </c>
      <c r="AN4295" s="106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71"/>
        <v>-10.925000000000001</v>
      </c>
      <c r="CM4296" s="106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71"/>
        <v>-23.85</v>
      </c>
      <c r="D4297" s="386">
        <v>-7.63</v>
      </c>
      <c r="E4297" s="386">
        <v>-16.22</v>
      </c>
    </row>
    <row r="4298" spans="1:208" x14ac:dyDescent="0.25">
      <c r="A4298" s="127">
        <v>45447</v>
      </c>
      <c r="B4298" s="24" t="s">
        <v>75</v>
      </c>
      <c r="C4298" s="21">
        <f t="shared" si="71"/>
        <v>-16.63</v>
      </c>
      <c r="AR4298" s="106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71"/>
        <v>1097.54</v>
      </c>
      <c r="BI4299" s="106">
        <v>64.37</v>
      </c>
      <c r="BO4299" s="106">
        <v>98.76</v>
      </c>
      <c r="BU4299" s="106">
        <v>102.02500000000001</v>
      </c>
      <c r="CA4299" s="106">
        <v>31.37</v>
      </c>
      <c r="CM4299" s="106">
        <v>103.01</v>
      </c>
      <c r="CS4299" s="74">
        <v>98.555000000000007</v>
      </c>
      <c r="CY4299" s="106">
        <v>67.575000000000003</v>
      </c>
      <c r="DK4299" s="106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71"/>
        <v>-8.06</v>
      </c>
      <c r="BI4300" s="106">
        <v>-8.06</v>
      </c>
    </row>
    <row r="4301" spans="1:208" x14ac:dyDescent="0.25">
      <c r="A4301" s="127">
        <v>45448</v>
      </c>
      <c r="B4301" s="24" t="s">
        <v>193</v>
      </c>
      <c r="C4301" s="21">
        <f t="shared" si="71"/>
        <v>-22.844999999999999</v>
      </c>
      <c r="BU4301" s="106">
        <v>-8.43</v>
      </c>
      <c r="CY4301" s="106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71"/>
        <v>-43.354999999999997</v>
      </c>
      <c r="BU4303" s="106">
        <v>-8.8149999999999995</v>
      </c>
      <c r="CA4303" s="106">
        <v>-9.0050000000000008</v>
      </c>
      <c r="CH4303" s="121">
        <v>-8.33</v>
      </c>
      <c r="CM4303" s="106">
        <v>-8.49</v>
      </c>
      <c r="CY4303" s="106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71"/>
        <v>-32.33</v>
      </c>
      <c r="CH4304" s="121">
        <v>-8.1</v>
      </c>
      <c r="CM4304" s="106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71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71"/>
        <v>-8.0250000000000004</v>
      </c>
      <c r="BI4306" s="106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71"/>
        <v>-62.325000000000003</v>
      </c>
      <c r="AN4307" s="106">
        <v>-9.0050000000000008</v>
      </c>
      <c r="AR4307" s="106">
        <v>-9</v>
      </c>
      <c r="BI4307" s="106">
        <v>-8.0950000000000006</v>
      </c>
      <c r="BO4307" s="106">
        <v>-9.3949999999999996</v>
      </c>
      <c r="BU4307" s="106">
        <v>-8.5</v>
      </c>
      <c r="CA4307" s="106">
        <v>-9.32</v>
      </c>
      <c r="CY4307" s="106">
        <v>-9.01</v>
      </c>
    </row>
    <row r="4308" spans="1:230" x14ac:dyDescent="0.25">
      <c r="A4308" s="127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71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71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71"/>
        <v>-8.0250000000000004</v>
      </c>
      <c r="BI4312" s="106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71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71"/>
        <v>-89.6</v>
      </c>
      <c r="AG4314" s="106">
        <v>-8.8450000000000006</v>
      </c>
      <c r="AN4314" s="106">
        <v>-8.9149999999999991</v>
      </c>
      <c r="AR4314" s="106">
        <v>-9.3049999999999997</v>
      </c>
      <c r="AW4314" s="106">
        <v>-5.2549999999999999</v>
      </c>
      <c r="BA4314" s="42">
        <v>-8.86</v>
      </c>
      <c r="BI4314" s="106">
        <v>-8.0250000000000004</v>
      </c>
      <c r="BO4314" s="106">
        <v>-9.2899999999999991</v>
      </c>
      <c r="BU4314" s="106">
        <v>-8.4550000000000001</v>
      </c>
      <c r="CA4314" s="106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71"/>
        <v>-195.45</v>
      </c>
      <c r="I4315" s="84">
        <v>-6.31</v>
      </c>
      <c r="BA4315" s="42">
        <v>-8.85</v>
      </c>
      <c r="BI4315" s="106">
        <v>-8.5350000000000001</v>
      </c>
      <c r="BO4315" s="106">
        <v>-39.090000000000003</v>
      </c>
      <c r="BU4315" s="106">
        <v>-25.524999999999999</v>
      </c>
      <c r="CF4315" s="69">
        <f>-25.48-16.92</f>
        <v>-42.4</v>
      </c>
      <c r="CM4315" s="106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106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71"/>
        <v>-16.625</v>
      </c>
      <c r="CS4318" s="74">
        <v>-8.24</v>
      </c>
      <c r="CY4318" s="106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106">
        <v>-17.46</v>
      </c>
      <c r="CY4319" s="106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71"/>
        <v>-8.6950000000000003</v>
      </c>
      <c r="BO4320" s="106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71"/>
        <v>1006.7</v>
      </c>
      <c r="BI4321" s="106">
        <v>96.77</v>
      </c>
      <c r="BO4321" s="106">
        <v>95.284999999999997</v>
      </c>
      <c r="CM4321" s="106">
        <v>68.715000000000003</v>
      </c>
      <c r="CS4321" s="74">
        <v>128.70500000000001</v>
      </c>
      <c r="CY4321" s="106">
        <v>66.95</v>
      </c>
      <c r="DE4321" s="74">
        <v>89.85</v>
      </c>
      <c r="DK4321" s="106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71"/>
        <v>958.15</v>
      </c>
      <c r="AW4322" s="106">
        <v>136.66999999999999</v>
      </c>
      <c r="BI4322" s="106">
        <v>96.534999999999997</v>
      </c>
      <c r="BU4322" s="106">
        <v>101.565</v>
      </c>
      <c r="DK4322" s="106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71"/>
        <v>-71.12</v>
      </c>
      <c r="AN4323" s="106">
        <v>-9.0350000000000001</v>
      </c>
      <c r="BU4323" s="106">
        <v>-16.895</v>
      </c>
      <c r="CA4323" s="106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71"/>
        <v>-42.335000000000001</v>
      </c>
      <c r="E4324" s="386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71"/>
        <v>-8.9350000000000005</v>
      </c>
      <c r="AN4325" s="106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71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375">
        <v>33.72</v>
      </c>
    </row>
    <row r="4327" spans="1:214" x14ac:dyDescent="0.25">
      <c r="A4327" s="127">
        <v>45453</v>
      </c>
      <c r="B4327" s="24" t="s">
        <v>152</v>
      </c>
      <c r="C4327" s="21">
        <f t="shared" si="71"/>
        <v>-827.45</v>
      </c>
      <c r="L4327" s="69">
        <v>-16.14</v>
      </c>
      <c r="AC4327" s="106">
        <v>-34.914999999999999</v>
      </c>
      <c r="AG4327" s="106">
        <v>-17.704999999999998</v>
      </c>
      <c r="AN4327" s="106">
        <v>-71.84</v>
      </c>
      <c r="AW4327" s="106">
        <v>-102.44</v>
      </c>
      <c r="BA4327" s="42">
        <v>-35.39</v>
      </c>
      <c r="BI4327" s="106">
        <v>-96.79</v>
      </c>
      <c r="BO4327" s="106">
        <v>-61.88</v>
      </c>
      <c r="BU4327" s="106">
        <v>-67.84</v>
      </c>
      <c r="CM4327" s="106">
        <v>-34.384999999999998</v>
      </c>
      <c r="CS4327" s="74">
        <v>-96.97</v>
      </c>
      <c r="CY4327" s="106">
        <v>-66.95</v>
      </c>
      <c r="DE4327" s="74">
        <v>-59.33</v>
      </c>
      <c r="DK4327" s="106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71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71"/>
        <v>-84.504999999999995</v>
      </c>
      <c r="AR4329" s="106">
        <v>-8.5050000000000008</v>
      </c>
      <c r="BA4329" s="42">
        <v>-17.7</v>
      </c>
      <c r="BI4329" s="106">
        <v>-16.094999999999999</v>
      </c>
      <c r="BU4329" s="106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106">
        <v>-17.13</v>
      </c>
      <c r="AG4330" s="106">
        <v>-7.52</v>
      </c>
      <c r="BO4330" s="106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71"/>
        <v>-25.355</v>
      </c>
      <c r="AN4333" s="106">
        <v>-8.875</v>
      </c>
      <c r="BI4333" s="106">
        <v>-8.0299999999999994</v>
      </c>
      <c r="BU4333" s="106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71"/>
        <v>-24.46</v>
      </c>
      <c r="CR4334" s="375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71"/>
        <v>-34.119999999999997</v>
      </c>
      <c r="AR4336" s="106">
        <v>-9.0050000000000008</v>
      </c>
      <c r="BA4336" s="42">
        <v>-8.86</v>
      </c>
      <c r="BI4336" s="106">
        <v>-8.0250000000000004</v>
      </c>
      <c r="BO4336" s="106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106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72"/>
        <v>-15.97</v>
      </c>
      <c r="BO4338" s="106">
        <v>-15.97</v>
      </c>
    </row>
    <row r="4339" spans="1:208" x14ac:dyDescent="0.25">
      <c r="A4339" s="127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72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72"/>
        <v>-16.84</v>
      </c>
      <c r="CR4343" s="375">
        <v>-8.44</v>
      </c>
      <c r="CY4343" s="106">
        <v>-8.4</v>
      </c>
    </row>
    <row r="4344" spans="1:208" x14ac:dyDescent="0.25">
      <c r="A4344" s="127">
        <v>45464</v>
      </c>
      <c r="B4344" s="24" t="s">
        <v>197</v>
      </c>
      <c r="C4344" s="21">
        <f t="shared" si="72"/>
        <v>-122.89</v>
      </c>
      <c r="AW4344" s="106">
        <v>-8.5299999999999994</v>
      </c>
      <c r="BI4344" s="106">
        <v>-16.079999999999998</v>
      </c>
      <c r="BO4344" s="106">
        <v>-8.0299999999999994</v>
      </c>
      <c r="BU4344" s="106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106">
        <v>-8.0399999999999991</v>
      </c>
      <c r="BU4346" s="106">
        <v>-8.4550000000000001</v>
      </c>
      <c r="BZ4346" s="69">
        <v>-8.44</v>
      </c>
      <c r="CK4346" s="42">
        <v>-9.18</v>
      </c>
      <c r="CY4346" s="106">
        <v>-8.4</v>
      </c>
    </row>
    <row r="4347" spans="1:208" x14ac:dyDescent="0.25">
      <c r="A4347" s="127">
        <v>45468</v>
      </c>
      <c r="B4347" s="24" t="s">
        <v>184</v>
      </c>
      <c r="C4347" s="21">
        <f t="shared" si="72"/>
        <v>-100.495</v>
      </c>
      <c r="AC4347" s="106">
        <v>-8.0500000000000007</v>
      </c>
      <c r="AW4347" s="106">
        <v>-8.6150000000000002</v>
      </c>
      <c r="BI4347" s="106">
        <v>-8.0500000000000007</v>
      </c>
      <c r="BM4347" s="88">
        <v>-7.4</v>
      </c>
      <c r="BY4347" s="42">
        <v>-8.65</v>
      </c>
      <c r="CM4347" s="106">
        <v>-17.204999999999998</v>
      </c>
      <c r="CS4347" s="74">
        <v>-16.414999999999999</v>
      </c>
      <c r="DC4347" s="42">
        <v>-9.76</v>
      </c>
      <c r="DK4347" s="106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72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72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72"/>
        <v>-39.335000000000001</v>
      </c>
      <c r="BE4351" s="126">
        <v>-14.1</v>
      </c>
      <c r="BI4351" s="106">
        <v>-8.0449999999999999</v>
      </c>
      <c r="BY4351" s="42">
        <v>-8.64</v>
      </c>
      <c r="CM4351" s="106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106">
        <v>-8.56</v>
      </c>
      <c r="BI4352" s="106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106">
        <v>-8.58</v>
      </c>
    </row>
    <row r="4353" spans="1:224" x14ac:dyDescent="0.25">
      <c r="A4353" s="127">
        <v>45469</v>
      </c>
      <c r="B4353" s="24" t="s">
        <v>198</v>
      </c>
      <c r="C4353" s="21">
        <f t="shared" si="72"/>
        <v>-42.35</v>
      </c>
      <c r="AP4353" s="42">
        <v>-8.24</v>
      </c>
      <c r="AW4353" s="106">
        <v>-8.5250000000000004</v>
      </c>
      <c r="BI4353" s="106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72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72"/>
        <v>-17.065000000000001</v>
      </c>
      <c r="AV4355" s="69">
        <v>-8.4450000000000003</v>
      </c>
      <c r="BU4355" s="106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72"/>
        <v>-7.31</v>
      </c>
      <c r="D4356" s="386">
        <v>-7.31</v>
      </c>
    </row>
    <row r="4357" spans="1:224" x14ac:dyDescent="0.25">
      <c r="A4357" s="127">
        <v>45469</v>
      </c>
      <c r="B4357" s="24" t="s">
        <v>139</v>
      </c>
      <c r="C4357" s="21">
        <f t="shared" si="72"/>
        <v>-48.11</v>
      </c>
      <c r="BI4357" s="106">
        <v>-8.0549999999999997</v>
      </c>
      <c r="BM4357" s="88">
        <v>-7.1</v>
      </c>
      <c r="BS4357" s="42">
        <v>-8.8650000000000002</v>
      </c>
      <c r="BZ4357" s="69">
        <v>-8.5299999999999994</v>
      </c>
      <c r="CM4357" s="106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72"/>
        <v>-14.47</v>
      </c>
      <c r="CE4358" s="42">
        <v>-9.01</v>
      </c>
      <c r="CM4358" s="106">
        <v>-5.46</v>
      </c>
    </row>
    <row r="4359" spans="1:224" x14ac:dyDescent="0.25">
      <c r="A4359" s="127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72"/>
        <v>-58.034999999999997</v>
      </c>
      <c r="D4360" s="386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72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72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72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106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106">
        <v>-8</v>
      </c>
    </row>
    <row r="4366" spans="1:224" x14ac:dyDescent="0.25">
      <c r="A4366" s="127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106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72"/>
        <v>826.19500000000005</v>
      </c>
      <c r="CY4369" s="106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72"/>
        <v>-33.630000000000003</v>
      </c>
      <c r="BI4370" s="106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72"/>
        <v>-104.425</v>
      </c>
      <c r="BX4371" s="182">
        <v>-8.82</v>
      </c>
      <c r="CJ4371" s="182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106">
        <v>-8.5250000000000004</v>
      </c>
      <c r="DC4372" s="42">
        <v>-17.12</v>
      </c>
      <c r="DK4372" s="106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72"/>
        <v>237.94</v>
      </c>
      <c r="BR4373" s="182">
        <v>65.995000000000005</v>
      </c>
      <c r="BX4373" s="182">
        <v>71.400000000000006</v>
      </c>
      <c r="CJ4373" s="182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72"/>
        <v>-27.47</v>
      </c>
      <c r="L4374" s="69">
        <v>-1.73</v>
      </c>
      <c r="AC4374" s="106">
        <v>-8.0850000000000009</v>
      </c>
      <c r="CM4374" s="106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72"/>
        <v>-8.4</v>
      </c>
      <c r="CJ4375" s="182">
        <v>-8.4</v>
      </c>
    </row>
    <row r="4376" spans="1:221" x14ac:dyDescent="0.25">
      <c r="A4376" s="127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72"/>
        <v>1629.24</v>
      </c>
      <c r="Z4378" s="79">
        <v>201.255</v>
      </c>
      <c r="AC4378" s="106">
        <v>203.55</v>
      </c>
      <c r="AR4378" s="106">
        <v>207.94</v>
      </c>
      <c r="BC4378" s="106">
        <v>231.08500000000001</v>
      </c>
      <c r="BI4378" s="106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72"/>
        <v>-24.27</v>
      </c>
      <c r="BC4380" s="106">
        <v>-16.16</v>
      </c>
      <c r="BI4380" s="106">
        <v>-8.11</v>
      </c>
    </row>
    <row r="4381" spans="1:221" x14ac:dyDescent="0.25">
      <c r="A4381" s="127">
        <v>45475</v>
      </c>
      <c r="B4381" s="24" t="s">
        <v>75</v>
      </c>
      <c r="C4381" s="21">
        <f t="shared" si="72"/>
        <v>-16.21</v>
      </c>
      <c r="BC4381" s="106">
        <v>-8.1050000000000004</v>
      </c>
      <c r="BI4381" s="106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72"/>
        <v>-25.35</v>
      </c>
      <c r="BI4383" s="106">
        <v>-8.0150000000000006</v>
      </c>
      <c r="BX4383" s="182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72"/>
        <v>-528.91</v>
      </c>
      <c r="BI4385" s="106">
        <v>-48.53</v>
      </c>
      <c r="CS4385" s="74">
        <v>-32.81</v>
      </c>
      <c r="DK4385" s="106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72"/>
        <v>-8.52</v>
      </c>
      <c r="BC4387" s="106">
        <v>-8.52</v>
      </c>
    </row>
    <row r="4388" spans="1:214" x14ac:dyDescent="0.25">
      <c r="A4388" s="127">
        <v>45476</v>
      </c>
      <c r="B4388" s="24" t="s">
        <v>127</v>
      </c>
      <c r="C4388" s="21">
        <f t="shared" si="72"/>
        <v>-33.090000000000003</v>
      </c>
      <c r="BC4388" s="106">
        <v>-15.9</v>
      </c>
      <c r="BX4388" s="182">
        <v>-8.83</v>
      </c>
      <c r="CJ4388" s="182">
        <v>-8.36</v>
      </c>
    </row>
    <row r="4389" spans="1:214" x14ac:dyDescent="0.25">
      <c r="A4389" s="127">
        <v>45476</v>
      </c>
      <c r="B4389" s="24" t="s">
        <v>17</v>
      </c>
      <c r="C4389" s="21">
        <f t="shared" si="72"/>
        <v>-24.44</v>
      </c>
      <c r="AR4389" s="106">
        <v>-7.89</v>
      </c>
      <c r="BI4389" s="106">
        <v>-8.1199999999999992</v>
      </c>
      <c r="BR4389" s="182">
        <v>-8.43</v>
      </c>
    </row>
    <row r="4390" spans="1:214" x14ac:dyDescent="0.25">
      <c r="A4390" s="127">
        <v>45477</v>
      </c>
      <c r="B4390" s="24" t="s">
        <v>193</v>
      </c>
      <c r="C4390" s="21">
        <f t="shared" si="72"/>
        <v>-16.125</v>
      </c>
      <c r="CM4390" s="106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72"/>
        <v>-7.5049999999999999</v>
      </c>
      <c r="AC4391" s="106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72"/>
        <v>-8.8000000000000007</v>
      </c>
      <c r="BC4392" s="106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72"/>
        <v>-117.605</v>
      </c>
      <c r="Z4394" s="79">
        <v>-16.84</v>
      </c>
      <c r="AN4394" s="106">
        <v>-8.7949999999999999</v>
      </c>
      <c r="AR4394" s="106">
        <v>-8.5250000000000004</v>
      </c>
      <c r="BC4394" s="106">
        <v>-16.085000000000001</v>
      </c>
      <c r="BI4394" s="106">
        <v>-8.1150000000000002</v>
      </c>
      <c r="BR4394" s="182">
        <v>-16.84</v>
      </c>
      <c r="BX4394" s="182">
        <v>-16.965</v>
      </c>
      <c r="BY4394" s="42">
        <v>-8.48</v>
      </c>
      <c r="CJ4394" s="182">
        <v>-8.3350000000000009</v>
      </c>
      <c r="CM4394" s="106">
        <v>-8.625</v>
      </c>
    </row>
    <row r="4395" spans="1:214" x14ac:dyDescent="0.25">
      <c r="A4395" s="127">
        <v>45478</v>
      </c>
      <c r="B4395" s="24" t="s">
        <v>39</v>
      </c>
      <c r="C4395" s="21">
        <f t="shared" si="72"/>
        <v>-41.104999999999997</v>
      </c>
      <c r="BI4395" s="106">
        <v>-8.0950000000000006</v>
      </c>
      <c r="BR4395" s="182">
        <v>-8</v>
      </c>
      <c r="BX4395" s="182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72"/>
        <v>16.010000000000002</v>
      </c>
      <c r="D4396" s="386">
        <v>-7.49</v>
      </c>
      <c r="AD4396" s="115">
        <v>7.4</v>
      </c>
      <c r="AW4396" s="106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72"/>
        <v>-142.5</v>
      </c>
      <c r="AN4398" s="106">
        <v>-9</v>
      </c>
      <c r="AR4398" s="106">
        <v>-8.09</v>
      </c>
      <c r="AW4398" s="106">
        <v>-16.100000000000001</v>
      </c>
      <c r="BC4398" s="106">
        <v>-33.365000000000002</v>
      </c>
      <c r="BR4398" s="182">
        <v>-16.395</v>
      </c>
      <c r="CM4398" s="106">
        <v>-17.47</v>
      </c>
      <c r="CS4398" s="74">
        <v>-8.2149999999999999</v>
      </c>
      <c r="CY4398" s="106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72"/>
        <v>-32.375</v>
      </c>
      <c r="BC4399" s="106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73"/>
        <v>-33.305</v>
      </c>
      <c r="AR4402" s="106">
        <v>-7.72</v>
      </c>
      <c r="BI4402" s="106">
        <v>-8.1850000000000005</v>
      </c>
      <c r="BR4402" s="182">
        <v>-8.43</v>
      </c>
      <c r="BX4402" s="182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73"/>
        <v>-16.565000000000001</v>
      </c>
      <c r="CS4403" s="74">
        <v>-8.19</v>
      </c>
      <c r="CY4403" s="106">
        <v>-8.375</v>
      </c>
    </row>
    <row r="4404" spans="1:212" x14ac:dyDescent="0.25">
      <c r="A4404" s="127">
        <v>45482</v>
      </c>
      <c r="B4404" s="24" t="s">
        <v>196</v>
      </c>
      <c r="C4404" s="21">
        <f t="shared" si="73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73"/>
        <v>0</v>
      </c>
    </row>
    <row r="4406" spans="1:212" x14ac:dyDescent="0.25">
      <c r="A4406" s="127">
        <v>45482</v>
      </c>
      <c r="B4406" s="24" t="s">
        <v>48</v>
      </c>
      <c r="C4406" s="21">
        <f t="shared" si="73"/>
        <v>-0.12</v>
      </c>
      <c r="Z4406" s="79">
        <v>-33.674999999999997</v>
      </c>
      <c r="AE4406" s="42">
        <v>17.09</v>
      </c>
      <c r="BC4406" s="106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73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73"/>
        <v>-28.815000000000001</v>
      </c>
      <c r="E4408" s="386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106">
        <v>-6.92</v>
      </c>
      <c r="BG4409" s="42">
        <v>-8.35</v>
      </c>
      <c r="BM4409" s="88">
        <v>-8.5299999999999994</v>
      </c>
      <c r="CE4409" s="42">
        <v>-9.42</v>
      </c>
      <c r="CM4409" s="106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73"/>
        <v>-16.940000000000001</v>
      </c>
      <c r="Z4410" s="79">
        <v>-8.44</v>
      </c>
      <c r="AC4410" s="106">
        <v>-8.5</v>
      </c>
    </row>
    <row r="4411" spans="1:212" x14ac:dyDescent="0.25">
      <c r="A4411" s="127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73"/>
        <v>0</v>
      </c>
    </row>
    <row r="4413" spans="1:212" x14ac:dyDescent="0.25">
      <c r="A4413" s="127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73"/>
        <v>104.24</v>
      </c>
      <c r="AW4414" s="106">
        <v>104.24</v>
      </c>
    </row>
    <row r="4415" spans="1:212" x14ac:dyDescent="0.25">
      <c r="A4415" s="127">
        <v>45486</v>
      </c>
      <c r="B4415" s="24" t="s">
        <v>113</v>
      </c>
      <c r="C4415" s="21">
        <f t="shared" si="73"/>
        <v>907.48</v>
      </c>
      <c r="BI4415" s="106">
        <v>205.56</v>
      </c>
      <c r="BO4415" s="106">
        <v>98.33</v>
      </c>
      <c r="BU4415" s="106">
        <v>83.375</v>
      </c>
      <c r="CA4415" s="106">
        <v>99.564999999999998</v>
      </c>
      <c r="CG4415" s="106">
        <v>83.745000000000005</v>
      </c>
      <c r="CS4415" s="74">
        <v>65.31</v>
      </c>
      <c r="DE4415" s="74">
        <v>69.575000000000003</v>
      </c>
      <c r="DK4415" s="106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106">
        <v>-68.105000000000004</v>
      </c>
      <c r="AR4416" s="106">
        <v>-63.75</v>
      </c>
    </row>
    <row r="4417" spans="1:216" x14ac:dyDescent="0.25">
      <c r="A4417" s="127">
        <v>45489</v>
      </c>
      <c r="B4417" s="24" t="s">
        <v>25</v>
      </c>
      <c r="C4417" s="21">
        <f t="shared" si="73"/>
        <v>-16.625</v>
      </c>
      <c r="AW4417" s="106">
        <v>-8.5399999999999991</v>
      </c>
      <c r="BO4417" s="106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73"/>
        <v>-34.255000000000003</v>
      </c>
      <c r="CA4418" s="106">
        <v>-8.7349999999999994</v>
      </c>
      <c r="CG4418" s="106">
        <v>-8.34</v>
      </c>
      <c r="CM4418" s="106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73"/>
        <v>-8.1300000000000008</v>
      </c>
      <c r="BC4419" s="106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73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73"/>
        <v>-25.055</v>
      </c>
      <c r="BU4421" s="106">
        <v>-8.1999999999999993</v>
      </c>
      <c r="CA4421" s="106">
        <v>-8.5500000000000007</v>
      </c>
      <c r="CG4421" s="106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73"/>
        <v>29.114999999999998</v>
      </c>
      <c r="AC4422" s="106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73"/>
        <v>-41.72</v>
      </c>
      <c r="AC4423" s="106">
        <v>-8.49</v>
      </c>
      <c r="AW4423" s="106">
        <v>-8.0500000000000007</v>
      </c>
      <c r="BI4423" s="106">
        <v>-8.4250000000000007</v>
      </c>
      <c r="BO4423" s="106">
        <v>-8.0549999999999997</v>
      </c>
      <c r="BU4423" s="106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106">
        <v>-8.0500000000000007</v>
      </c>
      <c r="AW4425" s="106">
        <v>-8.0500000000000007</v>
      </c>
      <c r="BI4425" s="106">
        <v>-33.89</v>
      </c>
      <c r="BO4425" s="106">
        <v>-16.145</v>
      </c>
      <c r="BU4425" s="106">
        <v>-33.03</v>
      </c>
      <c r="CA4425" s="106">
        <v>-24.594999999999999</v>
      </c>
      <c r="CG4425" s="106">
        <v>-8.81</v>
      </c>
      <c r="CM4425" s="106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73"/>
        <v>-92.734999999999999</v>
      </c>
      <c r="E4426" s="386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73"/>
        <v>-8.11</v>
      </c>
      <c r="CY4427" s="106">
        <v>-8.11</v>
      </c>
    </row>
    <row r="4428" spans="1:216" x14ac:dyDescent="0.25">
      <c r="A4428" s="127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73"/>
        <v>-33.9</v>
      </c>
      <c r="AL4429" s="42">
        <v>-8.02</v>
      </c>
      <c r="AR4429" s="106">
        <v>-7.86</v>
      </c>
      <c r="AW4429" s="106">
        <v>-8.9499999999999993</v>
      </c>
      <c r="BC4429" s="106">
        <v>-8.1349999999999998</v>
      </c>
      <c r="BG4429" s="42">
        <v>-6.92</v>
      </c>
      <c r="BI4429" s="106">
        <v>-7.5</v>
      </c>
      <c r="BM4429" s="88">
        <v>-16.61</v>
      </c>
      <c r="BU4429" s="106">
        <v>-16.895</v>
      </c>
      <c r="CA4429" s="106">
        <v>-14.4</v>
      </c>
      <c r="CE4429" s="42">
        <v>-9.01</v>
      </c>
      <c r="CG4429" s="106">
        <f>-8.45-8.315-8.3</f>
        <v>-25.065000000000001</v>
      </c>
      <c r="CM4429" s="106">
        <v>-17.14</v>
      </c>
      <c r="CS4429" s="74">
        <v>-16.975000000000001</v>
      </c>
      <c r="DM4429" s="46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73"/>
        <v>-7.9</v>
      </c>
      <c r="BR4430" s="182">
        <v>-7.9</v>
      </c>
    </row>
    <row r="4431" spans="1:216" x14ac:dyDescent="0.25">
      <c r="A4431" s="127">
        <v>45491</v>
      </c>
      <c r="B4431" s="24" t="s">
        <v>204</v>
      </c>
      <c r="C4431" s="21">
        <f t="shared" si="73"/>
        <v>-16.62</v>
      </c>
      <c r="AW4431" s="106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73"/>
        <v>-116.8</v>
      </c>
      <c r="AL4432" s="42">
        <v>-7.45</v>
      </c>
      <c r="AR4432" s="106">
        <v>-8.1950000000000003</v>
      </c>
      <c r="AW4432" s="106">
        <v>-16.149999999999999</v>
      </c>
      <c r="BI4432" s="106">
        <v>-17.164999999999999</v>
      </c>
      <c r="BO4432" s="106">
        <v>-16.524999999999999</v>
      </c>
      <c r="BU4432" s="106">
        <v>-8.3849999999999998</v>
      </c>
      <c r="CA4432" s="106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73"/>
        <v>-25.77</v>
      </c>
      <c r="BU4433" s="106">
        <v>-8.1649999999999991</v>
      </c>
      <c r="CA4433" s="106">
        <v>-9.25</v>
      </c>
      <c r="CJ4433" s="182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73"/>
        <v>-8.0150000000000006</v>
      </c>
      <c r="BC4434" s="106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73"/>
        <v>129.22999999999999</v>
      </c>
      <c r="D4436" s="386">
        <v>67.825000000000003</v>
      </c>
      <c r="E4436" s="386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73"/>
        <v>-43.034999999999997</v>
      </c>
      <c r="AL4437" s="42">
        <v>-7.98</v>
      </c>
      <c r="AW4437" s="106">
        <v>-8.5</v>
      </c>
      <c r="BO4437" s="106">
        <v>-8.2449999999999992</v>
      </c>
      <c r="BX4437" s="182">
        <v>-10.02</v>
      </c>
      <c r="CG4437" s="106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73"/>
        <v>949.01</v>
      </c>
      <c r="AW4438" s="106">
        <v>96.685000000000002</v>
      </c>
      <c r="BC4438" s="106">
        <v>116.27500000000001</v>
      </c>
      <c r="BO4438" s="106">
        <v>67.400000000000006</v>
      </c>
      <c r="BU4438" s="106">
        <v>84.954999999999998</v>
      </c>
      <c r="CA4438" s="106">
        <v>97.62</v>
      </c>
      <c r="CG4438" s="106">
        <v>116.91500000000001</v>
      </c>
      <c r="CM4438" s="106">
        <v>65.834999999999994</v>
      </c>
      <c r="CS4438" s="74">
        <v>68.234999999999999</v>
      </c>
      <c r="CY4438" s="106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73"/>
        <v>-7.165</v>
      </c>
      <c r="BU4439" s="106">
        <v>-7.165</v>
      </c>
    </row>
    <row r="4440" spans="1:231" x14ac:dyDescent="0.25">
      <c r="A4440" s="127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73"/>
        <v>-56.62</v>
      </c>
      <c r="AW4441" s="106">
        <v>-8.34</v>
      </c>
      <c r="BC4441" s="106">
        <v>-33.119999999999997</v>
      </c>
      <c r="BU4441" s="106">
        <v>-8.1850000000000005</v>
      </c>
      <c r="CA4441" s="106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73"/>
        <v>-16.64</v>
      </c>
      <c r="CA4442" s="106">
        <v>-16.64</v>
      </c>
    </row>
    <row r="4443" spans="1:231" x14ac:dyDescent="0.25">
      <c r="A4443" s="127">
        <v>45496</v>
      </c>
      <c r="B4443" s="24" t="s">
        <v>139</v>
      </c>
      <c r="C4443" s="21">
        <f t="shared" si="73"/>
        <v>-16.899999999999999</v>
      </c>
      <c r="BO4443" s="106">
        <v>-8.375</v>
      </c>
      <c r="CG4443" s="106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73"/>
        <v>-23.495000000000001</v>
      </c>
      <c r="BI4444" s="106">
        <v>-8.15</v>
      </c>
      <c r="BO4444" s="106">
        <v>-7.8949999999999996</v>
      </c>
      <c r="BU4444" s="106">
        <v>-7.45</v>
      </c>
    </row>
    <row r="4445" spans="1:231" x14ac:dyDescent="0.25">
      <c r="A4445" s="127">
        <v>45496</v>
      </c>
      <c r="B4445" s="24" t="s">
        <v>147</v>
      </c>
      <c r="C4445" s="21">
        <f t="shared" si="73"/>
        <v>-33.729999999999997</v>
      </c>
      <c r="BC4445" s="106">
        <v>-8.32</v>
      </c>
      <c r="BO4445" s="106">
        <v>-8.5299999999999994</v>
      </c>
      <c r="CG4445" s="106">
        <v>-8.2899999999999991</v>
      </c>
      <c r="CM4445" s="106">
        <v>-8.59</v>
      </c>
    </row>
    <row r="4446" spans="1:231" x14ac:dyDescent="0.25">
      <c r="A4446" s="127">
        <v>45496</v>
      </c>
      <c r="B4446" s="24" t="s">
        <v>204</v>
      </c>
      <c r="C4446" s="21">
        <f t="shared" si="73"/>
        <v>-12.24</v>
      </c>
      <c r="V4446" s="74">
        <v>-4.84</v>
      </c>
      <c r="AC4446" s="106">
        <v>-7.4</v>
      </c>
    </row>
    <row r="4447" spans="1:231" x14ac:dyDescent="0.25">
      <c r="A4447" s="127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106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73"/>
        <v>42.774999999999999</v>
      </c>
      <c r="E4448" s="386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27">
        <v>45499</v>
      </c>
      <c r="B4451" s="24" t="s">
        <v>138</v>
      </c>
      <c r="C4451" s="21">
        <f t="shared" si="73"/>
        <v>-15.895</v>
      </c>
      <c r="AL4451" s="42">
        <v>-8.01</v>
      </c>
      <c r="AR4451" s="106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73"/>
        <v>-16.579999999999998</v>
      </c>
      <c r="AW4452" s="106">
        <v>-8.23</v>
      </c>
      <c r="BC4452" s="106">
        <v>-8.35</v>
      </c>
    </row>
    <row r="4453" spans="1:208" x14ac:dyDescent="0.25">
      <c r="A4453" s="127">
        <v>45499</v>
      </c>
      <c r="B4453" s="24" t="s">
        <v>184</v>
      </c>
      <c r="C4453" s="21">
        <f t="shared" si="73"/>
        <v>-108.1</v>
      </c>
      <c r="AW4453" s="106">
        <v>-7.58</v>
      </c>
      <c r="BI4453" s="106">
        <v>-17.920000000000002</v>
      </c>
      <c r="BO4453" s="106">
        <v>-17.055</v>
      </c>
      <c r="BU4453" s="106">
        <v>-14.99</v>
      </c>
      <c r="CA4453" s="106">
        <v>-16.95</v>
      </c>
      <c r="CG4453" s="106">
        <v>-8.3800000000000008</v>
      </c>
      <c r="CM4453" s="106">
        <v>-8.5500000000000007</v>
      </c>
      <c r="CS4453" s="74">
        <v>-8.2899999999999991</v>
      </c>
      <c r="CY4453" s="106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73"/>
        <v>-33.255000000000003</v>
      </c>
      <c r="BU4455" s="106">
        <v>-8.14</v>
      </c>
      <c r="CG4455" s="106">
        <v>-8.4049999999999994</v>
      </c>
      <c r="CM4455" s="106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73"/>
        <v>-24.875</v>
      </c>
      <c r="CM4456" s="106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73"/>
        <v>-9.3049999999999997</v>
      </c>
      <c r="CA4457" s="106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73"/>
        <v>-38.6</v>
      </c>
      <c r="BI4458" s="106">
        <v>-8.9600000000000009</v>
      </c>
      <c r="BO4458" s="106">
        <v>-8.3849999999999998</v>
      </c>
      <c r="BU4458" s="106">
        <v>-5.3150000000000004</v>
      </c>
      <c r="CA4458" s="106">
        <v>-7.6950000000000003</v>
      </c>
      <c r="CM4458" s="106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73"/>
        <v>-64.965000000000003</v>
      </c>
      <c r="AC4459" s="106">
        <f>-8.515-8.545</f>
        <v>-17.059999999999999</v>
      </c>
      <c r="AW4459" s="106">
        <f>-8.365-7.125</f>
        <v>-15.49</v>
      </c>
      <c r="CA4459" s="106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73"/>
        <v>-8.4849999999999994</v>
      </c>
      <c r="BO4460" s="106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73"/>
        <v>-25.785</v>
      </c>
      <c r="BM4461" s="88">
        <v>-8.6199999999999992</v>
      </c>
      <c r="CK4461" s="42">
        <v>-8.73</v>
      </c>
      <c r="CR4461" s="375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73"/>
        <v>-8.0950000000000006</v>
      </c>
      <c r="BU4462" s="106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73"/>
        <v>-50.63</v>
      </c>
      <c r="AR4463" s="106">
        <v>-7.875</v>
      </c>
      <c r="BI4463" s="106">
        <v>-8.98</v>
      </c>
      <c r="CM4463" s="106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73"/>
        <v>-24.56</v>
      </c>
      <c r="CG4464" s="106">
        <v>-8.41</v>
      </c>
      <c r="CM4464" s="106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4">SUM(D4465:JT4465)</f>
        <v>-99.09</v>
      </c>
      <c r="BC4465" s="106">
        <v>-8.2750000000000004</v>
      </c>
      <c r="BI4465" s="106">
        <v>-17.074999999999999</v>
      </c>
      <c r="BU4465" s="106">
        <v>-15.63</v>
      </c>
      <c r="CA4465" s="106">
        <v>-16.425000000000001</v>
      </c>
      <c r="CG4465" s="106">
        <v>-8.39</v>
      </c>
      <c r="CM4465" s="106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4"/>
        <v>-8.93</v>
      </c>
      <c r="BI4466" s="106">
        <v>-8.93</v>
      </c>
    </row>
    <row r="4467" spans="1:226" x14ac:dyDescent="0.25">
      <c r="A4467" s="127">
        <v>45503</v>
      </c>
      <c r="B4467" s="24" t="s">
        <v>68</v>
      </c>
      <c r="C4467" s="21">
        <f t="shared" si="74"/>
        <v>-64.605000000000004</v>
      </c>
      <c r="BC4467" s="106">
        <v>-8.2650000000000006</v>
      </c>
      <c r="BI4467" s="106">
        <v>-22.56</v>
      </c>
      <c r="BO4467" s="106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4"/>
        <v>-8.25</v>
      </c>
      <c r="BO4469" s="106">
        <v>-8.25</v>
      </c>
    </row>
    <row r="4470" spans="1:226" x14ac:dyDescent="0.25">
      <c r="A4470" s="127">
        <v>45503</v>
      </c>
      <c r="B4470" s="24" t="s">
        <v>39</v>
      </c>
      <c r="C4470" s="21">
        <f t="shared" si="74"/>
        <v>-34.125</v>
      </c>
      <c r="BC4470" s="106">
        <f>-8.28-8.37</f>
        <v>-16.649999999999999</v>
      </c>
      <c r="BI4470" s="106">
        <v>-8.9499999999999993</v>
      </c>
      <c r="BO4470" s="106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4"/>
        <v>-68.224999999999994</v>
      </c>
      <c r="AW4472" s="106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4"/>
        <v>-4.9649999999999999</v>
      </c>
      <c r="BU4473" s="106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4"/>
        <v>-200.51</v>
      </c>
      <c r="AW4474" s="106">
        <v>-24.29</v>
      </c>
      <c r="BC4474" s="106">
        <v>-16.664999999999999</v>
      </c>
      <c r="BI4474" s="106">
        <v>-35.505000000000003</v>
      </c>
      <c r="CA4474" s="106">
        <v>-14.865</v>
      </c>
      <c r="CG4474" s="106">
        <v>-33.14</v>
      </c>
      <c r="CJ4474" s="182">
        <f>-8.38-8.33</f>
        <v>-16.71</v>
      </c>
      <c r="CS4474" s="74">
        <v>-34.475000000000001</v>
      </c>
      <c r="CY4474" s="106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4"/>
        <v>-52.115000000000002</v>
      </c>
      <c r="CJ4475" s="182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4"/>
        <v>-16.010000000000002</v>
      </c>
      <c r="AC4476" s="106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4"/>
        <v>-16.305</v>
      </c>
      <c r="AW4477" s="106">
        <v>-7.95</v>
      </c>
      <c r="BC4477" s="106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4"/>
        <v>0</v>
      </c>
    </row>
    <row r="4480" spans="1:226" x14ac:dyDescent="0.25">
      <c r="A4480" s="127">
        <v>45509</v>
      </c>
      <c r="B4480" s="24" t="s">
        <v>48</v>
      </c>
      <c r="C4480" s="21">
        <f t="shared" si="74"/>
        <v>-17.059999999999999</v>
      </c>
      <c r="AC4480" s="106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4"/>
        <v>-17.07</v>
      </c>
      <c r="AC4481" s="106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4"/>
        <v>-34.024999999999999</v>
      </c>
      <c r="AR4482" s="106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4"/>
        <v>-53.575000000000003</v>
      </c>
      <c r="CC4483" s="126">
        <v>-8.01</v>
      </c>
      <c r="CQ4483" s="42">
        <v>-8.85</v>
      </c>
      <c r="CY4483" s="106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4"/>
        <v>-17.324999999999999</v>
      </c>
      <c r="BC4484" s="106">
        <v>-8.2750000000000004</v>
      </c>
      <c r="BI4484" s="106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106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4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106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4"/>
        <v>1055.25</v>
      </c>
      <c r="AW4488" s="106">
        <v>96.74</v>
      </c>
      <c r="BC4488" s="106">
        <v>145.01499999999999</v>
      </c>
      <c r="BO4488" s="106">
        <v>68.185000000000002</v>
      </c>
      <c r="BU4488" s="106">
        <v>80.06</v>
      </c>
      <c r="CA4488" s="106">
        <v>95.78</v>
      </c>
      <c r="CM4488" s="106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4"/>
        <v>-68.900000000000006</v>
      </c>
      <c r="DK4489" s="106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4"/>
        <v>-16.465</v>
      </c>
      <c r="CY4491" s="106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4"/>
        <v>-64.094999999999999</v>
      </c>
      <c r="BO4492" s="106">
        <v>-25.585000000000001</v>
      </c>
      <c r="BU4492" s="106">
        <v>-24.065000000000001</v>
      </c>
      <c r="DK4492" s="106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106">
        <v>-34.090000000000003</v>
      </c>
      <c r="AW4494" s="106">
        <v>-32.414999999999999</v>
      </c>
      <c r="CA4494" s="106">
        <v>-32.704999999999998</v>
      </c>
      <c r="CE4494" s="42">
        <v>-72.599999999999994</v>
      </c>
      <c r="CM4494" s="106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4"/>
        <v>-97.85</v>
      </c>
      <c r="L4495" s="69">
        <v>-2.1</v>
      </c>
      <c r="AW4495" s="106">
        <v>-24.835000000000001</v>
      </c>
      <c r="BC4495" s="106">
        <v>-6.7649999999999997</v>
      </c>
      <c r="BO4495" s="106">
        <v>-17.015000000000001</v>
      </c>
      <c r="BU4495" s="106">
        <v>-24.015000000000001</v>
      </c>
      <c r="CA4495" s="106">
        <v>-7.18</v>
      </c>
      <c r="CM4495" s="106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4"/>
        <v>-21.65</v>
      </c>
      <c r="BU4496" s="106">
        <v>-5.0199999999999996</v>
      </c>
      <c r="CM4496" s="106">
        <v>-8.3000000000000007</v>
      </c>
      <c r="CY4496" s="106">
        <v>-8.33</v>
      </c>
    </row>
    <row r="4497" spans="1:224" x14ac:dyDescent="0.25">
      <c r="A4497" s="127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4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4"/>
        <v>-48.8</v>
      </c>
      <c r="AR4499" s="106">
        <v>-7.86</v>
      </c>
      <c r="AW4499" s="106">
        <v>-8.24</v>
      </c>
      <c r="BG4499" s="42">
        <v>-8.35</v>
      </c>
      <c r="BO4499" s="106">
        <v>-8.52</v>
      </c>
      <c r="BU4499" s="106">
        <v>-8</v>
      </c>
      <c r="CA4499" s="106">
        <v>-7.83</v>
      </c>
    </row>
    <row r="4500" spans="1:224" x14ac:dyDescent="0.25">
      <c r="A4500" s="127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4"/>
        <v>-301.27499999999998</v>
      </c>
      <c r="AW4501" s="106">
        <v>-15.435</v>
      </c>
      <c r="BC4501" s="106">
        <v>-30.51</v>
      </c>
      <c r="CE4501" s="42">
        <v>-34.979999999999997</v>
      </c>
      <c r="CK4501" s="42">
        <v>-35.090000000000003</v>
      </c>
      <c r="CM4501" s="106">
        <v>-7.99</v>
      </c>
      <c r="CN4501" s="121">
        <v>-8.0299999999999994</v>
      </c>
      <c r="CS4501" s="74">
        <v>-31.78</v>
      </c>
      <c r="DE4501" s="74">
        <v>-52.134999999999998</v>
      </c>
      <c r="DK4501" s="106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4"/>
        <v>-23.88</v>
      </c>
      <c r="BO4502" s="106">
        <v>-8.5299999999999994</v>
      </c>
      <c r="BU4502" s="106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4"/>
        <v>-8.5350000000000001</v>
      </c>
      <c r="BO4503" s="106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4"/>
        <v>-32.49</v>
      </c>
      <c r="BC4504" s="106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4"/>
        <v>-42.145000000000003</v>
      </c>
      <c r="BC4505" s="106">
        <v>-8.2850000000000001</v>
      </c>
      <c r="BG4505" s="42">
        <v>-7.9</v>
      </c>
      <c r="CA4505" s="106">
        <v>-8.7899999999999991</v>
      </c>
      <c r="CE4505" s="42">
        <v>-8.7899999999999991</v>
      </c>
      <c r="CY4505" s="106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4"/>
        <v>-7.99</v>
      </c>
      <c r="BU4506" s="106">
        <v>-7.99</v>
      </c>
    </row>
    <row r="4507" spans="1:224" x14ac:dyDescent="0.25">
      <c r="A4507" s="127">
        <v>45513</v>
      </c>
      <c r="B4507" s="24" t="s">
        <v>139</v>
      </c>
      <c r="C4507" s="21">
        <f t="shared" si="74"/>
        <v>-16.765000000000001</v>
      </c>
      <c r="BU4507" s="106">
        <v>-7.99</v>
      </c>
      <c r="CA4507" s="106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375">
        <v>33.86</v>
      </c>
    </row>
    <row r="4509" spans="1:224" x14ac:dyDescent="0.25">
      <c r="A4509" s="127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375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4"/>
        <v>991.11500000000001</v>
      </c>
      <c r="AW4517" s="106">
        <v>66.355000000000004</v>
      </c>
      <c r="CM4517" s="106">
        <v>97.81</v>
      </c>
      <c r="CY4517" s="106">
        <v>200.04499999999999</v>
      </c>
      <c r="DE4517" s="74">
        <v>202.98</v>
      </c>
      <c r="DK4517" s="106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4"/>
        <v>-83.32</v>
      </c>
      <c r="AR4518" s="106">
        <v>-7.86</v>
      </c>
      <c r="BC4518" s="106">
        <v>-16.059999999999999</v>
      </c>
      <c r="CA4518" s="106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106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4"/>
        <v>-24.99</v>
      </c>
      <c r="DK4522" s="106">
        <v>-8.4</v>
      </c>
      <c r="DM4522" s="46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4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4"/>
        <v>735.51</v>
      </c>
      <c r="AN4526" s="106">
        <v>68.88</v>
      </c>
      <c r="AR4526" s="106">
        <v>66.495000000000005</v>
      </c>
      <c r="BI4526" s="106">
        <f>115.56+83.28</f>
        <v>198.84</v>
      </c>
      <c r="BO4526" s="106">
        <v>208.03</v>
      </c>
      <c r="CA4526" s="106">
        <v>95.6</v>
      </c>
      <c r="CG4526" s="106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4"/>
        <v>833.74</v>
      </c>
      <c r="AG4527" s="106">
        <v>155</v>
      </c>
      <c r="AW4527" s="106">
        <v>206.02500000000001</v>
      </c>
      <c r="DK4527" s="106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106">
        <v>-8.6199999999999992</v>
      </c>
      <c r="CF4528" s="69">
        <v>-8.41</v>
      </c>
      <c r="CY4528" s="106">
        <v>-8.9</v>
      </c>
    </row>
    <row r="4529" spans="1:256" x14ac:dyDescent="0.25">
      <c r="A4529" s="127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106">
        <v>-8.8550000000000004</v>
      </c>
      <c r="AW4529" s="106">
        <v>-7.89</v>
      </c>
      <c r="BI4529" s="106">
        <v>-8.2249999999999996</v>
      </c>
      <c r="BO4529" s="106">
        <v>-8.2349999999999994</v>
      </c>
      <c r="BT4529" s="69">
        <v>-8.5449999999999999</v>
      </c>
      <c r="CG4529" s="106">
        <v>-8.0500000000000007</v>
      </c>
    </row>
    <row r="4530" spans="1:256" x14ac:dyDescent="0.25">
      <c r="A4530" s="127">
        <v>45523</v>
      </c>
      <c r="B4530" s="24" t="s">
        <v>48</v>
      </c>
      <c r="C4530" s="21">
        <f t="shared" si="75"/>
        <v>-107.11499999999999</v>
      </c>
      <c r="Z4530" s="79">
        <v>-8.4</v>
      </c>
      <c r="AW4530" s="106">
        <f>-31.97-32.24</f>
        <v>-64.209999999999994</v>
      </c>
      <c r="BO4530" s="106">
        <v>-34.505000000000003</v>
      </c>
    </row>
    <row r="4531" spans="1:256" x14ac:dyDescent="0.25">
      <c r="A4531" s="127">
        <v>45523</v>
      </c>
      <c r="B4531" s="24" t="s">
        <v>32</v>
      </c>
      <c r="C4531" s="21">
        <f t="shared" si="75"/>
        <v>-165.26499999999999</v>
      </c>
      <c r="AW4531" s="106">
        <v>-31.51</v>
      </c>
      <c r="BI4531" s="106">
        <v>-33.125</v>
      </c>
      <c r="BO4531" s="106">
        <v>-34.53</v>
      </c>
      <c r="CA4531" s="106">
        <v>-33.174999999999997</v>
      </c>
      <c r="CM4531" s="106">
        <v>-32.924999999999997</v>
      </c>
    </row>
    <row r="4532" spans="1:256" x14ac:dyDescent="0.25">
      <c r="A4532" s="127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106">
        <v>-25.47</v>
      </c>
      <c r="CA4532" s="106">
        <v>-16.105</v>
      </c>
      <c r="CG4532" s="106">
        <v>-16.094999999999999</v>
      </c>
      <c r="CY4532" s="106">
        <v>-16.545000000000002</v>
      </c>
      <c r="DK4532" s="106">
        <v>-16.57</v>
      </c>
    </row>
    <row r="4533" spans="1:256" x14ac:dyDescent="0.25">
      <c r="A4533" s="127">
        <v>45523</v>
      </c>
      <c r="B4533" s="24" t="s">
        <v>133</v>
      </c>
      <c r="C4533" s="21">
        <f t="shared" si="75"/>
        <v>-134.30000000000001</v>
      </c>
      <c r="AR4533" s="106">
        <v>-33.195</v>
      </c>
      <c r="BI4533" s="106">
        <v>-33.47</v>
      </c>
      <c r="CY4533" s="106">
        <v>-33.07</v>
      </c>
      <c r="DE4533" s="74">
        <v>-34.564999999999998</v>
      </c>
    </row>
    <row r="4534" spans="1:256" x14ac:dyDescent="0.25">
      <c r="A4534" s="127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56" x14ac:dyDescent="0.25">
      <c r="A4535" s="127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56" x14ac:dyDescent="0.25">
      <c r="A4536" s="127">
        <v>45523</v>
      </c>
      <c r="B4536" s="24" t="s">
        <v>184</v>
      </c>
      <c r="C4536" s="21">
        <f t="shared" si="75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106">
        <v>-8.6050000000000004</v>
      </c>
      <c r="AW4536" s="106">
        <v>-31.234999999999999</v>
      </c>
      <c r="BC4536" s="106">
        <v>-33.9</v>
      </c>
      <c r="BI4536" s="106">
        <f>-32.915-32.97-33.435</f>
        <v>-99.32</v>
      </c>
      <c r="BO4536" s="106">
        <f>-34.67-35.25</f>
        <v>-69.92</v>
      </c>
      <c r="CA4536" s="106">
        <v>-30.18</v>
      </c>
      <c r="CG4536" s="106">
        <f>-32.225-33.235</f>
        <v>-65.459999999999994</v>
      </c>
    </row>
    <row r="4537" spans="1:256" s="176" customFormat="1" x14ac:dyDescent="0.25">
      <c r="A4537" s="173">
        <v>45524</v>
      </c>
      <c r="B4537" s="174" t="s">
        <v>99</v>
      </c>
      <c r="C4537" s="175">
        <f t="shared" si="75"/>
        <v>54.924999999999997</v>
      </c>
      <c r="D4537" s="386">
        <v>-0.1</v>
      </c>
      <c r="E4537" s="386"/>
      <c r="F4537" s="145"/>
      <c r="I4537" s="176">
        <v>11.08</v>
      </c>
      <c r="K4537" s="178"/>
      <c r="L4537" s="179">
        <v>0.03</v>
      </c>
      <c r="M4537" s="358"/>
      <c r="N4537" s="178"/>
      <c r="O4537" s="375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106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106">
        <v>1.1000000000000001</v>
      </c>
      <c r="AO4537" s="358"/>
      <c r="AP4537" s="178"/>
      <c r="AQ4537" s="69"/>
      <c r="AR4537" s="106"/>
      <c r="AS4537" s="179"/>
      <c r="AT4537" s="177"/>
      <c r="AU4537" s="178"/>
      <c r="AV4537" s="179"/>
      <c r="AW4537" s="106">
        <v>19.72</v>
      </c>
      <c r="AX4537" s="179"/>
      <c r="AY4537" s="292"/>
      <c r="AZ4537" s="182"/>
      <c r="BA4537" s="178"/>
      <c r="BB4537" s="69"/>
      <c r="BC4537" s="106"/>
      <c r="BD4537" s="179"/>
      <c r="BE4537" s="179"/>
      <c r="BF4537" s="182"/>
      <c r="BG4537" s="178"/>
      <c r="BH4537" s="69"/>
      <c r="BI4537" s="106"/>
      <c r="BJ4537" s="179"/>
      <c r="BK4537" s="179"/>
      <c r="BL4537" s="182"/>
      <c r="BM4537" s="178"/>
      <c r="BN4537" s="69"/>
      <c r="BO4537" s="106"/>
      <c r="BP4537" s="179"/>
      <c r="BQ4537" s="179"/>
      <c r="BR4537" s="182"/>
      <c r="BS4537" s="178"/>
      <c r="BT4537" s="69"/>
      <c r="BU4537" s="106"/>
      <c r="BV4537" s="179"/>
      <c r="BW4537" s="179"/>
      <c r="BX4537" s="182"/>
      <c r="BY4537" s="178"/>
      <c r="BZ4537" s="179"/>
      <c r="CA4537" s="106">
        <v>2.0299999999999998</v>
      </c>
      <c r="CB4537" s="179"/>
      <c r="CC4537" s="179"/>
      <c r="CD4537" s="182"/>
      <c r="CE4537" s="178"/>
      <c r="CF4537" s="69"/>
      <c r="CG4537" s="106">
        <v>5.0000000000000001E-3</v>
      </c>
      <c r="CH4537" s="179"/>
      <c r="CI4537" s="179"/>
      <c r="CJ4537" s="182"/>
      <c r="CK4537" s="178"/>
      <c r="CL4537" s="179"/>
      <c r="CM4537" s="106"/>
      <c r="CN4537" s="179"/>
      <c r="CO4537" s="179"/>
      <c r="CP4537" s="182"/>
      <c r="CQ4537" s="178"/>
      <c r="CR4537" s="375"/>
      <c r="CS4537" s="74"/>
      <c r="CT4537" s="179"/>
      <c r="CU4537" s="292"/>
      <c r="CV4537" s="177"/>
      <c r="CW4537" s="178"/>
      <c r="CX4537" s="179"/>
      <c r="CY4537" s="106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106">
        <v>8.2850000000000001</v>
      </c>
      <c r="DL4537" s="179"/>
      <c r="DM4537" s="358"/>
      <c r="DN4537" s="178"/>
      <c r="DO4537" s="375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  <c r="IV4537" s="357"/>
    </row>
    <row r="4538" spans="1:256" x14ac:dyDescent="0.25">
      <c r="A4538" s="127">
        <v>45524</v>
      </c>
      <c r="B4538" s="24" t="s">
        <v>20</v>
      </c>
      <c r="C4538" s="21">
        <f t="shared" si="75"/>
        <v>-33.799999999999997</v>
      </c>
      <c r="BI4538" s="106">
        <v>-8.2449999999999992</v>
      </c>
      <c r="BO4538" s="106">
        <v>-8.6549999999999994</v>
      </c>
      <c r="CM4538" s="106">
        <v>-7.96</v>
      </c>
      <c r="CQ4538" s="42">
        <v>-8.94</v>
      </c>
    </row>
    <row r="4539" spans="1:256" x14ac:dyDescent="0.25">
      <c r="A4539" s="127">
        <v>45524</v>
      </c>
      <c r="B4539" s="24" t="s">
        <v>75</v>
      </c>
      <c r="C4539" s="21">
        <f t="shared" si="75"/>
        <v>-26.035</v>
      </c>
      <c r="AG4539" s="106">
        <v>-8.61</v>
      </c>
      <c r="BO4539" s="106">
        <v>-9.3550000000000004</v>
      </c>
      <c r="CA4539" s="106">
        <v>-8.07</v>
      </c>
    </row>
    <row r="4540" spans="1:256" x14ac:dyDescent="0.25">
      <c r="A4540" s="127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106">
        <v>-16.454999999999998</v>
      </c>
      <c r="CG4540" s="106">
        <v>-8.0649999999999995</v>
      </c>
    </row>
    <row r="4541" spans="1:256" x14ac:dyDescent="0.25">
      <c r="A4541" s="127">
        <v>45524</v>
      </c>
      <c r="B4541" s="24" t="s">
        <v>202</v>
      </c>
      <c r="C4541" s="21">
        <f t="shared" si="75"/>
        <v>-17.52</v>
      </c>
      <c r="E4541" s="386">
        <f>-8.75-8.77</f>
        <v>-17.52</v>
      </c>
    </row>
    <row r="4542" spans="1:256" x14ac:dyDescent="0.25">
      <c r="A4542" s="127">
        <v>45525</v>
      </c>
      <c r="B4542" s="24" t="s">
        <v>59</v>
      </c>
      <c r="C4542" s="21">
        <f t="shared" si="75"/>
        <v>-42.67</v>
      </c>
      <c r="CM4542" s="106">
        <f>-8.24-8.255</f>
        <v>-16.495000000000001</v>
      </c>
      <c r="CQ4542" s="42">
        <v>-9</v>
      </c>
      <c r="CY4542" s="106">
        <f>-8.28-8.895</f>
        <v>-17.175000000000001</v>
      </c>
    </row>
    <row r="4543" spans="1:256" x14ac:dyDescent="0.25">
      <c r="A4543" s="127">
        <v>45525</v>
      </c>
      <c r="B4543" s="24" t="s">
        <v>184</v>
      </c>
      <c r="C4543" s="21">
        <f t="shared" si="75"/>
        <v>-33.880000000000003</v>
      </c>
      <c r="CY4543" s="106">
        <v>-8.2100000000000009</v>
      </c>
      <c r="EA4543" s="74">
        <v>-25.67</v>
      </c>
    </row>
    <row r="4544" spans="1:256" x14ac:dyDescent="0.25">
      <c r="A4544" s="127">
        <v>45526</v>
      </c>
      <c r="B4544" s="24" t="s">
        <v>184</v>
      </c>
      <c r="C4544" s="21">
        <f t="shared" si="75"/>
        <v>-57.87</v>
      </c>
      <c r="AW4544" s="106">
        <v>-16.03</v>
      </c>
      <c r="BC4544" s="106">
        <v>-16.079999999999998</v>
      </c>
      <c r="CA4544" s="106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5"/>
        <v>-41.49</v>
      </c>
      <c r="AW4545" s="106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5"/>
        <v>-84.59</v>
      </c>
      <c r="BO4546" s="106">
        <v>-17.36</v>
      </c>
      <c r="CF4546" s="69">
        <v>-16.670000000000002</v>
      </c>
      <c r="CM4546" s="106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106">
        <v>-8.5299999999999994</v>
      </c>
      <c r="CA4548" s="106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5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106">
        <v>-8.61</v>
      </c>
      <c r="AR4550" s="106">
        <v>-6.58</v>
      </c>
      <c r="AW4550" s="106">
        <v>-15.904999999999999</v>
      </c>
      <c r="BC4550" s="106">
        <v>-16.715</v>
      </c>
      <c r="BY4550" s="42">
        <v>-9.14</v>
      </c>
      <c r="CM4550" s="106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5"/>
        <v>-66.08</v>
      </c>
      <c r="AW4551" s="106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5"/>
        <v>698.72</v>
      </c>
      <c r="AC4552" s="106">
        <v>63.32</v>
      </c>
      <c r="BC4552" s="106">
        <v>64.465000000000003</v>
      </c>
      <c r="BI4552" s="106">
        <v>82.325000000000003</v>
      </c>
      <c r="BO4552" s="106">
        <v>98.704999999999998</v>
      </c>
      <c r="BU4552" s="106">
        <v>132.30500000000001</v>
      </c>
      <c r="CA4552" s="106">
        <v>69.06</v>
      </c>
      <c r="CG4552" s="106">
        <v>32.729999999999997</v>
      </c>
      <c r="CM4552" s="106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5"/>
        <v>-198.065</v>
      </c>
      <c r="BI4553" s="106">
        <v>-33.325000000000003</v>
      </c>
      <c r="BO4553" s="106">
        <v>-65.8</v>
      </c>
      <c r="BU4553" s="106">
        <v>-66.209999999999994</v>
      </c>
      <c r="CG4553" s="106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5"/>
        <v>-606.92499999999995</v>
      </c>
      <c r="BC4554" s="106">
        <v>-64.465000000000003</v>
      </c>
      <c r="BU4554" s="106">
        <v>-33.36</v>
      </c>
      <c r="CA4554" s="106">
        <v>-34.82</v>
      </c>
      <c r="CY4554" s="106">
        <v>-66.52</v>
      </c>
      <c r="DE4554" s="74">
        <v>-67.784999999999997</v>
      </c>
      <c r="DK4554" s="106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106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5"/>
        <v>0</v>
      </c>
    </row>
    <row r="4559" spans="1:208" x14ac:dyDescent="0.25">
      <c r="A4559" s="127">
        <v>45500</v>
      </c>
      <c r="B4559" s="24" t="s">
        <v>138</v>
      </c>
      <c r="C4559" s="21">
        <f t="shared" si="75"/>
        <v>-24.82</v>
      </c>
      <c r="AC4559" s="106">
        <v>-8.56</v>
      </c>
      <c r="AW4559" s="106">
        <v>-7.8</v>
      </c>
      <c r="BI4559" s="106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5"/>
        <v>-8.31</v>
      </c>
      <c r="CA4560" s="106">
        <v>-8.31</v>
      </c>
    </row>
    <row r="4561" spans="1:212" x14ac:dyDescent="0.25">
      <c r="A4561" s="127">
        <v>45501</v>
      </c>
      <c r="B4561" s="24" t="s">
        <v>20</v>
      </c>
      <c r="C4561" s="21">
        <f t="shared" si="75"/>
        <v>-16.03</v>
      </c>
      <c r="BI4561" s="106">
        <v>-8.42</v>
      </c>
      <c r="BU4561" s="106">
        <v>-7.61</v>
      </c>
    </row>
    <row r="4562" spans="1:212" x14ac:dyDescent="0.25">
      <c r="A4562" s="127">
        <v>45501</v>
      </c>
      <c r="B4562" s="24" t="s">
        <v>197</v>
      </c>
      <c r="C4562" s="21">
        <f t="shared" si="75"/>
        <v>-34.549999999999997</v>
      </c>
      <c r="BU4562" s="106">
        <v>-16.965</v>
      </c>
      <c r="CA4562" s="106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5"/>
        <v>-76.194999999999993</v>
      </c>
      <c r="AW4563" s="106">
        <v>-15.965</v>
      </c>
      <c r="BI4563" s="106">
        <v>-16.850000000000001</v>
      </c>
      <c r="CM4563" s="106">
        <v>-35.064999999999998</v>
      </c>
      <c r="CY4563" s="106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5"/>
        <v>-20.754999999999999</v>
      </c>
      <c r="AC4564" s="106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5"/>
        <v>-31.055</v>
      </c>
      <c r="AW4565" s="106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5"/>
        <v>-33.53</v>
      </c>
      <c r="AG4566" s="106">
        <v>-8.61</v>
      </c>
      <c r="AN4566" s="106">
        <v>-8.61</v>
      </c>
      <c r="AR4566" s="106">
        <v>-8.39</v>
      </c>
      <c r="AW4566" s="106">
        <v>-7.92</v>
      </c>
    </row>
    <row r="4567" spans="1:212" x14ac:dyDescent="0.25">
      <c r="A4567" s="127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5"/>
        <v>-8.1549999999999994</v>
      </c>
      <c r="AC4568" s="106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5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5"/>
        <v>-8.24</v>
      </c>
      <c r="CM4572" s="106">
        <v>-8.24</v>
      </c>
    </row>
    <row r="4573" spans="1:212" x14ac:dyDescent="0.25">
      <c r="A4573" s="127">
        <v>45538</v>
      </c>
      <c r="B4573" s="24" t="s">
        <v>127</v>
      </c>
      <c r="C4573" s="21">
        <f t="shared" si="75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5"/>
        <v>-62.734999999999999</v>
      </c>
      <c r="AW4574" s="106">
        <v>-8.0399999999999991</v>
      </c>
      <c r="BO4574" s="106">
        <v>-8.2149999999999999</v>
      </c>
      <c r="BU4574" s="106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5"/>
        <v>-16.555</v>
      </c>
      <c r="BO4575" s="106">
        <v>-8.2100000000000009</v>
      </c>
      <c r="CA4575" s="106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5"/>
        <v>-8.1850000000000005</v>
      </c>
      <c r="BI4576" s="106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5"/>
        <v>-24.535</v>
      </c>
      <c r="BA4577" s="42">
        <v>-8.94</v>
      </c>
      <c r="BI4577" s="106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5"/>
        <v>-12.59</v>
      </c>
      <c r="U4578" s="69">
        <v>-4.07</v>
      </c>
      <c r="AC4578" s="106">
        <v>-8.52</v>
      </c>
    </row>
    <row r="4579" spans="1:221" x14ac:dyDescent="0.25">
      <c r="A4579" s="127">
        <v>45540</v>
      </c>
      <c r="B4579" s="24" t="s">
        <v>146</v>
      </c>
      <c r="C4579" s="21">
        <f t="shared" si="75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375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5"/>
        <v>-133.99</v>
      </c>
      <c r="DK4580" s="106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5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5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5"/>
        <v>-17.079999999999998</v>
      </c>
      <c r="AN4585" s="106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5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5"/>
        <v>850.74800000000005</v>
      </c>
      <c r="AC4588" s="106">
        <v>32.25</v>
      </c>
      <c r="AN4588" s="106">
        <v>34.414999999999999</v>
      </c>
      <c r="AR4588" s="106">
        <v>67.677999999999997</v>
      </c>
      <c r="AW4588" s="106">
        <v>65.394999999999996</v>
      </c>
      <c r="BC4588" s="106">
        <v>96.775000000000006</v>
      </c>
      <c r="BU4588" s="106">
        <v>66.92</v>
      </c>
      <c r="CS4588" s="74">
        <v>51.3</v>
      </c>
      <c r="CY4588" s="106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106">
        <v>64.334999999999994</v>
      </c>
      <c r="CA4589" s="106">
        <v>66.555000000000007</v>
      </c>
      <c r="CG4589" s="106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5"/>
        <v>0</v>
      </c>
    </row>
    <row r="4591" spans="1:221" x14ac:dyDescent="0.25">
      <c r="A4591" s="127">
        <v>45540</v>
      </c>
      <c r="B4591" s="24" t="s">
        <v>184</v>
      </c>
      <c r="C4591" s="21">
        <f t="shared" si="75"/>
        <v>-682.75</v>
      </c>
      <c r="Z4591" s="79">
        <v>-17.094999999999999</v>
      </c>
      <c r="AW4591" s="106">
        <v>-32.58</v>
      </c>
      <c r="BC4591" s="106">
        <v>-64.459999999999994</v>
      </c>
      <c r="BI4591" s="106">
        <f>-32.195-32.14</f>
        <v>-64.334999999999994</v>
      </c>
      <c r="BN4591" s="69">
        <v>-34.200000000000003</v>
      </c>
      <c r="BU4591" s="106">
        <v>-33.435000000000002</v>
      </c>
      <c r="CA4591" s="106">
        <v>-33.32</v>
      </c>
      <c r="CG4591" s="106">
        <v>-65.435000000000002</v>
      </c>
      <c r="CM4591" s="106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6"/>
        <v>-25.38</v>
      </c>
      <c r="BU4594" s="106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106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6"/>
        <v>-50.255000000000003</v>
      </c>
      <c r="V4596" s="74">
        <v>-7.9550000000000001</v>
      </c>
      <c r="Z4596" s="79">
        <v>-8.42</v>
      </c>
      <c r="BO4596" s="106">
        <f>-8.235-8.245</f>
        <v>-16.48</v>
      </c>
      <c r="CR4596" s="375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6"/>
        <v>-199.64</v>
      </c>
      <c r="AC4597" s="106">
        <f>-32.25-8.555-8.515-8.16-7.07</f>
        <v>-64.55</v>
      </c>
      <c r="AN4597" s="106">
        <f>-34.45-34.415</f>
        <v>-68.864999999999995</v>
      </c>
      <c r="CY4597" s="106">
        <v>-33.049999999999997</v>
      </c>
      <c r="DK4597" s="106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6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375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6"/>
        <v>-101.645</v>
      </c>
      <c r="AR4599" s="106">
        <v>-8.3800000000000008</v>
      </c>
      <c r="AW4599" s="106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6"/>
        <v>-33.524999999999999</v>
      </c>
      <c r="BU4600" s="106">
        <v>-8.41</v>
      </c>
      <c r="CR4600" s="375">
        <v>-8.6150000000000002</v>
      </c>
      <c r="CY4600" s="106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106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6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6"/>
        <v>-45.835000000000001</v>
      </c>
      <c r="AG4604" s="106">
        <v>-8.6</v>
      </c>
      <c r="AW4604" s="106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6"/>
        <v>-8.2149999999999999</v>
      </c>
      <c r="AW4605" s="106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6"/>
        <v>-25.824999999999999</v>
      </c>
      <c r="E4608" s="386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6"/>
        <v>-24.195</v>
      </c>
      <c r="BB4609" s="69">
        <v>-34.034999999999997</v>
      </c>
      <c r="CA4609" s="106">
        <v>-33.234999999999999</v>
      </c>
      <c r="CF4609" s="69">
        <f>-8.51-8.35-8.505-8.51</f>
        <v>-33.875</v>
      </c>
      <c r="DK4609" s="106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6"/>
        <v>-100.425</v>
      </c>
      <c r="BN4611" s="69">
        <v>-33.715000000000003</v>
      </c>
      <c r="CL4611" s="69">
        <v>-33.564999999999998</v>
      </c>
      <c r="CY4611" s="106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106">
        <v>145.005</v>
      </c>
      <c r="BU4612" s="106">
        <f>113.575+66.035</f>
        <v>179.61</v>
      </c>
      <c r="CG4612" s="106">
        <v>102.26</v>
      </c>
      <c r="CY4612" s="106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6"/>
        <v>906.79</v>
      </c>
      <c r="AN4613" s="106">
        <v>97.6</v>
      </c>
      <c r="AR4613" s="106">
        <f>109.155+92.235</f>
        <v>201.39</v>
      </c>
      <c r="BC4613" s="106">
        <v>64.775000000000006</v>
      </c>
      <c r="CS4613" s="74">
        <v>159.82499999999999</v>
      </c>
      <c r="DE4613" s="74">
        <v>100.34</v>
      </c>
      <c r="DK4613" s="106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6"/>
        <v>1026.778</v>
      </c>
      <c r="AC4614" s="106">
        <v>32.6</v>
      </c>
      <c r="AG4614" s="106">
        <v>102.44499999999999</v>
      </c>
      <c r="AW4614" s="106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6"/>
        <v>932.71500000000003</v>
      </c>
      <c r="AN4615" s="106">
        <v>97.745000000000005</v>
      </c>
      <c r="AR4615" s="106">
        <f>109.145+109.65</f>
        <v>218.79499999999999</v>
      </c>
      <c r="BC4615" s="106">
        <v>64.125</v>
      </c>
      <c r="CS4615" s="74">
        <v>166.71</v>
      </c>
      <c r="DE4615" s="74">
        <v>103.05500000000001</v>
      </c>
      <c r="DK4615" s="106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6"/>
        <v>-16.285</v>
      </c>
      <c r="AC4616" s="106">
        <v>-8.1300000000000008</v>
      </c>
      <c r="AR4616" s="106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6"/>
        <v>-8.1649999999999991</v>
      </c>
      <c r="AC4617" s="106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6"/>
        <v>-67.355000000000004</v>
      </c>
      <c r="BU4618" s="106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106">
        <v>-7.88</v>
      </c>
    </row>
    <row r="4620" spans="1:208" x14ac:dyDescent="0.25">
      <c r="A4620" s="127">
        <v>45549</v>
      </c>
      <c r="B4620" s="24" t="s">
        <v>20</v>
      </c>
      <c r="C4620" s="21">
        <f t="shared" si="76"/>
        <v>-16.454999999999998</v>
      </c>
      <c r="BU4620" s="106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6"/>
        <v>-133.27000000000001</v>
      </c>
      <c r="BI4621" s="106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6"/>
        <v>-115.815</v>
      </c>
      <c r="BU4622" s="106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6"/>
        <v>-66.260000000000005</v>
      </c>
      <c r="BU4623" s="106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6"/>
        <v>-40.71</v>
      </c>
      <c r="AW4624" s="106">
        <v>-8.0749999999999993</v>
      </c>
      <c r="BC4624" s="106">
        <v>-16.155000000000001</v>
      </c>
      <c r="BI4624" s="106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6"/>
        <v>-159.04499999999999</v>
      </c>
      <c r="AN4626" s="106">
        <v>-16.37</v>
      </c>
      <c r="BI4626" s="106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6"/>
        <v>-8.32</v>
      </c>
      <c r="Z4629" s="79">
        <v>-2.44</v>
      </c>
      <c r="BI4629" s="106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6"/>
        <v>-58.34</v>
      </c>
      <c r="AR4631" s="106">
        <v>-8.375</v>
      </c>
      <c r="AW4631" s="106">
        <v>-8.1050000000000004</v>
      </c>
      <c r="BC4631" s="106">
        <v>-8.01</v>
      </c>
      <c r="BI4631" s="106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6"/>
        <v>-24.28</v>
      </c>
      <c r="BI4632" s="106">
        <v>-16.14</v>
      </c>
      <c r="BU4632" s="106">
        <v>-8.14</v>
      </c>
    </row>
    <row r="4633" spans="1:214" x14ac:dyDescent="0.25">
      <c r="A4633" s="127">
        <v>45555</v>
      </c>
      <c r="B4633" s="24" t="s">
        <v>44</v>
      </c>
      <c r="C4633" s="21">
        <f t="shared" si="76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6"/>
        <v>-117.255</v>
      </c>
      <c r="AW4634" s="106">
        <v>-8.17</v>
      </c>
      <c r="BI4634" s="106">
        <f>-8.055-8.07</f>
        <v>-16.125</v>
      </c>
      <c r="BU4634" s="106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106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6"/>
        <v>-24.204999999999998</v>
      </c>
      <c r="AN4635" s="106">
        <v>-8.1449999999999996</v>
      </c>
      <c r="BC4635" s="106">
        <v>-7.9950000000000001</v>
      </c>
      <c r="BI4635" s="106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6"/>
        <v>-25.66</v>
      </c>
      <c r="BN4636" s="69">
        <v>-8.56</v>
      </c>
      <c r="BU4636" s="106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6"/>
        <v>-67.325000000000003</v>
      </c>
      <c r="AW4639" s="106">
        <v>-8.18</v>
      </c>
      <c r="BC4639" s="106">
        <v>-8.02</v>
      </c>
      <c r="BI4639" s="106">
        <v>-8.0649999999999995</v>
      </c>
      <c r="BM4639" s="88">
        <v>-8.65</v>
      </c>
      <c r="BU4639" s="106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6"/>
        <v>-32.805</v>
      </c>
      <c r="CS4640" s="74">
        <v>-16.29</v>
      </c>
      <c r="CY4640" s="106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6"/>
        <v>-25.484999999999999</v>
      </c>
      <c r="AR4641" s="106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6"/>
        <v>-8.1649999999999991</v>
      </c>
      <c r="AC4642" s="106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6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106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6"/>
        <v>-16.614999999999998</v>
      </c>
      <c r="DK4647" s="106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6"/>
        <v>14.76</v>
      </c>
      <c r="AN4648" s="106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6"/>
        <v>-104.58</v>
      </c>
      <c r="BC4649" s="106">
        <v>-7.93</v>
      </c>
      <c r="BI4649" s="106">
        <v>-16.13</v>
      </c>
      <c r="BM4649" s="88">
        <v>-17.03</v>
      </c>
      <c r="BU4649" s="106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6"/>
        <v>-16.600000000000001</v>
      </c>
      <c r="AC4650" s="106">
        <v>-8.14</v>
      </c>
      <c r="AR4650" s="106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106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6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7"/>
        <v>-33.07</v>
      </c>
      <c r="AW4659" s="106">
        <v>-8.08</v>
      </c>
      <c r="BC4659" s="106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7"/>
        <v>-50.924999999999997</v>
      </c>
      <c r="AW4660" s="106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7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7"/>
        <v>-16.945</v>
      </c>
      <c r="BU4662" s="106">
        <v>-8.14</v>
      </c>
      <c r="CG4662" s="106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7"/>
        <v>-25.475000000000001</v>
      </c>
      <c r="BM4663" s="88">
        <v>-8.66</v>
      </c>
      <c r="BU4663" s="106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7"/>
        <v>34.119999999999997</v>
      </c>
      <c r="AW4664" s="106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7"/>
        <v>-8.06</v>
      </c>
      <c r="AW4666" s="106">
        <v>-8.06</v>
      </c>
    </row>
    <row r="4667" spans="1:233" x14ac:dyDescent="0.25">
      <c r="A4667" s="127">
        <v>45566</v>
      </c>
      <c r="B4667" s="24" t="s">
        <v>20</v>
      </c>
      <c r="C4667" s="21">
        <f t="shared" si="77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7"/>
        <v>-17.09</v>
      </c>
      <c r="BC4668" s="106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7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7"/>
        <v>-24.305</v>
      </c>
      <c r="AN4670" s="106">
        <v>-8.2050000000000001</v>
      </c>
      <c r="BC4670" s="106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7"/>
        <v>-21.215</v>
      </c>
      <c r="BH4673" s="69">
        <v>-8.48</v>
      </c>
      <c r="BI4673" s="106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7"/>
        <v>-8.0950000000000006</v>
      </c>
      <c r="BC4674" s="106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7"/>
        <v>0</v>
      </c>
    </row>
    <row r="4676" spans="1:199" x14ac:dyDescent="0.25">
      <c r="A4676" s="127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7"/>
        <v>0</v>
      </c>
    </row>
    <row r="4679" spans="1:199" x14ac:dyDescent="0.25">
      <c r="A4679" s="127">
        <v>45569</v>
      </c>
      <c r="B4679" s="24" t="s">
        <v>214</v>
      </c>
      <c r="C4679" s="21">
        <f t="shared" si="77"/>
        <v>-91.984999999999999</v>
      </c>
      <c r="AN4679" s="106">
        <v>-10.44</v>
      </c>
      <c r="BC4679" s="106">
        <v>-32.365000000000002</v>
      </c>
      <c r="BG4679" s="42">
        <f>-8.79-8.78-8.8</f>
        <v>-26.37</v>
      </c>
      <c r="BI4679" s="106">
        <v>-5.86</v>
      </c>
      <c r="CG4679" s="106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7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7"/>
        <v>0</v>
      </c>
    </row>
    <row r="4684" spans="1:199" x14ac:dyDescent="0.25">
      <c r="A4684" s="127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106">
        <v>-16.41</v>
      </c>
      <c r="AR4684" s="106">
        <v>-16.925000000000001</v>
      </c>
      <c r="AV4684" s="69">
        <v>-16.914999999999999</v>
      </c>
      <c r="BC4684" s="106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7"/>
        <v>-50.65</v>
      </c>
      <c r="AR4685" s="106">
        <v>-8.4700000000000006</v>
      </c>
      <c r="AW4685" s="106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7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106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7"/>
        <v>-33.29</v>
      </c>
      <c r="AN4690" s="106">
        <v>-8.17</v>
      </c>
      <c r="AR4690" s="106">
        <v>-8.3800000000000008</v>
      </c>
      <c r="AW4690" s="106">
        <v>-8.56</v>
      </c>
      <c r="BC4690" s="106">
        <v>-8.18</v>
      </c>
    </row>
    <row r="4691" spans="1:208" x14ac:dyDescent="0.25">
      <c r="A4691" s="127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7"/>
        <v>-41.82</v>
      </c>
      <c r="BC4692" s="106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7"/>
        <v>0</v>
      </c>
    </row>
    <row r="4694" spans="1:208" x14ac:dyDescent="0.25">
      <c r="A4694" s="127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7"/>
        <v>-157.685</v>
      </c>
      <c r="AW4697" s="106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106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7"/>
        <v>-49.45</v>
      </c>
      <c r="DK4698" s="106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7"/>
        <v>1032.3050000000001</v>
      </c>
      <c r="V4701" s="74">
        <v>80.385000000000005</v>
      </c>
      <c r="Z4701" s="79">
        <v>82.954999999999998</v>
      </c>
      <c r="AC4701" s="106">
        <v>66.41</v>
      </c>
      <c r="AW4701" s="106">
        <v>67.204999999999998</v>
      </c>
      <c r="BC4701" s="106">
        <v>100.44</v>
      </c>
      <c r="BI4701" s="106">
        <v>97.31</v>
      </c>
      <c r="BO4701" s="106">
        <v>103.96</v>
      </c>
      <c r="BU4701" s="106">
        <v>64.86</v>
      </c>
      <c r="CG4701" s="106">
        <v>104.675</v>
      </c>
      <c r="CM4701" s="106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7"/>
        <v>-101.545</v>
      </c>
      <c r="BC4702" s="106">
        <v>-33.534999999999997</v>
      </c>
      <c r="BO4702" s="106">
        <v>-34.505000000000003</v>
      </c>
      <c r="CG4702" s="106">
        <v>-17.32</v>
      </c>
      <c r="CM4702" s="106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7"/>
        <v>-58.975000000000001</v>
      </c>
      <c r="AC4703" s="106">
        <v>-8.6150000000000002</v>
      </c>
      <c r="AW4703" s="106">
        <v>-8.3550000000000004</v>
      </c>
      <c r="BC4703" s="106">
        <v>-16.704999999999998</v>
      </c>
      <c r="BU4703" s="106">
        <v>-8.48</v>
      </c>
      <c r="CG4703" s="106">
        <v>-8.7349999999999994</v>
      </c>
      <c r="CM4703" s="106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7"/>
        <v>-8.56</v>
      </c>
      <c r="AC4705" s="106">
        <v>-8.56</v>
      </c>
    </row>
    <row r="4706" spans="1:214" x14ac:dyDescent="0.25">
      <c r="A4706" s="127">
        <v>45580</v>
      </c>
      <c r="B4706" s="24" t="s">
        <v>188</v>
      </c>
      <c r="C4706" s="21">
        <f t="shared" si="77"/>
        <v>-8.5250000000000004</v>
      </c>
      <c r="BC4706" s="106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7"/>
        <v>-76.454999999999998</v>
      </c>
      <c r="D4707" s="386">
        <v>-16.305</v>
      </c>
      <c r="E4707" s="386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7"/>
        <v>-16.655000000000001</v>
      </c>
      <c r="BC4708" s="106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106">
        <v>-8.1</v>
      </c>
    </row>
    <row r="4710" spans="1:214" x14ac:dyDescent="0.25">
      <c r="A4710" s="127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106">
        <v>-59.064999999999998</v>
      </c>
      <c r="BH4710" s="69">
        <v>-101.93</v>
      </c>
      <c r="BN4710" s="69">
        <v>-33.51</v>
      </c>
      <c r="BO4710" s="106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7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7"/>
        <v>-74.180000000000007</v>
      </c>
      <c r="BU4715" s="106">
        <v>-24.375</v>
      </c>
      <c r="BZ4715" s="69">
        <v>-16.805</v>
      </c>
      <c r="CF4715" s="69">
        <v>-16.850000000000001</v>
      </c>
      <c r="CM4715" s="106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7"/>
        <v>-66.3</v>
      </c>
      <c r="AC4717" s="106">
        <v>-8.6549999999999994</v>
      </c>
      <c r="BI4717" s="106">
        <f>-8.105-8.105</f>
        <v>-16.21</v>
      </c>
      <c r="BN4717" s="69">
        <f>-8.41-8.41</f>
        <v>-16.82</v>
      </c>
      <c r="BU4717" s="106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7"/>
        <v>34.07</v>
      </c>
      <c r="AW4718" s="106">
        <v>34.07</v>
      </c>
    </row>
    <row r="4719" spans="1:214" x14ac:dyDescent="0.25">
      <c r="A4719" s="127">
        <v>45583</v>
      </c>
      <c r="B4719" s="24" t="s">
        <v>140</v>
      </c>
      <c r="C4719" s="21">
        <f t="shared" si="77"/>
        <v>-48.545000000000002</v>
      </c>
      <c r="D4719" s="386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7"/>
        <v>-25.21</v>
      </c>
      <c r="N4720" s="42">
        <v>-8.59</v>
      </c>
      <c r="BI4720" s="106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8">SUM(D4721:JT4721)</f>
        <v>-25.72</v>
      </c>
      <c r="E4721" s="386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8"/>
        <v>-99.49</v>
      </c>
      <c r="BI4723" s="106">
        <v>-32.465000000000003</v>
      </c>
      <c r="BU4723" s="106">
        <v>-32.26</v>
      </c>
      <c r="CG4723" s="106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8"/>
        <v>-24.305</v>
      </c>
      <c r="AN4727" s="106">
        <v>-8.0749999999999993</v>
      </c>
      <c r="BI4727" s="106">
        <v>-16.23</v>
      </c>
    </row>
    <row r="4728" spans="1:168" x14ac:dyDescent="0.25">
      <c r="A4728" s="127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8"/>
        <v>-8.4749999999999996</v>
      </c>
      <c r="AR4729" s="106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8"/>
        <v>-24.835000000000001</v>
      </c>
      <c r="AW4730" s="106">
        <v>-7.83</v>
      </c>
      <c r="BC4730" s="106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8"/>
        <v>-49.645000000000003</v>
      </c>
      <c r="DK4731" s="106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8"/>
        <v>0</v>
      </c>
    </row>
    <row r="4733" spans="1:168" x14ac:dyDescent="0.25">
      <c r="A4733" s="127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106">
        <v>-32.454999999999998</v>
      </c>
      <c r="DK4733" s="106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8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106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8"/>
        <v>-24.754999999999999</v>
      </c>
      <c r="CY4735" s="106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8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8"/>
        <v>-107.125</v>
      </c>
      <c r="AW4737" s="106">
        <v>-18.34</v>
      </c>
      <c r="BC4737" s="106">
        <v>-16.489999999999998</v>
      </c>
      <c r="BI4737" s="106">
        <v>-16.510000000000002</v>
      </c>
      <c r="BT4737" s="69">
        <v>-16.670000000000002</v>
      </c>
      <c r="CF4737" s="69">
        <v>-8.4649999999999999</v>
      </c>
      <c r="CM4737" s="106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8"/>
        <v>-7.9</v>
      </c>
      <c r="AW4740" s="106">
        <v>-7.9</v>
      </c>
    </row>
    <row r="4741" spans="1:237" x14ac:dyDescent="0.25">
      <c r="A4741" s="127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106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8"/>
        <v>-24.565000000000001</v>
      </c>
      <c r="CG4743" s="106">
        <v>-8.7899999999999991</v>
      </c>
      <c r="CM4743" s="106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8"/>
        <v>1120.2349999999999</v>
      </c>
      <c r="AC4746" s="106">
        <v>102.37</v>
      </c>
      <c r="AG4746" s="106">
        <v>104.355</v>
      </c>
      <c r="AN4746" s="106">
        <v>140.11500000000001</v>
      </c>
      <c r="AW4746" s="106">
        <v>67.400000000000006</v>
      </c>
      <c r="BI4746" s="106">
        <v>209.58</v>
      </c>
      <c r="BO4746" s="106">
        <v>173.06</v>
      </c>
      <c r="CM4746" s="106">
        <v>97.28</v>
      </c>
      <c r="CY4746" s="106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8"/>
        <v>134.41999999999999</v>
      </c>
      <c r="BC4747" s="106">
        <v>63.44</v>
      </c>
      <c r="CA4747" s="106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8"/>
        <v>-64.424999999999997</v>
      </c>
      <c r="BC4748" s="106">
        <v>-32.185000000000002</v>
      </c>
      <c r="BI4748" s="106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8"/>
        <v>-84.614999999999995</v>
      </c>
      <c r="AC4749" s="106">
        <v>-8.57</v>
      </c>
      <c r="AG4749" s="106">
        <v>-8.5850000000000009</v>
      </c>
      <c r="AN4749" s="106">
        <v>-8.7550000000000008</v>
      </c>
      <c r="AR4749" s="106">
        <v>-8.4849999999999994</v>
      </c>
      <c r="AW4749" s="106">
        <v>-8.42</v>
      </c>
      <c r="BC4749" s="106">
        <v>-8.11</v>
      </c>
      <c r="BI4749" s="106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8"/>
        <v>-58.075000000000003</v>
      </c>
      <c r="AC4750" s="106">
        <v>-8.6649999999999991</v>
      </c>
      <c r="AN4750" s="106">
        <v>-8.77</v>
      </c>
      <c r="AR4750" s="106">
        <v>-8.4450000000000003</v>
      </c>
      <c r="AW4750" s="106">
        <v>-8.4350000000000005</v>
      </c>
      <c r="BC4750" s="106">
        <v>-7.1050000000000004</v>
      </c>
      <c r="BI4750" s="106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8"/>
        <v>-16.934999999999999</v>
      </c>
      <c r="BS4751" s="42">
        <v>-8.64</v>
      </c>
      <c r="CA4751" s="106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8"/>
        <v>-32.994999999999997</v>
      </c>
      <c r="BO4752" s="106">
        <v>-17.344999999999999</v>
      </c>
      <c r="CA4752" s="106">
        <v>-15.65</v>
      </c>
    </row>
    <row r="4753" spans="1:199" x14ac:dyDescent="0.25">
      <c r="A4753" s="127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8"/>
        <v>-83.305000000000007</v>
      </c>
      <c r="CM4754" s="106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8"/>
        <v>53.85</v>
      </c>
      <c r="E4756" s="386">
        <v>53.85</v>
      </c>
    </row>
    <row r="4757" spans="1:199" x14ac:dyDescent="0.25">
      <c r="A4757" s="127">
        <v>45596</v>
      </c>
      <c r="B4757" s="24" t="s">
        <v>48</v>
      </c>
      <c r="C4757" s="21">
        <f t="shared" si="78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8"/>
        <v>-101.73</v>
      </c>
      <c r="BO4759" s="106">
        <v>-34.634999999999998</v>
      </c>
      <c r="BS4759" s="42">
        <v>-34.409999999999997</v>
      </c>
      <c r="CA4759" s="106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8"/>
        <v>-25.704999999999998</v>
      </c>
      <c r="D4760" s="386">
        <v>-8.69</v>
      </c>
      <c r="E4760" s="386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8"/>
        <v>-8.5549999999999997</v>
      </c>
      <c r="CA4761" s="106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8"/>
        <v>-50.05</v>
      </c>
      <c r="AN4762" s="106">
        <v>-8.69</v>
      </c>
      <c r="AR4762" s="106">
        <v>-8.4499999999999993</v>
      </c>
      <c r="BC4762" s="106">
        <v>-7.98</v>
      </c>
      <c r="BI4762" s="106">
        <v>-8.09</v>
      </c>
      <c r="BO4762" s="106">
        <v>-8.67</v>
      </c>
      <c r="CM4762" s="106">
        <v>-8.17</v>
      </c>
    </row>
    <row r="4763" spans="1:199" x14ac:dyDescent="0.25">
      <c r="A4763" s="127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8"/>
        <v>-119.375</v>
      </c>
      <c r="AW4764" s="106">
        <v>-16.850000000000001</v>
      </c>
      <c r="BI4764" s="106">
        <v>-16.114999999999998</v>
      </c>
      <c r="BO4764" s="106">
        <v>-34.555</v>
      </c>
      <c r="CF4764" s="69">
        <v>-16.809999999999999</v>
      </c>
      <c r="CM4764" s="106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8"/>
        <v>-75.254999999999995</v>
      </c>
      <c r="AR4765" s="106">
        <v>-8.3849999999999998</v>
      </c>
      <c r="BI4765" s="106">
        <v>-8.0549999999999997</v>
      </c>
      <c r="CF4765" s="69">
        <v>-8.4700000000000006</v>
      </c>
      <c r="CL4765" s="69">
        <v>-8.4450000000000003</v>
      </c>
      <c r="CY4765" s="106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8"/>
        <v>-25.218</v>
      </c>
      <c r="AR4766" s="106">
        <v>-8.4079999999999995</v>
      </c>
      <c r="BI4766" s="106">
        <v>-8.14</v>
      </c>
      <c r="BO4766" s="106">
        <v>-8.67</v>
      </c>
    </row>
    <row r="4767" spans="1:199" x14ac:dyDescent="0.25">
      <c r="A4767" s="127">
        <v>45596</v>
      </c>
      <c r="B4767" s="24" t="s">
        <v>200</v>
      </c>
      <c r="C4767" s="21">
        <f t="shared" si="78"/>
        <v>-16.535</v>
      </c>
      <c r="AW4767" s="106">
        <v>-8.4749999999999996</v>
      </c>
      <c r="BC4767" s="106">
        <v>-8.06</v>
      </c>
    </row>
    <row r="4768" spans="1:199" x14ac:dyDescent="0.25">
      <c r="A4768" s="127">
        <v>45596</v>
      </c>
      <c r="B4768" s="24" t="s">
        <v>214</v>
      </c>
      <c r="C4768" s="21">
        <f t="shared" si="78"/>
        <v>-33.67</v>
      </c>
      <c r="AR4768" s="106">
        <v>-8.4049999999999994</v>
      </c>
      <c r="AW4768" s="106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8"/>
        <v>-33.49</v>
      </c>
      <c r="AW4770" s="106">
        <v>-8.4550000000000001</v>
      </c>
      <c r="BI4770" s="106">
        <v>-8.02</v>
      </c>
      <c r="BO4770" s="106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8"/>
        <v>-51.28</v>
      </c>
      <c r="AG4771" s="106">
        <v>-8.57</v>
      </c>
      <c r="AN4771" s="106">
        <v>-8.7550000000000008</v>
      </c>
      <c r="AR4771" s="106">
        <v>-8.42</v>
      </c>
      <c r="AW4771" s="106">
        <v>-8.4049999999999994</v>
      </c>
      <c r="BO4771" s="106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8"/>
        <v>22.96</v>
      </c>
      <c r="D4772" s="386">
        <v>22.96</v>
      </c>
    </row>
    <row r="4773" spans="1:238" x14ac:dyDescent="0.25">
      <c r="A4773" s="127">
        <v>45600</v>
      </c>
      <c r="B4773" s="24" t="s">
        <v>64</v>
      </c>
      <c r="C4773" s="21">
        <f t="shared" si="78"/>
        <v>60.32</v>
      </c>
      <c r="AW4773" s="106">
        <v>60.32</v>
      </c>
    </row>
    <row r="4774" spans="1:238" x14ac:dyDescent="0.25">
      <c r="A4774" s="127">
        <v>45600</v>
      </c>
      <c r="B4774" s="24" t="s">
        <v>188</v>
      </c>
      <c r="C4774" s="21">
        <f t="shared" si="78"/>
        <v>-25.824999999999999</v>
      </c>
      <c r="AN4774" s="106">
        <v>-8.7650000000000006</v>
      </c>
      <c r="BO4774" s="106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8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8"/>
        <v>-19.695</v>
      </c>
      <c r="AN4776" s="106">
        <v>-8.7650000000000006</v>
      </c>
      <c r="AR4776" s="106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8"/>
        <v>-8.1050000000000004</v>
      </c>
      <c r="BI4777" s="106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8"/>
        <v>-8.6449999999999996</v>
      </c>
      <c r="BO4778" s="106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8"/>
        <v>-24.245000000000001</v>
      </c>
      <c r="CM4779" s="106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8"/>
        <v>0</v>
      </c>
    </row>
    <row r="4781" spans="1:238" x14ac:dyDescent="0.25">
      <c r="A4781" s="127">
        <v>45602</v>
      </c>
      <c r="B4781" s="24" t="s">
        <v>113</v>
      </c>
      <c r="C4781" s="21">
        <f t="shared" si="78"/>
        <v>1114.01</v>
      </c>
      <c r="AW4781" s="106">
        <v>95.484999999999999</v>
      </c>
      <c r="BC4781" s="106">
        <v>96.504999999999995</v>
      </c>
      <c r="BI4781" s="106">
        <v>92.334999999999994</v>
      </c>
      <c r="BO4781" s="106">
        <v>91.814999999999998</v>
      </c>
      <c r="BU4781" s="106">
        <f>76.67+73.33</f>
        <v>150</v>
      </c>
      <c r="CA4781" s="106">
        <v>100.7</v>
      </c>
      <c r="CG4781" s="106">
        <v>96.364999999999995</v>
      </c>
      <c r="CM4781" s="106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8"/>
        <v>-117.75</v>
      </c>
      <c r="BO4782" s="106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8"/>
        <v>-24.664999999999999</v>
      </c>
      <c r="CM4783" s="106">
        <v>-8.1950000000000003</v>
      </c>
      <c r="CS4783" s="74">
        <v>-8.3949999999999996</v>
      </c>
      <c r="CY4783" s="106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8"/>
        <v>-78.58</v>
      </c>
      <c r="AW4784" s="106">
        <v>-6.66</v>
      </c>
      <c r="BC4784" s="106">
        <v>-8.1750000000000007</v>
      </c>
      <c r="BI4784" s="106">
        <v>-14.625</v>
      </c>
      <c r="BO4784" s="106">
        <v>-24.53</v>
      </c>
      <c r="BU4784" s="106">
        <v>-16.234999999999999</v>
      </c>
      <c r="CA4784" s="106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9"/>
        <v>-817.41499999999996</v>
      </c>
      <c r="BC4786" s="106">
        <v>-64.73</v>
      </c>
      <c r="BI4786" s="106">
        <v>-64.545000000000002</v>
      </c>
      <c r="BO4786" s="106">
        <v>-59.12</v>
      </c>
      <c r="BU4786" s="106">
        <v>-66.63</v>
      </c>
      <c r="CA4786" s="106">
        <v>-67.045000000000002</v>
      </c>
      <c r="CW4786" s="42">
        <f>-32-33.26</f>
        <v>-65.260000000000005</v>
      </c>
      <c r="CY4786" s="106">
        <v>-32.4</v>
      </c>
      <c r="DE4786" s="74">
        <v>-33.805</v>
      </c>
      <c r="DK4786" s="106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9"/>
        <v>-6.9</v>
      </c>
      <c r="D4787" s="386">
        <v>-6.9</v>
      </c>
    </row>
    <row r="4788" spans="1:221" x14ac:dyDescent="0.25">
      <c r="A4788" s="127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9"/>
        <v>-16.545000000000002</v>
      </c>
      <c r="BU4789" s="106">
        <v>-8.16</v>
      </c>
      <c r="CA4789" s="106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9"/>
        <v>-22.88</v>
      </c>
      <c r="AX4791" s="121">
        <v>-7.89</v>
      </c>
      <c r="BC4791" s="106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9"/>
        <v>-42.575000000000003</v>
      </c>
      <c r="D4792" s="386">
        <v>-33.97</v>
      </c>
      <c r="E4792" s="386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9"/>
        <v>40.869999999999997</v>
      </c>
      <c r="D4793" s="386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9"/>
        <v>-16.3</v>
      </c>
      <c r="BO4794" s="106">
        <v>-8.1649999999999991</v>
      </c>
      <c r="BU4794" s="106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9"/>
        <v>-16.785</v>
      </c>
      <c r="BC4795" s="106">
        <v>-8.25</v>
      </c>
      <c r="CA4795" s="106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106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9"/>
        <v>-8.6</v>
      </c>
      <c r="AC4797" s="106">
        <v>-8.6</v>
      </c>
    </row>
    <row r="4798" spans="1:221" x14ac:dyDescent="0.25">
      <c r="A4798" s="127">
        <v>45607</v>
      </c>
      <c r="B4798" s="24" t="s">
        <v>48</v>
      </c>
      <c r="C4798" s="21">
        <f t="shared" si="79"/>
        <v>-49.02</v>
      </c>
      <c r="CM4798" s="106">
        <v>-49.02</v>
      </c>
    </row>
    <row r="4799" spans="1:221" x14ac:dyDescent="0.25">
      <c r="A4799" s="127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9"/>
        <v>-48.8</v>
      </c>
      <c r="AR4802" s="106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9"/>
        <v>-32.395000000000003</v>
      </c>
      <c r="AW4803" s="106">
        <v>-7.86</v>
      </c>
      <c r="BI4803" s="106">
        <v>-8.0350000000000001</v>
      </c>
      <c r="CG4803" s="106">
        <v>-8.39</v>
      </c>
      <c r="CM4803" s="106">
        <v>-8.11</v>
      </c>
    </row>
    <row r="4804" spans="1:241" x14ac:dyDescent="0.25">
      <c r="A4804" s="127">
        <v>45608</v>
      </c>
      <c r="B4804" s="24" t="s">
        <v>39</v>
      </c>
      <c r="C4804" s="21">
        <f t="shared" si="79"/>
        <v>-16.75</v>
      </c>
      <c r="BU4804" s="106">
        <v>-8.3699999999999992</v>
      </c>
      <c r="CA4804" s="106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106">
        <v>-8.76</v>
      </c>
      <c r="AR4805" s="106">
        <v>-8.4849999999999994</v>
      </c>
      <c r="AW4805" s="106">
        <v>-8.0500000000000007</v>
      </c>
      <c r="BU4805" s="106">
        <v>-26.16</v>
      </c>
      <c r="CG4805" s="106">
        <v>-31.155000000000001</v>
      </c>
      <c r="CM4805" s="106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9"/>
        <v>0</v>
      </c>
    </row>
    <row r="4807" spans="1:241" x14ac:dyDescent="0.25">
      <c r="A4807" s="127">
        <v>45609</v>
      </c>
      <c r="B4807" s="24" t="s">
        <v>212</v>
      </c>
      <c r="C4807" s="21">
        <f t="shared" si="79"/>
        <v>-8.07</v>
      </c>
      <c r="BU4807" s="106">
        <v>-8.07</v>
      </c>
    </row>
    <row r="4808" spans="1:241" x14ac:dyDescent="0.25">
      <c r="A4808" s="127">
        <v>45610</v>
      </c>
      <c r="B4808" s="24" t="s">
        <v>17</v>
      </c>
      <c r="C4808" s="21">
        <f t="shared" si="79"/>
        <v>-16.215</v>
      </c>
      <c r="AW4808" s="106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9"/>
        <v>-4.07</v>
      </c>
      <c r="BO4809" s="106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9"/>
        <v>8.6950000000000003</v>
      </c>
      <c r="BO4810" s="106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9"/>
        <v>-8.0500000000000007</v>
      </c>
      <c r="BI4811" s="106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9"/>
        <v>-40.54</v>
      </c>
      <c r="CM4815" s="106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106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9"/>
        <v>-38.545000000000002</v>
      </c>
      <c r="BI4817" s="106">
        <v>-15.82</v>
      </c>
      <c r="CG4817" s="106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106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9"/>
        <v>-8.49</v>
      </c>
      <c r="AR4820" s="106">
        <v>-8.49</v>
      </c>
    </row>
    <row r="4821" spans="1:214" x14ac:dyDescent="0.25">
      <c r="A4821" s="127">
        <v>45615</v>
      </c>
      <c r="B4821" s="24" t="s">
        <v>20</v>
      </c>
      <c r="C4821" s="21">
        <f t="shared" si="79"/>
        <v>-57.134999999999998</v>
      </c>
      <c r="Z4821" s="79">
        <v>-8.4649999999999999</v>
      </c>
      <c r="BC4821" s="106">
        <v>-8.0549999999999997</v>
      </c>
      <c r="BI4821" s="106">
        <v>-7.835</v>
      </c>
      <c r="BU4821" s="106">
        <v>-8.15</v>
      </c>
      <c r="CG4821" s="106">
        <v>-8.3800000000000008</v>
      </c>
      <c r="CM4821" s="106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9"/>
        <v>66.14</v>
      </c>
      <c r="DA4822" s="126">
        <v>9.23</v>
      </c>
      <c r="DM4822" s="46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9"/>
        <v>-62.89</v>
      </c>
      <c r="E4823" s="386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9"/>
        <v>-12.78</v>
      </c>
      <c r="V4824" s="74">
        <v>-4.03</v>
      </c>
      <c r="AN4824" s="106">
        <v>-8.75</v>
      </c>
    </row>
    <row r="4825" spans="1:214" x14ac:dyDescent="0.25">
      <c r="A4825" s="127">
        <v>45616</v>
      </c>
      <c r="B4825" s="24" t="s">
        <v>180</v>
      </c>
      <c r="C4825" s="21">
        <f t="shared" si="79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9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9"/>
        <v>995.68</v>
      </c>
      <c r="AR4829" s="106">
        <v>98.144999999999996</v>
      </c>
      <c r="AW4829" s="106">
        <v>97.435000000000002</v>
      </c>
      <c r="BC4829" s="106">
        <v>65.155000000000001</v>
      </c>
      <c r="BI4829" s="106">
        <v>94.204999999999998</v>
      </c>
      <c r="BO4829" s="106">
        <v>64.61</v>
      </c>
      <c r="CG4829" s="106">
        <v>98.734999999999999</v>
      </c>
      <c r="CM4829" s="106">
        <v>97.92</v>
      </c>
      <c r="CS4829" s="74">
        <v>65.944999999999993</v>
      </c>
      <c r="CY4829" s="106">
        <v>102.685</v>
      </c>
      <c r="DE4829" s="74">
        <v>99.36</v>
      </c>
      <c r="DK4829" s="106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9"/>
        <v>909.44500000000005</v>
      </c>
      <c r="P4830" s="106">
        <v>33.784999999999997</v>
      </c>
      <c r="AW4830" s="106">
        <v>32.51</v>
      </c>
      <c r="BC4830" s="106">
        <v>92.555000000000007</v>
      </c>
      <c r="BO4830" s="106">
        <v>127.05</v>
      </c>
      <c r="BU4830" s="106">
        <v>130.41999999999999</v>
      </c>
      <c r="CA4830" s="106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9"/>
        <v>-32.805</v>
      </c>
      <c r="BO4832" s="106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9"/>
        <v>-16.734999999999999</v>
      </c>
      <c r="BU4833" s="106">
        <v>-8.1050000000000004</v>
      </c>
      <c r="CA4833" s="106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9"/>
        <v>-79.180000000000007</v>
      </c>
      <c r="BC4834" s="106">
        <v>-15.42</v>
      </c>
      <c r="BI4834" s="106">
        <v>-15.715</v>
      </c>
      <c r="BO4834" s="106">
        <v>-23.54</v>
      </c>
      <c r="CG4834" s="106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9"/>
        <v>-24.38</v>
      </c>
      <c r="BC4835" s="106">
        <v>-8.09</v>
      </c>
      <c r="BO4835" s="106">
        <v>-8.1050000000000004</v>
      </c>
      <c r="BU4835" s="106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9"/>
        <v>-550.38</v>
      </c>
      <c r="AN4837" s="106">
        <v>-17.504999999999999</v>
      </c>
      <c r="AR4837" s="106">
        <v>-16.754999999999999</v>
      </c>
      <c r="AW4837" s="106">
        <v>-32.520000000000003</v>
      </c>
      <c r="BC4837" s="106">
        <v>-63.75</v>
      </c>
      <c r="BI4837" s="106">
        <v>-31.37</v>
      </c>
      <c r="BO4837" s="106">
        <v>-32.06</v>
      </c>
      <c r="BU4837" s="106">
        <v>-32.344999999999999</v>
      </c>
      <c r="CA4837" s="106">
        <v>-34.21</v>
      </c>
      <c r="CM4837" s="106">
        <v>-32.384999999999998</v>
      </c>
      <c r="DK4837" s="106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9"/>
        <v>-65.614999999999995</v>
      </c>
      <c r="AW4838" s="106">
        <v>-8.11</v>
      </c>
      <c r="BC4838" s="106">
        <v>-8.09</v>
      </c>
      <c r="BI4838" s="106">
        <v>-7.55</v>
      </c>
      <c r="BO4838" s="106">
        <v>-8.1850000000000005</v>
      </c>
      <c r="BU4838" s="106">
        <v>-16.805</v>
      </c>
      <c r="CA4838" s="106">
        <v>-8.5299999999999994</v>
      </c>
      <c r="CG4838" s="106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9"/>
        <v>-193.565</v>
      </c>
      <c r="AR4839" s="106">
        <v>-16.239999999999998</v>
      </c>
      <c r="BC4839" s="106">
        <v>-16.260000000000002</v>
      </c>
      <c r="BI4839" s="106">
        <v>-31.4</v>
      </c>
      <c r="BO4839" s="106">
        <v>-29.87</v>
      </c>
      <c r="BU4839" s="106">
        <v>-32.479999999999997</v>
      </c>
      <c r="CA4839" s="106">
        <v>-34.195</v>
      </c>
      <c r="CG4839" s="106">
        <v>-16.734999999999999</v>
      </c>
      <c r="CM4839" s="106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9"/>
        <v>-112.19</v>
      </c>
      <c r="AN4840" s="106">
        <v>-25.715</v>
      </c>
      <c r="AR4840" s="106">
        <v>-24.31</v>
      </c>
      <c r="AW4840" s="106">
        <v>-16.215</v>
      </c>
      <c r="BC4840" s="106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9"/>
        <v>-24.92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27">
        <v>45619</v>
      </c>
      <c r="B4842" s="24" t="s">
        <v>20</v>
      </c>
      <c r="C4842" s="21">
        <f t="shared" si="79"/>
        <v>-17.425000000000001</v>
      </c>
      <c r="BO4842" s="106">
        <v>-8.8699999999999992</v>
      </c>
      <c r="CA4842" s="106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9"/>
        <v>-16.16</v>
      </c>
      <c r="BO4843" s="106">
        <v>-8.01</v>
      </c>
      <c r="BU4843" s="106">
        <v>-8.15</v>
      </c>
    </row>
    <row r="4844" spans="1:137" x14ac:dyDescent="0.25">
      <c r="A4844" s="127">
        <v>45619</v>
      </c>
      <c r="B4844" s="24" t="s">
        <v>212</v>
      </c>
      <c r="C4844" s="21">
        <f t="shared" si="79"/>
        <v>-89.31</v>
      </c>
      <c r="AW4844" s="106">
        <v>-7.92</v>
      </c>
      <c r="BC4844" s="106">
        <v>-7.8449999999999998</v>
      </c>
      <c r="BO4844" s="106">
        <v>-8.1449999999999996</v>
      </c>
      <c r="BU4844" s="106">
        <v>-24.35</v>
      </c>
      <c r="CA4844" s="106">
        <v>-8.5250000000000004</v>
      </c>
      <c r="CG4844" s="106">
        <v>-7.9</v>
      </c>
      <c r="CM4844" s="106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9"/>
        <v>-16.14</v>
      </c>
      <c r="AN4846" s="106">
        <v>-8.0649999999999995</v>
      </c>
      <c r="BI4846" s="106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9"/>
        <v>-15.404999999999999</v>
      </c>
      <c r="BO4848" s="106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80">SUM(D4849:JT4849)</f>
        <v>-41.5</v>
      </c>
      <c r="AW4849" s="106">
        <v>-8.0749999999999993</v>
      </c>
      <c r="BC4849" s="106">
        <v>-8.0649999999999995</v>
      </c>
      <c r="BO4849" s="106">
        <v>-8.5500000000000007</v>
      </c>
      <c r="CG4849" s="106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80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80"/>
        <v>941.67499999999995</v>
      </c>
      <c r="BC4851" s="106">
        <v>221.4</v>
      </c>
      <c r="BI4851" s="106">
        <v>113.325</v>
      </c>
      <c r="BO4851" s="106">
        <v>135.19999999999999</v>
      </c>
      <c r="BU4851" s="106">
        <v>130.99</v>
      </c>
      <c r="CA4851" s="106">
        <v>68.010000000000005</v>
      </c>
      <c r="CM4851" s="106">
        <v>99.32</v>
      </c>
      <c r="CY4851" s="106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80"/>
        <v>-688.35</v>
      </c>
      <c r="BI4852" s="106">
        <v>-32.454999999999998</v>
      </c>
      <c r="BO4852" s="106">
        <v>-33.82</v>
      </c>
      <c r="CM4852" s="106">
        <v>-33.869999999999997</v>
      </c>
      <c r="CS4852" s="74">
        <v>-33.765000000000001</v>
      </c>
      <c r="CY4852" s="106">
        <v>-68.34</v>
      </c>
      <c r="DE4852" s="74">
        <v>-67.02</v>
      </c>
      <c r="DK4852" s="106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80"/>
        <v>-293.92</v>
      </c>
      <c r="AW4853" s="106">
        <v>-48.73</v>
      </c>
      <c r="BC4853" s="106">
        <v>-48.03</v>
      </c>
      <c r="BI4853" s="106">
        <v>-48.594999999999999</v>
      </c>
      <c r="BO4853" s="106">
        <v>-50.73</v>
      </c>
      <c r="BU4853" s="106">
        <v>-49.155000000000001</v>
      </c>
      <c r="CM4853" s="106">
        <v>-48.68</v>
      </c>
    </row>
    <row r="4854" spans="1:221" x14ac:dyDescent="0.25">
      <c r="A4854" s="127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106">
        <v>-8.07</v>
      </c>
    </row>
    <row r="4855" spans="1:221" x14ac:dyDescent="0.25">
      <c r="A4855" s="127">
        <v>45625</v>
      </c>
      <c r="B4855" s="24" t="s">
        <v>138</v>
      </c>
      <c r="C4855" s="21">
        <f t="shared" si="80"/>
        <v>-57.34</v>
      </c>
      <c r="BO4855" s="106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80"/>
        <v>-33.42</v>
      </c>
      <c r="BU4856" s="106">
        <v>-16.405000000000001</v>
      </c>
      <c r="CA4856" s="106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80"/>
        <v>-45.95</v>
      </c>
      <c r="Z4858" s="79">
        <v>-4.79</v>
      </c>
      <c r="BC4858" s="106">
        <v>-16.135000000000002</v>
      </c>
      <c r="BI4858" s="106">
        <v>-8.0749999999999993</v>
      </c>
      <c r="CA4858" s="106">
        <v>-16.95</v>
      </c>
    </row>
    <row r="4859" spans="1:221" x14ac:dyDescent="0.25">
      <c r="A4859" s="127">
        <v>45625</v>
      </c>
      <c r="B4859" s="24" t="s">
        <v>184</v>
      </c>
      <c r="C4859" s="21">
        <f t="shared" si="80"/>
        <v>-17.055</v>
      </c>
      <c r="CA4859" s="106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80"/>
        <v>-131.44499999999999</v>
      </c>
      <c r="AN4860" s="106">
        <v>-8.1199999999999992</v>
      </c>
      <c r="AR4860" s="106">
        <v>-8.48</v>
      </c>
      <c r="BC4860" s="106">
        <f>-8.085-7.885</f>
        <v>-15.97</v>
      </c>
      <c r="BI4860" s="106">
        <v>-32.405000000000001</v>
      </c>
      <c r="BO4860" s="106">
        <v>-33.765000000000001</v>
      </c>
      <c r="BU4860" s="106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27">
        <v>45626</v>
      </c>
      <c r="B4863" s="24" t="s">
        <v>127</v>
      </c>
      <c r="C4863" s="21">
        <f t="shared" si="80"/>
        <v>-7.8849999999999998</v>
      </c>
      <c r="BI4863" s="106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80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80"/>
        <v>-16.745000000000001</v>
      </c>
      <c r="CA4865" s="106">
        <v>-8.49</v>
      </c>
      <c r="CM4865" s="106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80"/>
        <v>-8.0950000000000006</v>
      </c>
      <c r="AR4866" s="106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80"/>
        <v>-149.04</v>
      </c>
      <c r="BC4867" s="106">
        <v>-64.564999999999998</v>
      </c>
      <c r="CS4867" s="74">
        <v>-33.770000000000003</v>
      </c>
      <c r="CY4867" s="106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80"/>
        <v>-8.0500000000000007</v>
      </c>
      <c r="BI4868" s="106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80"/>
        <v>-8.5</v>
      </c>
      <c r="CA4869" s="106">
        <v>-8.5</v>
      </c>
    </row>
    <row r="4870" spans="1:235" x14ac:dyDescent="0.25">
      <c r="A4870" s="127">
        <v>45629</v>
      </c>
      <c r="B4870" s="24" t="s">
        <v>20</v>
      </c>
      <c r="C4870" s="21">
        <f t="shared" si="80"/>
        <v>-16.309999999999999</v>
      </c>
      <c r="BC4870" s="106">
        <v>-8.1549999999999994</v>
      </c>
      <c r="BI4870" s="106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80"/>
        <v>-33.344999999999999</v>
      </c>
      <c r="AR4871" s="106">
        <f>-8.485-8.09</f>
        <v>-16.574999999999999</v>
      </c>
      <c r="CM4871" s="106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80"/>
        <v>-8.1999999999999993</v>
      </c>
      <c r="CM4874" s="106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80"/>
        <v>-16.329999999999998</v>
      </c>
      <c r="CM4876" s="106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80"/>
        <v>-7.835</v>
      </c>
      <c r="BI4877" s="106">
        <v>-7.835</v>
      </c>
    </row>
    <row r="4878" spans="1:235" x14ac:dyDescent="0.25">
      <c r="A4878" s="127">
        <v>45632</v>
      </c>
      <c r="B4878" s="24" t="s">
        <v>33</v>
      </c>
      <c r="C4878" s="21">
        <f t="shared" si="80"/>
        <v>-8.1649999999999991</v>
      </c>
      <c r="BU4878" s="106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80"/>
        <v>106.41500000000001</v>
      </c>
      <c r="D4879" s="386">
        <v>32.954999999999998</v>
      </c>
      <c r="E4879" s="386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80"/>
        <v>-33.97</v>
      </c>
      <c r="CM4880" s="106">
        <v>-8.1999999999999993</v>
      </c>
      <c r="CY4880" s="106">
        <v>-25.77</v>
      </c>
    </row>
    <row r="4881" spans="1:256" x14ac:dyDescent="0.25">
      <c r="A4881" s="127">
        <v>45633</v>
      </c>
      <c r="B4881" s="24" t="s">
        <v>188</v>
      </c>
      <c r="C4881" s="21">
        <f t="shared" si="80"/>
        <v>-24.08</v>
      </c>
      <c r="AW4881" s="106">
        <v>-7.82</v>
      </c>
      <c r="BI4881" s="106">
        <v>-8.0950000000000006</v>
      </c>
      <c r="BU4881" s="106">
        <v>-8.1649999999999991</v>
      </c>
    </row>
    <row r="4882" spans="1:256" x14ac:dyDescent="0.25">
      <c r="A4882" s="127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106">
        <v>-8.1649999999999991</v>
      </c>
    </row>
    <row r="4883" spans="1:256" x14ac:dyDescent="0.25">
      <c r="A4883" s="127">
        <v>45635</v>
      </c>
      <c r="B4883" s="24" t="s">
        <v>202</v>
      </c>
      <c r="C4883" s="21">
        <f t="shared" si="80"/>
        <v>-36.82</v>
      </c>
      <c r="E4883" s="386">
        <v>-36.82</v>
      </c>
    </row>
    <row r="4884" spans="1:256" x14ac:dyDescent="0.25">
      <c r="A4884" s="127">
        <v>45635</v>
      </c>
      <c r="B4884" s="24" t="s">
        <v>169</v>
      </c>
      <c r="C4884" s="21">
        <f t="shared" si="80"/>
        <v>-36.64</v>
      </c>
      <c r="E4884" s="386">
        <v>-36.64</v>
      </c>
    </row>
    <row r="4885" spans="1:256" x14ac:dyDescent="0.25">
      <c r="A4885" s="127">
        <v>45636</v>
      </c>
      <c r="B4885" s="24" t="s">
        <v>20</v>
      </c>
      <c r="C4885" s="21">
        <f t="shared" si="80"/>
        <v>-16.07</v>
      </c>
      <c r="V4885" s="74">
        <v>-8.01</v>
      </c>
      <c r="CY4885" s="106">
        <v>-8.06</v>
      </c>
    </row>
    <row r="4886" spans="1:256" x14ac:dyDescent="0.25">
      <c r="A4886" s="127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56" x14ac:dyDescent="0.25">
      <c r="A4887" s="127">
        <v>45636</v>
      </c>
      <c r="B4887" s="24" t="s">
        <v>134</v>
      </c>
      <c r="C4887" s="21">
        <f t="shared" si="80"/>
        <v>-40.729999999999997</v>
      </c>
      <c r="D4887" s="386">
        <v>-24.14</v>
      </c>
      <c r="F4887" s="145">
        <v>-16.59</v>
      </c>
    </row>
    <row r="4888" spans="1:256" x14ac:dyDescent="0.25">
      <c r="A4888" s="127">
        <v>45636</v>
      </c>
      <c r="B4888" s="24" t="s">
        <v>113</v>
      </c>
      <c r="C4888" s="21">
        <f t="shared" si="80"/>
        <v>518.68499999999995</v>
      </c>
      <c r="BC4888" s="106">
        <v>30.905000000000001</v>
      </c>
      <c r="BO4888" s="106">
        <v>34.83</v>
      </c>
      <c r="BU4888" s="106">
        <v>128.44999999999999</v>
      </c>
      <c r="CA4888" s="106">
        <v>129.6</v>
      </c>
      <c r="CG4888" s="106">
        <v>66.290000000000006</v>
      </c>
      <c r="EA4888" s="74">
        <v>128.61000000000001</v>
      </c>
    </row>
    <row r="4889" spans="1:256" x14ac:dyDescent="0.25">
      <c r="A4889" s="127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106">
        <v>34.42</v>
      </c>
      <c r="AG4889" s="106">
        <v>33.695</v>
      </c>
      <c r="AN4889" s="106">
        <v>34.034999999999997</v>
      </c>
      <c r="AW4889" s="106">
        <v>97.28</v>
      </c>
      <c r="BI4889" s="106">
        <v>94.2</v>
      </c>
      <c r="BO4889" s="106">
        <v>97.55</v>
      </c>
      <c r="CG4889" s="106">
        <v>61.524999999999999</v>
      </c>
      <c r="CM4889" s="106">
        <v>97.504999999999995</v>
      </c>
      <c r="CS4889" s="74">
        <v>83.65</v>
      </c>
      <c r="CY4889" s="106">
        <v>64.394999999999996</v>
      </c>
      <c r="DE4889" s="74">
        <v>97.1</v>
      </c>
      <c r="DK4889" s="106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56" x14ac:dyDescent="0.25">
      <c r="A4890" s="127">
        <v>45636</v>
      </c>
      <c r="B4890" s="24" t="s">
        <v>152</v>
      </c>
      <c r="C4890" s="21">
        <f t="shared" si="80"/>
        <v>-961.91</v>
      </c>
      <c r="BC4890" s="106">
        <v>-63.164999999999999</v>
      </c>
      <c r="BI4890" s="106">
        <v>-62.865000000000002</v>
      </c>
      <c r="BO4890" s="106">
        <v>-99.88</v>
      </c>
      <c r="BU4890" s="106">
        <v>-95.39</v>
      </c>
      <c r="CA4890" s="106">
        <v>-95.224999999999994</v>
      </c>
      <c r="CG4890" s="106">
        <v>-127.815</v>
      </c>
      <c r="CM4890" s="106">
        <v>-33.005000000000003</v>
      </c>
      <c r="CY4890" s="106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56" x14ac:dyDescent="0.25">
      <c r="A4891" s="127">
        <v>45636</v>
      </c>
      <c r="B4891" s="24" t="s">
        <v>79</v>
      </c>
      <c r="C4891" s="21">
        <f t="shared" si="80"/>
        <v>-16.215</v>
      </c>
      <c r="BO4891" s="106">
        <f>-8.1-8.115</f>
        <v>-16.215</v>
      </c>
    </row>
    <row r="4892" spans="1:256" x14ac:dyDescent="0.25">
      <c r="A4892" s="127">
        <v>45637</v>
      </c>
      <c r="B4892" s="24" t="s">
        <v>213</v>
      </c>
      <c r="C4892" s="21">
        <f t="shared" si="80"/>
        <v>-67.275000000000006</v>
      </c>
      <c r="BC4892" s="106">
        <v>-8.11</v>
      </c>
      <c r="BO4892" s="106">
        <v>-8.16</v>
      </c>
      <c r="CA4892" s="106">
        <v>-34.375</v>
      </c>
      <c r="CF4892" s="69">
        <v>-8.4649999999999999</v>
      </c>
      <c r="CG4892" s="106">
        <v>-8.1649999999999991</v>
      </c>
    </row>
    <row r="4893" spans="1:256" x14ac:dyDescent="0.25">
      <c r="A4893" s="127">
        <v>45637</v>
      </c>
      <c r="B4893" s="24" t="s">
        <v>115</v>
      </c>
      <c r="C4893" s="21">
        <f t="shared" si="80"/>
        <v>73.435000000000002</v>
      </c>
      <c r="E4893" s="386">
        <v>73.435000000000002</v>
      </c>
    </row>
    <row r="4894" spans="1:256" x14ac:dyDescent="0.25">
      <c r="A4894" s="127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56" s="176" customFormat="1" x14ac:dyDescent="0.25">
      <c r="A4895" s="173">
        <v>45638</v>
      </c>
      <c r="B4895" s="174" t="s">
        <v>99</v>
      </c>
      <c r="C4895" s="175">
        <f t="shared" si="80"/>
        <v>-70.254999999999995</v>
      </c>
      <c r="D4895" s="386" t="s">
        <v>216</v>
      </c>
      <c r="E4895" s="386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375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106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106">
        <v>3.46</v>
      </c>
      <c r="AO4895" s="358"/>
      <c r="AP4895" s="178"/>
      <c r="AQ4895" s="69"/>
      <c r="AR4895" s="106">
        <v>-0.61499999999999999</v>
      </c>
      <c r="AS4895" s="179"/>
      <c r="AT4895" s="177"/>
      <c r="AU4895" s="178"/>
      <c r="AV4895" s="179"/>
      <c r="AW4895" s="106">
        <v>-8.06</v>
      </c>
      <c r="AX4895" s="179"/>
      <c r="AY4895" s="292"/>
      <c r="AZ4895" s="182"/>
      <c r="BA4895" s="178"/>
      <c r="BB4895" s="69"/>
      <c r="BC4895" s="106" t="s">
        <v>216</v>
      </c>
      <c r="BD4895" s="179"/>
      <c r="BE4895" s="179"/>
      <c r="BF4895" s="182"/>
      <c r="BG4895" s="178"/>
      <c r="BH4895" s="69"/>
      <c r="BI4895" s="106" t="s">
        <v>216</v>
      </c>
      <c r="BJ4895" s="179"/>
      <c r="BK4895" s="179"/>
      <c r="BL4895" s="182"/>
      <c r="BM4895" s="178"/>
      <c r="BN4895" s="69"/>
      <c r="BO4895" s="106" t="s">
        <v>216</v>
      </c>
      <c r="BP4895" s="179"/>
      <c r="BQ4895" s="179"/>
      <c r="BR4895" s="182"/>
      <c r="BS4895" s="178"/>
      <c r="BT4895" s="69"/>
      <c r="BU4895" s="106" t="s">
        <v>216</v>
      </c>
      <c r="BV4895" s="179"/>
      <c r="BW4895" s="179"/>
      <c r="BX4895" s="182"/>
      <c r="BY4895" s="178"/>
      <c r="BZ4895" s="179"/>
      <c r="CA4895" s="106"/>
      <c r="CB4895" s="179"/>
      <c r="CC4895" s="179"/>
      <c r="CD4895" s="182"/>
      <c r="CE4895" s="178"/>
      <c r="CF4895" s="69" t="s">
        <v>216</v>
      </c>
      <c r="CG4895" s="106"/>
      <c r="CH4895" s="179"/>
      <c r="CI4895" s="179"/>
      <c r="CJ4895" s="182"/>
      <c r="CK4895" s="178"/>
      <c r="CL4895" s="179"/>
      <c r="CM4895" s="106" t="s">
        <v>216</v>
      </c>
      <c r="CN4895" s="179"/>
      <c r="CO4895" s="179"/>
      <c r="CP4895" s="182"/>
      <c r="CQ4895" s="178"/>
      <c r="CR4895" s="375"/>
      <c r="CS4895" s="74">
        <v>8.4</v>
      </c>
      <c r="CT4895" s="179"/>
      <c r="CU4895" s="292"/>
      <c r="CV4895" s="177"/>
      <c r="CW4895" s="178"/>
      <c r="CX4895" s="179"/>
      <c r="CY4895" s="106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106">
        <v>-6.875</v>
      </c>
      <c r="DL4895" s="179"/>
      <c r="DM4895" s="358" t="s">
        <v>216</v>
      </c>
      <c r="DN4895" s="178"/>
      <c r="DO4895" s="375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  <c r="IV4895" s="357"/>
    </row>
    <row r="4896" spans="1:256" x14ac:dyDescent="0.25">
      <c r="A4896" s="127">
        <v>45638</v>
      </c>
      <c r="B4896" s="24" t="s">
        <v>58</v>
      </c>
      <c r="C4896" s="21">
        <f t="shared" si="80"/>
        <v>0</v>
      </c>
    </row>
    <row r="4897" spans="1:233" x14ac:dyDescent="0.25">
      <c r="A4897" s="127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106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80"/>
        <v>-24.62</v>
      </c>
      <c r="BU4899" s="106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80"/>
        <v>-55.104999999999997</v>
      </c>
      <c r="E4900" s="386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80"/>
        <v>-15.97</v>
      </c>
      <c r="BI4901" s="106">
        <v>-7.8449999999999998</v>
      </c>
      <c r="BO4901" s="106">
        <v>-8.125</v>
      </c>
    </row>
    <row r="4902" spans="1:233" x14ac:dyDescent="0.25">
      <c r="A4902" s="127">
        <v>45642</v>
      </c>
      <c r="B4902" s="24" t="s">
        <v>115</v>
      </c>
      <c r="C4902" s="21">
        <f t="shared" si="80"/>
        <v>102.83</v>
      </c>
      <c r="BR4902" s="182">
        <v>33.945</v>
      </c>
      <c r="BX4902" s="182">
        <v>33.33</v>
      </c>
      <c r="CD4902" s="182">
        <v>35.555</v>
      </c>
    </row>
    <row r="4903" spans="1:233" x14ac:dyDescent="0.25">
      <c r="A4903" s="127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106">
        <v>-14.4</v>
      </c>
      <c r="BI4903" s="106">
        <v>-29.87</v>
      </c>
      <c r="BR4903" s="182">
        <v>-16.98</v>
      </c>
      <c r="BX4903" s="182">
        <v>-16.66</v>
      </c>
      <c r="CD4903" s="182">
        <v>-17.87</v>
      </c>
      <c r="CM4903" s="106">
        <v>-31.68</v>
      </c>
      <c r="CS4903" s="74">
        <v>-37.74</v>
      </c>
      <c r="CY4903" s="106">
        <v>-23.86</v>
      </c>
    </row>
    <row r="4904" spans="1:233" x14ac:dyDescent="0.25">
      <c r="A4904" s="127">
        <v>45643</v>
      </c>
      <c r="B4904" s="24" t="s">
        <v>192</v>
      </c>
      <c r="C4904" s="21">
        <f t="shared" si="80"/>
        <v>-8.7550000000000008</v>
      </c>
      <c r="CD4904" s="182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80"/>
        <v>-25.164999999999999</v>
      </c>
      <c r="BR4905" s="182">
        <v>-8.49</v>
      </c>
      <c r="BU4905" s="106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80"/>
        <v>-8.93</v>
      </c>
      <c r="CD4906" s="182">
        <v>-8.93</v>
      </c>
    </row>
    <row r="4907" spans="1:233" x14ac:dyDescent="0.25">
      <c r="A4907" s="127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106">
        <v>-8.0850000000000009</v>
      </c>
      <c r="BI4908" s="106">
        <v>-7.8250000000000002</v>
      </c>
      <c r="BR4908" s="182">
        <v>-8.4749999999999996</v>
      </c>
      <c r="CM4908" s="106">
        <v>-16.43</v>
      </c>
    </row>
    <row r="4909" spans="1:233" x14ac:dyDescent="0.25">
      <c r="A4909" s="127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80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80"/>
        <v>435.245</v>
      </c>
      <c r="BO4912" s="106">
        <v>31.35</v>
      </c>
      <c r="CA4912" s="106">
        <v>66</v>
      </c>
      <c r="CG4912" s="106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81"/>
        <v>-16.559999999999999</v>
      </c>
      <c r="CA4914" s="106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81"/>
        <v>-78.545000000000002</v>
      </c>
      <c r="AN4915" s="106">
        <v>-8.1199999999999992</v>
      </c>
      <c r="AR4915" s="106">
        <v>-8.4499999999999993</v>
      </c>
      <c r="AW4915" s="106">
        <v>-7.94</v>
      </c>
      <c r="BC4915" s="106">
        <v>-5.8</v>
      </c>
      <c r="BI4915" s="106">
        <v>-7.83</v>
      </c>
      <c r="BO4915" s="106">
        <v>-7.14</v>
      </c>
      <c r="BU4915" s="106">
        <v>-8.26</v>
      </c>
      <c r="CA4915" s="106">
        <v>-8.32</v>
      </c>
      <c r="CG4915" s="106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81"/>
        <v>-131.26499999999999</v>
      </c>
      <c r="BC4916" s="106">
        <v>-24.19</v>
      </c>
      <c r="BI4916" s="106">
        <v>-15.94</v>
      </c>
      <c r="BO4916" s="106">
        <v>-15.965</v>
      </c>
      <c r="BX4916" s="182">
        <v>-16.670000000000002</v>
      </c>
      <c r="CA4916" s="106">
        <v>-17.27</v>
      </c>
      <c r="CG4916" s="106">
        <v>-8.4049999999999994</v>
      </c>
      <c r="CM4916" s="106">
        <v>-16.5</v>
      </c>
      <c r="CS4916" s="74">
        <v>-8.24</v>
      </c>
      <c r="CY4916" s="106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81"/>
        <v>-83.965000000000003</v>
      </c>
      <c r="AC4917" s="106">
        <v>-8.6</v>
      </c>
      <c r="BU4917" s="106">
        <v>-16.425000000000001</v>
      </c>
      <c r="CA4917" s="106">
        <v>-17.175000000000001</v>
      </c>
      <c r="CG4917" s="106">
        <v>-16.704999999999998</v>
      </c>
      <c r="CS4917" s="74">
        <v>-16.484999999999999</v>
      </c>
      <c r="CY4917" s="106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106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81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81"/>
        <v>631.94399999999996</v>
      </c>
      <c r="BC4921" s="106">
        <v>100.005</v>
      </c>
      <c r="BO4921" s="106">
        <v>94.86</v>
      </c>
      <c r="BU4921" s="106">
        <v>158.59</v>
      </c>
      <c r="CA4921" s="106">
        <v>117.97499999999999</v>
      </c>
      <c r="CG4921" s="106">
        <v>66.680000000000007</v>
      </c>
      <c r="CM4921" s="106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81"/>
        <v>-713.35500000000002</v>
      </c>
      <c r="AC4923" s="106">
        <v>-17.23</v>
      </c>
      <c r="AR4923" s="106">
        <v>-33.854999999999997</v>
      </c>
      <c r="AW4923" s="106">
        <v>-32.435000000000002</v>
      </c>
      <c r="BC4923" s="106">
        <v>-66.17</v>
      </c>
      <c r="BO4923" s="106">
        <v>-63.62</v>
      </c>
      <c r="BU4923" s="106">
        <v>-94.13</v>
      </c>
      <c r="CA4923" s="106">
        <v>-101.825</v>
      </c>
      <c r="CG4923" s="106">
        <v>-66.680000000000007</v>
      </c>
      <c r="DK4923" s="106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81"/>
        <v>-65.185000000000002</v>
      </c>
      <c r="BU4924" s="106">
        <v>-31.454999999999998</v>
      </c>
      <c r="CG4924" s="106">
        <f>-8.435-8.395</f>
        <v>-16.829999999999998</v>
      </c>
      <c r="CY4924" s="106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81"/>
        <v>-17.004999999999999</v>
      </c>
      <c r="CM4925" s="106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81"/>
        <v>-16.149999999999999</v>
      </c>
      <c r="CA4926" s="106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81"/>
        <v>-24.184999999999999</v>
      </c>
      <c r="AW4927" s="106">
        <v>-8.1850000000000005</v>
      </c>
      <c r="CA4927" s="106">
        <v>-7.585</v>
      </c>
      <c r="CG4927" s="106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81"/>
        <v>-25.094999999999999</v>
      </c>
      <c r="AR4931" s="106">
        <v>-8.4250000000000007</v>
      </c>
      <c r="BC4931" s="106">
        <v>-8.52</v>
      </c>
      <c r="BU4931" s="106">
        <v>-8.15</v>
      </c>
    </row>
    <row r="4932" spans="1:241" x14ac:dyDescent="0.25">
      <c r="A4932" s="127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106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81"/>
        <v>131.94</v>
      </c>
      <c r="BI4934" s="106">
        <v>32.78</v>
      </c>
      <c r="BU4934" s="106">
        <v>32.854999999999997</v>
      </c>
      <c r="CG4934" s="106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81"/>
        <v>-172.32</v>
      </c>
      <c r="Z4935" s="79">
        <v>-8.4</v>
      </c>
      <c r="AC4935" s="106">
        <v>-8.6199999999999992</v>
      </c>
      <c r="AG4935" s="106">
        <v>-8.4</v>
      </c>
      <c r="BC4935" s="106">
        <v>-8.41</v>
      </c>
      <c r="BI4935" s="106">
        <v>-32.78</v>
      </c>
      <c r="BO4935" s="106">
        <v>-31.864999999999998</v>
      </c>
      <c r="BU4935" s="106">
        <v>-32.854999999999997</v>
      </c>
      <c r="CA4935" s="106">
        <v>-7.32</v>
      </c>
      <c r="CG4935" s="106">
        <v>-33.67</v>
      </c>
    </row>
    <row r="4936" spans="1:241" x14ac:dyDescent="0.25">
      <c r="A4936" s="127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81"/>
        <v>-57.38</v>
      </c>
      <c r="AW4939" s="106">
        <v>-15.68</v>
      </c>
      <c r="BO4939" s="106">
        <v>-7.62</v>
      </c>
      <c r="CM4939" s="106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106">
        <v>-8.6150000000000002</v>
      </c>
      <c r="AG4940" s="106">
        <v>-8.4350000000000005</v>
      </c>
      <c r="AN4940" s="106">
        <v>-8.5150000000000006</v>
      </c>
      <c r="AR4940" s="106">
        <v>-8.3800000000000008</v>
      </c>
      <c r="AW4940" s="106">
        <v>-16.215</v>
      </c>
      <c r="BC4940" s="106">
        <v>-8.41</v>
      </c>
      <c r="BU4940" s="106">
        <v>-8.1999999999999993</v>
      </c>
      <c r="CM4940" s="106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81"/>
        <v>182.06</v>
      </c>
      <c r="O4942" s="375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106">
        <v>4.5</v>
      </c>
      <c r="AV4942" s="69">
        <v>21.195</v>
      </c>
      <c r="AZ4942" s="182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375">
        <v>2.9</v>
      </c>
      <c r="CZ4942" s="121">
        <v>1</v>
      </c>
      <c r="DD4942" s="69">
        <v>16.975000000000001</v>
      </c>
      <c r="DL4942" s="121">
        <v>13.85</v>
      </c>
      <c r="DO4942" s="375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81"/>
        <v>-33.729999999999997</v>
      </c>
      <c r="DK4943" s="106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81"/>
        <v>-34.270000000000003</v>
      </c>
      <c r="AR4944" s="106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81"/>
        <v>1059.9849999999999</v>
      </c>
      <c r="P4945" s="106">
        <v>68.004999999999995</v>
      </c>
      <c r="V4945" s="74">
        <v>73.305000000000007</v>
      </c>
      <c r="Z4945" s="79">
        <v>66.02</v>
      </c>
      <c r="AC4945" s="106">
        <v>68.849999999999994</v>
      </c>
      <c r="AG4945" s="106">
        <v>66.989999999999995</v>
      </c>
      <c r="AN4945" s="106">
        <v>68.010000000000005</v>
      </c>
      <c r="BC4945" s="106">
        <v>32.225000000000001</v>
      </c>
      <c r="BI4945" s="106">
        <v>63.43</v>
      </c>
      <c r="CG4945" s="106">
        <v>34.085000000000001</v>
      </c>
      <c r="CM4945" s="106">
        <v>48.594999999999999</v>
      </c>
      <c r="CY4945" s="106">
        <v>176.23500000000001</v>
      </c>
      <c r="DE4945" s="74">
        <v>148.44999999999999</v>
      </c>
      <c r="DK4945" s="106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81"/>
        <v>2067.5810000000001</v>
      </c>
      <c r="AW4946" s="106">
        <v>311.95</v>
      </c>
      <c r="BC4946" s="106">
        <v>179.41</v>
      </c>
      <c r="BI4946" s="106">
        <v>277.52999999999997</v>
      </c>
      <c r="BO4946" s="106">
        <v>128.64500000000001</v>
      </c>
      <c r="CG4946" s="106">
        <v>65.484999999999999</v>
      </c>
      <c r="CM4946" s="106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81"/>
        <v>-67.260000000000005</v>
      </c>
      <c r="BI4947" s="106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81"/>
        <v>-163.93</v>
      </c>
      <c r="BI4948" s="106">
        <v>-65.864999999999995</v>
      </c>
      <c r="CG4948" s="106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106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81"/>
        <v>-62.354999999999997</v>
      </c>
      <c r="BC4950" s="106">
        <v>-7.38</v>
      </c>
      <c r="BI4950" s="106">
        <v>-16.484999999999999</v>
      </c>
      <c r="BO4950" s="106">
        <v>-17.329999999999998</v>
      </c>
      <c r="BZ4950" s="69">
        <v>-5.15</v>
      </c>
      <c r="CG4950" s="106">
        <v>-8.43</v>
      </c>
      <c r="CM4950" s="106">
        <v>-7.58</v>
      </c>
    </row>
    <row r="4951" spans="1:199" x14ac:dyDescent="0.25">
      <c r="A4951" s="127">
        <v>45659</v>
      </c>
      <c r="B4951" s="24" t="s">
        <v>53</v>
      </c>
      <c r="C4951" s="21">
        <f t="shared" si="81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106">
        <v>-33.984999999999999</v>
      </c>
      <c r="AR4951" s="106">
        <v>-33.39</v>
      </c>
      <c r="AW4951" s="106">
        <v>-98.614999999999995</v>
      </c>
      <c r="BC4951" s="106">
        <v>-32.03</v>
      </c>
      <c r="BI4951" s="106">
        <v>-64.27</v>
      </c>
      <c r="BO4951" s="106">
        <v>-65.09</v>
      </c>
      <c r="BY4951" s="42">
        <v>-32.81</v>
      </c>
      <c r="CE4951" s="42">
        <v>-8.98</v>
      </c>
      <c r="CG4951" s="106">
        <f>-32.82-8.005-8.005-8.165</f>
        <v>-56.994999999999997</v>
      </c>
      <c r="CM4951" s="106">
        <v>-33.994999999999997</v>
      </c>
      <c r="CS4951" s="74">
        <v>-66.204999999999998</v>
      </c>
      <c r="CY4951" s="106">
        <v>-32.164999999999999</v>
      </c>
      <c r="DE4951" s="74">
        <v>-33.33</v>
      </c>
      <c r="DK4951" s="106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81"/>
        <v>0.19</v>
      </c>
      <c r="BT4952" s="69">
        <v>-6.45</v>
      </c>
      <c r="BY4952" s="42">
        <v>66.959999999999994</v>
      </c>
      <c r="CS4952" s="74">
        <v>-67.344999999999999</v>
      </c>
      <c r="CY4952" s="106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81"/>
        <v>-80.03</v>
      </c>
      <c r="BC4953" s="106">
        <v>-24.364999999999998</v>
      </c>
      <c r="BI4953" s="106">
        <v>-30.795000000000002</v>
      </c>
      <c r="BN4953" s="69">
        <v>-7.55</v>
      </c>
      <c r="BO4953" s="106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81"/>
        <v>-33.51</v>
      </c>
      <c r="BI4954" s="106">
        <v>-8.2100000000000009</v>
      </c>
      <c r="BO4954" s="106">
        <v>-8.68</v>
      </c>
      <c r="BU4954" s="106">
        <v>-8.4</v>
      </c>
      <c r="CM4954" s="106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81"/>
        <v>-48.545000000000002</v>
      </c>
      <c r="AC4955" s="106">
        <v>-8.625</v>
      </c>
      <c r="AN4955" s="106">
        <v>-8.5050000000000008</v>
      </c>
      <c r="BI4955" s="106">
        <v>-8.23</v>
      </c>
      <c r="BO4955" s="106">
        <v>-6.48</v>
      </c>
      <c r="BU4955" s="106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81"/>
        <v>-8.66</v>
      </c>
      <c r="BU4956" s="106">
        <v>8.26</v>
      </c>
      <c r="CE4956" s="42">
        <v>-8.7200000000000006</v>
      </c>
      <c r="CM4956" s="106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106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81"/>
        <v>-102.92</v>
      </c>
      <c r="AN4961" s="106">
        <v>-8.5</v>
      </c>
      <c r="AR4961" s="106">
        <v>-8.3949999999999996</v>
      </c>
      <c r="AW4961" s="106">
        <v>-8.2550000000000008</v>
      </c>
      <c r="BC4961" s="106">
        <v>-8</v>
      </c>
      <c r="BI4961" s="106">
        <v>-8.19</v>
      </c>
      <c r="BO4961" s="106">
        <v>-16.495000000000001</v>
      </c>
      <c r="BU4961" s="106">
        <v>-8.26</v>
      </c>
      <c r="BY4961" s="42">
        <v>-17.579999999999998</v>
      </c>
      <c r="CE4961" s="42">
        <v>-8.99</v>
      </c>
      <c r="CF4961" s="69">
        <v>-2.1</v>
      </c>
      <c r="CM4961" s="106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81"/>
        <v>-94.93</v>
      </c>
      <c r="BC4962" s="106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81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81"/>
        <v>-26.71</v>
      </c>
      <c r="D4965" s="386">
        <v>-8.3800000000000008</v>
      </c>
      <c r="E4965" s="386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81"/>
        <v>-33.64</v>
      </c>
      <c r="AW4966" s="106">
        <v>-8.0649999999999995</v>
      </c>
      <c r="BC4966" s="106">
        <v>-8.44</v>
      </c>
      <c r="BI4966" s="106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81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81"/>
        <v>781.78499999999997</v>
      </c>
      <c r="BI4970" s="106">
        <v>31.65</v>
      </c>
      <c r="BO4970" s="106">
        <v>97.2</v>
      </c>
      <c r="BU4970" s="106">
        <v>136.56</v>
      </c>
      <c r="CA4970" s="106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81"/>
        <v>-141.02000000000001</v>
      </c>
      <c r="AC4971" s="106">
        <v>-8.5749999999999993</v>
      </c>
      <c r="AG4971" s="106">
        <v>-8.5749999999999993</v>
      </c>
      <c r="AN4971" s="106">
        <v>-8.5150000000000006</v>
      </c>
      <c r="AR4971" s="106">
        <v>-8.4849999999999994</v>
      </c>
      <c r="AW4971" s="106">
        <v>-8.17</v>
      </c>
      <c r="BC4971" s="106">
        <v>-15.89</v>
      </c>
      <c r="BI4971" s="106">
        <v>-16.27</v>
      </c>
      <c r="BO4971" s="106">
        <v>-16.035</v>
      </c>
      <c r="BU4971" s="106">
        <v>-8.64</v>
      </c>
      <c r="CA4971" s="106">
        <v>-17.100000000000001</v>
      </c>
      <c r="CG4971" s="106">
        <v>-16.524999999999999</v>
      </c>
      <c r="CM4971" s="106">
        <v>-8.24</v>
      </c>
    </row>
    <row r="4972" spans="1:221" x14ac:dyDescent="0.25">
      <c r="A4972" s="127">
        <v>45671</v>
      </c>
      <c r="B4972" s="24" t="s">
        <v>20</v>
      </c>
      <c r="C4972" s="21">
        <f t="shared" si="81"/>
        <v>-25.13</v>
      </c>
      <c r="BC4972" s="106">
        <v>-8.08</v>
      </c>
      <c r="BU4972" s="106">
        <v>-8.6950000000000003</v>
      </c>
      <c r="CG4972" s="106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81"/>
        <v>-34.155000000000001</v>
      </c>
      <c r="BU4973" s="106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27">
        <v>45672</v>
      </c>
      <c r="B4975" s="24" t="s">
        <v>133</v>
      </c>
      <c r="C4975" s="21">
        <f t="shared" si="81"/>
        <v>-167.1</v>
      </c>
      <c r="AR4975" s="106">
        <v>-33.555</v>
      </c>
      <c r="BI4975" s="106">
        <v>-32.854999999999997</v>
      </c>
      <c r="BU4975" s="106">
        <v>-17.3</v>
      </c>
      <c r="CA4975" s="106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81"/>
        <v>-82.915000000000006</v>
      </c>
      <c r="AN4976" s="106">
        <v>-7.9550000000000001</v>
      </c>
      <c r="AR4976" s="106">
        <v>-8.4649999999999999</v>
      </c>
      <c r="BI4976" s="106">
        <v>-15.565</v>
      </c>
      <c r="BU4976" s="106">
        <v>-16.79</v>
      </c>
      <c r="CA4976" s="106">
        <v>-17.09</v>
      </c>
      <c r="CM4976" s="106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82"/>
        <v>-8.5299999999999994</v>
      </c>
      <c r="CA4978" s="106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82"/>
        <v>-43.034999999999997</v>
      </c>
      <c r="CY4979" s="106">
        <v>-8.4649999999999999</v>
      </c>
      <c r="DE4979" s="74">
        <v>-8.39</v>
      </c>
      <c r="DK4979" s="106">
        <v>-26.18</v>
      </c>
    </row>
    <row r="4980" spans="1:199" x14ac:dyDescent="0.25">
      <c r="A4980" s="127">
        <v>45673</v>
      </c>
      <c r="B4980" s="24" t="s">
        <v>184</v>
      </c>
      <c r="C4980" s="21">
        <f t="shared" si="82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82"/>
        <v>-32.244999999999997</v>
      </c>
      <c r="AC4981" s="106">
        <v>-8.6050000000000004</v>
      </c>
      <c r="BC4981" s="106">
        <v>-7.7</v>
      </c>
      <c r="BI4981" s="106">
        <v>-8.0399999999999991</v>
      </c>
      <c r="BO4981" s="106">
        <v>-7.9</v>
      </c>
    </row>
    <row r="4982" spans="1:199" x14ac:dyDescent="0.25">
      <c r="A4982" s="127">
        <v>45674</v>
      </c>
      <c r="B4982" s="24" t="s">
        <v>20</v>
      </c>
      <c r="C4982" s="21">
        <f t="shared" si="82"/>
        <v>-8.5549999999999997</v>
      </c>
      <c r="CA4982" s="106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106">
        <v>-8.14</v>
      </c>
      <c r="AR4983" s="106">
        <v>-8.4250000000000007</v>
      </c>
      <c r="AW4983" s="106">
        <v>-8.08</v>
      </c>
      <c r="BC4983" s="106">
        <v>-16.899999999999999</v>
      </c>
      <c r="BI4983" s="106">
        <v>-8.0449999999999999</v>
      </c>
      <c r="BO4983" s="106">
        <v>-16.059999999999999</v>
      </c>
      <c r="BU4983" s="106">
        <v>-8.15</v>
      </c>
      <c r="CA4983" s="106">
        <v>-17.12</v>
      </c>
      <c r="CG4983" s="106">
        <v>-8.33</v>
      </c>
      <c r="CM4983" s="106">
        <v>-16.96</v>
      </c>
      <c r="CY4983" s="106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82"/>
        <v>-91.295000000000002</v>
      </c>
      <c r="BI4984" s="106">
        <v>-16.405000000000001</v>
      </c>
      <c r="CA4984" s="106">
        <v>-8.5549999999999997</v>
      </c>
      <c r="CG4984" s="106">
        <v>-16.465</v>
      </c>
      <c r="CM4984" s="106">
        <v>-17.03</v>
      </c>
      <c r="CY4984" s="106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106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82"/>
        <v>-141.08000000000001</v>
      </c>
      <c r="BI4986" s="106">
        <v>-24.344999999999999</v>
      </c>
      <c r="BO4986" s="106">
        <v>-57.204999999999998</v>
      </c>
      <c r="BU4986" s="106">
        <v>-34.045000000000002</v>
      </c>
      <c r="CM4986" s="106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82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82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82"/>
        <v>-12.85</v>
      </c>
      <c r="O4993" s="375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82"/>
        <v>-65.834999999999994</v>
      </c>
      <c r="AW4994" s="106">
        <v>-16.43</v>
      </c>
      <c r="CS4994" s="74">
        <v>-25.184999999999999</v>
      </c>
      <c r="CY4994" s="106">
        <v>-24.22</v>
      </c>
    </row>
    <row r="4995" spans="1:216" x14ac:dyDescent="0.25">
      <c r="A4995" s="127">
        <v>45680</v>
      </c>
      <c r="B4995" s="24" t="s">
        <v>152</v>
      </c>
      <c r="C4995" s="21">
        <f t="shared" si="82"/>
        <v>-361.09500000000003</v>
      </c>
      <c r="BC4995" s="106">
        <v>-66.150000000000006</v>
      </c>
      <c r="CS4995" s="74">
        <v>-66.765000000000001</v>
      </c>
      <c r="CY4995" s="106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82"/>
        <v>-25.414999999999999</v>
      </c>
      <c r="CM4996" s="106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82"/>
        <v>658.04499999999996</v>
      </c>
      <c r="BI4997" s="106">
        <v>28.18</v>
      </c>
      <c r="BO4997" s="106">
        <v>65.795000000000002</v>
      </c>
      <c r="BU4997" s="106">
        <v>137.99</v>
      </c>
      <c r="CA4997" s="106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82"/>
        <v>199.38499999999999</v>
      </c>
      <c r="BI4998" s="106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82"/>
        <v>-16.045000000000002</v>
      </c>
      <c r="BI4999" s="106">
        <v>-8.0649999999999995</v>
      </c>
      <c r="BO4999" s="106">
        <v>-7.98</v>
      </c>
    </row>
    <row r="5000" spans="1:216" x14ac:dyDescent="0.25">
      <c r="A5000" s="127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82"/>
        <v>-7.41</v>
      </c>
      <c r="BI5002" s="106">
        <v>-7.41</v>
      </c>
    </row>
    <row r="5003" spans="1:216" x14ac:dyDescent="0.25">
      <c r="A5003" s="127">
        <v>45685</v>
      </c>
      <c r="B5003" s="24" t="s">
        <v>79</v>
      </c>
      <c r="C5003" s="21">
        <f t="shared" si="82"/>
        <v>-7.97</v>
      </c>
      <c r="BO5003" s="106">
        <v>-7.97</v>
      </c>
    </row>
    <row r="5004" spans="1:216" x14ac:dyDescent="0.25">
      <c r="A5004" s="127">
        <v>45685</v>
      </c>
      <c r="B5004" s="24" t="s">
        <v>188</v>
      </c>
      <c r="C5004" s="21">
        <f t="shared" si="82"/>
        <v>-7.8449999999999998</v>
      </c>
      <c r="BI5004" s="106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82"/>
        <v>-41.34</v>
      </c>
      <c r="AC5005" s="106">
        <v>-8.61</v>
      </c>
      <c r="AG5005" s="106">
        <v>-8.57</v>
      </c>
      <c r="AN5005" s="106">
        <v>-8.1349999999999998</v>
      </c>
      <c r="AW5005" s="106">
        <v>-8.19</v>
      </c>
      <c r="BI5005" s="106">
        <v>-7.835</v>
      </c>
    </row>
    <row r="5006" spans="1:216" x14ac:dyDescent="0.25">
      <c r="A5006" s="127">
        <v>45685</v>
      </c>
      <c r="B5006" s="24" t="s">
        <v>180</v>
      </c>
      <c r="C5006" s="21">
        <f t="shared" si="82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82"/>
        <v>-8.1199999999999992</v>
      </c>
      <c r="BI5007" s="106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82"/>
        <v>-162.41499999999999</v>
      </c>
      <c r="DK5008" s="106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82"/>
        <v>-164.095</v>
      </c>
      <c r="AW5010" s="106">
        <v>-8.3550000000000004</v>
      </c>
      <c r="BI5010" s="106">
        <v>-31.074999999999999</v>
      </c>
      <c r="BO5010" s="106">
        <v>-25.315000000000001</v>
      </c>
      <c r="BU5010" s="106">
        <v>-33.07</v>
      </c>
      <c r="CA5010" s="106">
        <v>-32.405000000000001</v>
      </c>
      <c r="CM5010" s="106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82"/>
        <v>-86.39</v>
      </c>
      <c r="AN5011" s="106">
        <v>-34.024999999999999</v>
      </c>
      <c r="BU5011" s="106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82"/>
        <v>-31.855</v>
      </c>
      <c r="CA5012" s="106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82"/>
        <v>-99.224999999999994</v>
      </c>
      <c r="BC5013" s="106">
        <v>-16.614999999999998</v>
      </c>
      <c r="BU5013" s="106">
        <v>-17.324999999999999</v>
      </c>
      <c r="CG5013" s="106">
        <v>-25.355</v>
      </c>
      <c r="DA5013" s="126">
        <v>-9.23</v>
      </c>
      <c r="DD5013" s="69">
        <v>-5.8</v>
      </c>
      <c r="DK5013" s="106">
        <v>-24.9</v>
      </c>
    </row>
    <row r="5014" spans="1:230" x14ac:dyDescent="0.25">
      <c r="A5014" s="127">
        <v>45686</v>
      </c>
      <c r="B5014" s="24" t="s">
        <v>115</v>
      </c>
      <c r="C5014" s="21">
        <f t="shared" si="82"/>
        <v>106.82</v>
      </c>
      <c r="E5014" s="386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82"/>
        <v>-64.12</v>
      </c>
      <c r="CA5015" s="106">
        <v>-31.66</v>
      </c>
      <c r="CM5015" s="106">
        <v>-32.46</v>
      </c>
    </row>
    <row r="5016" spans="1:230" x14ac:dyDescent="0.25">
      <c r="A5016" s="127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82"/>
        <v>-69.545000000000002</v>
      </c>
      <c r="E5017" s="386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82"/>
        <v>-36.42</v>
      </c>
      <c r="D5018" s="386">
        <v>-8.35</v>
      </c>
      <c r="E5018" s="386">
        <v>-28.07</v>
      </c>
    </row>
    <row r="5019" spans="1:230" x14ac:dyDescent="0.25">
      <c r="A5019" s="127">
        <v>45687</v>
      </c>
      <c r="B5019" s="24" t="s">
        <v>20</v>
      </c>
      <c r="C5019" s="21">
        <f t="shared" si="82"/>
        <v>-16.145</v>
      </c>
      <c r="AW5019" s="106">
        <v>-8.1999999999999993</v>
      </c>
      <c r="BI5019" s="106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82"/>
        <v>-7</v>
      </c>
      <c r="BI5020" s="106">
        <v>-7</v>
      </c>
    </row>
    <row r="5021" spans="1:230" x14ac:dyDescent="0.25">
      <c r="A5021" s="127">
        <v>45688</v>
      </c>
      <c r="B5021" s="24" t="s">
        <v>192</v>
      </c>
      <c r="C5021" s="21">
        <f t="shared" si="82"/>
        <v>-8.1549999999999994</v>
      </c>
      <c r="CA5021" s="106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82"/>
        <v>-129.66499999999999</v>
      </c>
      <c r="BI5022" s="106">
        <v>-21.85</v>
      </c>
      <c r="BO5022" s="106">
        <v>-25.97</v>
      </c>
      <c r="BU5022" s="106">
        <v>-24.954999999999998</v>
      </c>
      <c r="CA5022" s="106">
        <v>-14.89</v>
      </c>
      <c r="CG5022" s="106">
        <v>-24.92</v>
      </c>
      <c r="CM5022" s="106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82"/>
        <v>-47.87</v>
      </c>
      <c r="AC5024" s="106">
        <v>-17.215</v>
      </c>
      <c r="CA5024" s="106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82"/>
        <v>-7.7450000000000001</v>
      </c>
      <c r="AC5025" s="106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82"/>
        <v>-23.805</v>
      </c>
      <c r="AC5026" s="106">
        <v>-8.58</v>
      </c>
      <c r="AN5026" s="106">
        <v>-8.1750000000000007</v>
      </c>
      <c r="AR5026" s="106">
        <v>-7.05</v>
      </c>
    </row>
    <row r="5027" spans="1:231" x14ac:dyDescent="0.25">
      <c r="A5027" s="127">
        <v>45688</v>
      </c>
      <c r="B5027" s="24" t="s">
        <v>113</v>
      </c>
      <c r="C5027" s="21">
        <f t="shared" si="82"/>
        <v>902.55499999999995</v>
      </c>
      <c r="BI5027" s="106">
        <v>149.55000000000001</v>
      </c>
      <c r="BO5027" s="106">
        <v>103.4</v>
      </c>
      <c r="BU5027" s="106">
        <v>101.13500000000001</v>
      </c>
      <c r="CA5027" s="106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82"/>
        <v>-15.455</v>
      </c>
      <c r="BO5028" s="106">
        <v>-8.4450000000000003</v>
      </c>
      <c r="BU5028" s="106">
        <v>-7.01</v>
      </c>
    </row>
    <row r="5029" spans="1:231" x14ac:dyDescent="0.25">
      <c r="A5029" s="127">
        <v>45691</v>
      </c>
      <c r="B5029" s="24" t="s">
        <v>212</v>
      </c>
      <c r="C5029" s="21">
        <f t="shared" si="82"/>
        <v>-8.5749999999999993</v>
      </c>
      <c r="CA5029" s="106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106">
        <v>-17.145</v>
      </c>
      <c r="AG5030" s="106">
        <v>-16.975000000000001</v>
      </c>
      <c r="AW5030" s="106">
        <v>-32.770000000000003</v>
      </c>
      <c r="BI5030" s="106">
        <v>-32.42</v>
      </c>
      <c r="BO5030" s="106">
        <v>-34.94</v>
      </c>
      <c r="CG5030" s="106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82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82"/>
        <v>-40.03</v>
      </c>
      <c r="CA5033" s="106">
        <v>-31.03</v>
      </c>
      <c r="CG5033" s="106">
        <v>-9</v>
      </c>
    </row>
    <row r="5034" spans="1:231" x14ac:dyDescent="0.25">
      <c r="A5034" s="127">
        <v>45693</v>
      </c>
      <c r="B5034" s="24" t="s">
        <v>20</v>
      </c>
      <c r="C5034" s="21">
        <f t="shared" si="82"/>
        <v>0</v>
      </c>
    </row>
    <row r="5035" spans="1:231" x14ac:dyDescent="0.25">
      <c r="A5035" s="127">
        <v>45693</v>
      </c>
      <c r="B5035" s="24" t="s">
        <v>212</v>
      </c>
      <c r="C5035" s="21">
        <f t="shared" si="82"/>
        <v>-225.61500000000001</v>
      </c>
      <c r="AN5035" s="106">
        <v>-8.7550000000000008</v>
      </c>
      <c r="AW5035" s="106">
        <v>-15.975</v>
      </c>
      <c r="BI5035" s="106">
        <v>-35.869999999999997</v>
      </c>
      <c r="BO5035" s="106">
        <v>-34.045000000000002</v>
      </c>
      <c r="BU5035" s="106">
        <v>-28.91</v>
      </c>
      <c r="CA5035" s="106">
        <v>-34.055</v>
      </c>
      <c r="CG5035" s="106">
        <v>-33.119999999999997</v>
      </c>
      <c r="CM5035" s="106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82"/>
        <v>-15.285</v>
      </c>
      <c r="AJ5036" s="163">
        <v>-3</v>
      </c>
      <c r="BI5036" s="106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82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82"/>
        <v>-46.704999999999998</v>
      </c>
      <c r="BI5038" s="106">
        <f>-8.13-7.225-7.095</f>
        <v>-22.45</v>
      </c>
      <c r="CG5038" s="106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82"/>
        <v>-110.315</v>
      </c>
      <c r="P5040" s="106">
        <v>-8.4649999999999999</v>
      </c>
      <c r="AC5040" s="106">
        <v>-8.6050000000000004</v>
      </c>
      <c r="AW5040" s="106">
        <v>-8.1150000000000002</v>
      </c>
      <c r="BI5040" s="106">
        <v>-14.935</v>
      </c>
      <c r="BU5040" s="106">
        <v>-14.73</v>
      </c>
      <c r="CA5040" s="106">
        <v>-14.93</v>
      </c>
      <c r="CG5040" s="106">
        <v>-8.7100000000000009</v>
      </c>
      <c r="CM5040" s="106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83">SUM(D5041:JT5041)</f>
        <v>-16.600000000000001</v>
      </c>
      <c r="BO5041" s="106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83"/>
        <v>-9.27</v>
      </c>
      <c r="BU5042" s="106">
        <v>-9.27</v>
      </c>
    </row>
    <row r="5043" spans="1:216" x14ac:dyDescent="0.25">
      <c r="A5043" s="127">
        <v>45695</v>
      </c>
      <c r="B5043" s="24" t="s">
        <v>127</v>
      </c>
      <c r="C5043" s="21">
        <f t="shared" si="83"/>
        <v>-15.494999999999999</v>
      </c>
      <c r="BI5043" s="106">
        <v>-7.5650000000000004</v>
      </c>
      <c r="BO5043" s="106">
        <v>-7.93</v>
      </c>
    </row>
    <row r="5044" spans="1:216" x14ac:dyDescent="0.25">
      <c r="A5044" s="127">
        <v>45695</v>
      </c>
      <c r="B5044" s="24" t="s">
        <v>20</v>
      </c>
      <c r="C5044" s="21">
        <f t="shared" si="83"/>
        <v>-31.08</v>
      </c>
      <c r="AC5044" s="106">
        <v>-8.5649999999999995</v>
      </c>
      <c r="BI5044" s="106">
        <v>-7.2350000000000003</v>
      </c>
      <c r="BU5044" s="106">
        <v>-7.0549999999999997</v>
      </c>
      <c r="CA5044" s="106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83"/>
        <v>-16.785</v>
      </c>
      <c r="AR5045" s="106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83"/>
        <v>758.6</v>
      </c>
      <c r="BC5046" s="106">
        <v>67.95</v>
      </c>
      <c r="BI5046" s="106">
        <v>62.805</v>
      </c>
      <c r="BO5046" s="106">
        <v>97.49</v>
      </c>
      <c r="BU5046" s="106">
        <v>120.605</v>
      </c>
      <c r="CY5046" s="106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106">
        <v>-33.68</v>
      </c>
      <c r="AW5048" s="106">
        <v>-65.25</v>
      </c>
      <c r="BI5048" s="106">
        <v>-31.055</v>
      </c>
      <c r="BU5048" s="106">
        <v>-59.784999999999997</v>
      </c>
      <c r="CG5048" s="106">
        <v>-68.055000000000007</v>
      </c>
      <c r="CY5048" s="106">
        <v>-32.015000000000001</v>
      </c>
      <c r="DE5048" s="74">
        <v>-32.659999999999997</v>
      </c>
      <c r="DK5048" s="106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83"/>
        <v>-16.504999999999999</v>
      </c>
      <c r="BC5050" s="106">
        <v>-8.3699999999999992</v>
      </c>
      <c r="BO5050" s="106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83"/>
        <v>-15.865</v>
      </c>
      <c r="AW5051" s="106">
        <v>-8.16</v>
      </c>
      <c r="BU5051" s="106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83"/>
        <v>-24.84</v>
      </c>
      <c r="BC5052" s="106">
        <v>-8.7200000000000006</v>
      </c>
      <c r="BU5052" s="106">
        <v>-8.0150000000000006</v>
      </c>
      <c r="CA5052" s="106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106">
        <v>-8.3949999999999996</v>
      </c>
      <c r="BO5053" s="106">
        <v>-8.2100000000000009</v>
      </c>
      <c r="BU5053" s="106">
        <v>-7.54</v>
      </c>
    </row>
    <row r="5054" spans="1:216" x14ac:dyDescent="0.25">
      <c r="A5054" s="127">
        <v>45699</v>
      </c>
      <c r="B5054" s="24" t="s">
        <v>17</v>
      </c>
      <c r="C5054" s="21">
        <f t="shared" si="83"/>
        <v>-32.024999999999999</v>
      </c>
      <c r="BC5054" s="106">
        <v>-9.0150000000000006</v>
      </c>
      <c r="BI5054" s="106">
        <v>-7.85</v>
      </c>
      <c r="BO5054" s="106">
        <v>-7.98</v>
      </c>
      <c r="BU5054" s="106">
        <v>-7.18</v>
      </c>
    </row>
    <row r="5055" spans="1:216" x14ac:dyDescent="0.25">
      <c r="A5055" s="127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83"/>
        <v>-16.805</v>
      </c>
      <c r="BO5056" s="106">
        <v>-8.23</v>
      </c>
      <c r="BU5056" s="106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83"/>
        <v>-74.52</v>
      </c>
      <c r="AN5057" s="106">
        <v>-8.7799999999999994</v>
      </c>
      <c r="AR5057" s="106">
        <v>-8.44</v>
      </c>
      <c r="AW5057" s="106">
        <v>-8.1549999999999994</v>
      </c>
      <c r="BC5057" s="106">
        <v>-25.074999999999999</v>
      </c>
      <c r="CG5057" s="106">
        <v>-8.67</v>
      </c>
      <c r="CM5057" s="106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83"/>
        <v>-9.2050000000000001</v>
      </c>
      <c r="E5058" s="386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83"/>
        <v>-82.805000000000007</v>
      </c>
      <c r="BO5059" s="106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83"/>
        <v>-23.42</v>
      </c>
      <c r="AN5060" s="106">
        <v>-8.7650000000000006</v>
      </c>
      <c r="BU5060" s="106">
        <v>-14.945</v>
      </c>
      <c r="CA5060" s="106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83"/>
        <v>-16.135000000000002</v>
      </c>
      <c r="CY5061" s="106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83"/>
        <v>-16.13</v>
      </c>
      <c r="CY5062" s="106">
        <v>-16.13</v>
      </c>
    </row>
    <row r="5063" spans="1:233" x14ac:dyDescent="0.25">
      <c r="A5063" s="127">
        <v>45702</v>
      </c>
      <c r="B5063" s="24" t="s">
        <v>25</v>
      </c>
      <c r="C5063" s="21">
        <f t="shared" si="83"/>
        <v>-8.375</v>
      </c>
      <c r="BC5063" s="106">
        <v>-8.375</v>
      </c>
    </row>
    <row r="5064" spans="1:233" x14ac:dyDescent="0.25">
      <c r="A5064" s="127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83"/>
        <v>-55.295000000000002</v>
      </c>
      <c r="BI5066" s="106">
        <v>-15.88</v>
      </c>
      <c r="BO5066" s="106">
        <v>-15.51</v>
      </c>
      <c r="BU5066" s="106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83"/>
        <v>-79.569999999999993</v>
      </c>
      <c r="BU5069" s="106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83"/>
        <v>-197.875</v>
      </c>
      <c r="V5071" s="74">
        <v>-29.83</v>
      </c>
      <c r="AC5071" s="106">
        <v>-31.94</v>
      </c>
      <c r="AN5071" s="106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83"/>
        <v>-17.04</v>
      </c>
      <c r="BI5072" s="106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83"/>
        <v>-8.6050000000000004</v>
      </c>
      <c r="AC5073" s="106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83"/>
        <v>-17.149999999999999</v>
      </c>
      <c r="BU5074" s="106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83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83"/>
        <v>744.62</v>
      </c>
      <c r="BC5076" s="106">
        <v>33.534999999999997</v>
      </c>
      <c r="CA5076" s="106">
        <v>73.075000000000003</v>
      </c>
      <c r="CG5076" s="106">
        <v>102.965</v>
      </c>
      <c r="CM5076" s="106">
        <v>34.594999999999999</v>
      </c>
      <c r="CS5076" s="74">
        <v>47.994999999999997</v>
      </c>
      <c r="DK5076" s="106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83"/>
        <v>162.80000000000001</v>
      </c>
      <c r="BC5077" s="106">
        <v>32</v>
      </c>
      <c r="BI5077" s="106">
        <v>33.49</v>
      </c>
      <c r="BO5077" s="106">
        <v>49.07</v>
      </c>
      <c r="BU5077" s="106">
        <v>48.24</v>
      </c>
    </row>
    <row r="5078" spans="1:242" x14ac:dyDescent="0.25">
      <c r="A5078" s="127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83"/>
        <v>-78.644999999999996</v>
      </c>
      <c r="BC5079" s="106">
        <v>-15.99</v>
      </c>
      <c r="BO5079" s="106">
        <v>-16.29</v>
      </c>
      <c r="BU5079" s="106">
        <v>-13.785</v>
      </c>
      <c r="CA5079" s="106">
        <v>-15.395</v>
      </c>
      <c r="CG5079" s="106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83"/>
        <v>-5.0000000000000001E-3</v>
      </c>
      <c r="AW5080" s="106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83"/>
        <v>-32.68</v>
      </c>
      <c r="CA5081" s="106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83"/>
        <v>-33.534999999999997</v>
      </c>
      <c r="BC5082" s="106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83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83"/>
        <v>-16.010000000000002</v>
      </c>
      <c r="BC5085" s="106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83"/>
        <v>-16.405000000000001</v>
      </c>
      <c r="AW5086" s="106">
        <v>-8.2149999999999999</v>
      </c>
      <c r="BO5086" s="106">
        <v>-8.19</v>
      </c>
    </row>
    <row r="5087" spans="1:242" x14ac:dyDescent="0.25">
      <c r="A5087" s="127">
        <v>45709</v>
      </c>
      <c r="B5087" s="24" t="s">
        <v>137</v>
      </c>
      <c r="C5087" s="21">
        <f t="shared" si="83"/>
        <v>-24.125</v>
      </c>
      <c r="AW5087" s="106">
        <v>-8.16</v>
      </c>
      <c r="BO5087" s="106">
        <v>-8.2349999999999994</v>
      </c>
      <c r="CA5087" s="106">
        <v>-7.73</v>
      </c>
    </row>
    <row r="5088" spans="1:242" x14ac:dyDescent="0.25">
      <c r="A5088" s="127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83"/>
        <v>-16.07</v>
      </c>
      <c r="AV5089" s="69">
        <v>-4.5</v>
      </c>
      <c r="AW5089" s="106">
        <f>-2.58-2.6</f>
        <v>-5.18</v>
      </c>
      <c r="AZ5089" s="182">
        <v>-6.39</v>
      </c>
    </row>
    <row r="5090" spans="1:131" x14ac:dyDescent="0.25">
      <c r="A5090" s="127">
        <v>45709</v>
      </c>
      <c r="B5090" s="24" t="s">
        <v>218</v>
      </c>
      <c r="C5090" s="21">
        <f t="shared" si="83"/>
        <v>-32.465000000000003</v>
      </c>
      <c r="AR5090" s="106">
        <v>-8.3699999999999992</v>
      </c>
      <c r="AW5090" s="106">
        <f>-8.22-8.195</f>
        <v>-16.414999999999999</v>
      </c>
      <c r="CA5090" s="106">
        <v>-7.68</v>
      </c>
    </row>
    <row r="5091" spans="1:131" x14ac:dyDescent="0.25">
      <c r="A5091" s="127">
        <v>45712</v>
      </c>
      <c r="B5091" s="24" t="s">
        <v>115</v>
      </c>
      <c r="C5091" s="21">
        <f t="shared" si="83"/>
        <v>64.81</v>
      </c>
      <c r="E5091" s="386">
        <v>64.81</v>
      </c>
    </row>
    <row r="5092" spans="1:131" x14ac:dyDescent="0.25">
      <c r="A5092" s="127">
        <v>45713</v>
      </c>
      <c r="B5092" s="24" t="s">
        <v>79</v>
      </c>
      <c r="C5092" s="21">
        <f t="shared" si="83"/>
        <v>-17.079999999999998</v>
      </c>
      <c r="BO5092" s="106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83"/>
        <v>-8.08</v>
      </c>
      <c r="BO5093" s="106">
        <v>-8.08</v>
      </c>
    </row>
    <row r="5094" spans="1:131" x14ac:dyDescent="0.25">
      <c r="A5094" s="127">
        <v>45713</v>
      </c>
      <c r="B5094" s="24" t="s">
        <v>139</v>
      </c>
      <c r="C5094" s="21">
        <f t="shared" si="83"/>
        <v>-50.354999999999997</v>
      </c>
      <c r="AN5094" s="106">
        <v>-8.7750000000000004</v>
      </c>
      <c r="BU5094" s="106">
        <v>-8.4049999999999994</v>
      </c>
      <c r="CA5094" s="106">
        <v>-7.8</v>
      </c>
      <c r="CG5094" s="106">
        <v>-8.77</v>
      </c>
      <c r="CM5094" s="106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83"/>
        <v>-31.24</v>
      </c>
      <c r="E5095" s="386">
        <v>-31.24</v>
      </c>
    </row>
    <row r="5096" spans="1:131" x14ac:dyDescent="0.25">
      <c r="A5096" s="127">
        <v>45714</v>
      </c>
      <c r="B5096" s="24" t="s">
        <v>33</v>
      </c>
      <c r="C5096" s="21">
        <f t="shared" si="83"/>
        <v>-7.62</v>
      </c>
      <c r="BO5096" s="106">
        <v>-7.62</v>
      </c>
    </row>
    <row r="5097" spans="1:131" x14ac:dyDescent="0.25">
      <c r="A5097" s="127">
        <v>45714</v>
      </c>
      <c r="B5097" s="24" t="s">
        <v>213</v>
      </c>
      <c r="C5097" s="21">
        <f t="shared" si="83"/>
        <v>-8.3849999999999998</v>
      </c>
      <c r="BI5097" s="106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83"/>
        <v>-23.184999999999999</v>
      </c>
      <c r="CA5098" s="106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83"/>
        <v>68.400000000000006</v>
      </c>
      <c r="AN5099" s="106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83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83"/>
        <v>-133.82</v>
      </c>
      <c r="AN5101" s="106">
        <v>-8.42</v>
      </c>
      <c r="AR5101" s="106">
        <v>-8.4149999999999991</v>
      </c>
      <c r="AW5101" s="106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106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4">SUM(D5105:JT5105)</f>
        <v>-67.165000000000006</v>
      </c>
      <c r="DK5105" s="106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4"/>
        <v>-16.725000000000001</v>
      </c>
      <c r="D5106" s="386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4"/>
        <v>-49.74</v>
      </c>
      <c r="AW5108" s="106">
        <v>-8.16</v>
      </c>
      <c r="BI5108" s="106">
        <v>-8.36</v>
      </c>
      <c r="BO5108" s="106">
        <v>-8.1850000000000005</v>
      </c>
      <c r="CG5108" s="106">
        <v>-7.73</v>
      </c>
      <c r="CM5108" s="106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27">
        <v>45721</v>
      </c>
      <c r="B5112" s="24" t="s">
        <v>146</v>
      </c>
      <c r="C5112" s="21">
        <f t="shared" si="84"/>
        <v>404.91</v>
      </c>
      <c r="BM5112" s="88">
        <v>100.43</v>
      </c>
      <c r="CR5112" s="375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4"/>
        <v>-41.994999999999997</v>
      </c>
      <c r="Z5113" s="79">
        <v>-8.2949999999999999</v>
      </c>
      <c r="AN5113" s="106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4"/>
        <v>-16.77</v>
      </c>
      <c r="AN5114" s="106">
        <v>-8.52</v>
      </c>
      <c r="AR5114" s="106">
        <v>-8.25</v>
      </c>
    </row>
    <row r="5115" spans="1:237" x14ac:dyDescent="0.25">
      <c r="A5115" s="127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4"/>
        <v>-115.485</v>
      </c>
      <c r="BB5117" s="69">
        <v>-8.5350000000000001</v>
      </c>
      <c r="BO5117" s="106">
        <v>-8.4049999999999994</v>
      </c>
      <c r="BU5117" s="106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4"/>
        <v>-8.59</v>
      </c>
      <c r="BU5119" s="106">
        <v>-8.59</v>
      </c>
    </row>
    <row r="5120" spans="1:237" x14ac:dyDescent="0.25">
      <c r="A5120" s="127">
        <v>45722</v>
      </c>
      <c r="B5120" s="24" t="s">
        <v>188</v>
      </c>
      <c r="C5120" s="21">
        <f t="shared" si="84"/>
        <v>-17.170000000000002</v>
      </c>
      <c r="CR5120" s="375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4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4"/>
        <v>693.26499999999999</v>
      </c>
      <c r="CA5124" s="106">
        <v>117.285</v>
      </c>
      <c r="CM5124" s="106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4"/>
        <v>-16.86</v>
      </c>
      <c r="BB5125" s="69">
        <v>-8.48</v>
      </c>
      <c r="BI5125" s="106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4"/>
        <v>-196.89500000000001</v>
      </c>
      <c r="AN5127" s="106">
        <v>-17.22</v>
      </c>
      <c r="BB5127" s="69">
        <v>-34.14</v>
      </c>
      <c r="CA5127" s="106">
        <v>-29.055</v>
      </c>
      <c r="CF5127" s="69">
        <v>-33.64</v>
      </c>
      <c r="CM5127" s="106">
        <v>-31.024999999999999</v>
      </c>
      <c r="CR5127" s="375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4"/>
        <v>-89.314999999999998</v>
      </c>
      <c r="AR5128" s="106">
        <v>-8.3450000000000006</v>
      </c>
      <c r="AW5128" s="106">
        <v>-8.0950000000000006</v>
      </c>
      <c r="BU5128" s="106">
        <v>-15.795</v>
      </c>
      <c r="CA5128" s="106">
        <v>-7.54</v>
      </c>
      <c r="CG5128" s="106">
        <v>-18.585000000000001</v>
      </c>
      <c r="CM5128" s="106">
        <v>-14.43</v>
      </c>
      <c r="CR5128" s="375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106">
        <v>-7.89</v>
      </c>
    </row>
    <row r="5132" spans="1:199" x14ac:dyDescent="0.25">
      <c r="A5132" s="127">
        <v>45727</v>
      </c>
      <c r="B5132" s="24" t="s">
        <v>24</v>
      </c>
      <c r="C5132" s="21">
        <f t="shared" si="84"/>
        <v>-16.785</v>
      </c>
      <c r="BH5132" s="69">
        <v>-8.42</v>
      </c>
      <c r="BI5132" s="106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106">
        <v>-14.715</v>
      </c>
      <c r="CR5134" s="375">
        <v>-17.2</v>
      </c>
    </row>
    <row r="5135" spans="1:199" x14ac:dyDescent="0.25">
      <c r="A5135" s="127">
        <v>45729</v>
      </c>
      <c r="B5135" s="24" t="s">
        <v>213</v>
      </c>
      <c r="C5135" s="21">
        <f t="shared" si="84"/>
        <v>-16.574999999999999</v>
      </c>
      <c r="AN5135" s="106">
        <v>-8.5</v>
      </c>
      <c r="AW5135" s="106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4"/>
        <v>-2.8</v>
      </c>
      <c r="AN5136" s="106">
        <v>-1.1000000000000001</v>
      </c>
      <c r="AR5136" s="106">
        <v>-1.7</v>
      </c>
    </row>
    <row r="5137" spans="1:242" x14ac:dyDescent="0.25">
      <c r="A5137" s="127">
        <v>45730</v>
      </c>
      <c r="B5137" s="24" t="s">
        <v>64</v>
      </c>
      <c r="C5137" s="21">
        <f t="shared" si="84"/>
        <v>180.23</v>
      </c>
      <c r="AN5137" s="106">
        <v>180.23</v>
      </c>
    </row>
    <row r="5138" spans="1:242" x14ac:dyDescent="0.25">
      <c r="A5138" s="127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4"/>
        <v>-16.754999999999999</v>
      </c>
      <c r="CG5139" s="106">
        <v>-8.5150000000000006</v>
      </c>
      <c r="CM5139" s="106">
        <v>-8.24</v>
      </c>
    </row>
    <row r="5140" spans="1:242" x14ac:dyDescent="0.25">
      <c r="A5140" s="127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4"/>
        <v>-132.52000000000001</v>
      </c>
      <c r="P5141" s="106">
        <v>-8.4649999999999999</v>
      </c>
      <c r="AB5141" s="69">
        <v>-8.61</v>
      </c>
      <c r="AN5141" s="106">
        <v>-6.88</v>
      </c>
      <c r="AW5141" s="106">
        <v>-8.0500000000000007</v>
      </c>
      <c r="BB5141" s="69">
        <v>-8.4749999999999996</v>
      </c>
      <c r="BH5141" s="69">
        <v>-25.285</v>
      </c>
      <c r="CA5141" s="106">
        <v>-14.805</v>
      </c>
      <c r="CG5141" s="106">
        <v>-9.2149999999999999</v>
      </c>
      <c r="CM5141" s="106">
        <v>-8.3049999999999997</v>
      </c>
      <c r="CR5141" s="375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4"/>
        <v>-48.185000000000002</v>
      </c>
      <c r="AN5142" s="106">
        <v>-7.16</v>
      </c>
      <c r="AW5142" s="106">
        <v>-16.32</v>
      </c>
      <c r="BB5142" s="69">
        <v>-17.015000000000001</v>
      </c>
      <c r="CM5142" s="106">
        <v>-7.69</v>
      </c>
    </row>
    <row r="5143" spans="1:242" x14ac:dyDescent="0.25">
      <c r="A5143" s="127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106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4"/>
        <v>-32.67</v>
      </c>
      <c r="CA5144" s="106">
        <v>-7.48</v>
      </c>
      <c r="CM5144" s="106">
        <v>-7.98</v>
      </c>
      <c r="CR5144" s="375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4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4"/>
        <v>-12.715</v>
      </c>
      <c r="BU5146" s="106">
        <v>-5.4850000000000003</v>
      </c>
      <c r="CA5146" s="106">
        <v>-7.23</v>
      </c>
    </row>
    <row r="5147" spans="1:242" x14ac:dyDescent="0.25">
      <c r="A5147" s="127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4"/>
        <v>-6.37</v>
      </c>
      <c r="AN5149" s="106">
        <v>-6.37</v>
      </c>
    </row>
    <row r="5150" spans="1:242" x14ac:dyDescent="0.25">
      <c r="A5150" s="127">
        <v>45735</v>
      </c>
      <c r="B5150" s="24" t="s">
        <v>115</v>
      </c>
      <c r="C5150" s="21">
        <f t="shared" si="84"/>
        <v>103.75</v>
      </c>
      <c r="D5150" s="386">
        <v>67.180000000000007</v>
      </c>
      <c r="E5150" s="386">
        <v>36.57</v>
      </c>
    </row>
    <row r="5151" spans="1:242" x14ac:dyDescent="0.25">
      <c r="A5151" s="127">
        <v>45736</v>
      </c>
      <c r="B5151" s="24" t="s">
        <v>140</v>
      </c>
      <c r="C5151" s="21">
        <f t="shared" si="84"/>
        <v>-67.650000000000006</v>
      </c>
      <c r="D5151" s="386">
        <f>-16.23-33.15</f>
        <v>-49.38</v>
      </c>
      <c r="E5151" s="386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4"/>
        <v>-33.57</v>
      </c>
      <c r="E5152" s="386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4"/>
        <v>70.034999999999997</v>
      </c>
      <c r="E5153" s="386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4"/>
        <v>-71.91</v>
      </c>
      <c r="D5154" s="386">
        <v>-34.03</v>
      </c>
      <c r="E5154" s="386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4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375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4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106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4"/>
        <v>-34.14</v>
      </c>
      <c r="AN5159" s="106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4"/>
        <v>-27.795000000000002</v>
      </c>
      <c r="CA5160" s="106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4"/>
        <v>-42.27</v>
      </c>
      <c r="AN5162" s="106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375">
        <v>-2.9</v>
      </c>
    </row>
    <row r="5165" spans="1:137" x14ac:dyDescent="0.25">
      <c r="A5165" s="127">
        <v>45742</v>
      </c>
      <c r="B5165" s="24" t="s">
        <v>184</v>
      </c>
      <c r="C5165" s="21">
        <f t="shared" si="84"/>
        <v>-49.405000000000001</v>
      </c>
      <c r="AN5165" s="106">
        <v>-7.12</v>
      </c>
      <c r="AR5165" s="106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5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375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106">
        <v>-8.2949999999999999</v>
      </c>
      <c r="DM5172" s="46">
        <v>-7.4</v>
      </c>
    </row>
    <row r="5173" spans="1:226" x14ac:dyDescent="0.25">
      <c r="A5173" s="127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375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5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375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5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5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5"/>
        <v>1.4550000000000001</v>
      </c>
      <c r="V5187" s="74">
        <v>-32.585000000000001</v>
      </c>
      <c r="AW5187" s="106">
        <v>34.04</v>
      </c>
    </row>
    <row r="5188" spans="1:199" x14ac:dyDescent="0.25">
      <c r="A5188" s="127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375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5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5"/>
        <v>195.44499999999999</v>
      </c>
      <c r="BC5192" s="106">
        <v>64.025000000000006</v>
      </c>
      <c r="CA5192" s="106">
        <v>67.89</v>
      </c>
      <c r="CG5192" s="106">
        <v>63.53</v>
      </c>
    </row>
    <row r="5193" spans="1:199" x14ac:dyDescent="0.25">
      <c r="A5193" s="127">
        <v>45758</v>
      </c>
      <c r="B5193" s="24" t="s">
        <v>113</v>
      </c>
      <c r="C5193" s="21">
        <f t="shared" si="85"/>
        <v>988.98</v>
      </c>
      <c r="Z5193" s="79">
        <v>110.14</v>
      </c>
      <c r="AR5193" s="106">
        <v>101.41500000000001</v>
      </c>
      <c r="AW5193" s="106">
        <v>99.504999999999995</v>
      </c>
      <c r="BI5193" s="106">
        <v>64.635000000000005</v>
      </c>
      <c r="BO5193" s="106">
        <v>96.974999999999994</v>
      </c>
      <c r="BU5193" s="106">
        <v>66.655000000000001</v>
      </c>
      <c r="CM5193" s="106">
        <v>101.15</v>
      </c>
      <c r="CS5193" s="74">
        <v>32.119999999999997</v>
      </c>
      <c r="CY5193" s="106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5"/>
        <v>-41.23</v>
      </c>
      <c r="AN5194" s="106">
        <v>-8.5399999999999991</v>
      </c>
      <c r="AR5194" s="106">
        <v>-8.5399999999999991</v>
      </c>
      <c r="BC5194" s="106">
        <v>-8.0150000000000006</v>
      </c>
      <c r="BI5194" s="106">
        <v>-8.0500000000000007</v>
      </c>
      <c r="BO5194" s="106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5"/>
        <v>-23.96</v>
      </c>
      <c r="BI5196" s="106">
        <v>-8.14</v>
      </c>
      <c r="BO5196" s="106">
        <v>-8.08</v>
      </c>
      <c r="CG5196" s="106">
        <v>-7.74</v>
      </c>
    </row>
    <row r="5197" spans="1:199" x14ac:dyDescent="0.25">
      <c r="A5197" s="127">
        <v>45758</v>
      </c>
      <c r="B5197" s="24" t="s">
        <v>79</v>
      </c>
      <c r="C5197" s="21">
        <f t="shared" si="85"/>
        <v>-16.420000000000002</v>
      </c>
      <c r="AW5197" s="106">
        <v>-8.25</v>
      </c>
      <c r="BI5197" s="106">
        <v>-8.17</v>
      </c>
    </row>
    <row r="5198" spans="1:199" x14ac:dyDescent="0.25">
      <c r="A5198" s="127">
        <v>45758</v>
      </c>
      <c r="B5198" s="24" t="s">
        <v>75</v>
      </c>
      <c r="C5198" s="21">
        <f t="shared" si="85"/>
        <v>-40.99</v>
      </c>
      <c r="BI5198" s="106">
        <v>-8.0749999999999993</v>
      </c>
      <c r="BO5198" s="106">
        <v>-16.13</v>
      </c>
      <c r="BU5198" s="106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5"/>
        <v>-97.1</v>
      </c>
      <c r="AW5199" s="106">
        <v>-8.2200000000000006</v>
      </c>
      <c r="BI5199" s="106">
        <v>-24.135000000000002</v>
      </c>
      <c r="BO5199" s="106">
        <v>-32.325000000000003</v>
      </c>
      <c r="BU5199" s="106">
        <v>-16.66</v>
      </c>
      <c r="CY5199" s="106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5"/>
        <v>-8.15</v>
      </c>
      <c r="AW5200" s="106">
        <v>-8.15</v>
      </c>
    </row>
    <row r="5201" spans="1:216" x14ac:dyDescent="0.25">
      <c r="A5201" s="127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5"/>
        <v>-8.34</v>
      </c>
      <c r="AW5202" s="106">
        <v>-8.34</v>
      </c>
    </row>
    <row r="5203" spans="1:216" x14ac:dyDescent="0.25">
      <c r="A5203" s="127">
        <v>45758</v>
      </c>
      <c r="B5203" s="24" t="s">
        <v>213</v>
      </c>
      <c r="C5203" s="21">
        <f t="shared" si="85"/>
        <v>-81.38</v>
      </c>
      <c r="BC5203" s="106">
        <v>-32.020000000000003</v>
      </c>
      <c r="BI5203" s="106">
        <v>-8.0649999999999995</v>
      </c>
      <c r="BO5203" s="106">
        <v>-16.175000000000001</v>
      </c>
      <c r="BU5203" s="106">
        <v>-16.645</v>
      </c>
      <c r="CG5203" s="106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5"/>
        <v>-8.3650000000000002</v>
      </c>
      <c r="BU5204" s="106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5"/>
        <v>877.52499999999998</v>
      </c>
      <c r="AW5207" s="106">
        <v>32.284999999999997</v>
      </c>
      <c r="BC5207" s="106">
        <v>32.04</v>
      </c>
      <c r="BI5207" s="106">
        <v>129.47</v>
      </c>
      <c r="BO5207" s="106">
        <f>147.375+14.9</f>
        <v>162.27500000000001</v>
      </c>
      <c r="BU5207" s="106">
        <v>142.965</v>
      </c>
      <c r="CA5207" s="106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5"/>
        <v>-51.884999999999998</v>
      </c>
      <c r="BO5208" s="106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5"/>
        <v>-64.09</v>
      </c>
      <c r="BI5209" s="106">
        <v>-16.055</v>
      </c>
      <c r="BO5209" s="106">
        <v>-32.024999999999999</v>
      </c>
      <c r="BU5209" s="106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5"/>
        <v>-16.739999999999998</v>
      </c>
      <c r="BU5210" s="106">
        <v>-8.31</v>
      </c>
      <c r="CA5210" s="106">
        <v>-8.43</v>
      </c>
    </row>
    <row r="5211" spans="1:216" x14ac:dyDescent="0.25">
      <c r="A5211" s="127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106">
        <v>-8.5299999999999994</v>
      </c>
      <c r="BC5212" s="106">
        <v>-16.010000000000002</v>
      </c>
      <c r="BI5212" s="106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106">
        <v>-25.13</v>
      </c>
      <c r="AR5213" s="106">
        <v>-33</v>
      </c>
      <c r="BI5213" s="106">
        <v>-64.63</v>
      </c>
      <c r="BO5213" s="106">
        <v>-63.945</v>
      </c>
      <c r="BU5213" s="106">
        <v>-95.015000000000001</v>
      </c>
      <c r="CA5213" s="106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5"/>
        <v>-112.395</v>
      </c>
      <c r="AR5214" s="106">
        <v>-8.6449999999999996</v>
      </c>
      <c r="AW5214" s="106">
        <v>-16.559999999999999</v>
      </c>
      <c r="BU5214" s="106">
        <v>-8.0250000000000004</v>
      </c>
      <c r="CM5214" s="106">
        <v>-33.465000000000003</v>
      </c>
      <c r="CS5214" s="74">
        <v>-16.47</v>
      </c>
      <c r="CY5214" s="106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5"/>
        <v>-96.88</v>
      </c>
      <c r="AR5215" s="106">
        <v>-25.145</v>
      </c>
      <c r="BO5215" s="106">
        <v>-16.545000000000002</v>
      </c>
      <c r="CA5215" s="106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5"/>
        <v>-16.190000000000001</v>
      </c>
      <c r="CS5216" s="74">
        <v>-8.01</v>
      </c>
      <c r="CY5216" s="106">
        <v>-8.18</v>
      </c>
    </row>
    <row r="5217" spans="1:231" x14ac:dyDescent="0.25">
      <c r="A5217" s="127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106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5"/>
        <v>-8.0850000000000009</v>
      </c>
      <c r="BI5218" s="106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5"/>
        <v>-32.65</v>
      </c>
      <c r="BB5219" s="69">
        <v>-8.41</v>
      </c>
      <c r="BI5219" s="106">
        <v>-8.2100000000000009</v>
      </c>
      <c r="BO5219" s="106">
        <v>-8.09</v>
      </c>
      <c r="BU5219" s="106">
        <v>-7.94</v>
      </c>
    </row>
    <row r="5220" spans="1:231" x14ac:dyDescent="0.25">
      <c r="A5220" s="127">
        <v>45766</v>
      </c>
      <c r="B5220" s="24" t="s">
        <v>218</v>
      </c>
      <c r="C5220" s="21">
        <f t="shared" si="85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5"/>
        <v>-16.684999999999999</v>
      </c>
      <c r="AB5221" s="69">
        <v>-8.5950000000000006</v>
      </c>
      <c r="BI5221" s="106">
        <v>-8.09</v>
      </c>
    </row>
    <row r="5222" spans="1:231" x14ac:dyDescent="0.25">
      <c r="A5222" s="127">
        <v>45768</v>
      </c>
      <c r="B5222" s="24" t="s">
        <v>222</v>
      </c>
      <c r="C5222" s="21">
        <f t="shared" si="85"/>
        <v>-8.1999999999999993</v>
      </c>
      <c r="AW5222" s="106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5"/>
        <v>-24.795000000000002</v>
      </c>
      <c r="AR5223" s="106">
        <v>-8.5449999999999999</v>
      </c>
      <c r="BC5223" s="106">
        <v>-7.99</v>
      </c>
      <c r="BO5223" s="106">
        <v>-8.26</v>
      </c>
    </row>
    <row r="5224" spans="1:231" x14ac:dyDescent="0.25">
      <c r="A5224" s="127">
        <v>45769</v>
      </c>
      <c r="B5224" s="24" t="s">
        <v>197</v>
      </c>
      <c r="C5224" s="21">
        <f t="shared" si="85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5"/>
        <v>-82.67</v>
      </c>
      <c r="AW5225" s="106">
        <v>-16.47</v>
      </c>
      <c r="BC5225" s="106">
        <v>-8.0350000000000001</v>
      </c>
      <c r="BO5225" s="106">
        <v>-16.5</v>
      </c>
      <c r="CA5225" s="106">
        <v>-7.53</v>
      </c>
      <c r="CG5225" s="106">
        <v>-8.4499999999999993</v>
      </c>
      <c r="CM5225" s="106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5"/>
        <v>-66.14</v>
      </c>
      <c r="BC5226" s="106">
        <v>-7.9950000000000001</v>
      </c>
      <c r="BI5226" s="106">
        <v>-8.0950000000000006</v>
      </c>
      <c r="BO5226" s="106">
        <v>-16.52</v>
      </c>
      <c r="CA5226" s="106">
        <v>-16.655000000000001</v>
      </c>
      <c r="CG5226" s="106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5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5"/>
        <v>-25.23</v>
      </c>
      <c r="AW5229" s="106">
        <v>-8.67</v>
      </c>
      <c r="BI5229" s="106">
        <v>-8.2100000000000009</v>
      </c>
      <c r="BU5229" s="106">
        <v>-8.35</v>
      </c>
    </row>
    <row r="5230" spans="1:231" x14ac:dyDescent="0.25">
      <c r="A5230" s="127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5"/>
        <v>-34.96</v>
      </c>
      <c r="CL5232" s="69">
        <v>-8.52</v>
      </c>
      <c r="CR5232" s="375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6">SUM(D5233:JT5233)</f>
        <v>-25.24</v>
      </c>
      <c r="AR5233" s="106">
        <v>-8.5649999999999995</v>
      </c>
      <c r="CA5233" s="106">
        <v>-8.4</v>
      </c>
      <c r="CG5233" s="106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6"/>
        <v>812.17499999999995</v>
      </c>
      <c r="AR5234" s="106">
        <v>66.114999999999995</v>
      </c>
      <c r="BC5234" s="106">
        <v>66.194999999999993</v>
      </c>
      <c r="BI5234" s="106">
        <v>101.69499999999999</v>
      </c>
      <c r="BO5234" s="106">
        <v>108.125</v>
      </c>
      <c r="BU5234" s="106">
        <v>167.215</v>
      </c>
      <c r="CA5234" s="106">
        <v>102.155</v>
      </c>
      <c r="CS5234" s="74">
        <v>99.674999999999997</v>
      </c>
      <c r="DK5234" s="106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6"/>
        <v>-23.93</v>
      </c>
      <c r="BC5235" s="106">
        <v>-8.0950000000000006</v>
      </c>
      <c r="CA5235" s="106">
        <v>-8.6199999999999992</v>
      </c>
      <c r="CG5235" s="106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6"/>
        <v>-164.74</v>
      </c>
      <c r="BC5237" s="106">
        <v>-33.774999999999999</v>
      </c>
      <c r="BO5237" s="106">
        <v>-30.32</v>
      </c>
      <c r="BU5237" s="106">
        <v>-34.265000000000001</v>
      </c>
      <c r="CA5237" s="106">
        <v>-33.299999999999997</v>
      </c>
      <c r="CG5237" s="106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6"/>
        <v>-168.30500000000001</v>
      </c>
      <c r="BI5238" s="106">
        <v>-33.86</v>
      </c>
      <c r="CA5238" s="106">
        <v>-67.625</v>
      </c>
      <c r="DK5238" s="106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6"/>
        <v>-132.06</v>
      </c>
      <c r="BI5239" s="106">
        <v>-33.880000000000003</v>
      </c>
      <c r="BO5239" s="106">
        <v>-30.524999999999999</v>
      </c>
      <c r="BU5239" s="106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6"/>
        <v>-32.69</v>
      </c>
      <c r="BI5240" s="106">
        <f>-8.505-8.47</f>
        <v>-16.975000000000001</v>
      </c>
      <c r="BU5240" s="106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6"/>
        <v>-63.61</v>
      </c>
      <c r="AG5241" s="106">
        <v>-8.6</v>
      </c>
      <c r="AN5241" s="106">
        <v>-5.83</v>
      </c>
      <c r="AR5241" s="106">
        <v>-8.2899999999999991</v>
      </c>
      <c r="AW5241" s="106">
        <v>-8.0449999999999999</v>
      </c>
      <c r="BC5241" s="106">
        <v>-8</v>
      </c>
      <c r="BI5241" s="106">
        <v>-8.5050000000000008</v>
      </c>
      <c r="BO5241" s="106">
        <v>-7.8949999999999996</v>
      </c>
      <c r="BU5241" s="106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106">
        <v>-8.1199999999999992</v>
      </c>
      <c r="BC5242" s="106">
        <v>-8</v>
      </c>
      <c r="BI5242" s="106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6"/>
        <v>-87.614999999999995</v>
      </c>
      <c r="AG5244" s="106">
        <v>-8.58</v>
      </c>
      <c r="BC5244" s="106">
        <v>-24.324999999999999</v>
      </c>
      <c r="BO5244" s="106">
        <v>-7.8650000000000002</v>
      </c>
      <c r="BU5244" s="106">
        <v>-7.12</v>
      </c>
      <c r="CA5244" s="106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6"/>
        <v>-15.975</v>
      </c>
      <c r="AW5245" s="106">
        <v>-8.0950000000000006</v>
      </c>
      <c r="BO5245" s="106">
        <v>-7.88</v>
      </c>
    </row>
    <row r="5246" spans="1:137" x14ac:dyDescent="0.25">
      <c r="A5246" s="127">
        <v>45772</v>
      </c>
      <c r="B5246" s="24" t="s">
        <v>20</v>
      </c>
      <c r="C5246" s="21">
        <f t="shared" si="86"/>
        <v>-24.765000000000001</v>
      </c>
      <c r="BU5246" s="106">
        <v>-7.8949999999999996</v>
      </c>
      <c r="BZ5246" s="69">
        <v>-8.5399999999999991</v>
      </c>
      <c r="CG5246" s="106">
        <v>-8.33</v>
      </c>
    </row>
    <row r="5247" spans="1:137" x14ac:dyDescent="0.25">
      <c r="A5247" s="127">
        <v>45772</v>
      </c>
      <c r="B5247" s="24" t="s">
        <v>197</v>
      </c>
      <c r="C5247" s="21">
        <f t="shared" si="86"/>
        <v>-92.41</v>
      </c>
      <c r="BU5247" s="106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6"/>
        <v>-34.18</v>
      </c>
      <c r="DK5248" s="106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6"/>
        <v>-8.1999999999999993</v>
      </c>
      <c r="CM5250" s="106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6"/>
        <v>-16.524999999999999</v>
      </c>
      <c r="AW5251" s="106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6"/>
        <v>-24.86</v>
      </c>
      <c r="BO5252" s="106">
        <v>-7.88</v>
      </c>
      <c r="BU5252" s="106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6"/>
        <v>-19.055</v>
      </c>
      <c r="AG5253" s="106">
        <v>-35.774999999999999</v>
      </c>
      <c r="BZ5253" s="69">
        <v>-8.58</v>
      </c>
      <c r="CA5253" s="106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106">
        <v>34.1</v>
      </c>
    </row>
    <row r="5255" spans="1:230" x14ac:dyDescent="0.25">
      <c r="A5255" s="127">
        <v>45777</v>
      </c>
      <c r="B5255" s="24" t="s">
        <v>184</v>
      </c>
      <c r="C5255" s="21">
        <f t="shared" si="86"/>
        <v>-96.98</v>
      </c>
      <c r="AR5255" s="106">
        <v>-16.664999999999999</v>
      </c>
      <c r="AW5255" s="106">
        <v>-16.625</v>
      </c>
      <c r="CS5255" s="74">
        <v>-16.594999999999999</v>
      </c>
      <c r="CY5255" s="106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6"/>
        <v>-8.4450000000000003</v>
      </c>
      <c r="BU5257" s="106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6"/>
        <v>-26.97</v>
      </c>
      <c r="CY5258" s="106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6"/>
        <v>-17.295000000000002</v>
      </c>
      <c r="BU5260" s="106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6"/>
        <v>-136.58500000000001</v>
      </c>
      <c r="AR5261" s="106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6"/>
        <v>905.68</v>
      </c>
      <c r="AR5262" s="106">
        <v>66.2</v>
      </c>
      <c r="AW5262" s="106">
        <v>101.21</v>
      </c>
      <c r="BC5262" s="106">
        <v>65.165000000000006</v>
      </c>
      <c r="BO5262" s="106">
        <v>101.06</v>
      </c>
      <c r="CA5262" s="106">
        <v>94.88</v>
      </c>
      <c r="CG5262" s="106">
        <v>103.73</v>
      </c>
      <c r="CM5262" s="106">
        <v>95.564999999999998</v>
      </c>
      <c r="CY5262" s="106">
        <v>65.215000000000003</v>
      </c>
      <c r="DE5262" s="74">
        <v>78.459999999999994</v>
      </c>
      <c r="DK5262" s="106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6"/>
        <v>-83.17</v>
      </c>
      <c r="AW5263" s="106">
        <v>-8.26</v>
      </c>
      <c r="BC5263" s="106">
        <v>-33.125</v>
      </c>
      <c r="BO5263" s="106">
        <v>-8.3450000000000006</v>
      </c>
      <c r="CA5263" s="106">
        <v>-15.79</v>
      </c>
      <c r="CG5263" s="106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106">
        <v>-8.24</v>
      </c>
      <c r="AR5264" s="106">
        <v>-8.32</v>
      </c>
      <c r="AW5264" s="106">
        <v>-16.765000000000001</v>
      </c>
      <c r="BO5264" s="106">
        <v>-16.73</v>
      </c>
      <c r="CA5264" s="106">
        <v>-7.9</v>
      </c>
    </row>
    <row r="5265" spans="1:131" x14ac:dyDescent="0.25">
      <c r="A5265" s="127">
        <v>45784</v>
      </c>
      <c r="B5265" s="24" t="s">
        <v>139</v>
      </c>
      <c r="C5265" s="21">
        <f t="shared" si="86"/>
        <v>-25.15</v>
      </c>
      <c r="BU5265" s="106">
        <v>-8.4649999999999999</v>
      </c>
      <c r="CA5265" s="106">
        <v>-7.88</v>
      </c>
      <c r="CG5265" s="106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6"/>
        <v>-7.71</v>
      </c>
      <c r="AW5266" s="106">
        <v>-7.71</v>
      </c>
    </row>
    <row r="5267" spans="1:131" x14ac:dyDescent="0.25">
      <c r="A5267" s="127">
        <v>45784</v>
      </c>
      <c r="B5267" s="24" t="s">
        <v>184</v>
      </c>
      <c r="C5267" s="21">
        <f t="shared" si="86"/>
        <v>-133.14500000000001</v>
      </c>
      <c r="P5267" s="106">
        <v>-8.4849999999999994</v>
      </c>
      <c r="AR5267" s="106">
        <v>-41.475000000000001</v>
      </c>
      <c r="BO5267" s="106">
        <v>-33.83</v>
      </c>
      <c r="CA5267" s="106">
        <v>-31.725000000000001</v>
      </c>
      <c r="CG5267" s="106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6"/>
        <v>-57.994999999999997</v>
      </c>
      <c r="AR5268" s="106">
        <v>-8.3849999999999998</v>
      </c>
      <c r="AW5268" s="106">
        <f>-8.17-8.015-9.06</f>
        <v>-25.245000000000001</v>
      </c>
      <c r="BC5268" s="106">
        <f>-8.01-8.02</f>
        <v>-16.03</v>
      </c>
      <c r="BO5268" s="106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6"/>
        <v>-8.0850000000000009</v>
      </c>
      <c r="AR5269" s="106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6"/>
        <v>-16.364999999999998</v>
      </c>
      <c r="AR5270" s="106">
        <v>-8.3450000000000006</v>
      </c>
      <c r="BC5270" s="106">
        <v>-8.02</v>
      </c>
    </row>
    <row r="5271" spans="1:131" x14ac:dyDescent="0.25">
      <c r="A5271" s="127">
        <v>45785</v>
      </c>
      <c r="B5271" s="24" t="s">
        <v>32</v>
      </c>
      <c r="C5271" s="21">
        <f t="shared" si="86"/>
        <v>-43.71</v>
      </c>
      <c r="AR5271" s="106">
        <v>-8.3450000000000006</v>
      </c>
      <c r="CG5271" s="106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6"/>
        <v>-16.79</v>
      </c>
      <c r="AW5272" s="106">
        <v>-8.8000000000000007</v>
      </c>
      <c r="BC5272" s="106">
        <v>-7.99</v>
      </c>
    </row>
    <row r="5273" spans="1:131" x14ac:dyDescent="0.25">
      <c r="A5273" s="127">
        <v>45785</v>
      </c>
      <c r="B5273" s="24" t="s">
        <v>174</v>
      </c>
      <c r="C5273" s="21">
        <f t="shared" si="86"/>
        <v>-8.44</v>
      </c>
      <c r="BU5273" s="106">
        <v>-8.44</v>
      </c>
    </row>
    <row r="5274" spans="1:131" x14ac:dyDescent="0.25">
      <c r="A5274" s="127">
        <v>45786</v>
      </c>
      <c r="B5274" s="24" t="s">
        <v>113</v>
      </c>
      <c r="C5274" s="21">
        <f t="shared" si="86"/>
        <v>428.70499999999998</v>
      </c>
      <c r="AR5274" s="106">
        <v>34.74</v>
      </c>
      <c r="BC5274" s="106">
        <v>30.63</v>
      </c>
      <c r="BI5274" s="106">
        <v>100.09</v>
      </c>
      <c r="BU5274" s="106">
        <v>34.35</v>
      </c>
      <c r="CA5274" s="106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6"/>
        <v>60.57</v>
      </c>
      <c r="D5275" s="386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6"/>
        <v>-26.734999999999999</v>
      </c>
      <c r="BC5277" s="106">
        <v>-8.0549999999999997</v>
      </c>
      <c r="BI5277" s="106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6"/>
        <v>-91.114999999999995</v>
      </c>
      <c r="AR5278" s="106">
        <v>-8.2799999999999994</v>
      </c>
      <c r="BI5278" s="106">
        <v>-33.53</v>
      </c>
      <c r="BO5278" s="106">
        <v>-15.76</v>
      </c>
      <c r="BU5278" s="106">
        <v>-17.204999999999998</v>
      </c>
      <c r="CA5278" s="106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6"/>
        <v>-44.395000000000003</v>
      </c>
      <c r="AW5279" s="106">
        <v>-8.4149999999999991</v>
      </c>
      <c r="BI5279" s="106">
        <v>-16.445</v>
      </c>
      <c r="BU5279" s="106">
        <v>-8.57</v>
      </c>
      <c r="DO5279" s="375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6"/>
        <v>-17.015000000000001</v>
      </c>
      <c r="AR5280" s="106">
        <v>-8.44</v>
      </c>
      <c r="BU5280" s="106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6"/>
        <v>-7.8949999999999996</v>
      </c>
      <c r="CA5281" s="106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6"/>
        <v>-113.745</v>
      </c>
      <c r="AN5282" s="106">
        <v>-12.68</v>
      </c>
      <c r="AR5282" s="106">
        <v>-17.149999999999999</v>
      </c>
      <c r="AW5282" s="106">
        <v>-16.940000000000001</v>
      </c>
      <c r="BI5282" s="106">
        <v>-16.7</v>
      </c>
      <c r="BO5282" s="106">
        <v>-16.87</v>
      </c>
      <c r="CA5282" s="106">
        <v>-16.094999999999999</v>
      </c>
      <c r="CM5282" s="106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6"/>
        <v>-31.41</v>
      </c>
      <c r="BC5283" s="106">
        <v>-8</v>
      </c>
      <c r="BI5283" s="106">
        <v>-8.3699999999999992</v>
      </c>
      <c r="BO5283" s="106">
        <v>-8.4749999999999996</v>
      </c>
      <c r="CG5283" s="106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6"/>
        <v>-15.77</v>
      </c>
      <c r="CA5284" s="106">
        <v>-15.77</v>
      </c>
    </row>
    <row r="5285" spans="1:91" x14ac:dyDescent="0.25">
      <c r="A5285" s="127">
        <v>45790</v>
      </c>
      <c r="B5285" s="24" t="s">
        <v>139</v>
      </c>
      <c r="C5285" s="21">
        <f t="shared" si="86"/>
        <v>-15.55</v>
      </c>
      <c r="CA5285" s="106">
        <v>-6.71</v>
      </c>
      <c r="CG5285" s="106">
        <v>-8.84</v>
      </c>
    </row>
    <row r="5286" spans="1:91" x14ac:dyDescent="0.25">
      <c r="A5286" s="127">
        <v>45790</v>
      </c>
      <c r="B5286" s="24" t="s">
        <v>75</v>
      </c>
      <c r="C5286" s="21">
        <f t="shared" si="86"/>
        <v>-34.484999999999999</v>
      </c>
      <c r="AR5286" s="106">
        <v>-8.7650000000000006</v>
      </c>
      <c r="BI5286" s="106">
        <v>-8.3699999999999992</v>
      </c>
      <c r="BO5286" s="106">
        <v>-8.4749999999999996</v>
      </c>
      <c r="CG5286" s="106">
        <v>-8.875</v>
      </c>
    </row>
    <row r="5287" spans="1:91" x14ac:dyDescent="0.25">
      <c r="A5287" s="127">
        <v>45791</v>
      </c>
      <c r="B5287" s="24" t="s">
        <v>58</v>
      </c>
      <c r="C5287" s="21">
        <f t="shared" si="86"/>
        <v>-8.2550000000000008</v>
      </c>
      <c r="CM5287" s="106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6"/>
        <v>-30.87</v>
      </c>
      <c r="AN5288" s="106">
        <v>-7.42</v>
      </c>
      <c r="AW5288" s="106">
        <v>-7.98</v>
      </c>
      <c r="BC5288" s="106">
        <v>-7.4850000000000003</v>
      </c>
      <c r="CM5288" s="106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6"/>
        <v>0</v>
      </c>
    </row>
    <row r="5290" spans="1:91" x14ac:dyDescent="0.25">
      <c r="A5290" s="127">
        <v>45792</v>
      </c>
      <c r="B5290" s="24" t="s">
        <v>202</v>
      </c>
      <c r="C5290" s="21">
        <f t="shared" si="86"/>
        <v>-8.23</v>
      </c>
      <c r="D5290" s="386">
        <v>-8.23</v>
      </c>
    </row>
    <row r="5291" spans="1:91" x14ac:dyDescent="0.25">
      <c r="A5291" s="127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6"/>
        <v>-14.824999999999999</v>
      </c>
      <c r="AR5292" s="106">
        <v>-7.7350000000000003</v>
      </c>
      <c r="BC5292" s="106">
        <v>-7.09</v>
      </c>
    </row>
    <row r="5293" spans="1:91" x14ac:dyDescent="0.25">
      <c r="A5293" s="127">
        <v>45796</v>
      </c>
      <c r="B5293" s="24" t="s">
        <v>213</v>
      </c>
      <c r="C5293" s="21">
        <f t="shared" si="86"/>
        <v>-36.655000000000001</v>
      </c>
      <c r="AN5293" s="106">
        <v>-3.04</v>
      </c>
      <c r="AR5293" s="106">
        <f>-4.42-4.36</f>
        <v>-8.7799999999999994</v>
      </c>
      <c r="AW5293" s="106">
        <v>-7.98</v>
      </c>
      <c r="BI5293" s="106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106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6"/>
        <v>-50.52</v>
      </c>
      <c r="E5296" s="386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7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7"/>
        <v>-4.9400000000000004</v>
      </c>
      <c r="AW5299" s="106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7"/>
        <v>935.29499999999996</v>
      </c>
      <c r="BC5300" s="106">
        <v>64.265000000000001</v>
      </c>
      <c r="BI5300" s="106">
        <v>93.504999999999995</v>
      </c>
      <c r="BO5300" s="106">
        <v>130.11000000000001</v>
      </c>
      <c r="BU5300" s="106">
        <v>154.01499999999999</v>
      </c>
      <c r="CA5300" s="106">
        <f>93.545+41.3</f>
        <v>134.845</v>
      </c>
      <c r="CG5300" s="106">
        <f>43.735+73.405</f>
        <v>117.14</v>
      </c>
      <c r="CM5300" s="106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7"/>
        <v>-497.13</v>
      </c>
      <c r="AN5301" s="106">
        <v>-35.57</v>
      </c>
      <c r="BO5301" s="106">
        <v>-65.474999999999994</v>
      </c>
      <c r="BU5301" s="106">
        <v>-69.174999999999997</v>
      </c>
      <c r="CA5301" s="106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7"/>
        <v>-32.58</v>
      </c>
      <c r="BC5302" s="106">
        <v>-8.0350000000000001</v>
      </c>
      <c r="BI5302" s="106">
        <v>-8.0299999999999994</v>
      </c>
      <c r="BO5302" s="106">
        <v>-8.0950000000000006</v>
      </c>
      <c r="BU5302" s="106">
        <v>-8.42</v>
      </c>
    </row>
    <row r="5303" spans="1:199" x14ac:dyDescent="0.25">
      <c r="A5303" s="127">
        <v>45799</v>
      </c>
      <c r="B5303" s="24" t="s">
        <v>218</v>
      </c>
      <c r="C5303" s="21">
        <f t="shared" si="87"/>
        <v>-72.915000000000006</v>
      </c>
      <c r="AN5303" s="106">
        <v>-7.7</v>
      </c>
      <c r="BC5303" s="106">
        <v>-16.055</v>
      </c>
      <c r="BI5303" s="106">
        <v>-23.785</v>
      </c>
      <c r="CA5303" s="106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7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7"/>
        <v>-8.93</v>
      </c>
      <c r="BU5305" s="106">
        <v>-8.93</v>
      </c>
    </row>
    <row r="5306" spans="1:199" x14ac:dyDescent="0.25">
      <c r="A5306" s="127">
        <v>45800</v>
      </c>
      <c r="B5306" s="24" t="s">
        <v>75</v>
      </c>
      <c r="C5306" s="21">
        <f t="shared" si="87"/>
        <v>-16.670000000000002</v>
      </c>
      <c r="BO5306" s="106">
        <v>-8.0749999999999993</v>
      </c>
      <c r="BU5306" s="106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7"/>
        <v>-6.13</v>
      </c>
      <c r="AN5307" s="106">
        <v>-6.13</v>
      </c>
    </row>
    <row r="5308" spans="1:199" x14ac:dyDescent="0.25">
      <c r="A5308" s="127">
        <v>45800</v>
      </c>
      <c r="B5308" s="24" t="s">
        <v>20</v>
      </c>
      <c r="C5308" s="21">
        <f t="shared" si="87"/>
        <v>-32.28</v>
      </c>
      <c r="BO5308" s="106">
        <v>-8.2100000000000009</v>
      </c>
      <c r="BU5308" s="106">
        <v>-8.2799999999999994</v>
      </c>
      <c r="CG5308" s="106">
        <v>-7.56</v>
      </c>
      <c r="CM5308" s="106">
        <v>-8.23</v>
      </c>
    </row>
    <row r="5309" spans="1:199" x14ac:dyDescent="0.25">
      <c r="A5309" s="127">
        <v>45800</v>
      </c>
      <c r="B5309" s="24" t="s">
        <v>139</v>
      </c>
      <c r="C5309" s="21">
        <f t="shared" si="87"/>
        <v>-23.72</v>
      </c>
      <c r="BU5309" s="106">
        <v>-8.3650000000000002</v>
      </c>
      <c r="CA5309" s="106">
        <v>-8.4550000000000001</v>
      </c>
      <c r="CG5309" s="106">
        <v>-6.9</v>
      </c>
    </row>
    <row r="5310" spans="1:199" x14ac:dyDescent="0.25">
      <c r="A5310" s="127">
        <v>45800</v>
      </c>
      <c r="B5310" s="24" t="s">
        <v>171</v>
      </c>
      <c r="C5310" s="21">
        <f t="shared" si="87"/>
        <v>-8.2050000000000001</v>
      </c>
      <c r="BI5310" s="106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7"/>
        <v>50.104999999999997</v>
      </c>
      <c r="AN5311" s="106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7"/>
        <v>-143.37</v>
      </c>
      <c r="BC5312" s="106">
        <v>-16.094999999999999</v>
      </c>
      <c r="BI5312" s="106">
        <v>-15.515000000000001</v>
      </c>
      <c r="BO5312" s="106">
        <v>-16.309999999999999</v>
      </c>
      <c r="BU5312" s="106">
        <v>-17.239999999999998</v>
      </c>
      <c r="CA5312" s="106">
        <v>-17.14</v>
      </c>
      <c r="CM5312" s="106">
        <v>-15.21</v>
      </c>
      <c r="CY5312" s="106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7"/>
        <v>-126.795</v>
      </c>
      <c r="BC5313" s="106">
        <v>-16.035</v>
      </c>
      <c r="BI5313" s="106">
        <v>-15.31</v>
      </c>
      <c r="BO5313" s="106">
        <v>-16.225000000000001</v>
      </c>
      <c r="BU5313" s="106">
        <v>-17.21</v>
      </c>
      <c r="CA5313" s="106">
        <v>-16.905000000000001</v>
      </c>
      <c r="CG5313" s="106">
        <v>-28.9</v>
      </c>
      <c r="CY5313" s="106">
        <v>-16.21</v>
      </c>
    </row>
    <row r="5314" spans="1:208" x14ac:dyDescent="0.25">
      <c r="A5314" s="127">
        <v>45803</v>
      </c>
      <c r="B5314" s="24" t="s">
        <v>33</v>
      </c>
      <c r="C5314" s="21">
        <f t="shared" si="87"/>
        <v>-15.62</v>
      </c>
      <c r="BI5314" s="106">
        <v>-7.9</v>
      </c>
      <c r="BO5314" s="106">
        <v>-7.72</v>
      </c>
    </row>
    <row r="5315" spans="1:208" x14ac:dyDescent="0.25">
      <c r="A5315" s="127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7"/>
        <v>32.494999999999997</v>
      </c>
      <c r="E5317" s="386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7"/>
        <v>966.33</v>
      </c>
      <c r="AR5318" s="106">
        <v>31.91</v>
      </c>
      <c r="AW5318" s="106">
        <v>36</v>
      </c>
      <c r="BC5318" s="106">
        <v>130.08000000000001</v>
      </c>
      <c r="CA5318" s="106">
        <v>46.604999999999997</v>
      </c>
      <c r="CG5318" s="106">
        <v>98.245000000000005</v>
      </c>
      <c r="CM5318" s="106">
        <v>168.57499999999999</v>
      </c>
      <c r="CY5318" s="106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7"/>
        <v>161.72499999999999</v>
      </c>
      <c r="BI5319" s="106">
        <v>61.78</v>
      </c>
      <c r="BO5319" s="106">
        <v>66.349999999999994</v>
      </c>
      <c r="BU5319" s="106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7"/>
        <v>100.55500000000001</v>
      </c>
      <c r="BU5320" s="106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7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7"/>
        <v>-14.4</v>
      </c>
      <c r="Z5322" s="79">
        <v>-6.31</v>
      </c>
      <c r="BO5322" s="106">
        <v>-8.09</v>
      </c>
    </row>
    <row r="5323" spans="1:208" x14ac:dyDescent="0.25">
      <c r="A5323" s="127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7"/>
        <v>-232.935</v>
      </c>
      <c r="AW5324" s="106">
        <v>-36</v>
      </c>
      <c r="BC5324" s="106">
        <v>-66.03</v>
      </c>
      <c r="BI5324" s="106">
        <v>-30.585000000000001</v>
      </c>
      <c r="BO5324" s="106">
        <v>-32.844999999999999</v>
      </c>
      <c r="BU5324" s="106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7"/>
        <v>-32.494999999999997</v>
      </c>
      <c r="E5325" s="386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7"/>
        <v>-65.56</v>
      </c>
      <c r="BI5326" s="106">
        <v>-16.414999999999999</v>
      </c>
      <c r="BO5326" s="106">
        <v>-8.4</v>
      </c>
      <c r="BU5326" s="106">
        <v>-16.86</v>
      </c>
      <c r="CG5326" s="106">
        <v>-8.0749999999999993</v>
      </c>
      <c r="CM5326" s="106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7"/>
        <v>-53.42</v>
      </c>
      <c r="BU5327" s="106">
        <v>-8.3149999999999995</v>
      </c>
      <c r="CA5327" s="106">
        <v>-6.91</v>
      </c>
      <c r="CG5327" s="106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7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7"/>
        <v>-32.51</v>
      </c>
      <c r="CY5329" s="106">
        <v>-32.51</v>
      </c>
    </row>
    <row r="5330" spans="1:226" x14ac:dyDescent="0.25">
      <c r="A5330" s="127">
        <v>45807</v>
      </c>
      <c r="B5330" s="24" t="s">
        <v>48</v>
      </c>
      <c r="C5330" s="21">
        <f t="shared" si="87"/>
        <v>-17.015000000000001</v>
      </c>
      <c r="BO5330" s="106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7"/>
        <v>-39.119999999999997</v>
      </c>
      <c r="BI5331" s="106">
        <v>-14.545</v>
      </c>
      <c r="BQ5331" s="126">
        <v>-8.89</v>
      </c>
      <c r="CA5331" s="106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27">
        <v>45807</v>
      </c>
      <c r="B5333" s="24" t="s">
        <v>213</v>
      </c>
      <c r="C5333" s="21">
        <f t="shared" si="87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7"/>
        <v>-25.504999999999999</v>
      </c>
      <c r="BU5334" s="106">
        <v>-16.87</v>
      </c>
      <c r="CA5334" s="106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7"/>
        <v>-7.8</v>
      </c>
      <c r="BU5335" s="106">
        <v>-7.8</v>
      </c>
    </row>
    <row r="5336" spans="1:226" x14ac:dyDescent="0.25">
      <c r="A5336" s="127">
        <v>45810</v>
      </c>
      <c r="B5336" s="24" t="s">
        <v>25</v>
      </c>
      <c r="C5336" s="21">
        <f t="shared" si="87"/>
        <v>-39.85</v>
      </c>
      <c r="BC5336" s="106">
        <v>-7.9950000000000001</v>
      </c>
      <c r="BQ5336" s="126">
        <v>-7.75</v>
      </c>
      <c r="BU5336" s="106">
        <v>-7.95</v>
      </c>
      <c r="CG5336" s="106">
        <v>-8.08</v>
      </c>
      <c r="CM5336" s="106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7"/>
        <v>-15.895</v>
      </c>
      <c r="BI5337" s="106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106">
        <v>-15.955</v>
      </c>
      <c r="AW5339" s="106">
        <v>-7.94</v>
      </c>
      <c r="BC5339" s="106">
        <v>-15.994999999999999</v>
      </c>
      <c r="BU5339" s="106">
        <v>-8.4049999999999994</v>
      </c>
      <c r="CG5339" s="106">
        <v>-17.545000000000002</v>
      </c>
      <c r="CM5339" s="106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7"/>
        <v>627.62</v>
      </c>
      <c r="CU5340" s="126">
        <v>8.1999999999999993</v>
      </c>
      <c r="DA5340" s="126">
        <v>34.28</v>
      </c>
      <c r="DG5340" s="126">
        <v>8.3800000000000008</v>
      </c>
      <c r="DM5340" s="46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7"/>
        <v>-24.864999999999998</v>
      </c>
      <c r="BC5341" s="106">
        <v>-8.0449999999999999</v>
      </c>
      <c r="BU5341" s="106">
        <v>-8.2799999999999994</v>
      </c>
      <c r="CA5341" s="106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7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7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7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7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27">
        <v>45819</v>
      </c>
      <c r="B5347" s="24" t="s">
        <v>20</v>
      </c>
      <c r="C5347" s="21">
        <f t="shared" si="87"/>
        <v>-41.305</v>
      </c>
      <c r="AW5347" s="106">
        <v>-7.98</v>
      </c>
      <c r="BC5347" s="106">
        <v>-8.0250000000000004</v>
      </c>
      <c r="CA5347" s="106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7"/>
        <v>-8.5350000000000001</v>
      </c>
      <c r="CM5348" s="106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7"/>
        <v>-67.915000000000006</v>
      </c>
      <c r="CY5349" s="106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7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7"/>
        <v>-30.065000000000001</v>
      </c>
      <c r="AW5351" s="106">
        <v>-6</v>
      </c>
      <c r="BC5351" s="106">
        <v>-7.95</v>
      </c>
      <c r="CG5351" s="106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7"/>
        <v>-24.38</v>
      </c>
      <c r="CG5352" s="106">
        <v>-8.07</v>
      </c>
      <c r="CU5352" s="126">
        <v>-8.1999999999999993</v>
      </c>
      <c r="CY5352" s="106">
        <v>-8.11</v>
      </c>
    </row>
    <row r="5353" spans="1:179" x14ac:dyDescent="0.25">
      <c r="A5353" s="127">
        <v>45820</v>
      </c>
      <c r="B5353" s="24" t="s">
        <v>218</v>
      </c>
      <c r="C5353" s="21">
        <f t="shared" si="87"/>
        <v>-40.96</v>
      </c>
      <c r="AG5353" s="106">
        <f>-8.61-8.615</f>
        <v>-17.225000000000001</v>
      </c>
      <c r="AN5353" s="106">
        <v>-8.44</v>
      </c>
      <c r="AR5353" s="106">
        <v>-7.9950000000000001</v>
      </c>
      <c r="AW5353" s="106">
        <v>-7.3</v>
      </c>
    </row>
    <row r="5354" spans="1:179" x14ac:dyDescent="0.25">
      <c r="A5354" s="127">
        <v>45820</v>
      </c>
      <c r="B5354" s="24" t="s">
        <v>48</v>
      </c>
      <c r="C5354" s="21">
        <f t="shared" si="87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7"/>
        <v>-24.344999999999999</v>
      </c>
      <c r="AN5355" s="106">
        <v>-8.3800000000000008</v>
      </c>
      <c r="AR5355" s="106">
        <v>-7.96</v>
      </c>
      <c r="BC5355" s="106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7"/>
        <v>-40.549999999999997</v>
      </c>
      <c r="AW5356" s="106">
        <v>-15.88</v>
      </c>
      <c r="BC5356" s="106">
        <v>-16.079999999999998</v>
      </c>
      <c r="CM5356" s="106">
        <v>-8.59</v>
      </c>
    </row>
    <row r="5357" spans="1:179" x14ac:dyDescent="0.25">
      <c r="A5357" s="127">
        <v>45821</v>
      </c>
      <c r="B5357" s="24" t="s">
        <v>50</v>
      </c>
      <c r="C5357" s="21">
        <f t="shared" si="87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106">
        <v>-8.52</v>
      </c>
    </row>
    <row r="5359" spans="1:179" x14ac:dyDescent="0.25">
      <c r="A5359" s="127">
        <v>45825</v>
      </c>
      <c r="B5359" s="24" t="s">
        <v>113</v>
      </c>
      <c r="C5359" s="21">
        <f t="shared" si="87"/>
        <v>286.26</v>
      </c>
      <c r="BC5359" s="106">
        <v>34.555</v>
      </c>
      <c r="BI5359" s="106">
        <v>64.44</v>
      </c>
      <c r="BO5359" s="106">
        <v>44.005000000000003</v>
      </c>
      <c r="BU5359" s="106">
        <v>41.515000000000001</v>
      </c>
      <c r="CA5359" s="106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7"/>
        <v>-7.1</v>
      </c>
      <c r="BU5360" s="106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8">SUM(D5361:JT5361)</f>
        <v>-34.604999999999997</v>
      </c>
      <c r="BC5361" s="106">
        <v>-16.785</v>
      </c>
      <c r="BI5361" s="106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8"/>
        <v>-96.04</v>
      </c>
      <c r="AN5362" s="106">
        <v>-8.32</v>
      </c>
      <c r="BI5362" s="106">
        <v>-8.06</v>
      </c>
      <c r="BO5362" s="106">
        <v>-13.78</v>
      </c>
      <c r="BU5362" s="106">
        <v>-14.22</v>
      </c>
      <c r="CA5362" s="106">
        <v>-17.77</v>
      </c>
      <c r="CG5362" s="106">
        <v>-8.6999999999999993</v>
      </c>
      <c r="CM5362" s="106">
        <v>-25.19</v>
      </c>
    </row>
    <row r="5363" spans="1:242" x14ac:dyDescent="0.25">
      <c r="A5363" s="127">
        <v>45825</v>
      </c>
      <c r="B5363" s="24" t="s">
        <v>20</v>
      </c>
      <c r="C5363" s="21">
        <f t="shared" si="88"/>
        <v>-14.54</v>
      </c>
      <c r="BI5363" s="106">
        <v>-7.6349999999999998</v>
      </c>
      <c r="BO5363" s="106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8"/>
        <v>-109.94</v>
      </c>
      <c r="BI5364" s="106">
        <v>-30.925000000000001</v>
      </c>
      <c r="BO5364" s="106">
        <v>-16.094999999999999</v>
      </c>
      <c r="BU5364" s="106">
        <v>-13.09</v>
      </c>
      <c r="CA5364" s="106">
        <v>-15.065</v>
      </c>
      <c r="CG5364" s="106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8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8"/>
        <v>-67.25</v>
      </c>
      <c r="CM5367" s="106">
        <v>-8.5</v>
      </c>
      <c r="DA5367" s="126">
        <v>-7.77</v>
      </c>
      <c r="DK5367" s="106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8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8"/>
        <v>-16.945</v>
      </c>
      <c r="CM5369" s="106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8"/>
        <v>341.04</v>
      </c>
      <c r="BI5370" s="106">
        <f>39.985+37.55</f>
        <v>77.534999999999997</v>
      </c>
      <c r="BO5370" s="106">
        <v>65.36</v>
      </c>
      <c r="BU5370" s="106">
        <v>70.055000000000007</v>
      </c>
      <c r="CA5370" s="106">
        <v>64.575000000000003</v>
      </c>
      <c r="CG5370" s="106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8"/>
        <v>-32.15</v>
      </c>
      <c r="BI5371" s="106">
        <v>-8.0399999999999991</v>
      </c>
      <c r="BO5371" s="106">
        <v>-7.2249999999999996</v>
      </c>
      <c r="BU5371" s="106">
        <v>-8.93</v>
      </c>
      <c r="CA5371" s="106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8"/>
        <v>-59.185000000000002</v>
      </c>
      <c r="BU5372" s="106">
        <v>-15.875</v>
      </c>
      <c r="CM5372" s="106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8"/>
        <v>-110.685</v>
      </c>
      <c r="BC5373" s="106">
        <v>-8.81</v>
      </c>
      <c r="BI5373" s="106">
        <v>-14.535</v>
      </c>
      <c r="BO5373" s="106">
        <v>-16.12</v>
      </c>
      <c r="BU5373" s="106">
        <v>-17.12</v>
      </c>
      <c r="CA5373" s="106">
        <v>-15.685</v>
      </c>
      <c r="CM5373" s="106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8"/>
        <v>-4.1100000000000003</v>
      </c>
      <c r="AN5374" s="106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8"/>
        <v>-138.33000000000001</v>
      </c>
      <c r="BC5375" s="106">
        <v>-8.9600000000000009</v>
      </c>
      <c r="BI5375" s="106">
        <v>-31.97</v>
      </c>
      <c r="BO5375" s="106">
        <v>-16.785</v>
      </c>
      <c r="BU5375" s="106">
        <v>-17.594999999999999</v>
      </c>
      <c r="CA5375" s="106">
        <v>-16.094999999999999</v>
      </c>
      <c r="CG5375" s="106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8"/>
        <v>-16.559999999999999</v>
      </c>
      <c r="AN5376" s="106">
        <v>-8.56</v>
      </c>
      <c r="BO5376" s="106">
        <v>-8</v>
      </c>
    </row>
    <row r="5377" spans="1:199" x14ac:dyDescent="0.25">
      <c r="A5377" s="127">
        <v>45831</v>
      </c>
      <c r="B5377" s="24" t="s">
        <v>192</v>
      </c>
      <c r="C5377" s="21">
        <f t="shared" si="88"/>
        <v>-8.94</v>
      </c>
      <c r="CA5377" s="106">
        <v>-8.94</v>
      </c>
    </row>
    <row r="5378" spans="1:199" x14ac:dyDescent="0.25">
      <c r="A5378" s="127">
        <v>45831</v>
      </c>
      <c r="B5378" s="24" t="s">
        <v>212</v>
      </c>
      <c r="C5378" s="21">
        <f t="shared" si="88"/>
        <v>-88.944999999999993</v>
      </c>
      <c r="AN5378" s="106">
        <v>-7.96</v>
      </c>
      <c r="BI5378" s="106">
        <v>-22.99</v>
      </c>
      <c r="BO5378" s="106">
        <v>-24.454999999999998</v>
      </c>
      <c r="BU5378" s="106">
        <v>-17.64</v>
      </c>
      <c r="CA5378" s="106">
        <v>-15.9</v>
      </c>
    </row>
    <row r="5379" spans="1:199" x14ac:dyDescent="0.25">
      <c r="A5379" s="127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8"/>
        <v>381.72500000000002</v>
      </c>
      <c r="BI5380" s="106">
        <v>64.375</v>
      </c>
      <c r="BU5380" s="106">
        <v>33.08</v>
      </c>
      <c r="CM5380" s="106">
        <v>88.39</v>
      </c>
      <c r="DE5380" s="74">
        <f>42.535+40.775</f>
        <v>83.31</v>
      </c>
      <c r="DK5380" s="106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8"/>
        <v>708.94200000000001</v>
      </c>
      <c r="P5381" s="106">
        <v>33.479999999999997</v>
      </c>
      <c r="V5381" s="74">
        <v>33.055</v>
      </c>
      <c r="AC5381" s="106">
        <v>34.590000000000003</v>
      </c>
      <c r="AN5381" s="106">
        <v>34.375</v>
      </c>
      <c r="AR5381" s="106">
        <v>33.414999999999999</v>
      </c>
      <c r="AW5381" s="106">
        <v>98.355000000000004</v>
      </c>
      <c r="BC5381" s="106">
        <v>34.104999999999997</v>
      </c>
      <c r="BO5381" s="106">
        <v>34.774999999999999</v>
      </c>
      <c r="BU5381" s="106">
        <v>32.549999999999997</v>
      </c>
      <c r="CG5381" s="106">
        <v>29.9</v>
      </c>
      <c r="CS5381" s="74">
        <v>66.965000000000003</v>
      </c>
      <c r="CY5381" s="106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106">
        <v>-8.6</v>
      </c>
      <c r="DE5382" s="74">
        <v>-33.4</v>
      </c>
      <c r="DK5382" s="106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8"/>
        <v>-114.36</v>
      </c>
      <c r="AR5383" s="106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27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106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106">
        <v>-8.42</v>
      </c>
      <c r="AW5386" s="106">
        <v>-8.2550000000000008</v>
      </c>
      <c r="BC5386" s="106">
        <v>-8.51</v>
      </c>
      <c r="BU5386" s="106">
        <v>-8.16</v>
      </c>
    </row>
    <row r="5387" spans="1:199" x14ac:dyDescent="0.25">
      <c r="A5387" s="127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8"/>
        <v>-49.875</v>
      </c>
      <c r="AN5388" s="106">
        <f>-8.56-8.605</f>
        <v>-17.164999999999999</v>
      </c>
      <c r="AR5388" s="106">
        <v>-8.35</v>
      </c>
      <c r="AW5388" s="106">
        <v>-8.0050000000000008</v>
      </c>
      <c r="BU5388" s="106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8"/>
        <v>-117.95</v>
      </c>
      <c r="AW5389" s="106">
        <v>-8.2449999999999992</v>
      </c>
      <c r="BI5389" s="106">
        <v>-24.66</v>
      </c>
      <c r="BO5389" s="106">
        <v>-8.125</v>
      </c>
      <c r="BU5389" s="106">
        <v>-16.675000000000001</v>
      </c>
      <c r="CM5389" s="106">
        <v>-8.5050000000000008</v>
      </c>
      <c r="CS5389" s="74">
        <v>-42.435000000000002</v>
      </c>
      <c r="CY5389" s="106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8"/>
        <v>-50.414999999999999</v>
      </c>
      <c r="CY5390" s="106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8"/>
        <v>101.325</v>
      </c>
      <c r="D5392" s="386">
        <v>27.58</v>
      </c>
      <c r="E5392" s="386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8"/>
        <v>-32.744999999999997</v>
      </c>
      <c r="AN5393" s="106">
        <v>-8.61</v>
      </c>
      <c r="AR5393" s="106">
        <v>-8.3149999999999995</v>
      </c>
      <c r="AW5393" s="106">
        <v>-8.0399999999999991</v>
      </c>
      <c r="BI5393" s="106">
        <v>-7.78</v>
      </c>
    </row>
    <row r="5394" spans="1:235" x14ac:dyDescent="0.25">
      <c r="A5394" s="127">
        <v>45835</v>
      </c>
      <c r="B5394" s="24" t="s">
        <v>127</v>
      </c>
      <c r="C5394" s="21">
        <f t="shared" si="88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8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8"/>
        <v>-36.9</v>
      </c>
      <c r="E5396" s="386">
        <v>-36.9</v>
      </c>
    </row>
    <row r="5397" spans="1:235" x14ac:dyDescent="0.25">
      <c r="A5397" s="127">
        <v>45835</v>
      </c>
      <c r="B5397" s="24" t="s">
        <v>212</v>
      </c>
      <c r="C5397" s="21">
        <f t="shared" si="88"/>
        <v>-68.099999999999994</v>
      </c>
      <c r="AC5397" s="106">
        <v>-8.66</v>
      </c>
      <c r="AW5397" s="106">
        <v>-24.905000000000001</v>
      </c>
      <c r="BC5397" s="106">
        <v>-25.594999999999999</v>
      </c>
      <c r="BO5397" s="106">
        <v>-8.94</v>
      </c>
    </row>
    <row r="5398" spans="1:235" x14ac:dyDescent="0.25">
      <c r="A5398" s="127">
        <v>45835</v>
      </c>
      <c r="B5398" s="24" t="s">
        <v>25</v>
      </c>
      <c r="C5398" s="21">
        <f t="shared" si="88"/>
        <v>-46.24</v>
      </c>
      <c r="AW5398" s="106">
        <v>-8.3800000000000008</v>
      </c>
      <c r="BI5398" s="106">
        <v>-8.1649999999999991</v>
      </c>
      <c r="BO5398" s="106">
        <v>-8.875</v>
      </c>
      <c r="BU5398" s="106">
        <v>-8.1449999999999996</v>
      </c>
      <c r="CG5398" s="106">
        <v>-5.6950000000000003</v>
      </c>
      <c r="CM5398" s="106">
        <v>-6.98</v>
      </c>
    </row>
    <row r="5399" spans="1:235" x14ac:dyDescent="0.25">
      <c r="A5399" s="127">
        <v>45835</v>
      </c>
      <c r="B5399" s="24" t="s">
        <v>138</v>
      </c>
      <c r="C5399" s="21">
        <f t="shared" si="88"/>
        <v>-57.395000000000003</v>
      </c>
      <c r="AW5399" s="106">
        <v>-16.04</v>
      </c>
      <c r="BI5399" s="106">
        <v>-15.904999999999999</v>
      </c>
      <c r="BO5399" s="106">
        <v>-8.8350000000000009</v>
      </c>
      <c r="BU5399" s="106">
        <v>-8.1199999999999992</v>
      </c>
      <c r="CG5399" s="106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8"/>
        <v>-7.8650000000000002</v>
      </c>
      <c r="BI5400" s="106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8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8"/>
        <v>-8.66</v>
      </c>
      <c r="AC5402" s="106">
        <v>-8.66</v>
      </c>
    </row>
    <row r="5403" spans="1:235" x14ac:dyDescent="0.25">
      <c r="A5403" s="127">
        <v>45839</v>
      </c>
      <c r="B5403" s="24" t="s">
        <v>31</v>
      </c>
      <c r="C5403" s="21">
        <f t="shared" si="88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8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8"/>
        <v>-9.25</v>
      </c>
      <c r="E5405" s="386">
        <v>-9.25</v>
      </c>
    </row>
    <row r="5406" spans="1:235" x14ac:dyDescent="0.25">
      <c r="A5406" s="127">
        <v>45841</v>
      </c>
      <c r="B5406" s="24" t="s">
        <v>213</v>
      </c>
      <c r="C5406" s="21">
        <f t="shared" si="88"/>
        <v>-8.4450000000000003</v>
      </c>
      <c r="DK5406" s="106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8"/>
        <v>397.33</v>
      </c>
      <c r="BO5407" s="106">
        <v>95.11</v>
      </c>
      <c r="BU5407" s="106">
        <v>63.86</v>
      </c>
      <c r="CA5407" s="106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8"/>
        <v>-301.95499999999998</v>
      </c>
      <c r="AW5408" s="106">
        <v>-18.585000000000001</v>
      </c>
      <c r="BO5408" s="106">
        <v>-49.31</v>
      </c>
      <c r="BU5408" s="106">
        <v>-40.270000000000003</v>
      </c>
      <c r="CA5408" s="106">
        <v>-34.625</v>
      </c>
      <c r="CG5408" s="106">
        <v>-37.765000000000001</v>
      </c>
      <c r="CM5408" s="106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8"/>
        <v>-22.91</v>
      </c>
      <c r="CA5409" s="106">
        <v>-8.64</v>
      </c>
      <c r="CM5409" s="106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8"/>
        <v>-4.63</v>
      </c>
      <c r="AN5410" s="106">
        <v>-4.63</v>
      </c>
    </row>
    <row r="5411" spans="1:214" x14ac:dyDescent="0.25">
      <c r="A5411" s="127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8"/>
        <v>-50.98</v>
      </c>
      <c r="P5413" s="106">
        <v>-8.3450000000000006</v>
      </c>
      <c r="CG5413" s="106">
        <v>-8.85</v>
      </c>
      <c r="CM5413" s="106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8"/>
        <v>-25.36</v>
      </c>
      <c r="BU5414" s="106">
        <v>-8.125</v>
      </c>
      <c r="CA5414" s="106">
        <v>-8.625</v>
      </c>
      <c r="CM5414" s="106">
        <v>-8.61</v>
      </c>
    </row>
    <row r="5415" spans="1:214" x14ac:dyDescent="0.25">
      <c r="A5415" s="127">
        <v>45843</v>
      </c>
      <c r="B5415" s="24" t="s">
        <v>20</v>
      </c>
      <c r="C5415" s="21">
        <f t="shared" si="88"/>
        <v>-8.26</v>
      </c>
      <c r="BO5415" s="106">
        <v>-8.26</v>
      </c>
    </row>
    <row r="5416" spans="1:214" x14ac:dyDescent="0.25">
      <c r="A5416" s="127">
        <v>45845</v>
      </c>
      <c r="B5416" s="24" t="s">
        <v>79</v>
      </c>
      <c r="C5416" s="21">
        <f t="shared" si="88"/>
        <v>-21.204999999999998</v>
      </c>
      <c r="CM5416" s="106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8"/>
        <v>58.024999999999999</v>
      </c>
      <c r="E5417" s="386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106">
        <v>-8.6050000000000004</v>
      </c>
      <c r="AG5418" s="106">
        <v>-8.6150000000000002</v>
      </c>
      <c r="DK5418" s="106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8"/>
        <v>-67.224999999999994</v>
      </c>
      <c r="E5419" s="386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8"/>
        <v>-41.73</v>
      </c>
      <c r="AC5420" s="106">
        <v>-8.6649999999999991</v>
      </c>
      <c r="BU5420" s="106">
        <v>-8.4550000000000001</v>
      </c>
      <c r="CA5420" s="106">
        <v>-8.6050000000000004</v>
      </c>
      <c r="CG5420" s="106">
        <v>-8.8849999999999998</v>
      </c>
      <c r="CM5420" s="106">
        <v>-7.12</v>
      </c>
    </row>
    <row r="5421" spans="1:214" x14ac:dyDescent="0.25">
      <c r="A5421" s="127">
        <v>45847</v>
      </c>
      <c r="B5421" s="24" t="s">
        <v>113</v>
      </c>
      <c r="C5421" s="21">
        <f t="shared" si="88"/>
        <v>380.88299999999998</v>
      </c>
      <c r="P5421" s="106">
        <v>81.08</v>
      </c>
      <c r="V5421" s="74">
        <v>65.385000000000005</v>
      </c>
      <c r="AN5421" s="106">
        <v>34.465000000000003</v>
      </c>
      <c r="AR5421" s="106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8"/>
        <v>646.76499999999999</v>
      </c>
      <c r="BO5422" s="106">
        <v>66.040000000000006</v>
      </c>
      <c r="CA5422" s="106">
        <v>67.72</v>
      </c>
      <c r="CM5422" s="106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106">
        <v>-17.245000000000001</v>
      </c>
      <c r="AR5424" s="106">
        <v>-16.64</v>
      </c>
      <c r="BO5424" s="106">
        <v>-15.2</v>
      </c>
      <c r="CA5424" s="106">
        <v>-16.190000000000001</v>
      </c>
      <c r="CM5424" s="106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106">
        <v>-8.61</v>
      </c>
      <c r="AR5426" s="106">
        <v>-8.3550000000000004</v>
      </c>
      <c r="BO5426" s="106">
        <v>-22.34</v>
      </c>
      <c r="CA5426" s="106">
        <v>-17.344999999999999</v>
      </c>
      <c r="CG5426" s="106">
        <v>-17.64</v>
      </c>
      <c r="CM5426" s="106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9"/>
        <v>-17.11</v>
      </c>
      <c r="BU5427" s="106">
        <v>-8.4450000000000003</v>
      </c>
      <c r="CA5427" s="106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9"/>
        <v>-8.67</v>
      </c>
      <c r="CA5428" s="106">
        <v>-8.67</v>
      </c>
    </row>
    <row r="5429" spans="1:236" x14ac:dyDescent="0.25">
      <c r="A5429" s="127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9"/>
        <v>-83.745000000000005</v>
      </c>
      <c r="BO5432" s="106">
        <v>-25.52</v>
      </c>
      <c r="BU5432" s="106">
        <v>-6.69</v>
      </c>
      <c r="CA5432" s="106">
        <v>-25.125</v>
      </c>
      <c r="CG5432" s="106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9"/>
        <v>-24.23</v>
      </c>
      <c r="CM5433" s="106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9"/>
        <v>-24.234999999999999</v>
      </c>
      <c r="CM5435" s="106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9"/>
        <v>874.32</v>
      </c>
      <c r="AW5437" s="106">
        <v>50.96</v>
      </c>
      <c r="BC5437" s="106">
        <v>66.930000000000007</v>
      </c>
      <c r="BI5437" s="106">
        <v>140.96</v>
      </c>
      <c r="BO5437" s="106">
        <v>96.275000000000006</v>
      </c>
      <c r="BU5437" s="106">
        <v>101.64</v>
      </c>
      <c r="CA5437" s="106">
        <v>115.36499999999999</v>
      </c>
      <c r="CG5437" s="106">
        <v>102</v>
      </c>
      <c r="CS5437" s="74">
        <v>66.344999999999999</v>
      </c>
      <c r="CY5437" s="106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9"/>
        <v>-101.06</v>
      </c>
      <c r="BO5438" s="106">
        <v>-16.515000000000001</v>
      </c>
      <c r="BU5438" s="106">
        <v>-17.175000000000001</v>
      </c>
      <c r="CA5438" s="106">
        <v>-16.614999999999998</v>
      </c>
      <c r="CG5438" s="106">
        <v>-16.940000000000001</v>
      </c>
      <c r="CM5438" s="106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9"/>
        <v>-71.709999999999994</v>
      </c>
      <c r="AW5439" s="106">
        <v>-6.45</v>
      </c>
      <c r="BC5439" s="106">
        <v>-8.23</v>
      </c>
      <c r="BO5439" s="106">
        <v>-7.18</v>
      </c>
      <c r="BU5439" s="106">
        <v>-7.88</v>
      </c>
      <c r="CA5439" s="106">
        <v>-24.905000000000001</v>
      </c>
      <c r="CG5439" s="106">
        <v>-8.51</v>
      </c>
      <c r="CM5439" s="106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9"/>
        <v>-115.54</v>
      </c>
      <c r="BC5440" s="106">
        <v>-8.3550000000000004</v>
      </c>
      <c r="BI5440" s="106">
        <v>-17</v>
      </c>
      <c r="BO5440" s="106">
        <v>-16.09</v>
      </c>
      <c r="BU5440" s="106">
        <v>-17.204999999999998</v>
      </c>
      <c r="CA5440" s="106">
        <v>-16.61</v>
      </c>
      <c r="CG5440" s="106">
        <v>-16.95</v>
      </c>
      <c r="CM5440" s="106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9"/>
        <v>-8.4049999999999994</v>
      </c>
      <c r="AR5441" s="106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9"/>
        <v>-8.61</v>
      </c>
      <c r="AN5442" s="106">
        <v>-8.61</v>
      </c>
    </row>
    <row r="5443" spans="1:197" x14ac:dyDescent="0.25">
      <c r="A5443" s="127">
        <v>45854</v>
      </c>
      <c r="B5443" s="24" t="s">
        <v>213</v>
      </c>
      <c r="C5443" s="21">
        <f t="shared" si="89"/>
        <v>-134.26499999999999</v>
      </c>
      <c r="BC5443" s="106">
        <v>-8.3000000000000007</v>
      </c>
      <c r="BI5443" s="106">
        <v>-34.229999999999997</v>
      </c>
      <c r="BO5443" s="106">
        <v>-23.56</v>
      </c>
      <c r="BU5443" s="106">
        <v>-17.504999999999999</v>
      </c>
      <c r="CA5443" s="106">
        <v>-16.594999999999999</v>
      </c>
      <c r="CG5443" s="106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9"/>
        <v>-86.465000000000003</v>
      </c>
      <c r="AW5444" s="106">
        <v>-6.1050000000000004</v>
      </c>
      <c r="BC5444" s="106">
        <v>-8.3949999999999996</v>
      </c>
      <c r="BI5444" s="106">
        <v>-13.615</v>
      </c>
      <c r="BO5444" s="106">
        <v>-17.59</v>
      </c>
      <c r="BU5444" s="106">
        <v>-8.6950000000000003</v>
      </c>
      <c r="CA5444" s="106">
        <v>-15.505000000000001</v>
      </c>
      <c r="CG5444" s="106">
        <v>-8.52</v>
      </c>
      <c r="CM5444" s="106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9"/>
        <v>-8.4949999999999992</v>
      </c>
      <c r="BI5445" s="106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9"/>
        <v>-31.04</v>
      </c>
      <c r="AW5446" s="106">
        <v>-6.5750000000000002</v>
      </c>
      <c r="BC5446" s="106">
        <v>-8.48</v>
      </c>
      <c r="BI5446" s="106">
        <v>-8.2249999999999996</v>
      </c>
      <c r="BO5446" s="106">
        <v>-7.76</v>
      </c>
    </row>
    <row r="5447" spans="1:197" x14ac:dyDescent="0.25">
      <c r="A5447" s="127">
        <v>45854</v>
      </c>
      <c r="B5447" s="24" t="s">
        <v>173</v>
      </c>
      <c r="C5447" s="21">
        <f t="shared" si="89"/>
        <v>-15.994999999999999</v>
      </c>
      <c r="BI5447" s="106">
        <v>-7.49</v>
      </c>
      <c r="CG5447" s="106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9"/>
        <v>-34.65</v>
      </c>
      <c r="DM5448" s="46">
        <v>-34.65</v>
      </c>
    </row>
    <row r="5449" spans="1:197" x14ac:dyDescent="0.25">
      <c r="A5449" s="127">
        <v>45855</v>
      </c>
      <c r="B5449" s="24" t="s">
        <v>44</v>
      </c>
      <c r="C5449" s="21">
        <f t="shared" si="89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9"/>
        <v>-44.265000000000001</v>
      </c>
      <c r="AW5450" s="106">
        <v>-12.69</v>
      </c>
      <c r="BI5450" s="106">
        <v>-15.01</v>
      </c>
      <c r="BO5450" s="106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9"/>
        <v>-132.54499999999999</v>
      </c>
      <c r="AW5451" s="106">
        <v>-12.765000000000001</v>
      </c>
      <c r="BC5451" s="106">
        <v>-25.11</v>
      </c>
      <c r="BI5451" s="106">
        <v>-29.39</v>
      </c>
      <c r="BO5451" s="106">
        <v>-15.46</v>
      </c>
      <c r="BU5451" s="106">
        <v>-33.18</v>
      </c>
      <c r="CA5451" s="106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9"/>
        <v>-55.895000000000003</v>
      </c>
      <c r="E5452" s="386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27">
        <v>45856</v>
      </c>
      <c r="B5454" s="24" t="s">
        <v>20</v>
      </c>
      <c r="C5454" s="21">
        <f t="shared" si="89"/>
        <v>-15.88</v>
      </c>
      <c r="BI5454" s="106">
        <v>-7.5049999999999999</v>
      </c>
      <c r="BO5454" s="106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9"/>
        <v>-24.594999999999999</v>
      </c>
      <c r="CM5455" s="106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9"/>
        <v>-8.07</v>
      </c>
      <c r="CM5456" s="106">
        <v>-8.07</v>
      </c>
    </row>
    <row r="5457" spans="1:212" x14ac:dyDescent="0.25">
      <c r="A5457" s="127">
        <v>45859</v>
      </c>
      <c r="B5457" s="24" t="s">
        <v>113</v>
      </c>
      <c r="C5457" s="21">
        <f t="shared" si="89"/>
        <v>960.91499999999996</v>
      </c>
      <c r="V5457" s="74">
        <v>97.644999999999996</v>
      </c>
      <c r="AC5457" s="106">
        <v>34.634999999999998</v>
      </c>
      <c r="AN5457" s="106">
        <v>66.715000000000003</v>
      </c>
      <c r="AR5457" s="106">
        <v>100.545</v>
      </c>
      <c r="AW5457" s="106">
        <v>66.594999999999999</v>
      </c>
      <c r="DE5457" s="74">
        <v>63.365000000000002</v>
      </c>
      <c r="DK5457" s="106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9"/>
        <v>841.83500000000004</v>
      </c>
      <c r="AN5458" s="106">
        <v>41.71</v>
      </c>
      <c r="AW5458" s="106">
        <v>32.82</v>
      </c>
      <c r="BC5458" s="106">
        <v>95.13</v>
      </c>
      <c r="BI5458" s="106">
        <v>98.355000000000004</v>
      </c>
      <c r="BO5458" s="106">
        <v>97.35</v>
      </c>
      <c r="BU5458" s="106">
        <v>102.76</v>
      </c>
      <c r="CA5458" s="106">
        <v>105.325</v>
      </c>
      <c r="CG5458" s="106">
        <v>102.14</v>
      </c>
      <c r="CM5458" s="106">
        <v>100.11499999999999</v>
      </c>
      <c r="CS5458" s="74">
        <v>33.89</v>
      </c>
      <c r="CY5458" s="106">
        <v>32.24</v>
      </c>
    </row>
    <row r="5459" spans="1:212" x14ac:dyDescent="0.25">
      <c r="A5459" s="127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9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9"/>
        <v>-219.79</v>
      </c>
      <c r="P5461" s="106">
        <v>-8.0649999999999995</v>
      </c>
      <c r="AN5461" s="106">
        <v>-15.875</v>
      </c>
      <c r="AR5461" s="106">
        <v>-16.704999999999998</v>
      </c>
      <c r="AW5461" s="106">
        <v>-24.645</v>
      </c>
      <c r="BC5461" s="106">
        <v>-8.34</v>
      </c>
      <c r="BI5461" s="106">
        <v>-32.520000000000003</v>
      </c>
      <c r="BO5461" s="106">
        <v>-8.18</v>
      </c>
      <c r="BU5461" s="106">
        <v>-8.6449999999999996</v>
      </c>
      <c r="CA5461" s="106">
        <v>-17.37</v>
      </c>
      <c r="CG5461" s="106">
        <v>-17.045000000000002</v>
      </c>
      <c r="CM5461" s="106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9"/>
        <v>-184.16</v>
      </c>
      <c r="AN5462" s="106">
        <v>-34.450000000000003</v>
      </c>
      <c r="AW5462" s="106">
        <v>-24.69</v>
      </c>
      <c r="BC5462" s="106">
        <v>-23.54</v>
      </c>
      <c r="BO5462" s="106">
        <v>-32.380000000000003</v>
      </c>
      <c r="BU5462" s="106">
        <v>-17.34</v>
      </c>
      <c r="CA5462" s="106">
        <v>-34.72</v>
      </c>
      <c r="CG5462" s="106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9"/>
        <v>-168.595</v>
      </c>
      <c r="AW5463" s="106">
        <v>-8.1649999999999991</v>
      </c>
      <c r="BC5463" s="106">
        <v>-16.149999999999999</v>
      </c>
      <c r="BI5463" s="106">
        <v>-33.04</v>
      </c>
      <c r="BU5463" s="106">
        <v>-34.045000000000002</v>
      </c>
      <c r="CA5463" s="106">
        <v>-35.86</v>
      </c>
      <c r="CG5463" s="106">
        <v>-33.994999999999997</v>
      </c>
      <c r="CM5463" s="106">
        <v>-7.34</v>
      </c>
    </row>
    <row r="5464" spans="1:212" x14ac:dyDescent="0.25">
      <c r="A5464" s="127">
        <v>45859</v>
      </c>
      <c r="B5464" s="24" t="s">
        <v>138</v>
      </c>
      <c r="C5464" s="21">
        <f t="shared" si="89"/>
        <v>-8.5549999999999997</v>
      </c>
      <c r="CM5464" s="106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9"/>
        <v>-24.31</v>
      </c>
      <c r="BC5465" s="106">
        <v>-7.4249999999999998</v>
      </c>
      <c r="BI5465" s="106">
        <v>-8.2200000000000006</v>
      </c>
      <c r="CY5465" s="106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9"/>
        <v>96.23</v>
      </c>
      <c r="E5466" s="386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9"/>
        <v>-14.7</v>
      </c>
      <c r="E5467" s="386">
        <v>-14.7</v>
      </c>
    </row>
    <row r="5468" spans="1:212" x14ac:dyDescent="0.25">
      <c r="A5468" s="127">
        <v>45860</v>
      </c>
      <c r="B5468" s="24" t="s">
        <v>188</v>
      </c>
      <c r="C5468" s="21">
        <f t="shared" si="89"/>
        <v>-15.095000000000001</v>
      </c>
      <c r="BC5468" s="106">
        <v>-7.85</v>
      </c>
      <c r="CM5468" s="106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9"/>
        <v>-8.4350000000000005</v>
      </c>
      <c r="AR5469" s="106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9"/>
        <v>-15.91</v>
      </c>
      <c r="BC5470" s="106">
        <v>-7.8049999999999997</v>
      </c>
      <c r="BI5470" s="106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9"/>
        <v>-8.09</v>
      </c>
      <c r="BC5471" s="106">
        <v>-8.09</v>
      </c>
    </row>
    <row r="5472" spans="1:212" x14ac:dyDescent="0.25">
      <c r="A5472" s="127">
        <v>45860</v>
      </c>
      <c r="B5472" s="24" t="s">
        <v>224</v>
      </c>
      <c r="C5472" s="21">
        <f t="shared" si="89"/>
        <v>-22.09</v>
      </c>
      <c r="AC5472" s="106">
        <v>-8.6750000000000007</v>
      </c>
      <c r="AN5472" s="106">
        <v>-5.59</v>
      </c>
      <c r="BC5472" s="106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9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9"/>
        <v>-25.12</v>
      </c>
      <c r="AC5474" s="106">
        <v>-8.6300000000000008</v>
      </c>
      <c r="AW5474" s="106">
        <v>-8.3849999999999998</v>
      </c>
      <c r="BC5474" s="106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9"/>
        <v>-16.73</v>
      </c>
      <c r="AW5475" s="106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9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9"/>
        <v>-36.835000000000001</v>
      </c>
      <c r="E5477" s="386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9"/>
        <v>-17.135000000000002</v>
      </c>
      <c r="BU5478" s="106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9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9"/>
        <v>-70.614999999999995</v>
      </c>
      <c r="DK5480" s="106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9"/>
        <v>-16.87</v>
      </c>
      <c r="AW5482" s="106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9"/>
        <v>-101.515</v>
      </c>
      <c r="BI5483" s="106">
        <v>-8.2349999999999994</v>
      </c>
      <c r="BO5483" s="106">
        <v>-8.1649999999999991</v>
      </c>
      <c r="DE5483" s="74">
        <v>-9.0950000000000006</v>
      </c>
      <c r="DK5483" s="106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9"/>
        <v>-15.925000000000001</v>
      </c>
      <c r="AN5484" s="106">
        <v>-7.5250000000000004</v>
      </c>
      <c r="AR5484" s="106">
        <v>-8.4</v>
      </c>
    </row>
    <row r="5485" spans="1:199" x14ac:dyDescent="0.25">
      <c r="A5485" s="127">
        <v>45864</v>
      </c>
      <c r="B5485" s="24" t="s">
        <v>113</v>
      </c>
      <c r="C5485" s="21">
        <f t="shared" si="89"/>
        <v>894.81</v>
      </c>
      <c r="AN5485" s="106">
        <v>34.28</v>
      </c>
      <c r="AR5485" s="106">
        <v>33.46</v>
      </c>
      <c r="AW5485" s="106">
        <v>99.375</v>
      </c>
      <c r="BC5485" s="106">
        <v>68.36</v>
      </c>
      <c r="BI5485" s="106">
        <f>40.545+56.645</f>
        <v>97.19</v>
      </c>
      <c r="BO5485" s="106">
        <v>97.435000000000002</v>
      </c>
      <c r="BU5485" s="106">
        <f>68.25+34.765</f>
        <v>103.015</v>
      </c>
      <c r="CA5485" s="106">
        <v>69.545000000000002</v>
      </c>
      <c r="CG5485" s="106">
        <v>35.424999999999997</v>
      </c>
      <c r="CM5485" s="106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9"/>
        <v>132.21</v>
      </c>
      <c r="AW5486" s="106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90">SUM(D5489:JT5489)</f>
        <v>-33.945</v>
      </c>
      <c r="AC5489" s="106">
        <v>-8.6649999999999991</v>
      </c>
      <c r="AW5489" s="106">
        <v>-8.35</v>
      </c>
      <c r="BU5489" s="106">
        <v>-8.2449999999999992</v>
      </c>
      <c r="CA5489" s="106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90"/>
        <v>-17.145</v>
      </c>
      <c r="BC5490" s="106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90"/>
        <v>-84.25</v>
      </c>
      <c r="BI5491" s="106">
        <v>-32.344999999999999</v>
      </c>
      <c r="BO5491" s="106">
        <v>-16.195</v>
      </c>
      <c r="CA5491" s="106">
        <v>-17.36</v>
      </c>
      <c r="CG5491" s="106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106">
        <v>-17.164999999999999</v>
      </c>
      <c r="AR5492" s="106">
        <v>-33.475000000000001</v>
      </c>
      <c r="AW5492" s="106">
        <v>-8.4550000000000001</v>
      </c>
      <c r="BO5492" s="106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90"/>
        <v>-209.41499999999999</v>
      </c>
      <c r="V5493" s="74">
        <v>-16.46</v>
      </c>
      <c r="AC5493" s="106">
        <v>-8.6649999999999991</v>
      </c>
      <c r="AG5493" s="106">
        <v>-17.21</v>
      </c>
      <c r="AR5493" s="106">
        <v>-33.46</v>
      </c>
      <c r="AW5493" s="106">
        <v>-66.38</v>
      </c>
      <c r="BI5493" s="106">
        <v>-32.43</v>
      </c>
      <c r="BO5493" s="106">
        <v>-34.81</v>
      </c>
    </row>
    <row r="5494" spans="1:226" x14ac:dyDescent="0.25">
      <c r="A5494" s="127">
        <v>45866</v>
      </c>
      <c r="B5494" s="24" t="s">
        <v>184</v>
      </c>
      <c r="C5494" s="21">
        <f t="shared" si="90"/>
        <v>-92.295000000000002</v>
      </c>
      <c r="AW5494" s="106">
        <v>-8.3699999999999992</v>
      </c>
      <c r="BC5494" s="106">
        <v>-8.5250000000000004</v>
      </c>
      <c r="BI5494" s="106">
        <v>-16.21</v>
      </c>
      <c r="BO5494" s="106">
        <v>-8.14</v>
      </c>
      <c r="BU5494" s="106">
        <v>-8.4949999999999992</v>
      </c>
      <c r="CA5494" s="106">
        <v>-8.6549999999999994</v>
      </c>
      <c r="CG5494" s="106">
        <v>-16.864999999999998</v>
      </c>
      <c r="CM5494" s="106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90"/>
        <v>-16.420000000000002</v>
      </c>
      <c r="AW5495" s="106">
        <v>-8.32</v>
      </c>
      <c r="BO5495" s="106">
        <v>-8.1</v>
      </c>
    </row>
    <row r="5496" spans="1:226" x14ac:dyDescent="0.25">
      <c r="A5496" s="127">
        <v>45867</v>
      </c>
      <c r="B5496" s="24" t="s">
        <v>33</v>
      </c>
      <c r="C5496" s="21">
        <f t="shared" si="90"/>
        <v>-8.1999999999999993</v>
      </c>
      <c r="AN5496" s="106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90"/>
        <v>-16.675000000000001</v>
      </c>
      <c r="BC5497" s="106">
        <v>-8.56</v>
      </c>
      <c r="BI5497" s="106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90"/>
        <v>122.9</v>
      </c>
      <c r="E5498" s="386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90"/>
        <v>-32.78</v>
      </c>
      <c r="AR5499" s="106">
        <v>-8.36</v>
      </c>
      <c r="BI5499" s="106">
        <v>-16.324999999999999</v>
      </c>
      <c r="BO5499" s="106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90"/>
        <v>-17.059999999999999</v>
      </c>
      <c r="CG5500" s="106">
        <v>-8.5350000000000001</v>
      </c>
      <c r="CM5500" s="106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90"/>
        <v>1753.28</v>
      </c>
      <c r="Z5501" s="79">
        <v>99.314999999999998</v>
      </c>
      <c r="AC5501" s="106">
        <v>103.27500000000001</v>
      </c>
      <c r="AG5501" s="106">
        <v>99.58</v>
      </c>
      <c r="AN5501" s="106">
        <v>28.47</v>
      </c>
      <c r="AR5501" s="106">
        <v>33.524999999999999</v>
      </c>
      <c r="BC5501" s="106">
        <v>101.145</v>
      </c>
      <c r="BI5501" s="106">
        <v>145.61500000000001</v>
      </c>
      <c r="BO5501" s="106">
        <v>47.975000000000001</v>
      </c>
      <c r="BU5501" s="106">
        <v>34.594999999999999</v>
      </c>
      <c r="CA5501" s="106">
        <v>100.86</v>
      </c>
      <c r="CM5501" s="106">
        <v>139.785</v>
      </c>
      <c r="CY5501" s="106">
        <f>91.725+41.31</f>
        <v>133.035</v>
      </c>
      <c r="DE5501" s="74">
        <v>103.78</v>
      </c>
      <c r="DK5501" s="106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90"/>
        <v>-165.31</v>
      </c>
      <c r="Z5502" s="79">
        <v>-8.33</v>
      </c>
      <c r="AC5502" s="106">
        <v>-17.25</v>
      </c>
      <c r="AG5502" s="106">
        <v>-8.5950000000000006</v>
      </c>
      <c r="AN5502" s="106">
        <v>-8.59</v>
      </c>
      <c r="AR5502" s="106">
        <v>-8.2799999999999994</v>
      </c>
      <c r="BC5502" s="106">
        <v>-6.94</v>
      </c>
      <c r="BI5502" s="106">
        <v>-24.105</v>
      </c>
      <c r="BO5502" s="106">
        <v>-13.99</v>
      </c>
      <c r="BU5502" s="106">
        <v>-17.29</v>
      </c>
      <c r="CA5502" s="106">
        <v>-17.364999999999998</v>
      </c>
      <c r="CM5502" s="106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90"/>
        <v>-378.2</v>
      </c>
      <c r="AN5503" s="106">
        <v>-8.19</v>
      </c>
      <c r="AR5503" s="106">
        <v>-8.41</v>
      </c>
      <c r="AW5503" s="106">
        <v>-41.56</v>
      </c>
      <c r="BC5503" s="106">
        <v>-51.715000000000003</v>
      </c>
      <c r="BI5503" s="106">
        <v>-32.42</v>
      </c>
      <c r="BO5503" s="106">
        <v>-64.984999999999999</v>
      </c>
      <c r="BU5503" s="106">
        <f>-60.685-25.595</f>
        <v>-86.28</v>
      </c>
      <c r="CA5503" s="106">
        <v>-50.414999999999999</v>
      </c>
      <c r="CG5503" s="106">
        <v>-17.074999999999999</v>
      </c>
      <c r="CM5503" s="106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90"/>
        <v>-58.71</v>
      </c>
      <c r="BC5505" s="106">
        <v>-8.5749999999999993</v>
      </c>
      <c r="BI5505" s="106">
        <v>-8.11</v>
      </c>
      <c r="BO5505" s="106">
        <v>-8.09</v>
      </c>
      <c r="BU5505" s="106">
        <v>-8.4649999999999999</v>
      </c>
      <c r="CA5505" s="106">
        <v>-8.69</v>
      </c>
      <c r="CM5505" s="106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90"/>
        <v>-25.37</v>
      </c>
      <c r="CA5506" s="106">
        <v>-8.4949999999999992</v>
      </c>
      <c r="CM5506" s="106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90"/>
        <v>-50.755000000000003</v>
      </c>
      <c r="D5507" s="386">
        <v>-35.85</v>
      </c>
      <c r="E5507" s="386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90"/>
        <v>-49.484999999999999</v>
      </c>
      <c r="AR5508" s="106">
        <v>-8.42</v>
      </c>
      <c r="AW5508" s="106">
        <v>-7.9249999999999998</v>
      </c>
      <c r="BC5508" s="106">
        <v>-8.5150000000000006</v>
      </c>
      <c r="BI5508" s="106">
        <v>-8.0649999999999995</v>
      </c>
      <c r="BO5508" s="106">
        <v>-8.0950000000000006</v>
      </c>
      <c r="BU5508" s="106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90"/>
        <v>-55.835000000000001</v>
      </c>
      <c r="Z5509" s="79">
        <v>-8.3000000000000007</v>
      </c>
      <c r="AC5509" s="106">
        <v>-8.64</v>
      </c>
      <c r="CS5509" s="74">
        <v>-8.49</v>
      </c>
      <c r="CY5509" s="106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90"/>
        <v>-77.885000000000005</v>
      </c>
      <c r="BU5510" s="106">
        <v>-17.655000000000001</v>
      </c>
      <c r="CA5510" s="106">
        <v>-8.25</v>
      </c>
      <c r="CM5510" s="106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90"/>
        <v>-17.015000000000001</v>
      </c>
      <c r="CA5511" s="106">
        <v>-8.3000000000000007</v>
      </c>
      <c r="CM5511" s="106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90"/>
        <v>-33.645000000000003</v>
      </c>
      <c r="AG5512" s="106">
        <v>-8.6050000000000004</v>
      </c>
      <c r="AW5512" s="106">
        <v>-8.2949999999999999</v>
      </c>
      <c r="CG5512" s="106">
        <v>-8.48</v>
      </c>
      <c r="CY5512" s="106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90"/>
        <v>-84.295000000000002</v>
      </c>
      <c r="V5513" s="74">
        <v>-8.18</v>
      </c>
      <c r="AG5513" s="106">
        <v>-8.6050000000000004</v>
      </c>
      <c r="AN5513" s="106">
        <v>-8.57</v>
      </c>
      <c r="AW5513" s="106">
        <v>-8.4849999999999994</v>
      </c>
      <c r="BC5513" s="106">
        <v>-8.58</v>
      </c>
      <c r="BI5513" s="106">
        <v>-16.225000000000001</v>
      </c>
      <c r="BO5513" s="106">
        <v>-8.4849999999999994</v>
      </c>
      <c r="CA5513" s="106">
        <v>-8.27</v>
      </c>
      <c r="CM5513" s="106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90"/>
        <v>-7.9850000000000003</v>
      </c>
      <c r="AW5514" s="106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90"/>
        <v>-98.194999999999993</v>
      </c>
      <c r="AR5515" s="106">
        <f>-8.55-8.195</f>
        <v>-16.745000000000001</v>
      </c>
      <c r="AW5515" s="106">
        <v>-6.375</v>
      </c>
      <c r="BC5515" s="106">
        <f>-8.535-8.545</f>
        <v>-17.079999999999998</v>
      </c>
      <c r="BI5515" s="106">
        <v>-32.340000000000003</v>
      </c>
      <c r="BO5515" s="106">
        <f>-8.485-8.51</f>
        <v>-16.995000000000001</v>
      </c>
      <c r="BU5515" s="106">
        <v>-8.66</v>
      </c>
    </row>
    <row r="5516" spans="1:171" x14ac:dyDescent="0.25">
      <c r="A5516" s="127">
        <v>45874</v>
      </c>
      <c r="B5516" s="24" t="s">
        <v>184</v>
      </c>
      <c r="C5516" s="21">
        <f t="shared" si="90"/>
        <v>-35.76</v>
      </c>
      <c r="AG5516" s="106">
        <v>-8.61</v>
      </c>
      <c r="CY5516" s="106">
        <v>-27.15</v>
      </c>
    </row>
    <row r="5517" spans="1:171" x14ac:dyDescent="0.25">
      <c r="A5517" s="127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106">
        <v>-34.424999999999997</v>
      </c>
      <c r="AG5518" s="106">
        <v>-30.795000000000002</v>
      </c>
      <c r="AN5518" s="106">
        <v>-17.12</v>
      </c>
      <c r="AR5518" s="106">
        <v>-16.84</v>
      </c>
    </row>
    <row r="5519" spans="1:171" x14ac:dyDescent="0.25">
      <c r="A5519" s="127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90"/>
        <v>-24.614999999999998</v>
      </c>
      <c r="CA5520" s="106">
        <v>-8.26</v>
      </c>
      <c r="CM5520" s="106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90"/>
        <v>-31.41</v>
      </c>
      <c r="BC5521" s="106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90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90"/>
        <v>719.53</v>
      </c>
      <c r="AR5524" s="106">
        <v>32.744999999999997</v>
      </c>
      <c r="AW5524" s="106">
        <v>98.52</v>
      </c>
      <c r="BC5524" s="106">
        <v>66.605000000000004</v>
      </c>
      <c r="BI5524" s="106">
        <v>59.085000000000001</v>
      </c>
      <c r="BO5524" s="106">
        <v>65.194999999999993</v>
      </c>
      <c r="BU5524" s="106">
        <v>100.19</v>
      </c>
      <c r="CA5524" s="106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90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90"/>
        <v>-65.375</v>
      </c>
      <c r="CA5527" s="106">
        <v>-8.36</v>
      </c>
      <c r="CG5527" s="106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90"/>
        <v>-33.61</v>
      </c>
      <c r="BU5528" s="106">
        <v>-16.855</v>
      </c>
      <c r="CA5528" s="106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90"/>
        <v>-80.974999999999994</v>
      </c>
      <c r="AC5529" s="106">
        <v>-8.5950000000000006</v>
      </c>
      <c r="AR5529" s="106">
        <v>-8.0850000000000009</v>
      </c>
      <c r="AW5529" s="106">
        <v>-8.0549999999999997</v>
      </c>
      <c r="BC5529" s="106">
        <v>-8.32</v>
      </c>
      <c r="BI5529" s="106">
        <v>-7.5350000000000001</v>
      </c>
      <c r="CA5529" s="106">
        <v>-6.7149999999999999</v>
      </c>
      <c r="CG5529" s="106">
        <v>-8.2850000000000001</v>
      </c>
      <c r="CS5529" s="74">
        <v>-7.3449999999999998</v>
      </c>
      <c r="CY5529" s="106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90"/>
        <v>-16.265000000000001</v>
      </c>
      <c r="BU5530" s="106">
        <v>-8.01</v>
      </c>
      <c r="CG5530" s="106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106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90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106">
        <v>-4.7450000000000001</v>
      </c>
      <c r="BI5533" s="106">
        <v>-3.22</v>
      </c>
      <c r="CY5533" s="106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90"/>
        <v>-87.08</v>
      </c>
      <c r="P5534" s="106">
        <v>-7</v>
      </c>
      <c r="V5534" s="74">
        <v>-6.22</v>
      </c>
      <c r="AG5534" s="106">
        <v>-8.5299999999999994</v>
      </c>
      <c r="AW5534" s="106">
        <v>-16.440000000000001</v>
      </c>
      <c r="BI5534" s="106">
        <v>-15.525</v>
      </c>
      <c r="BO5534" s="106">
        <v>-16.329999999999998</v>
      </c>
      <c r="CM5534" s="106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90"/>
        <v>-222.22499999999999</v>
      </c>
      <c r="AN5535" s="106">
        <v>-23.725000000000001</v>
      </c>
      <c r="AW5535" s="106">
        <v>-32.765000000000001</v>
      </c>
      <c r="BC5535" s="106">
        <v>-35.44</v>
      </c>
      <c r="BI5535" s="106">
        <v>-29.085000000000001</v>
      </c>
      <c r="BU5535" s="106">
        <v>-33.564999999999998</v>
      </c>
      <c r="CM5535" s="106">
        <v>-34.799999999999997</v>
      </c>
      <c r="CY5535" s="106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90"/>
        <v>-31.795000000000002</v>
      </c>
      <c r="BI5536" s="106">
        <v>-15.035</v>
      </c>
      <c r="BU5536" s="106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90"/>
        <v>-55.99</v>
      </c>
      <c r="AN5537" s="106">
        <v>-5.7949999999999999</v>
      </c>
      <c r="AR5537" s="106">
        <v>-8.3450000000000006</v>
      </c>
      <c r="AW5537" s="106">
        <v>-16.715</v>
      </c>
      <c r="BC5537" s="106">
        <v>-8.51</v>
      </c>
      <c r="BI5537" s="106">
        <v>-8.1199999999999992</v>
      </c>
      <c r="BO5537" s="106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90"/>
        <v>-30.655000000000001</v>
      </c>
      <c r="AN5538" s="106">
        <v>-5.6349999999999998</v>
      </c>
      <c r="AR5538" s="106">
        <v>-8.0299999999999994</v>
      </c>
      <c r="AW5538" s="106">
        <v>-8.4600000000000009</v>
      </c>
      <c r="BC5538" s="106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90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90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90"/>
        <v>1093.0899999999999</v>
      </c>
      <c r="AN5541" s="106">
        <v>95.724999999999994</v>
      </c>
      <c r="AR5541" s="106">
        <v>68.375</v>
      </c>
      <c r="AW5541" s="106">
        <v>66.534999999999997</v>
      </c>
      <c r="BC5541" s="106">
        <v>62.98</v>
      </c>
      <c r="BI5541" s="106">
        <f>77.89+21.395</f>
        <v>99.284999999999997</v>
      </c>
      <c r="BO5541" s="106">
        <f>80.345+46.56</f>
        <v>126.905</v>
      </c>
      <c r="BU5541" s="106">
        <v>96.76</v>
      </c>
      <c r="CA5541" s="106">
        <f>32.28+72.77</f>
        <v>105.05</v>
      </c>
      <c r="CG5541" s="106">
        <v>102.86</v>
      </c>
      <c r="CM5541" s="106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90"/>
        <v>-201.48500000000001</v>
      </c>
      <c r="BO5543" s="106">
        <v>-48.865000000000002</v>
      </c>
      <c r="BU5543" s="106">
        <v>-32.4</v>
      </c>
      <c r="CA5543" s="106">
        <v>-68.83</v>
      </c>
      <c r="CG5543" s="106">
        <v>-51.39</v>
      </c>
    </row>
    <row r="5544" spans="1:222" x14ac:dyDescent="0.25">
      <c r="A5544" s="127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27">
        <v>45881</v>
      </c>
      <c r="B5545" s="24" t="s">
        <v>184</v>
      </c>
      <c r="C5545" s="21">
        <f t="shared" si="90"/>
        <v>-114.79</v>
      </c>
      <c r="BU5545" s="106">
        <v>-7.9850000000000003</v>
      </c>
      <c r="CA5545" s="106">
        <v>-8.0250000000000004</v>
      </c>
      <c r="CG5545" s="106">
        <v>-8.5649999999999995</v>
      </c>
      <c r="CM5545" s="106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90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90"/>
        <v>-66.765000000000001</v>
      </c>
      <c r="CY5547" s="106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90"/>
        <v>-81.575000000000003</v>
      </c>
      <c r="BI5549" s="106">
        <v>-14.125</v>
      </c>
      <c r="BO5549" s="106">
        <v>-16.350000000000001</v>
      </c>
      <c r="BU5549" s="106">
        <v>-15.9</v>
      </c>
      <c r="CA5549" s="106">
        <v>-18.07</v>
      </c>
      <c r="CG5549" s="106">
        <v>-17.13</v>
      </c>
    </row>
    <row r="5550" spans="1:222" x14ac:dyDescent="0.25">
      <c r="A5550" s="127">
        <v>45883</v>
      </c>
      <c r="B5550" s="24" t="s">
        <v>33</v>
      </c>
      <c r="C5550" s="21">
        <f t="shared" si="90"/>
        <v>-24.25</v>
      </c>
      <c r="BI5550" s="106">
        <v>-7.3650000000000002</v>
      </c>
      <c r="BO5550" s="106">
        <v>-8.14</v>
      </c>
      <c r="BU5550" s="106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90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90"/>
        <v>-110.24</v>
      </c>
      <c r="BI5552" s="106">
        <v>-28.135000000000002</v>
      </c>
      <c r="BO5552" s="106">
        <v>-30.265000000000001</v>
      </c>
      <c r="BU5552" s="106">
        <v>-16.53</v>
      </c>
      <c r="CA5552" s="106">
        <v>-18.149999999999999</v>
      </c>
      <c r="CG5552" s="106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91">SUM(D5553:JT5553)</f>
        <v>-31.09</v>
      </c>
      <c r="Z5553" s="79">
        <v>-8.2349999999999994</v>
      </c>
      <c r="AR5553" s="106">
        <v>-8.2449999999999992</v>
      </c>
      <c r="BI5553" s="106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91"/>
        <v>-84.69</v>
      </c>
      <c r="AR5554" s="106">
        <v>-17.84</v>
      </c>
      <c r="BI5554" s="106">
        <v>-7.3449999999999998</v>
      </c>
      <c r="BO5554" s="106">
        <v>-8.15</v>
      </c>
      <c r="CG5554" s="106">
        <v>-8.6150000000000002</v>
      </c>
      <c r="CM5554" s="106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91"/>
        <v>-24.96</v>
      </c>
      <c r="AW5555" s="106">
        <v>-8.61</v>
      </c>
      <c r="BU5555" s="106">
        <v>-8.3249999999999993</v>
      </c>
      <c r="CA5555" s="106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91"/>
        <v>-29.23</v>
      </c>
      <c r="AN5556" s="106">
        <v>-6.4950000000000001</v>
      </c>
      <c r="BI5556" s="106">
        <v>-6.65</v>
      </c>
      <c r="BO5556" s="106">
        <v>-8.1549999999999994</v>
      </c>
      <c r="BU5556" s="106">
        <v>-7.93</v>
      </c>
    </row>
    <row r="5557" spans="1:257" x14ac:dyDescent="0.25">
      <c r="A5557" s="127">
        <v>45887</v>
      </c>
      <c r="B5557" s="24" t="s">
        <v>213</v>
      </c>
      <c r="C5557" s="21">
        <f t="shared" si="91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91"/>
        <v>-85.8</v>
      </c>
      <c r="BI5558" s="106">
        <v>-13.98</v>
      </c>
      <c r="BO5558" s="106">
        <v>-7.0449999999999999</v>
      </c>
      <c r="BU5558" s="106">
        <v>-16.315000000000001</v>
      </c>
      <c r="CM5558" s="106">
        <v>-16.855</v>
      </c>
      <c r="CY5558" s="106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91"/>
        <v>-123.38</v>
      </c>
      <c r="AW5559" s="106">
        <v>-33.04</v>
      </c>
      <c r="BC5559" s="106">
        <v>-32.125</v>
      </c>
      <c r="BO5559" s="106">
        <v>-32.515000000000001</v>
      </c>
      <c r="CM5559" s="106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106">
        <f>8.11+5.7</f>
        <v>13.81</v>
      </c>
      <c r="AW5560" s="106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378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91"/>
        <v>-32.29</v>
      </c>
      <c r="AC5561" s="106">
        <v>-32.29</v>
      </c>
    </row>
    <row r="5562" spans="1:257" x14ac:dyDescent="0.25">
      <c r="A5562" s="127">
        <v>45888</v>
      </c>
      <c r="B5562" s="24" t="s">
        <v>192</v>
      </c>
      <c r="C5562" s="21">
        <f t="shared" si="91"/>
        <v>-16.72</v>
      </c>
      <c r="CA5562" s="106">
        <v>-16.72</v>
      </c>
    </row>
    <row r="5563" spans="1:257" x14ac:dyDescent="0.25">
      <c r="A5563" s="127">
        <v>45888</v>
      </c>
      <c r="B5563" s="24" t="s">
        <v>218</v>
      </c>
      <c r="C5563" s="21">
        <f t="shared" si="91"/>
        <v>248.345</v>
      </c>
      <c r="AZ5563" s="182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91"/>
        <v>-100.92</v>
      </c>
      <c r="AW5565" s="106">
        <v>-16.84</v>
      </c>
      <c r="BC5565" s="106">
        <v>-14.875</v>
      </c>
      <c r="BI5565" s="106">
        <v>-11.975</v>
      </c>
      <c r="CA5565" s="106">
        <v>-8.0549999999999997</v>
      </c>
      <c r="CG5565" s="106">
        <v>-14.475</v>
      </c>
      <c r="CM5565" s="106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91"/>
        <v>-24.81</v>
      </c>
      <c r="AR5567" s="106">
        <v>-8.3049999999999997</v>
      </c>
      <c r="AW5567" s="106">
        <v>-8.3450000000000006</v>
      </c>
      <c r="BC5567" s="106">
        <v>-8.16</v>
      </c>
    </row>
    <row r="5568" spans="1:257" x14ac:dyDescent="0.25">
      <c r="A5568" s="127">
        <v>45890</v>
      </c>
      <c r="B5568" s="24" t="s">
        <v>44</v>
      </c>
      <c r="C5568" s="21">
        <f t="shared" si="91"/>
        <v>-44.56</v>
      </c>
      <c r="AR5568" s="106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106">
        <v>-8.31</v>
      </c>
      <c r="AR5569" s="106">
        <v>-8.5299999999999994</v>
      </c>
      <c r="AW5569" s="106">
        <v>-8.08</v>
      </c>
      <c r="BC5569" s="106">
        <v>-7.82</v>
      </c>
      <c r="BU5569" s="106">
        <v>-7.9</v>
      </c>
      <c r="CM5569" s="106">
        <v>-8.68</v>
      </c>
      <c r="CS5569" s="74">
        <v>-8.6850000000000005</v>
      </c>
      <c r="CY5569" s="106">
        <v>-7.7350000000000003</v>
      </c>
      <c r="DE5569" s="74">
        <v>-8.08</v>
      </c>
      <c r="DK5569" s="106">
        <v>-8.83</v>
      </c>
    </row>
    <row r="5570" spans="1:208" x14ac:dyDescent="0.25">
      <c r="A5570" s="127">
        <v>45890</v>
      </c>
      <c r="B5570" s="29" t="s">
        <v>133</v>
      </c>
      <c r="C5570" s="21">
        <f t="shared" si="91"/>
        <v>-99.924999999999997</v>
      </c>
      <c r="CY5570" s="106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91"/>
        <v>-17.234999999999999</v>
      </c>
      <c r="CM5571" s="106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91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106">
        <v>33.76</v>
      </c>
      <c r="AR5573" s="106">
        <v>66.17</v>
      </c>
      <c r="AW5573" s="106">
        <v>96.3</v>
      </c>
      <c r="BI5573" s="106">
        <v>62.41</v>
      </c>
      <c r="BO5573" s="106">
        <v>65.73</v>
      </c>
      <c r="BU5573" s="106">
        <v>65.88</v>
      </c>
      <c r="CA5573" s="106">
        <f>63.09+59.925</f>
        <v>123.015</v>
      </c>
      <c r="CG5573" s="106">
        <f>68.715+42.91</f>
        <v>111.625</v>
      </c>
      <c r="CM5573" s="106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91"/>
        <v>-98.96</v>
      </c>
      <c r="BI5574" s="106">
        <v>-30.864999999999998</v>
      </c>
      <c r="BU5574" s="106">
        <v>-15.63</v>
      </c>
      <c r="CA5574" s="106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91"/>
        <v>-25.844999999999999</v>
      </c>
      <c r="BI5575" s="106">
        <v>-7.89</v>
      </c>
      <c r="CA5575" s="106">
        <v>-9.2899999999999991</v>
      </c>
      <c r="CG5575" s="106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91"/>
        <v>-25.3</v>
      </c>
      <c r="AW5576" s="106">
        <v>-9.4250000000000007</v>
      </c>
      <c r="BI5576" s="106">
        <v>-7.7350000000000003</v>
      </c>
      <c r="BO5576" s="106">
        <v>-8.14</v>
      </c>
    </row>
    <row r="5577" spans="1:208" x14ac:dyDescent="0.25">
      <c r="A5577" s="127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106">
        <v>-8.0150000000000006</v>
      </c>
      <c r="BU5577" s="106">
        <v>-9.17</v>
      </c>
      <c r="CA5577" s="106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91"/>
        <v>-16.78</v>
      </c>
      <c r="BO5579" s="106">
        <v>-16.78</v>
      </c>
    </row>
    <row r="5580" spans="1:208" x14ac:dyDescent="0.25">
      <c r="A5580" s="127">
        <v>45894</v>
      </c>
      <c r="B5580" s="24" t="s">
        <v>184</v>
      </c>
      <c r="C5580" s="21">
        <f t="shared" si="91"/>
        <v>-225.215</v>
      </c>
      <c r="AW5580" s="106">
        <v>-18.2</v>
      </c>
      <c r="BO5580" s="106">
        <v>-15.45</v>
      </c>
      <c r="BU5580" s="106">
        <v>-24.524999999999999</v>
      </c>
      <c r="CA5580" s="106">
        <v>-34.1</v>
      </c>
      <c r="CG5580" s="106">
        <v>-14.38</v>
      </c>
      <c r="CM5580" s="106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91"/>
        <v>-34.814999999999998</v>
      </c>
      <c r="AN5581" s="106">
        <v>-17.600000000000001</v>
      </c>
      <c r="CG5581" s="106">
        <v>-8.58</v>
      </c>
      <c r="CM5581" s="106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91"/>
        <v>-36.844999999999999</v>
      </c>
      <c r="DK5582" s="106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91"/>
        <v>-46.365000000000002</v>
      </c>
      <c r="CA5583" s="106">
        <v>-18.22</v>
      </c>
      <c r="CG5583" s="106">
        <v>-14.37</v>
      </c>
      <c r="CM5583" s="106">
        <v>-13.775</v>
      </c>
    </row>
    <row r="5584" spans="1:208" x14ac:dyDescent="0.25">
      <c r="A5584" s="127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91"/>
        <v>-17.75</v>
      </c>
      <c r="AW5585" s="106">
        <v>-9.11</v>
      </c>
      <c r="BU5585" s="106">
        <v>-8.64</v>
      </c>
    </row>
    <row r="5586" spans="1:199" x14ac:dyDescent="0.25">
      <c r="A5586" s="127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91"/>
        <v>-32.67</v>
      </c>
      <c r="AW5587" s="106">
        <v>-7.99</v>
      </c>
      <c r="BO5587" s="106">
        <v>-8.1449999999999996</v>
      </c>
      <c r="BU5587" s="106">
        <v>-7.915</v>
      </c>
      <c r="CA5587" s="106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91"/>
        <v>383.41</v>
      </c>
      <c r="BC5588" s="106">
        <v>95.64</v>
      </c>
      <c r="BI5588" s="106">
        <v>97.974999999999994</v>
      </c>
      <c r="CA5588" s="106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106">
        <v>33.020000000000003</v>
      </c>
      <c r="AR5589" s="106">
        <v>32.99</v>
      </c>
      <c r="AW5589" s="106">
        <v>74.91</v>
      </c>
      <c r="CM5589" s="106">
        <v>32.22</v>
      </c>
      <c r="CS5589" s="74">
        <v>33.134999999999998</v>
      </c>
      <c r="DE5589" s="74">
        <v>70.885000000000005</v>
      </c>
      <c r="DK5589" s="106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91"/>
        <v>-165.88499999999999</v>
      </c>
      <c r="AR5590" s="106">
        <v>-16.574999999999999</v>
      </c>
      <c r="AW5590" s="106">
        <v>-12.9</v>
      </c>
      <c r="BC5590" s="106">
        <v>-7.875</v>
      </c>
      <c r="BI5590" s="106">
        <v>-25.704999999999998</v>
      </c>
      <c r="BO5590" s="106">
        <v>-33.5</v>
      </c>
      <c r="CA5590" s="106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91"/>
        <v>-7.85</v>
      </c>
      <c r="DK5591" s="106">
        <v>-7.85</v>
      </c>
    </row>
    <row r="5592" spans="1:199" x14ac:dyDescent="0.25">
      <c r="A5592" s="127">
        <v>45897</v>
      </c>
      <c r="B5592" s="24" t="s">
        <v>193</v>
      </c>
      <c r="C5592" s="21">
        <f t="shared" si="91"/>
        <v>-32.854999999999997</v>
      </c>
      <c r="CA5592" s="106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106">
        <v>-16.399999999999999</v>
      </c>
      <c r="CM5593" s="106">
        <v>-32.22</v>
      </c>
    </row>
    <row r="5594" spans="1:199" x14ac:dyDescent="0.25">
      <c r="A5594" s="127">
        <v>45897</v>
      </c>
      <c r="B5594" s="24" t="s">
        <v>133</v>
      </c>
      <c r="C5594" s="21">
        <f t="shared" si="91"/>
        <v>-128.85</v>
      </c>
      <c r="AR5594" s="106">
        <v>-32.99</v>
      </c>
      <c r="BC5594" s="106">
        <v>-31.965</v>
      </c>
      <c r="CG5594" s="106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91"/>
        <v>-7.04</v>
      </c>
      <c r="BC5596" s="106">
        <v>-7.04</v>
      </c>
    </row>
    <row r="5597" spans="1:199" x14ac:dyDescent="0.25">
      <c r="A5597" s="127">
        <v>45897</v>
      </c>
      <c r="B5597" s="24" t="s">
        <v>218</v>
      </c>
      <c r="C5597" s="21">
        <f t="shared" si="91"/>
        <v>-131.19499999999999</v>
      </c>
      <c r="AN5597" s="106">
        <v>-33.020000000000003</v>
      </c>
      <c r="BI5597" s="106">
        <f>-7.83-8.04</f>
        <v>-15.87</v>
      </c>
      <c r="CA5597" s="106">
        <f>-8.56-9.315</f>
        <v>-17.875</v>
      </c>
      <c r="CG5597" s="106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106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91"/>
        <v>-57.9</v>
      </c>
      <c r="Z5600" s="79">
        <v>-26.67</v>
      </c>
      <c r="AN5600" s="106">
        <v>-8.2349999999999994</v>
      </c>
      <c r="AW5600" s="106">
        <v>-7.0750000000000002</v>
      </c>
      <c r="CG5600" s="106">
        <v>-7.18</v>
      </c>
      <c r="CM5600" s="106">
        <v>-8.74</v>
      </c>
    </row>
    <row r="5601" spans="1:169" x14ac:dyDescent="0.25">
      <c r="A5601" s="127">
        <v>45899</v>
      </c>
      <c r="B5601" s="24" t="s">
        <v>127</v>
      </c>
      <c r="C5601" s="21">
        <f t="shared" si="91"/>
        <v>-16.23</v>
      </c>
      <c r="BC5601" s="106">
        <v>-16.23</v>
      </c>
    </row>
    <row r="5602" spans="1:169" x14ac:dyDescent="0.25">
      <c r="A5602" s="127">
        <v>45899</v>
      </c>
      <c r="B5602" s="24" t="s">
        <v>138</v>
      </c>
      <c r="C5602" s="21">
        <f t="shared" si="91"/>
        <v>-8.5749999999999993</v>
      </c>
      <c r="AN5602" s="106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91"/>
        <v>-33.895000000000003</v>
      </c>
      <c r="DK5603" s="106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91"/>
        <v>-8.61</v>
      </c>
      <c r="AN5606" s="106">
        <v>-8.61</v>
      </c>
    </row>
    <row r="5607" spans="1:169" x14ac:dyDescent="0.25">
      <c r="A5607" s="127">
        <v>45902</v>
      </c>
      <c r="B5607" s="24" t="s">
        <v>75</v>
      </c>
      <c r="C5607" s="21">
        <f t="shared" si="91"/>
        <v>-16.215</v>
      </c>
      <c r="BC5607" s="106">
        <v>-8.1150000000000002</v>
      </c>
      <c r="BI5607" s="106">
        <v>-8.1</v>
      </c>
    </row>
    <row r="5608" spans="1:169" x14ac:dyDescent="0.25">
      <c r="A5608" s="127">
        <v>45902</v>
      </c>
      <c r="B5608" s="24" t="s">
        <v>188</v>
      </c>
      <c r="C5608" s="21">
        <f t="shared" si="91"/>
        <v>-31.76</v>
      </c>
      <c r="BI5608" s="106">
        <v>-7.7649999999999997</v>
      </c>
      <c r="BO5608" s="106">
        <v>-8.0350000000000001</v>
      </c>
      <c r="CG5608" s="106">
        <v>-7.1749999999999998</v>
      </c>
      <c r="CM5608" s="106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27">
        <v>45904</v>
      </c>
      <c r="B5611" s="24" t="s">
        <v>17</v>
      </c>
      <c r="C5611" s="21">
        <f t="shared" si="91"/>
        <v>-42.48</v>
      </c>
      <c r="DE5611" s="74">
        <v>-17.510000000000002</v>
      </c>
      <c r="DK5611" s="106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91"/>
        <v>-8.125</v>
      </c>
      <c r="BC5612" s="106">
        <v>-8.125</v>
      </c>
    </row>
    <row r="5613" spans="1:169" x14ac:dyDescent="0.25">
      <c r="A5613" s="127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91"/>
        <v>-62.634999999999998</v>
      </c>
      <c r="AR5614" s="106">
        <v>-33.4</v>
      </c>
      <c r="AW5614" s="106">
        <f>-7.15-7.065-7.19</f>
        <v>-21.405000000000001</v>
      </c>
      <c r="BI5614" s="106">
        <v>-7.83</v>
      </c>
    </row>
    <row r="5615" spans="1:169" x14ac:dyDescent="0.25">
      <c r="A5615" s="127">
        <v>45905</v>
      </c>
      <c r="B5615" s="24" t="s">
        <v>68</v>
      </c>
      <c r="C5615" s="21">
        <f t="shared" si="91"/>
        <v>-24.28</v>
      </c>
      <c r="AW5615" s="106">
        <v>-8.0050000000000008</v>
      </c>
      <c r="BC5615" s="106">
        <v>-8.1449999999999996</v>
      </c>
      <c r="BI5615" s="106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92"/>
        <v>-8.5</v>
      </c>
      <c r="CA5618" s="106">
        <v>-8.5</v>
      </c>
    </row>
    <row r="5619" spans="1:212" x14ac:dyDescent="0.25">
      <c r="A5619" s="127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92"/>
        <v>-41.865000000000002</v>
      </c>
      <c r="CM5620" s="106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92"/>
        <v>-25.33</v>
      </c>
      <c r="BO5621" s="106">
        <v>-8.0950000000000006</v>
      </c>
      <c r="CG5621" s="106">
        <v>-8.5350000000000001</v>
      </c>
      <c r="CM5621" s="106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92"/>
        <v>1020.535</v>
      </c>
      <c r="AC5622" s="106">
        <v>34.094999999999999</v>
      </c>
      <c r="BC5622" s="106">
        <v>100.75</v>
      </c>
      <c r="BI5622" s="106">
        <v>117.2</v>
      </c>
      <c r="BO5622" s="106">
        <f>68.1+72.2</f>
        <v>140.30000000000001</v>
      </c>
      <c r="BU5622" s="106">
        <f>108+24.25</f>
        <v>132.25</v>
      </c>
      <c r="CA5622" s="106">
        <v>99.965000000000003</v>
      </c>
      <c r="CG5622" s="106">
        <v>99.55</v>
      </c>
      <c r="CM5622" s="106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92"/>
        <v>-22.725000000000001</v>
      </c>
      <c r="AW5623" s="106">
        <v>-6.53</v>
      </c>
      <c r="BU5623" s="106">
        <v>-7.55</v>
      </c>
      <c r="CA5623" s="106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92"/>
        <v>-8</v>
      </c>
      <c r="BU5624" s="106">
        <v>-8</v>
      </c>
    </row>
    <row r="5625" spans="1:212" x14ac:dyDescent="0.25">
      <c r="A5625" s="127">
        <v>45910</v>
      </c>
      <c r="B5625" s="24" t="s">
        <v>48</v>
      </c>
      <c r="C5625" s="21">
        <f t="shared" si="92"/>
        <v>-8.5500000000000007</v>
      </c>
      <c r="AR5625" s="106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92"/>
        <v>-193.45500000000001</v>
      </c>
      <c r="V5626" s="74">
        <v>-16.414999999999999</v>
      </c>
      <c r="AC5626" s="106">
        <v>-8.5</v>
      </c>
      <c r="AG5626" s="106">
        <v>-8.6199999999999992</v>
      </c>
      <c r="AN5626" s="106">
        <v>-16.88</v>
      </c>
      <c r="AR5626" s="106">
        <v>-8.11</v>
      </c>
      <c r="AW5626" s="106">
        <v>-25.83</v>
      </c>
      <c r="BC5626" s="106">
        <v>-27.95</v>
      </c>
      <c r="BI5626" s="106">
        <v>-14.35</v>
      </c>
      <c r="BO5626" s="106">
        <v>-18</v>
      </c>
      <c r="BU5626" s="106">
        <v>-17.3</v>
      </c>
      <c r="CG5626" s="106">
        <v>-15.3</v>
      </c>
      <c r="CM5626" s="106">
        <v>-16.2</v>
      </c>
    </row>
    <row r="5627" spans="1:212" x14ac:dyDescent="0.25">
      <c r="A5627" s="127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106">
        <v>-6.4850000000000003</v>
      </c>
      <c r="BC5628" s="106">
        <v>-14.7</v>
      </c>
      <c r="BI5628" s="106">
        <v>-14.3</v>
      </c>
      <c r="BO5628" s="106">
        <v>-18.149999999999999</v>
      </c>
      <c r="BU5628" s="106">
        <v>-16.600000000000001</v>
      </c>
      <c r="CA5628" s="106">
        <v>-16.350000000000001</v>
      </c>
      <c r="CG5628" s="106">
        <v>-16.7</v>
      </c>
      <c r="CM5628" s="106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92"/>
        <v>-32.314999999999998</v>
      </c>
      <c r="AC5629" s="106">
        <v>-8.5150000000000006</v>
      </c>
      <c r="BC5629" s="106">
        <v>-7.35</v>
      </c>
      <c r="BI5629" s="106">
        <v>-7.35</v>
      </c>
      <c r="BO5629" s="106">
        <v>-9.1</v>
      </c>
    </row>
    <row r="5630" spans="1:212" x14ac:dyDescent="0.25">
      <c r="A5630" s="127">
        <v>45910</v>
      </c>
      <c r="B5630" s="24" t="s">
        <v>133</v>
      </c>
      <c r="C5630" s="21">
        <f t="shared" si="92"/>
        <v>-164.745</v>
      </c>
      <c r="AN5630" s="106">
        <v>-32.979999999999997</v>
      </c>
      <c r="BI5630" s="106">
        <v>-28.9</v>
      </c>
      <c r="BO5630" s="106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92"/>
        <v>-64.03</v>
      </c>
      <c r="BI5631" s="106">
        <f>-7.4-7.7</f>
        <v>-15.1</v>
      </c>
      <c r="BU5631" s="106">
        <f>-8.45-7.8</f>
        <v>-16.25</v>
      </c>
      <c r="CA5631" s="106">
        <v>-32.68</v>
      </c>
    </row>
    <row r="5632" spans="1:212" x14ac:dyDescent="0.25">
      <c r="A5632" s="127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92"/>
        <v>-38.78</v>
      </c>
      <c r="AN5633" s="106">
        <v>-8.5850000000000009</v>
      </c>
      <c r="AW5633" s="106">
        <v>-12.895</v>
      </c>
      <c r="BU5633" s="106">
        <v>-17.3</v>
      </c>
    </row>
    <row r="5634" spans="1:131" x14ac:dyDescent="0.25">
      <c r="A5634" s="127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92"/>
        <v>-25.5</v>
      </c>
      <c r="BI5635" s="106">
        <v>-7.6</v>
      </c>
      <c r="BO5635" s="106">
        <v>-9.15</v>
      </c>
      <c r="BU5635" s="106">
        <v>-8.75</v>
      </c>
    </row>
    <row r="5636" spans="1:131" x14ac:dyDescent="0.25">
      <c r="A5636" s="127">
        <v>45911</v>
      </c>
      <c r="B5636" s="24" t="s">
        <v>192</v>
      </c>
      <c r="C5636" s="21">
        <f t="shared" si="92"/>
        <v>-51.56</v>
      </c>
      <c r="BU5636" s="106">
        <v>-8.65</v>
      </c>
      <c r="CA5636" s="106">
        <v>-34.659999999999997</v>
      </c>
      <c r="CG5636" s="106">
        <v>-8.25</v>
      </c>
    </row>
    <row r="5637" spans="1:131" x14ac:dyDescent="0.25">
      <c r="A5637" s="127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92"/>
        <v>-65.14</v>
      </c>
      <c r="BI5638" s="106">
        <v>-15.324999999999999</v>
      </c>
      <c r="BO5638" s="106">
        <v>-18.3</v>
      </c>
      <c r="BU5638" s="106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92"/>
        <v>-8.35</v>
      </c>
      <c r="CM5640" s="106">
        <v>-8.35</v>
      </c>
    </row>
    <row r="5641" spans="1:131" x14ac:dyDescent="0.25">
      <c r="A5641" s="127">
        <v>45912</v>
      </c>
      <c r="B5641" s="24" t="s">
        <v>218</v>
      </c>
      <c r="C5641" s="21">
        <f t="shared" si="92"/>
        <v>-39.244999999999997</v>
      </c>
      <c r="AZ5641" s="182">
        <v>-8.59</v>
      </c>
      <c r="BC5641" s="106">
        <v>-6.9</v>
      </c>
      <c r="BI5641" s="106">
        <v>-15.555</v>
      </c>
      <c r="CA5641" s="106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92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92"/>
        <v>-64.405000000000001</v>
      </c>
      <c r="AN5643" s="106">
        <v>-8.2949999999999999</v>
      </c>
      <c r="AR5643" s="106">
        <v>-8.11</v>
      </c>
      <c r="AW5643" s="106">
        <v>-7.2249999999999996</v>
      </c>
      <c r="BC5643" s="106">
        <v>-6.65</v>
      </c>
      <c r="BU5643" s="106">
        <v>-8.6999999999999993</v>
      </c>
      <c r="CA5643" s="106">
        <v>-8.0749999999999993</v>
      </c>
      <c r="CG5643" s="106">
        <v>-8.65</v>
      </c>
      <c r="CM5643" s="106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27">
        <v>45916</v>
      </c>
      <c r="B5645" s="24" t="s">
        <v>113</v>
      </c>
      <c r="C5645" s="21">
        <f t="shared" si="92"/>
        <v>271.95</v>
      </c>
      <c r="BC5645" s="106">
        <v>28.2</v>
      </c>
      <c r="CA5645" s="106">
        <v>36.299999999999997</v>
      </c>
      <c r="CG5645" s="106">
        <v>31.6</v>
      </c>
      <c r="CY5645" s="106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92"/>
        <v>565.70500000000004</v>
      </c>
      <c r="AC5646" s="106">
        <v>30.055</v>
      </c>
      <c r="AG5646" s="106">
        <v>32.075000000000003</v>
      </c>
      <c r="AN5646" s="106">
        <v>68.400000000000006</v>
      </c>
      <c r="AR5646" s="106">
        <v>34.055</v>
      </c>
      <c r="BC5646" s="106">
        <v>28.2</v>
      </c>
      <c r="BI5646" s="106">
        <v>29.5</v>
      </c>
      <c r="BO5646" s="106">
        <v>70.150000000000006</v>
      </c>
      <c r="BU5646" s="106">
        <v>102.8</v>
      </c>
      <c r="CA5646" s="106">
        <v>66.819999999999993</v>
      </c>
      <c r="CM5646" s="106">
        <v>103.65</v>
      </c>
    </row>
    <row r="5647" spans="1:131" x14ac:dyDescent="0.25">
      <c r="A5647" s="127">
        <v>45916</v>
      </c>
      <c r="B5647" s="24" t="s">
        <v>48</v>
      </c>
      <c r="C5647" s="21">
        <f t="shared" si="92"/>
        <v>-7.77</v>
      </c>
      <c r="AC5647" s="106">
        <v>-7.77</v>
      </c>
    </row>
    <row r="5648" spans="1:131" x14ac:dyDescent="0.25">
      <c r="A5648" s="127">
        <v>45916</v>
      </c>
      <c r="B5648" s="24" t="s">
        <v>184</v>
      </c>
      <c r="C5648" s="21">
        <f t="shared" si="92"/>
        <v>-126.35</v>
      </c>
      <c r="AG5648" s="106">
        <v>-8.0449999999999999</v>
      </c>
      <c r="AN5648" s="106">
        <v>-8.5549999999999997</v>
      </c>
      <c r="AW5648" s="106">
        <v>-10.27</v>
      </c>
      <c r="BC5648" s="106">
        <v>-14.15</v>
      </c>
      <c r="BI5648" s="106">
        <v>-14.35</v>
      </c>
      <c r="BO5648" s="106">
        <v>-36.1</v>
      </c>
      <c r="BU5648" s="106">
        <v>-17.649999999999999</v>
      </c>
      <c r="CA5648" s="106">
        <v>-17.23</v>
      </c>
    </row>
    <row r="5649" spans="1:199" x14ac:dyDescent="0.25">
      <c r="A5649" s="127">
        <v>45916</v>
      </c>
      <c r="B5649" s="24" t="s">
        <v>133</v>
      </c>
      <c r="C5649" s="21">
        <f t="shared" si="92"/>
        <v>-304.2</v>
      </c>
      <c r="BC5649" s="106">
        <v>-14.4</v>
      </c>
      <c r="BO5649" s="106">
        <v>-34.049999999999997</v>
      </c>
      <c r="BU5649" s="106">
        <v>-51.85</v>
      </c>
      <c r="CA5649" s="106">
        <v>-52.61</v>
      </c>
      <c r="CM5649" s="106">
        <v>-50.1</v>
      </c>
      <c r="CY5649" s="106">
        <v>-34</v>
      </c>
      <c r="DK5649" s="106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92"/>
        <v>-74.33</v>
      </c>
      <c r="AN5651" s="106">
        <v>-4.92</v>
      </c>
      <c r="AR5651" s="106">
        <v>-8.5649999999999995</v>
      </c>
      <c r="AW5651" s="106">
        <v>-6.8849999999999998</v>
      </c>
      <c r="BC5651" s="106">
        <v>-6.66</v>
      </c>
      <c r="BI5651" s="106">
        <v>-7.4</v>
      </c>
      <c r="BO5651" s="106">
        <v>-17.600000000000001</v>
      </c>
      <c r="BU5651" s="106">
        <v>-8.0500000000000007</v>
      </c>
      <c r="CG5651" s="106">
        <v>-14.25</v>
      </c>
    </row>
    <row r="5652" spans="1:199" x14ac:dyDescent="0.25">
      <c r="A5652" s="127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92"/>
        <v>-8.75</v>
      </c>
      <c r="CM5653" s="106">
        <v>-8.75</v>
      </c>
    </row>
    <row r="5654" spans="1:199" x14ac:dyDescent="0.25">
      <c r="A5654" s="127">
        <v>45917</v>
      </c>
      <c r="B5654" s="24" t="s">
        <v>39</v>
      </c>
      <c r="C5654" s="21">
        <f t="shared" si="92"/>
        <v>-32.625</v>
      </c>
      <c r="AZ5654" s="182">
        <v>-8.5250000000000004</v>
      </c>
      <c r="BC5654" s="106">
        <v>-7.05</v>
      </c>
      <c r="BI5654" s="106">
        <v>-7.75</v>
      </c>
      <c r="BO5654" s="106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92"/>
        <v>-21.645</v>
      </c>
      <c r="BC5658" s="106">
        <v>-8.1449999999999996</v>
      </c>
      <c r="BI5658" s="106">
        <v>-7.4</v>
      </c>
      <c r="BO5658" s="106">
        <v>-6.1</v>
      </c>
    </row>
    <row r="5659" spans="1:199" x14ac:dyDescent="0.25">
      <c r="A5659" s="127">
        <v>45918</v>
      </c>
      <c r="B5659" s="24" t="s">
        <v>218</v>
      </c>
      <c r="C5659" s="21">
        <f t="shared" si="92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46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92"/>
        <v>-41.44</v>
      </c>
      <c r="DA5661" s="126">
        <v>-7.89</v>
      </c>
      <c r="DK5661" s="106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92"/>
        <v>-74.805000000000007</v>
      </c>
      <c r="BI5662" s="106">
        <v>-7.4</v>
      </c>
      <c r="BU5662" s="106">
        <v>-16.7</v>
      </c>
      <c r="CA5662" s="106">
        <v>-16.324999999999999</v>
      </c>
      <c r="CM5662" s="106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92"/>
        <v>-8.85</v>
      </c>
      <c r="CM5663" s="106">
        <v>-8.85</v>
      </c>
    </row>
    <row r="5664" spans="1:199" x14ac:dyDescent="0.25">
      <c r="A5664" s="127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92"/>
        <v>-24.2</v>
      </c>
      <c r="BC5665" s="106">
        <v>-24.2</v>
      </c>
    </row>
    <row r="5666" spans="1:154" x14ac:dyDescent="0.25">
      <c r="A5666" s="127">
        <v>45923</v>
      </c>
      <c r="B5666" s="24" t="s">
        <v>188</v>
      </c>
      <c r="C5666" s="21">
        <f t="shared" si="92"/>
        <v>-15.45</v>
      </c>
      <c r="BC5666" s="106">
        <v>-6.85</v>
      </c>
      <c r="BU5666" s="106">
        <v>-8.6</v>
      </c>
    </row>
    <row r="5667" spans="1:154" x14ac:dyDescent="0.25">
      <c r="A5667" s="127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106">
        <v>34.11</v>
      </c>
      <c r="AR5667" s="106">
        <v>51.12</v>
      </c>
      <c r="AW5667" s="106">
        <v>80.13</v>
      </c>
      <c r="BC5667" s="106">
        <v>105.605</v>
      </c>
      <c r="BI5667" s="106">
        <v>136.255</v>
      </c>
      <c r="BO5667" s="106">
        <v>107.3</v>
      </c>
      <c r="BU5667" s="106">
        <v>99.75</v>
      </c>
      <c r="CA5667" s="106">
        <v>140.66</v>
      </c>
      <c r="CG5667" s="106">
        <v>156.94999999999999</v>
      </c>
      <c r="CM5667" s="106">
        <v>100.25</v>
      </c>
      <c r="CS5667" s="74">
        <v>69.42</v>
      </c>
      <c r="CY5667" s="106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92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92"/>
        <v>-39.270000000000003</v>
      </c>
      <c r="AW5669" s="106">
        <v>-8.23</v>
      </c>
      <c r="BI5669" s="106">
        <v>-7.45</v>
      </c>
      <c r="BU5669" s="106">
        <v>-7.55</v>
      </c>
      <c r="CA5669" s="106">
        <v>-7.89</v>
      </c>
      <c r="CG5669" s="106">
        <v>-8.15</v>
      </c>
    </row>
    <row r="5670" spans="1:154" x14ac:dyDescent="0.25">
      <c r="A5670" s="127">
        <v>45924</v>
      </c>
      <c r="B5670" s="24" t="s">
        <v>193</v>
      </c>
      <c r="C5670" s="21">
        <f t="shared" si="92"/>
        <v>-7.17</v>
      </c>
      <c r="AC5670" s="106">
        <v>-7.17</v>
      </c>
    </row>
    <row r="5671" spans="1:154" x14ac:dyDescent="0.25">
      <c r="A5671" s="127">
        <v>45924</v>
      </c>
      <c r="B5671" s="24" t="s">
        <v>224</v>
      </c>
      <c r="C5671" s="21">
        <f t="shared" si="92"/>
        <v>-25.72</v>
      </c>
      <c r="AN5671" s="106">
        <v>-8.57</v>
      </c>
      <c r="BO5671" s="106">
        <v>-9.1</v>
      </c>
      <c r="BU5671" s="106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92"/>
        <v>-107.985</v>
      </c>
      <c r="Z5672" s="79">
        <v>-14.39</v>
      </c>
      <c r="AR5672" s="106">
        <v>-8.4649999999999999</v>
      </c>
      <c r="AW5672" s="106">
        <v>-8.3149999999999995</v>
      </c>
      <c r="BC5672" s="106">
        <v>-14.7</v>
      </c>
      <c r="BO5672" s="106">
        <v>-9.4</v>
      </c>
      <c r="CS5672" s="74">
        <v>-8.6150000000000002</v>
      </c>
      <c r="CY5672" s="106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92"/>
        <v>-41.064999999999998</v>
      </c>
      <c r="AW5673" s="106">
        <v>-7.5149999999999997</v>
      </c>
      <c r="BC5673" s="106">
        <v>-8.49</v>
      </c>
      <c r="BI5673" s="106">
        <v>-8.31</v>
      </c>
      <c r="BO5673" s="106">
        <v>-8.9499999999999993</v>
      </c>
      <c r="BU5673" s="106">
        <v>-7.8</v>
      </c>
    </row>
    <row r="5674" spans="1:154" x14ac:dyDescent="0.25">
      <c r="A5674" s="127">
        <v>45924</v>
      </c>
      <c r="B5674" s="24" t="s">
        <v>48</v>
      </c>
      <c r="C5674" s="21">
        <f t="shared" si="92"/>
        <v>-198.42500000000001</v>
      </c>
      <c r="AW5674" s="106">
        <v>-7.51</v>
      </c>
      <c r="BI5674" s="106">
        <v>-7.5</v>
      </c>
      <c r="BO5674" s="106">
        <v>-35.15</v>
      </c>
      <c r="BU5674" s="106">
        <v>-8.75</v>
      </c>
      <c r="CA5674" s="106">
        <f>-8.2-36</f>
        <v>-44.2</v>
      </c>
      <c r="CG5674" s="106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106">
        <v>-8.5749999999999993</v>
      </c>
      <c r="AR5675" s="106">
        <v>-8.5500000000000007</v>
      </c>
      <c r="AW5675" s="106">
        <v>-16.655000000000001</v>
      </c>
      <c r="BC5675" s="106">
        <v>-17.579999999999998</v>
      </c>
      <c r="BI5675" s="106">
        <v>-7.55</v>
      </c>
      <c r="BU5675" s="106">
        <v>-8.85</v>
      </c>
      <c r="CA5675" s="106">
        <v>-35.520000000000003</v>
      </c>
      <c r="CG5675" s="106">
        <v>-15.3</v>
      </c>
      <c r="CY5675" s="106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92"/>
        <v>-115.85</v>
      </c>
      <c r="AN5676" s="106">
        <v>-8.5549999999999997</v>
      </c>
      <c r="AR5676" s="106">
        <v>-8.15</v>
      </c>
      <c r="AW5676" s="106">
        <v>-8.23</v>
      </c>
      <c r="BC5676" s="106">
        <v>-6.35</v>
      </c>
      <c r="BI5676" s="106">
        <v>-16.155000000000001</v>
      </c>
      <c r="BO5676" s="106">
        <v>-8.9499999999999993</v>
      </c>
      <c r="BU5676" s="106">
        <f>-16.95-9.15</f>
        <v>-26.1</v>
      </c>
      <c r="CG5676" s="106">
        <v>-6.8</v>
      </c>
      <c r="DK5676" s="106">
        <v>-26.56</v>
      </c>
    </row>
    <row r="5677" spans="1:154" x14ac:dyDescent="0.25">
      <c r="A5677" s="127">
        <v>45925</v>
      </c>
      <c r="B5677" s="24" t="s">
        <v>48</v>
      </c>
      <c r="C5677" s="21">
        <f t="shared" si="92"/>
        <v>-52.155000000000001</v>
      </c>
      <c r="AR5677" s="106">
        <v>-9.1300000000000008</v>
      </c>
      <c r="BC5677" s="106">
        <v>-8.25</v>
      </c>
      <c r="BO5677" s="106">
        <v>-8.9499999999999993</v>
      </c>
      <c r="CG5677" s="106">
        <v>-8.6999999999999993</v>
      </c>
      <c r="DK5677" s="106">
        <v>-17.125</v>
      </c>
    </row>
    <row r="5678" spans="1:154" x14ac:dyDescent="0.25">
      <c r="A5678" s="127">
        <v>45925</v>
      </c>
      <c r="B5678" s="24" t="s">
        <v>48</v>
      </c>
      <c r="C5678" s="21">
        <f t="shared" si="92"/>
        <v>-168.76</v>
      </c>
      <c r="AR5678" s="106">
        <v>-8.51</v>
      </c>
      <c r="AW5678" s="106">
        <v>-8.35</v>
      </c>
      <c r="BC5678" s="106">
        <v>-6.15</v>
      </c>
      <c r="BI5678" s="106">
        <v>-15.545</v>
      </c>
      <c r="BU5678" s="106">
        <v>-8.8000000000000007</v>
      </c>
      <c r="CA5678" s="106">
        <v>-18.25</v>
      </c>
      <c r="CG5678" s="106">
        <v>-16.649999999999999</v>
      </c>
      <c r="CM5678" s="106">
        <v>-17.5</v>
      </c>
      <c r="CY5678" s="106">
        <v>-16.364999999999998</v>
      </c>
      <c r="DE5678" s="74">
        <v>-35.69</v>
      </c>
      <c r="DK5678" s="106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106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93">SUM(D5681:JT5681)</f>
        <v>-7.33</v>
      </c>
      <c r="E5681" s="386">
        <v>-7.33</v>
      </c>
    </row>
    <row r="5682" spans="1:134" x14ac:dyDescent="0.25">
      <c r="A5682" s="127">
        <v>45925</v>
      </c>
      <c r="B5682" s="24" t="s">
        <v>48</v>
      </c>
      <c r="C5682" s="21">
        <f t="shared" si="93"/>
        <v>-7.23</v>
      </c>
      <c r="AC5682" s="106">
        <v>-7.23</v>
      </c>
    </row>
    <row r="5683" spans="1:134" x14ac:dyDescent="0.25">
      <c r="A5683" s="127">
        <v>45926</v>
      </c>
      <c r="B5683" s="24" t="s">
        <v>48</v>
      </c>
      <c r="C5683" s="21">
        <f t="shared" si="93"/>
        <v>-35.195</v>
      </c>
      <c r="CA5683" s="106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93"/>
        <v>-14.734999999999999</v>
      </c>
      <c r="BU5684" s="106">
        <v>-6.65</v>
      </c>
      <c r="CA5684" s="106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93"/>
        <v>-85.575000000000003</v>
      </c>
      <c r="BI5685" s="106">
        <v>-28.225000000000001</v>
      </c>
      <c r="BO5685" s="106">
        <v>-17.5</v>
      </c>
      <c r="BU5685" s="106">
        <v>-16.7</v>
      </c>
      <c r="CG5685" s="106">
        <v>-23.15</v>
      </c>
    </row>
    <row r="5686" spans="1:134" x14ac:dyDescent="0.25">
      <c r="A5686" s="127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106">
        <v>-8.4749999999999996</v>
      </c>
      <c r="AW5686" s="106">
        <v>-6.8</v>
      </c>
    </row>
    <row r="5687" spans="1:134" x14ac:dyDescent="0.25">
      <c r="A5687" s="127">
        <v>45926</v>
      </c>
      <c r="B5687" s="24" t="s">
        <v>48</v>
      </c>
      <c r="C5687" s="21">
        <f t="shared" si="93"/>
        <v>-7.5149999999999997</v>
      </c>
      <c r="AW5687" s="106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93"/>
        <v>-8.57</v>
      </c>
      <c r="AC5688" s="106">
        <v>-8.57</v>
      </c>
    </row>
    <row r="5689" spans="1:134" x14ac:dyDescent="0.25">
      <c r="A5689" s="127">
        <v>45927</v>
      </c>
      <c r="B5689" s="24" t="s">
        <v>171</v>
      </c>
      <c r="C5689" s="21">
        <f t="shared" si="93"/>
        <v>-8.25</v>
      </c>
      <c r="AR5689" s="106">
        <v>-8.25</v>
      </c>
    </row>
    <row r="5690" spans="1:134" x14ac:dyDescent="0.25">
      <c r="A5690" s="127">
        <v>45927</v>
      </c>
      <c r="B5690" s="24" t="s">
        <v>48</v>
      </c>
      <c r="C5690" s="21">
        <f t="shared" si="93"/>
        <v>-32.880000000000003</v>
      </c>
      <c r="AC5690" s="106">
        <v>-8.51</v>
      </c>
      <c r="AI5690" s="126">
        <v>-7.36</v>
      </c>
      <c r="AR5690" s="106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93"/>
        <v>736.94500000000005</v>
      </c>
      <c r="AC5691" s="106">
        <v>32.090000000000003</v>
      </c>
      <c r="AG5691" s="106">
        <v>33.164999999999999</v>
      </c>
      <c r="AN5691" s="106">
        <v>30.85</v>
      </c>
      <c r="AR5691" s="106">
        <v>32.33</v>
      </c>
      <c r="BC5691" s="106">
        <v>33.365000000000002</v>
      </c>
      <c r="BI5691" s="106">
        <v>63.72</v>
      </c>
      <c r="BO5691" s="106">
        <v>36.25</v>
      </c>
      <c r="BU5691" s="106">
        <v>58.04</v>
      </c>
      <c r="CA5691" s="106">
        <v>133.9</v>
      </c>
      <c r="CS5691" s="74">
        <v>68.125</v>
      </c>
      <c r="CY5691" s="106">
        <v>31.3</v>
      </c>
      <c r="DE5691" s="74">
        <v>64.900000000000006</v>
      </c>
      <c r="DK5691" s="106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93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93"/>
        <v>-238.8</v>
      </c>
      <c r="AN5693" s="106">
        <v>-8.57</v>
      </c>
      <c r="AW5693" s="106">
        <v>-22.54</v>
      </c>
      <c r="BC5693" s="106">
        <v>-25.01</v>
      </c>
      <c r="BI5693" s="106">
        <v>-16.295000000000002</v>
      </c>
      <c r="BO5693" s="106">
        <v>-18.05</v>
      </c>
      <c r="BU5693" s="106">
        <v>-34.049999999999997</v>
      </c>
      <c r="CA5693" s="106">
        <v>-34.1</v>
      </c>
      <c r="CS5693" s="74">
        <v>-34.299999999999997</v>
      </c>
      <c r="CY5693" s="106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93"/>
        <v>-23.95</v>
      </c>
      <c r="AW5694" s="106">
        <v>-7.55</v>
      </c>
      <c r="BC5694" s="106">
        <v>-7.55</v>
      </c>
      <c r="CM5694" s="106">
        <v>-8.85</v>
      </c>
    </row>
    <row r="5695" spans="1:134" x14ac:dyDescent="0.25">
      <c r="A5695" s="127">
        <v>45929</v>
      </c>
      <c r="B5695" s="29" t="s">
        <v>48</v>
      </c>
      <c r="C5695" s="21">
        <f t="shared" si="93"/>
        <v>-35.25</v>
      </c>
      <c r="CA5695" s="106">
        <v>-35.25</v>
      </c>
    </row>
    <row r="5696" spans="1:134" x14ac:dyDescent="0.25">
      <c r="A5696" s="127">
        <v>45929</v>
      </c>
      <c r="B5696" s="29" t="s">
        <v>218</v>
      </c>
      <c r="C5696" s="21">
        <f t="shared" si="93"/>
        <v>-67.034999999999997</v>
      </c>
      <c r="AN5696" s="106">
        <v>-8.4700000000000006</v>
      </c>
      <c r="AR5696" s="106">
        <v>-8.58</v>
      </c>
      <c r="AZ5696" s="182">
        <v>-14.39</v>
      </c>
      <c r="BI5696" s="106">
        <v>-8.5500000000000007</v>
      </c>
      <c r="BO5696" s="106">
        <f>-9.3-8.545</f>
        <v>-17.844999999999999</v>
      </c>
      <c r="CA5696" s="106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93"/>
        <v>-166.92500000000001</v>
      </c>
      <c r="CA5697" s="106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93"/>
        <v>-16</v>
      </c>
      <c r="AW5698" s="106">
        <v>-7.6</v>
      </c>
      <c r="CA5698" s="106">
        <v>-8.4</v>
      </c>
    </row>
    <row r="5699" spans="1:208" x14ac:dyDescent="0.25">
      <c r="A5699" s="127">
        <v>45930</v>
      </c>
      <c r="B5699" s="24" t="s">
        <v>58</v>
      </c>
      <c r="C5699" s="21">
        <f t="shared" si="93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93"/>
        <v>-63.01</v>
      </c>
      <c r="BO5700" s="106">
        <v>-18.2</v>
      </c>
      <c r="BU5700" s="106">
        <v>-12.125</v>
      </c>
      <c r="CS5700" s="74">
        <v>-17.559999999999999</v>
      </c>
      <c r="CY5700" s="106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93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106">
        <v>67.28</v>
      </c>
      <c r="AR5702" s="106">
        <v>67.665000000000006</v>
      </c>
      <c r="AW5702" s="106">
        <v>111.39</v>
      </c>
      <c r="BC5702" s="106">
        <v>66.94</v>
      </c>
      <c r="BO5702" s="106">
        <v>182.10499999999999</v>
      </c>
      <c r="BU5702" s="106">
        <v>34.450000000000003</v>
      </c>
      <c r="CM5702" s="106">
        <v>34.15</v>
      </c>
      <c r="CS5702" s="74">
        <v>67.16</v>
      </c>
      <c r="CY5702" s="106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93"/>
        <v>-268.34500000000003</v>
      </c>
      <c r="BO5703" s="106">
        <v>-132.43</v>
      </c>
      <c r="BU5703" s="106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93"/>
        <v>-51.46</v>
      </c>
      <c r="CM5704" s="106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93"/>
        <v>-8.3249999999999993</v>
      </c>
      <c r="BC5705" s="106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93"/>
        <v>-32.265000000000001</v>
      </c>
      <c r="CY5706" s="106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93"/>
        <v>-85.2</v>
      </c>
      <c r="AN5707" s="106">
        <v>-8.5850000000000009</v>
      </c>
      <c r="BC5707" s="106">
        <v>-15.404999999999999</v>
      </c>
      <c r="BI5707" s="106">
        <v>-13.89</v>
      </c>
      <c r="BO5707" s="106">
        <v>-24.844999999999999</v>
      </c>
      <c r="BU5707" s="106">
        <v>-5.55</v>
      </c>
      <c r="CA5707" s="106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93"/>
        <v>-31.295000000000002</v>
      </c>
      <c r="BC5708" s="106">
        <v>-7.1</v>
      </c>
      <c r="BI5708" s="106">
        <v>-7.65</v>
      </c>
      <c r="BO5708" s="106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93"/>
        <v>-64.174999999999997</v>
      </c>
      <c r="AR5709" s="106">
        <v>-8.26</v>
      </c>
      <c r="AW5709" s="106">
        <v>-9.3000000000000007</v>
      </c>
      <c r="BC5709" s="106">
        <v>-8.4149999999999991</v>
      </c>
      <c r="BI5709" s="106">
        <v>-6.3</v>
      </c>
      <c r="BO5709" s="106">
        <v>-8.2850000000000001</v>
      </c>
      <c r="BU5709" s="106">
        <v>-15.365</v>
      </c>
      <c r="CA5709" s="106">
        <v>-8.25</v>
      </c>
    </row>
    <row r="5710" spans="1:208" x14ac:dyDescent="0.25">
      <c r="A5710" s="127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93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46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93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93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27">
        <v>45933</v>
      </c>
      <c r="B5716" s="24" t="s">
        <v>79</v>
      </c>
      <c r="C5716" s="21">
        <f t="shared" si="93"/>
        <v>-33.505000000000003</v>
      </c>
      <c r="AR5716" s="106">
        <v>-8.4749999999999996</v>
      </c>
      <c r="CM5716" s="106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93"/>
        <v>-8.6999999999999993</v>
      </c>
      <c r="CM5717" s="106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4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4"/>
        <v>-106.855</v>
      </c>
      <c r="AW5719" s="106">
        <v>-58.34</v>
      </c>
      <c r="BC5719" s="106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4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4"/>
        <v>-65.52</v>
      </c>
      <c r="E5722" s="386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4"/>
        <v>-14.06</v>
      </c>
      <c r="E5723" s="386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106">
        <v>-7.7</v>
      </c>
      <c r="BI5724" s="106">
        <v>-8.1549999999999994</v>
      </c>
      <c r="CM5724" s="106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93"/>
        <v>-72.790000000000006</v>
      </c>
      <c r="AG5726" s="106">
        <v>-8.61</v>
      </c>
      <c r="AR5726" s="106">
        <v>-8.1</v>
      </c>
      <c r="AW5726" s="106">
        <v>-6.7</v>
      </c>
      <c r="BC5726" s="106">
        <v>-8.4049999999999994</v>
      </c>
      <c r="BI5726" s="106">
        <v>-16.274999999999999</v>
      </c>
      <c r="CM5726" s="106">
        <v>-8.25</v>
      </c>
      <c r="CS5726" s="74">
        <v>-8.3949999999999996</v>
      </c>
      <c r="CY5726" s="106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93"/>
        <v>-24.79</v>
      </c>
      <c r="CM5727" s="106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93"/>
        <v>-14.595000000000001</v>
      </c>
      <c r="AZ5728" s="182">
        <v>-7.1950000000000003</v>
      </c>
      <c r="BC5728" s="106">
        <v>-7.4</v>
      </c>
    </row>
    <row r="5729" spans="1:233" x14ac:dyDescent="0.25">
      <c r="A5729" s="127">
        <v>45940</v>
      </c>
      <c r="B5729" s="24" t="s">
        <v>138</v>
      </c>
      <c r="C5729" s="21">
        <f t="shared" si="93"/>
        <v>-15.36</v>
      </c>
      <c r="W5729" s="163">
        <v>-8.1300000000000008</v>
      </c>
      <c r="AZ5729" s="182">
        <v>-7.23</v>
      </c>
    </row>
    <row r="5730" spans="1:233" x14ac:dyDescent="0.25">
      <c r="A5730" s="127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106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93"/>
        <v>-16.84</v>
      </c>
      <c r="AN5731" s="106">
        <v>-8.5399999999999991</v>
      </c>
      <c r="AR5731" s="106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93"/>
        <v>843.08</v>
      </c>
      <c r="BC5733" s="106">
        <v>32.24</v>
      </c>
      <c r="BI5733" s="106">
        <v>102.285</v>
      </c>
      <c r="BO5733" s="106">
        <v>96.745000000000005</v>
      </c>
      <c r="BU5733" s="106">
        <v>111.75</v>
      </c>
      <c r="CA5733" s="106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93"/>
        <v>-57.045000000000002</v>
      </c>
      <c r="AN5734" s="106">
        <v>-8.5500000000000007</v>
      </c>
      <c r="AW5734" s="106">
        <v>-7.0750000000000002</v>
      </c>
      <c r="BO5734" s="106">
        <v>-8.1199999999999992</v>
      </c>
      <c r="BU5734" s="106">
        <v>-8</v>
      </c>
      <c r="CA5734" s="106">
        <v>-8.9499999999999993</v>
      </c>
      <c r="CG5734" s="106">
        <v>-8.6</v>
      </c>
      <c r="CM5734" s="106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5">SUM(D5735:JT5735)</f>
        <v>-16.175000000000001</v>
      </c>
      <c r="BU5735" s="106">
        <v>-7.9850000000000003</v>
      </c>
      <c r="CA5735" s="106">
        <v>-8.19</v>
      </c>
    </row>
    <row r="5736" spans="1:233" x14ac:dyDescent="0.25">
      <c r="A5736" s="127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5"/>
        <v>-81.510000000000005</v>
      </c>
      <c r="AC5737" s="106">
        <v>-7.8849999999999998</v>
      </c>
      <c r="AG5737" s="106">
        <v>-8.0150000000000006</v>
      </c>
      <c r="BI5737" s="106">
        <v>-16.88</v>
      </c>
      <c r="BU5737" s="106">
        <v>-7.99</v>
      </c>
      <c r="CA5737" s="106">
        <v>-8.16</v>
      </c>
      <c r="CG5737" s="106">
        <v>-17.23</v>
      </c>
      <c r="CM5737" s="106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5"/>
        <v>-128.44</v>
      </c>
      <c r="BO5738" s="106">
        <v>-30.03</v>
      </c>
      <c r="BU5738" s="106">
        <v>-31.914999999999999</v>
      </c>
      <c r="CA5738" s="106">
        <v>-31.77</v>
      </c>
      <c r="CG5738" s="106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5"/>
        <v>-33.975000000000001</v>
      </c>
      <c r="BI5739" s="106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5"/>
        <v>-31.614999999999998</v>
      </c>
      <c r="W5740" s="163">
        <v>-7</v>
      </c>
      <c r="BI5740" s="106">
        <v>-8.51</v>
      </c>
      <c r="BO5740" s="106">
        <v>-8.1349999999999998</v>
      </c>
      <c r="BU5740" s="106">
        <v>-7.97</v>
      </c>
    </row>
    <row r="5741" spans="1:233" x14ac:dyDescent="0.25">
      <c r="A5741" s="127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5"/>
        <v>-24.344999999999999</v>
      </c>
      <c r="BO5742" s="106">
        <v>-8.16</v>
      </c>
      <c r="BU5742" s="106">
        <v>-7.98</v>
      </c>
      <c r="CA5742" s="106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5"/>
        <v>-24.49</v>
      </c>
      <c r="AR5743" s="106">
        <v>-8.36</v>
      </c>
      <c r="BU5743" s="106">
        <v>-7.99</v>
      </c>
      <c r="CA5743" s="106">
        <v>-8.14</v>
      </c>
    </row>
    <row r="5744" spans="1:233" x14ac:dyDescent="0.25">
      <c r="A5744" s="127">
        <v>45945</v>
      </c>
      <c r="B5744" s="24" t="s">
        <v>33</v>
      </c>
      <c r="C5744" s="21">
        <f t="shared" si="95"/>
        <v>-24.92</v>
      </c>
      <c r="AR5744" s="106">
        <v>-8.2100000000000009</v>
      </c>
      <c r="BI5744" s="106">
        <v>-8.52</v>
      </c>
      <c r="CA5744" s="106">
        <v>-8.19</v>
      </c>
    </row>
    <row r="5745" spans="1:235" x14ac:dyDescent="0.25">
      <c r="A5745" s="127">
        <v>45945</v>
      </c>
      <c r="B5745" s="24" t="s">
        <v>229</v>
      </c>
      <c r="C5745" s="21">
        <f t="shared" si="95"/>
        <v>-89.185000000000002</v>
      </c>
      <c r="AN5745" s="106">
        <v>-8.58</v>
      </c>
      <c r="AR5745" s="106">
        <v>-8.8249999999999993</v>
      </c>
      <c r="AW5745" s="106">
        <v>-13.4</v>
      </c>
      <c r="BI5745" s="106">
        <v>-8.4849999999999994</v>
      </c>
      <c r="BO5745" s="106">
        <v>-16.875</v>
      </c>
      <c r="BU5745" s="106">
        <v>-7.9749999999999996</v>
      </c>
      <c r="CA5745" s="106">
        <v>-16.45</v>
      </c>
      <c r="CG5745" s="106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106">
        <v>-9.17</v>
      </c>
    </row>
    <row r="5747" spans="1:235" x14ac:dyDescent="0.25">
      <c r="A5747" s="127">
        <v>45945</v>
      </c>
      <c r="B5747" s="24" t="s">
        <v>138</v>
      </c>
      <c r="C5747" s="21">
        <f t="shared" si="95"/>
        <v>-32.055</v>
      </c>
      <c r="AC5747" s="106">
        <v>-8.4049999999999994</v>
      </c>
      <c r="AW5747" s="106">
        <v>-6.25</v>
      </c>
      <c r="BI5747" s="106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6"/>
        <v>-65.3</v>
      </c>
      <c r="CY5750" s="106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6"/>
        <v>-23.355</v>
      </c>
      <c r="AW5751" s="106">
        <v>-6.5</v>
      </c>
      <c r="CG5751" s="106">
        <v>-8.6050000000000004</v>
      </c>
      <c r="CM5751" s="106">
        <v>-8.25</v>
      </c>
    </row>
    <row r="5752" spans="1:235" x14ac:dyDescent="0.25">
      <c r="A5752" s="127">
        <v>45947</v>
      </c>
      <c r="B5752" s="24" t="s">
        <v>192</v>
      </c>
      <c r="C5752" s="21">
        <f t="shared" si="96"/>
        <v>-24.32</v>
      </c>
      <c r="BO5752" s="106">
        <v>-8.1199999999999992</v>
      </c>
      <c r="CM5752" s="106">
        <v>-16.2</v>
      </c>
    </row>
    <row r="5753" spans="1:235" x14ac:dyDescent="0.25">
      <c r="A5753" s="127">
        <v>45947</v>
      </c>
      <c r="B5753" s="24" t="s">
        <v>75</v>
      </c>
      <c r="C5753" s="21">
        <f t="shared" si="96"/>
        <v>-24.67</v>
      </c>
      <c r="AR5753" s="106">
        <v>-8.57</v>
      </c>
      <c r="BO5753" s="106">
        <v>-8.1349999999999998</v>
      </c>
      <c r="BU5753" s="106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6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106">
        <v>-8.6999999999999993</v>
      </c>
      <c r="AW5755" s="106">
        <v>-6.25</v>
      </c>
      <c r="BU5755" s="106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106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386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106">
        <v>-7.25</v>
      </c>
      <c r="BC5759" s="106">
        <v>-8.09</v>
      </c>
      <c r="CG5759" s="106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106">
        <v>-8.9</v>
      </c>
    </row>
    <row r="5761" spans="1:131" x14ac:dyDescent="0.25">
      <c r="A5761" s="127">
        <v>45951</v>
      </c>
      <c r="B5761" s="24" t="s">
        <v>202</v>
      </c>
      <c r="C5761" s="21">
        <f t="shared" si="96"/>
        <v>-59.405000000000001</v>
      </c>
      <c r="D5761" s="386">
        <v>-8.56</v>
      </c>
      <c r="E5761" s="386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6"/>
        <v>-16.504999999999999</v>
      </c>
      <c r="BI5762" s="106">
        <v>-8.5150000000000006</v>
      </c>
      <c r="BU5762" s="106">
        <v>-7.99</v>
      </c>
    </row>
    <row r="5763" spans="1:131" x14ac:dyDescent="0.25">
      <c r="A5763" s="127">
        <v>45951</v>
      </c>
      <c r="B5763" s="24" t="s">
        <v>20</v>
      </c>
      <c r="C5763" s="21">
        <f t="shared" si="96"/>
        <v>-8.06</v>
      </c>
      <c r="AR5763" s="106">
        <v>-8.06</v>
      </c>
    </row>
    <row r="5764" spans="1:131" x14ac:dyDescent="0.25">
      <c r="A5764" s="127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6"/>
        <v>-8.3800000000000008</v>
      </c>
      <c r="BC5765" s="106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6"/>
        <v>-17.25</v>
      </c>
      <c r="CM5766" s="106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6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6"/>
        <v>917.82</v>
      </c>
      <c r="AG5768" s="106">
        <v>34.68</v>
      </c>
      <c r="AW5768" s="106">
        <v>64.38</v>
      </c>
      <c r="BI5768" s="106">
        <v>110.75</v>
      </c>
      <c r="BO5768" s="106">
        <v>115.52500000000001</v>
      </c>
      <c r="BU5768" s="106">
        <v>97.51</v>
      </c>
      <c r="CA5768" s="106">
        <v>98.724999999999994</v>
      </c>
      <c r="CG5768" s="106">
        <v>65.14</v>
      </c>
      <c r="CM5768" s="106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6"/>
        <v>329.53</v>
      </c>
      <c r="BI5769" s="106">
        <v>95.155000000000001</v>
      </c>
      <c r="BU5769" s="106">
        <v>32.335000000000001</v>
      </c>
      <c r="CA5769" s="106">
        <v>34.645000000000003</v>
      </c>
      <c r="CG5769" s="106">
        <v>31.95</v>
      </c>
      <c r="CM5769" s="106">
        <v>33.869999999999997</v>
      </c>
      <c r="CS5769" s="74">
        <v>33.854999999999997</v>
      </c>
      <c r="CY5769" s="106">
        <v>67.72</v>
      </c>
    </row>
    <row r="5770" spans="1:131" x14ac:dyDescent="0.25">
      <c r="A5770" s="127">
        <v>45953</v>
      </c>
      <c r="B5770" s="24" t="s">
        <v>20</v>
      </c>
      <c r="C5770" s="21">
        <f t="shared" si="96"/>
        <v>-16.864999999999998</v>
      </c>
      <c r="AG5770" s="106">
        <v>-8.625</v>
      </c>
      <c r="CA5770" s="106">
        <v>-8.24</v>
      </c>
    </row>
    <row r="5771" spans="1:131" x14ac:dyDescent="0.25">
      <c r="A5771" s="127">
        <v>45953</v>
      </c>
      <c r="B5771" s="24" t="s">
        <v>133</v>
      </c>
      <c r="C5771" s="21">
        <f t="shared" si="96"/>
        <v>-437.59500000000003</v>
      </c>
      <c r="AW5771" s="106">
        <v>-31.74</v>
      </c>
      <c r="BC5771" s="106">
        <v>-15.25</v>
      </c>
      <c r="BI5771" s="106">
        <v>-30.16</v>
      </c>
      <c r="BO5771" s="106">
        <v>-49.104999999999997</v>
      </c>
      <c r="BU5771" s="106">
        <v>-64.745000000000005</v>
      </c>
      <c r="CA5771" s="106">
        <v>-67.484999999999999</v>
      </c>
      <c r="CG5771" s="106">
        <v>-30.844999999999999</v>
      </c>
      <c r="CM5771" s="106">
        <v>-33.734999999999999</v>
      </c>
      <c r="CS5771" s="74">
        <v>-33.854999999999997</v>
      </c>
      <c r="CY5771" s="106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6"/>
        <v>-65.25</v>
      </c>
      <c r="BU5772" s="106">
        <v>-32.299999999999997</v>
      </c>
      <c r="CA5772" s="106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6"/>
        <v>-53.49</v>
      </c>
      <c r="AR5773" s="106">
        <v>-8.09</v>
      </c>
      <c r="AW5773" s="106">
        <v>-13.4</v>
      </c>
      <c r="BC5773" s="106">
        <v>-16.18</v>
      </c>
      <c r="BI5773" s="106">
        <v>-15.82</v>
      </c>
    </row>
    <row r="5774" spans="1:131" x14ac:dyDescent="0.25">
      <c r="A5774" s="127">
        <v>45953</v>
      </c>
      <c r="B5774" s="24" t="s">
        <v>75</v>
      </c>
      <c r="C5774" s="21">
        <f t="shared" si="96"/>
        <v>-16.2</v>
      </c>
      <c r="BI5774" s="106">
        <v>-8.11</v>
      </c>
      <c r="BU5774" s="106">
        <v>-8.09</v>
      </c>
    </row>
    <row r="5775" spans="1:131" x14ac:dyDescent="0.25">
      <c r="A5775" s="127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27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6"/>
        <v>-49.81</v>
      </c>
      <c r="BI5778" s="106">
        <v>-16.004999999999999</v>
      </c>
      <c r="CG5778" s="106">
        <v>-16.835000000000001</v>
      </c>
      <c r="CM5778" s="106">
        <v>-16.97</v>
      </c>
    </row>
    <row r="5779" spans="1:248" x14ac:dyDescent="0.25">
      <c r="A5779" s="127">
        <v>45953</v>
      </c>
      <c r="B5779" s="24" t="s">
        <v>20</v>
      </c>
      <c r="C5779" s="21">
        <f t="shared" si="96"/>
        <v>-32.43</v>
      </c>
      <c r="BC5779" s="106">
        <v>-7.97</v>
      </c>
      <c r="BI5779" s="106">
        <v>-8.1750000000000007</v>
      </c>
      <c r="BO5779" s="106">
        <v>-8.1750000000000007</v>
      </c>
      <c r="BU5779" s="106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7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7"/>
        <v>902.96500000000003</v>
      </c>
      <c r="V5784" s="74">
        <v>70.73</v>
      </c>
      <c r="AC5784" s="106">
        <v>67.965000000000003</v>
      </c>
      <c r="AG5784" s="106">
        <v>49.93</v>
      </c>
      <c r="AR5784" s="106">
        <v>65.484999999999999</v>
      </c>
      <c r="AW5784" s="106">
        <v>66.254999999999995</v>
      </c>
      <c r="BC5784" s="106">
        <v>94.894999999999996</v>
      </c>
      <c r="BU5784" s="106">
        <v>51.225000000000001</v>
      </c>
      <c r="CG5784" s="106">
        <v>32.064999999999998</v>
      </c>
      <c r="CM5784" s="106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7"/>
        <v>-122.98</v>
      </c>
      <c r="AR5785" s="106">
        <v>-16.18</v>
      </c>
      <c r="AW5785" s="106">
        <v>-16.215</v>
      </c>
      <c r="BI5785" s="106">
        <v>-15.91</v>
      </c>
      <c r="BO5785" s="106">
        <v>-16.899999999999999</v>
      </c>
      <c r="BU5785" s="106">
        <v>-8.4849999999999994</v>
      </c>
      <c r="CA5785" s="106">
        <v>-16.454999999999998</v>
      </c>
      <c r="CG5785" s="106">
        <v>-15.99</v>
      </c>
      <c r="CM5785" s="106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7"/>
        <v>-107.87</v>
      </c>
      <c r="AG5786" s="106">
        <v>-8.6999999999999993</v>
      </c>
      <c r="AN5786" s="106">
        <v>-8.4849999999999994</v>
      </c>
      <c r="BI5786" s="106">
        <v>-15.865</v>
      </c>
      <c r="BO5786" s="106">
        <v>-16.914999999999999</v>
      </c>
      <c r="CA5786" s="106">
        <v>-8.24</v>
      </c>
      <c r="CG5786" s="106">
        <v>-7.9349999999999996</v>
      </c>
      <c r="CM5786" s="106">
        <v>-25.344999999999999</v>
      </c>
      <c r="CS5786" s="74">
        <v>-8.3049999999999997</v>
      </c>
      <c r="CY5786" s="106">
        <v>-8.08</v>
      </c>
    </row>
    <row r="5787" spans="1:248" x14ac:dyDescent="0.25">
      <c r="A5787" s="127">
        <v>45958</v>
      </c>
      <c r="B5787" s="24" t="s">
        <v>138</v>
      </c>
      <c r="C5787" s="21">
        <f t="shared" si="97"/>
        <v>-40.700000000000003</v>
      </c>
      <c r="BI5787" s="106">
        <v>-16.344999999999999</v>
      </c>
      <c r="BO5787" s="106">
        <v>-16.239999999999998</v>
      </c>
      <c r="BU5787" s="106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7"/>
        <v>-24.204999999999998</v>
      </c>
      <c r="BC5790" s="106">
        <v>-16.045000000000002</v>
      </c>
      <c r="BU5790" s="106">
        <v>-8.16</v>
      </c>
    </row>
    <row r="5791" spans="1:248" x14ac:dyDescent="0.25">
      <c r="A5791" s="127">
        <v>45958</v>
      </c>
      <c r="B5791" s="24" t="s">
        <v>225</v>
      </c>
      <c r="C5791" s="21">
        <f t="shared" si="97"/>
        <v>-32.83</v>
      </c>
      <c r="BC5791" s="106">
        <v>-15.85</v>
      </c>
      <c r="BU5791" s="106">
        <v>-16.98</v>
      </c>
    </row>
    <row r="5792" spans="1:248" x14ac:dyDescent="0.25">
      <c r="A5792" s="127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106">
        <v>-63</v>
      </c>
    </row>
    <row r="5793" spans="1:248" x14ac:dyDescent="0.25">
      <c r="A5793" s="127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27">
        <v>45958</v>
      </c>
      <c r="B5794" s="24" t="s">
        <v>184</v>
      </c>
      <c r="C5794" s="21">
        <f t="shared" si="97"/>
        <v>-68.334999999999994</v>
      </c>
      <c r="CM5794" s="106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7"/>
        <v>-69.114999999999995</v>
      </c>
      <c r="CM5795" s="106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7"/>
        <v>-140.15</v>
      </c>
      <c r="AN5797" s="106">
        <v>-8.42</v>
      </c>
      <c r="AW5797" s="106">
        <v>-32.46</v>
      </c>
      <c r="BI5797" s="106">
        <v>-31.645</v>
      </c>
      <c r="BU5797" s="106">
        <v>-8.1649999999999991</v>
      </c>
      <c r="CM5797" s="106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7"/>
        <v>-66.3</v>
      </c>
      <c r="BU5799" s="106">
        <v>-17.920000000000002</v>
      </c>
      <c r="CG5799" s="106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106">
        <v>-33.82</v>
      </c>
      <c r="BU5802" s="106">
        <v>-34.505000000000003</v>
      </c>
      <c r="CA5802" s="106">
        <v>-32.664999999999999</v>
      </c>
      <c r="CG5802" s="106">
        <v>-64.02</v>
      </c>
      <c r="CM5802" s="106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106">
        <v>42.725000000000001</v>
      </c>
      <c r="AN5803" s="106">
        <v>30.47</v>
      </c>
      <c r="AW5803" s="106">
        <v>32.79</v>
      </c>
      <c r="BO5803" s="106">
        <v>67.564999999999998</v>
      </c>
      <c r="BU5803" s="106">
        <v>101.78</v>
      </c>
      <c r="CA5803" s="106">
        <v>97.875</v>
      </c>
      <c r="CG5803" s="106">
        <v>96.424999999999997</v>
      </c>
      <c r="CM5803" s="106">
        <v>33.744999999999997</v>
      </c>
      <c r="CS5803" s="74">
        <v>66.790000000000006</v>
      </c>
      <c r="DK5803" s="106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106">
        <v>-7.4950000000000001</v>
      </c>
      <c r="AR5804" s="106">
        <v>-8.3550000000000004</v>
      </c>
      <c r="BI5804" s="106">
        <v>-16.315000000000001</v>
      </c>
      <c r="BO5804" s="106">
        <v>-16.765000000000001</v>
      </c>
      <c r="BU5804" s="106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106">
        <f>-8.39-7.65-7.66</f>
        <v>-23.7</v>
      </c>
      <c r="AR5805" s="106">
        <f>-8.315-7.43</f>
        <v>-15.744999999999999</v>
      </c>
      <c r="AW5805" s="106">
        <f>-8.28-8.295</f>
        <v>-16.574999999999999</v>
      </c>
      <c r="BI5805" s="106">
        <v>-7.9950000000000001</v>
      </c>
      <c r="BU5805" s="106">
        <f>-8.4-8.38</f>
        <v>-16.78</v>
      </c>
      <c r="CA5805" s="106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6"/>
        <v>-16.29</v>
      </c>
      <c r="AW5807" s="106">
        <v>-16.29</v>
      </c>
    </row>
    <row r="5808" spans="1:248" x14ac:dyDescent="0.25">
      <c r="A5808" s="127">
        <v>45965</v>
      </c>
      <c r="B5808" s="24" t="s">
        <v>44</v>
      </c>
      <c r="C5808" s="21">
        <f t="shared" si="96"/>
        <v>-94.564999999999998</v>
      </c>
      <c r="BI5808" s="106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6"/>
        <v>-8.43</v>
      </c>
      <c r="CM5809" s="106">
        <v>-8.43</v>
      </c>
    </row>
    <row r="5810" spans="1:235" x14ac:dyDescent="0.25">
      <c r="A5810" s="127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106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8">SUM(D5811:JT5811)</f>
        <v>-8</v>
      </c>
      <c r="BI5811" s="106">
        <v>-8</v>
      </c>
    </row>
    <row r="5812" spans="1:235" x14ac:dyDescent="0.25">
      <c r="A5812" s="127">
        <v>45965</v>
      </c>
      <c r="B5812" s="24" t="s">
        <v>48</v>
      </c>
      <c r="C5812" s="21">
        <f t="shared" si="98"/>
        <v>-8.4450000000000003</v>
      </c>
      <c r="CM5812" s="106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8"/>
        <v>-8.49</v>
      </c>
      <c r="BO5813" s="106">
        <v>-8.49</v>
      </c>
    </row>
    <row r="5814" spans="1:235" x14ac:dyDescent="0.25">
      <c r="A5814" s="127">
        <v>45966</v>
      </c>
      <c r="B5814" s="24" t="s">
        <v>192</v>
      </c>
      <c r="C5814" s="21">
        <f t="shared" si="98"/>
        <v>-16.635000000000002</v>
      </c>
      <c r="BO5814" s="106">
        <v>-8.19</v>
      </c>
      <c r="BU5814" s="106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8"/>
        <v>-40.145000000000003</v>
      </c>
      <c r="CA5817" s="106">
        <v>-8.5350000000000001</v>
      </c>
      <c r="CG5817" s="106">
        <v>-23.305</v>
      </c>
      <c r="CM5817" s="106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8"/>
        <v>-16.91</v>
      </c>
      <c r="AC5818" s="106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8"/>
        <v>-33.04</v>
      </c>
      <c r="AW5819" s="106">
        <v>-8.26</v>
      </c>
      <c r="CA5819" s="106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8"/>
        <v>-8.49</v>
      </c>
      <c r="BO5820" s="106">
        <v>-8.49</v>
      </c>
    </row>
    <row r="5821" spans="1:235" x14ac:dyDescent="0.25">
      <c r="A5821" s="127">
        <v>45968</v>
      </c>
      <c r="B5821" s="24" t="s">
        <v>48</v>
      </c>
      <c r="C5821" s="21">
        <f t="shared" si="98"/>
        <v>-65.974999999999994</v>
      </c>
      <c r="AN5821" s="106">
        <v>-8.3149999999999995</v>
      </c>
      <c r="AR5821" s="106">
        <v>-8.18</v>
      </c>
      <c r="AW5821" s="106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8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27">
        <v>45971</v>
      </c>
      <c r="B5824" s="24" t="s">
        <v>213</v>
      </c>
      <c r="C5824" s="21">
        <f t="shared" si="98"/>
        <v>-8.17</v>
      </c>
      <c r="AC5824" s="106">
        <v>-8.17</v>
      </c>
    </row>
    <row r="5825" spans="1:191" x14ac:dyDescent="0.25">
      <c r="A5825" s="127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8"/>
        <v>-58.984999999999999</v>
      </c>
      <c r="AW5827" s="106">
        <v>-9.2750000000000004</v>
      </c>
      <c r="BU5827" s="106">
        <v>-16.864999999999998</v>
      </c>
      <c r="CA5827" s="106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8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8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9">SUM(D5830:JT5830)</f>
        <v>-35.064999999999998</v>
      </c>
      <c r="BU5830" s="106">
        <v>-8.375</v>
      </c>
      <c r="CS5830" s="74">
        <v>-8.34</v>
      </c>
      <c r="DK5830" s="106">
        <v>-8.8800000000000008</v>
      </c>
      <c r="DM5830" s="46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9"/>
        <v>611.83000000000004</v>
      </c>
      <c r="BD5831" s="121">
        <v>66.165000000000006</v>
      </c>
      <c r="BI5831" s="106">
        <v>101.185</v>
      </c>
      <c r="BO5831" s="106">
        <v>101.71</v>
      </c>
      <c r="BU5831" s="106">
        <v>79.795000000000002</v>
      </c>
      <c r="CA5831" s="106">
        <v>101.155</v>
      </c>
      <c r="CG5831" s="106">
        <v>98.545000000000002</v>
      </c>
      <c r="CM5831" s="106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9"/>
        <v>-265.85500000000002</v>
      </c>
      <c r="AW5832" s="106">
        <v>-8.2349999999999994</v>
      </c>
      <c r="BI5832" s="106">
        <v>-26.344999999999999</v>
      </c>
      <c r="BO5832" s="106">
        <v>-34.034999999999997</v>
      </c>
      <c r="BU5832" s="106">
        <v>-31.875</v>
      </c>
      <c r="CA5832" s="106">
        <v>-33.17</v>
      </c>
      <c r="CG5832" s="106">
        <v>-16.545000000000002</v>
      </c>
      <c r="CM5832" s="106">
        <v>-16.05</v>
      </c>
      <c r="CS5832" s="74">
        <v>-33.274999999999999</v>
      </c>
      <c r="CY5832" s="106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9"/>
        <v>-73.040000000000006</v>
      </c>
      <c r="BD5833" s="121">
        <v>-24.515000000000001</v>
      </c>
      <c r="BI5833" s="106">
        <v>-24.49</v>
      </c>
      <c r="BU5833" s="106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9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9"/>
        <v>-41.29</v>
      </c>
      <c r="AW5835" s="106">
        <v>-7.98</v>
      </c>
      <c r="BD5835" s="121">
        <v>-16.46</v>
      </c>
      <c r="BO5835" s="106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9"/>
        <v>-32.825000000000003</v>
      </c>
      <c r="BI5836" s="106">
        <v>-8.3849999999999998</v>
      </c>
      <c r="BO5836" s="106">
        <v>-8.4949999999999992</v>
      </c>
      <c r="CG5836" s="106">
        <v>-7.9</v>
      </c>
      <c r="CM5836" s="106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9"/>
        <v>-24.765000000000001</v>
      </c>
      <c r="BO5837" s="106">
        <v>-8.4700000000000006</v>
      </c>
      <c r="BU5837" s="106">
        <v>-7.95</v>
      </c>
      <c r="CA5837" s="106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9"/>
        <v>-41.87</v>
      </c>
      <c r="BD5838" s="121">
        <v>-7.9649999999999999</v>
      </c>
      <c r="BO5838" s="106">
        <v>-8.5</v>
      </c>
      <c r="CG5838" s="106">
        <v>-17.355</v>
      </c>
      <c r="CM5838" s="106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9"/>
        <v>-33.229999999999997</v>
      </c>
      <c r="AN5839" s="106">
        <v>-7.665</v>
      </c>
      <c r="BD5839" s="121">
        <v>-8.875</v>
      </c>
      <c r="BI5839" s="106">
        <v>-8.35</v>
      </c>
      <c r="CA5839" s="106">
        <v>-8.34</v>
      </c>
    </row>
    <row r="5840" spans="1:191" x14ac:dyDescent="0.25">
      <c r="A5840" s="127">
        <v>45974</v>
      </c>
      <c r="B5840" s="24" t="s">
        <v>218</v>
      </c>
      <c r="C5840" s="21">
        <f t="shared" si="99"/>
        <v>-54.545000000000002</v>
      </c>
      <c r="BO5840" s="106">
        <v>-8.42</v>
      </c>
      <c r="CA5840" s="106">
        <v>-8.2850000000000001</v>
      </c>
      <c r="CY5840" s="106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9"/>
        <v>-8.4700000000000006</v>
      </c>
      <c r="BO5844" s="106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100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100"/>
        <v>-8.3800000000000008</v>
      </c>
      <c r="AR5846" s="106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100"/>
        <v>-48.534999999999997</v>
      </c>
      <c r="BU5848" s="106">
        <v>-15.935</v>
      </c>
      <c r="CA5848" s="106">
        <v>-16.32</v>
      </c>
      <c r="CG5848" s="106">
        <v>-16.28</v>
      </c>
    </row>
    <row r="5849" spans="1:226" x14ac:dyDescent="0.25">
      <c r="A5849" s="127">
        <v>45979</v>
      </c>
      <c r="B5849" s="24" t="s">
        <v>171</v>
      </c>
      <c r="C5849" s="21">
        <f t="shared" si="100"/>
        <v>-42.75</v>
      </c>
      <c r="DK5849" s="106">
        <v>-42.75</v>
      </c>
    </row>
    <row r="5850" spans="1:226" x14ac:dyDescent="0.25">
      <c r="A5850" s="127">
        <v>45980</v>
      </c>
      <c r="B5850" s="24" t="s">
        <v>25</v>
      </c>
      <c r="C5850" s="21">
        <f t="shared" si="100"/>
        <v>-33.244999999999997</v>
      </c>
      <c r="AN5850" s="106">
        <v>-8.41</v>
      </c>
      <c r="BI5850" s="106">
        <v>-8.4</v>
      </c>
      <c r="CS5850" s="74">
        <v>-8.3949999999999996</v>
      </c>
      <c r="CY5850" s="106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100"/>
        <v>741.87</v>
      </c>
      <c r="AW5851" s="106">
        <v>68.19</v>
      </c>
      <c r="BC5851" s="106">
        <v>64.67</v>
      </c>
      <c r="BI5851" s="106">
        <v>68.995000000000005</v>
      </c>
      <c r="BO5851" s="106">
        <v>67.98</v>
      </c>
      <c r="BU5851" s="106">
        <f>35.72+34.475</f>
        <v>70.194999999999993</v>
      </c>
      <c r="CA5851" s="106">
        <v>67.364999999999995</v>
      </c>
      <c r="CG5851" s="106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100"/>
        <v>-74.984999999999999</v>
      </c>
      <c r="BI5852" s="106">
        <v>-16.815000000000001</v>
      </c>
      <c r="BO5852" s="106">
        <v>-16.864999999999998</v>
      </c>
      <c r="BU5852" s="106">
        <v>-8.6150000000000002</v>
      </c>
      <c r="CA5852" s="106">
        <v>-16.684999999999999</v>
      </c>
      <c r="CG5852" s="106">
        <v>-7.9450000000000003</v>
      </c>
      <c r="CM5852" s="106">
        <v>-8.06</v>
      </c>
    </row>
    <row r="5853" spans="1:226" x14ac:dyDescent="0.25">
      <c r="A5853" s="127">
        <v>45980</v>
      </c>
      <c r="B5853" s="24" t="s">
        <v>184</v>
      </c>
      <c r="C5853" s="21">
        <f t="shared" si="100"/>
        <v>-269.89</v>
      </c>
      <c r="AN5853" s="106">
        <v>-16.850000000000001</v>
      </c>
      <c r="AR5853" s="106">
        <v>-8.375</v>
      </c>
      <c r="AW5853" s="106">
        <v>-17.254999999999999</v>
      </c>
      <c r="BC5853" s="106">
        <v>-23.98</v>
      </c>
      <c r="BI5853" s="106">
        <v>-34.555</v>
      </c>
      <c r="BO5853" s="106">
        <v>-34.115000000000002</v>
      </c>
      <c r="BU5853" s="106">
        <v>-34.435000000000002</v>
      </c>
      <c r="CA5853" s="106">
        <v>-34.414999999999999</v>
      </c>
      <c r="CG5853" s="106">
        <v>-34.744999999999997</v>
      </c>
      <c r="CM5853" s="106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100"/>
        <v>-35.26</v>
      </c>
      <c r="BC5854" s="106">
        <v>-8.2050000000000001</v>
      </c>
      <c r="BO5854" s="106">
        <v>-17.62</v>
      </c>
      <c r="BU5854" s="106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100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100"/>
        <v>-8.25</v>
      </c>
      <c r="BC5856" s="106">
        <v>-8.25</v>
      </c>
    </row>
    <row r="5857" spans="1:208" x14ac:dyDescent="0.25">
      <c r="A5857" s="127">
        <v>45980</v>
      </c>
      <c r="B5857" s="24" t="s">
        <v>192</v>
      </c>
      <c r="C5857" s="21">
        <f t="shared" si="100"/>
        <v>-8.3650000000000002</v>
      </c>
      <c r="BC5857" s="106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100"/>
        <v>-16.97</v>
      </c>
      <c r="AG5858" s="106">
        <v>-8.65</v>
      </c>
      <c r="AR5858" s="106">
        <v>-8.32</v>
      </c>
    </row>
    <row r="5859" spans="1:208" x14ac:dyDescent="0.25">
      <c r="A5859" s="127">
        <v>45981</v>
      </c>
      <c r="B5859" s="24" t="s">
        <v>174</v>
      </c>
      <c r="C5859" s="21">
        <f t="shared" si="100"/>
        <v>-16.094999999999999</v>
      </c>
      <c r="CM5859" s="106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101">SUM(D5860:JT5860)</f>
        <v>-31.92</v>
      </c>
      <c r="AC5860" s="106">
        <v>-14.994999999999999</v>
      </c>
      <c r="AN5860" s="106">
        <v>-8.31</v>
      </c>
      <c r="BU5860" s="106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101"/>
        <v>-48.85</v>
      </c>
      <c r="DA5861" s="126">
        <v>-15.03</v>
      </c>
      <c r="DE5861" s="74">
        <v>-17.260000000000002</v>
      </c>
      <c r="DM5861" s="46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101"/>
        <v>-116.92</v>
      </c>
      <c r="V5862" s="74">
        <f>-8.85-8.87</f>
        <v>-17.72</v>
      </c>
      <c r="AG5862" s="106">
        <v>-15.244999999999999</v>
      </c>
      <c r="BI5862" s="106">
        <f>-8.64-8.62-8.695-8.4</f>
        <v>-34.354999999999997</v>
      </c>
      <c r="CA5862" s="106">
        <v>-32.950000000000003</v>
      </c>
      <c r="CG5862" s="106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101"/>
        <v>-49.865000000000002</v>
      </c>
      <c r="AC5863" s="106">
        <v>-8.4</v>
      </c>
      <c r="AG5863" s="106">
        <v>-8.65</v>
      </c>
      <c r="BC5863" s="106">
        <v>-15.87</v>
      </c>
      <c r="BO5863" s="106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101"/>
        <v>-16.945</v>
      </c>
      <c r="E5864" s="386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102">SUM(D5867:JT5867)</f>
        <v>-8.4849999999999994</v>
      </c>
      <c r="BI5867" s="106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102"/>
        <v>833.69500000000005</v>
      </c>
      <c r="AG5868" s="106">
        <v>72.204999999999998</v>
      </c>
      <c r="AN5868" s="106">
        <v>32.130000000000003</v>
      </c>
      <c r="AR5868" s="106">
        <v>31.45</v>
      </c>
      <c r="AW5868" s="106">
        <v>33.909999999999997</v>
      </c>
      <c r="BC5868" s="106">
        <v>68.234999999999999</v>
      </c>
      <c r="BI5868" s="106">
        <v>103.295</v>
      </c>
      <c r="BO5868" s="106">
        <v>101.24</v>
      </c>
      <c r="BU5868" s="106">
        <v>68.66</v>
      </c>
      <c r="CA5868" s="106">
        <v>69.555000000000007</v>
      </c>
      <c r="CG5868" s="106">
        <v>69.405000000000001</v>
      </c>
      <c r="CM5868" s="106">
        <v>83.534999999999997</v>
      </c>
      <c r="CS5868" s="74">
        <v>67.275000000000006</v>
      </c>
      <c r="CY5868" s="106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102"/>
        <v>-101.32</v>
      </c>
      <c r="CG5869" s="106">
        <v>-17.38</v>
      </c>
      <c r="CM5869" s="106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102"/>
        <v>-25.61</v>
      </c>
      <c r="AN5870" s="106">
        <v>-8.4250000000000007</v>
      </c>
      <c r="BI5870" s="106">
        <v>-8.6649999999999991</v>
      </c>
      <c r="BO5870" s="106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103">SUM(D5871:JT5871)</f>
        <v>-84.76</v>
      </c>
      <c r="BU5871" s="106">
        <v>-17.2</v>
      </c>
      <c r="CA5871" s="106">
        <v>-17.375</v>
      </c>
      <c r="CG5871" s="106">
        <v>-17.375</v>
      </c>
      <c r="CM5871" s="106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106">
        <v>-8.1199999999999992</v>
      </c>
      <c r="CA5872" s="106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103"/>
        <v>-42.69</v>
      </c>
      <c r="AC5873" s="106">
        <v>-3.71</v>
      </c>
      <c r="AG5873" s="106">
        <v>-3.67</v>
      </c>
      <c r="AN5873" s="106">
        <v>-5.69</v>
      </c>
      <c r="AR5873" s="106">
        <v>-4.01</v>
      </c>
      <c r="AW5873" s="106">
        <v>-4.41</v>
      </c>
      <c r="BC5873" s="106">
        <v>-4</v>
      </c>
      <c r="BI5873" s="106">
        <v>-4.3499999999999996</v>
      </c>
      <c r="BO5873" s="106">
        <v>-4.1500000000000004</v>
      </c>
      <c r="BU5873" s="106">
        <v>-4.2699999999999996</v>
      </c>
      <c r="CA5873" s="106">
        <v>-4.43</v>
      </c>
    </row>
    <row r="5874" spans="1:249" x14ac:dyDescent="0.25">
      <c r="A5874" s="127">
        <v>45986</v>
      </c>
      <c r="B5874" s="24" t="s">
        <v>138</v>
      </c>
      <c r="C5874" s="21">
        <f t="shared" si="103"/>
        <v>-34.25</v>
      </c>
      <c r="AR5874" s="106">
        <v>-8.1</v>
      </c>
      <c r="AW5874" s="106">
        <v>-8.5749999999999993</v>
      </c>
      <c r="BC5874" s="106">
        <v>-8.9700000000000006</v>
      </c>
      <c r="BU5874" s="106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103"/>
        <v>-51.585000000000001</v>
      </c>
      <c r="BC5875" s="106">
        <f>-9.035-9.345-8.12</f>
        <v>-26.5</v>
      </c>
      <c r="BO5875" s="106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103"/>
        <v>-17.375</v>
      </c>
      <c r="CA5877" s="106">
        <v>-8.68</v>
      </c>
      <c r="CG5877" s="106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103"/>
        <v>661.87</v>
      </c>
      <c r="AN5878" s="106">
        <v>31.574999999999999</v>
      </c>
      <c r="AR5878" s="106">
        <v>32.115000000000002</v>
      </c>
      <c r="BO5878" s="106">
        <v>34.015000000000001</v>
      </c>
      <c r="BU5878" s="106">
        <v>31.914999999999999</v>
      </c>
      <c r="CA5878" s="106">
        <v>34.46</v>
      </c>
      <c r="CM5878" s="106">
        <v>99.6</v>
      </c>
      <c r="CS5878" s="74">
        <v>68.795000000000002</v>
      </c>
      <c r="CY5878" s="106">
        <v>32.770000000000003</v>
      </c>
      <c r="DE5878" s="74">
        <v>34.380000000000003</v>
      </c>
      <c r="DK5878" s="106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103"/>
        <v>539.26</v>
      </c>
      <c r="AN5879" s="106">
        <v>32.17</v>
      </c>
      <c r="BI5879" s="106">
        <v>34.54</v>
      </c>
      <c r="BO5879" s="106">
        <v>32.984999999999999</v>
      </c>
      <c r="BU5879" s="106">
        <v>68.754999999999995</v>
      </c>
      <c r="CA5879" s="106">
        <v>34.795000000000002</v>
      </c>
      <c r="CG5879" s="106">
        <v>69.790000000000006</v>
      </c>
      <c r="CM5879" s="106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103"/>
        <v>550.12</v>
      </c>
      <c r="D5880" s="386">
        <v>32.75</v>
      </c>
      <c r="E5880" s="386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103"/>
        <v>-34.534999999999997</v>
      </c>
      <c r="BO5881" s="106">
        <v>-8.57</v>
      </c>
      <c r="BU5881" s="106">
        <v>-8.58</v>
      </c>
      <c r="CA5881" s="106">
        <v>-8.6950000000000003</v>
      </c>
      <c r="CG5881" s="106">
        <v>-8.69</v>
      </c>
    </row>
    <row r="5882" spans="1:249" x14ac:dyDescent="0.25">
      <c r="A5882" s="127">
        <v>45988</v>
      </c>
      <c r="B5882" s="24" t="s">
        <v>152</v>
      </c>
      <c r="C5882" s="21">
        <f t="shared" si="103"/>
        <v>-539.26</v>
      </c>
      <c r="AN5882" s="106">
        <v>-32.17</v>
      </c>
      <c r="BI5882" s="106">
        <v>-34.54</v>
      </c>
      <c r="BO5882" s="106">
        <v>-32.984999999999999</v>
      </c>
      <c r="BU5882" s="106">
        <v>-68.754999999999995</v>
      </c>
      <c r="CA5882" s="106">
        <v>-34.795000000000002</v>
      </c>
      <c r="CG5882" s="106">
        <v>-69.790000000000006</v>
      </c>
      <c r="CM5882" s="106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103"/>
        <v>-633.26499999999999</v>
      </c>
      <c r="BI5883" s="106">
        <v>-34.6</v>
      </c>
      <c r="BO5883" s="106">
        <v>-34.015000000000001</v>
      </c>
      <c r="BU5883" s="106">
        <v>-31.914999999999999</v>
      </c>
      <c r="CA5883" s="106">
        <v>-34.46</v>
      </c>
      <c r="CG5883" s="106">
        <v>-34.604999999999997</v>
      </c>
      <c r="CM5883" s="106">
        <v>-33.78</v>
      </c>
      <c r="CS5883" s="74">
        <v>-34.380000000000003</v>
      </c>
      <c r="CY5883" s="106">
        <v>-32.770000000000003</v>
      </c>
      <c r="DE5883" s="74">
        <v>-34.380000000000003</v>
      </c>
      <c r="DK5883" s="106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4">SUM(D5884:JT5884)</f>
        <v>-136.16499999999999</v>
      </c>
      <c r="P5884" s="106">
        <v>-8</v>
      </c>
      <c r="Z5884" s="79">
        <f>-8.935-35.935</f>
        <v>-44.87</v>
      </c>
      <c r="CM5884" s="106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4"/>
        <v>-61.814999999999998</v>
      </c>
      <c r="D5885" s="386">
        <v>-32.75</v>
      </c>
      <c r="E5885" s="386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4"/>
        <v>-27.79</v>
      </c>
      <c r="AC5886" s="106">
        <v>-3.85</v>
      </c>
      <c r="AG5886" s="106">
        <v>-3.49</v>
      </c>
      <c r="AR5886" s="106">
        <v>-4.08</v>
      </c>
      <c r="AW5886" s="106">
        <v>-3.83</v>
      </c>
      <c r="BC5886" s="106">
        <v>-4.0999999999999996</v>
      </c>
      <c r="BO5886" s="106">
        <v>-4.24</v>
      </c>
      <c r="BU5886" s="106">
        <v>-4.2</v>
      </c>
    </row>
    <row r="5887" spans="1:249" x14ac:dyDescent="0.25">
      <c r="A5887" s="127">
        <v>45989</v>
      </c>
      <c r="B5887" s="24" t="s">
        <v>213</v>
      </c>
      <c r="C5887" s="21">
        <f t="shared" si="104"/>
        <v>-30.355</v>
      </c>
      <c r="BI5887" s="106">
        <f>-4.3-8.645-8.665</f>
        <v>-21.61</v>
      </c>
      <c r="CG5887" s="106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4"/>
        <v>-64.364999999999995</v>
      </c>
      <c r="BO5888" s="106">
        <v>-25.32</v>
      </c>
      <c r="CA5888" s="106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4"/>
        <v>-16.93</v>
      </c>
      <c r="AR5890" s="106">
        <v>-8.23</v>
      </c>
      <c r="AW5890" s="106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4"/>
        <v>-17.204999999999998</v>
      </c>
      <c r="BI5891" s="106">
        <v>-8.5749999999999993</v>
      </c>
      <c r="BU5891" s="106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4"/>
        <v>-24.95</v>
      </c>
      <c r="AN5892" s="106">
        <v>-8.0850000000000009</v>
      </c>
      <c r="CM5892" s="106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4"/>
        <v>-58.92</v>
      </c>
      <c r="AC5893" s="106">
        <v>-8.6</v>
      </c>
      <c r="DE5893" s="74">
        <f>-8.64-8.62</f>
        <v>-17.260000000000002</v>
      </c>
      <c r="DK5893" s="106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4"/>
        <v>-42.744999999999997</v>
      </c>
      <c r="BU5894" s="106">
        <v>-17.18</v>
      </c>
      <c r="CA5894" s="106">
        <v>-8.68</v>
      </c>
      <c r="CM5894" s="106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4"/>
        <v>-58.46</v>
      </c>
      <c r="AR5895" s="106">
        <v>-7.2149999999999999</v>
      </c>
      <c r="AW5895" s="106">
        <v>-8.6549999999999994</v>
      </c>
      <c r="BC5895" s="106">
        <v>-8.2449999999999992</v>
      </c>
      <c r="BI5895" s="106">
        <f>-8.665-8.66</f>
        <v>-17.324999999999999</v>
      </c>
      <c r="BO5895" s="106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4"/>
        <v>-52.914999999999999</v>
      </c>
      <c r="AN5896" s="106">
        <v>-8.44</v>
      </c>
      <c r="CS5896" s="74">
        <f>-8.3-8.3</f>
        <v>-16.600000000000001</v>
      </c>
      <c r="CY5896" s="106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5">SUM(D5897:JT5897)</f>
        <v>-25.695</v>
      </c>
      <c r="CM5897" s="106">
        <v>-8.41</v>
      </c>
      <c r="CS5897" s="74">
        <v>-9.0850000000000009</v>
      </c>
      <c r="CY5897" s="106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5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5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106">
        <v>79.599999999999994</v>
      </c>
      <c r="BC5904" s="106">
        <v>156.54</v>
      </c>
      <c r="BI5904" s="106">
        <v>110.375</v>
      </c>
      <c r="CS5904" s="74">
        <f>25.855+41.27</f>
        <v>67.125</v>
      </c>
      <c r="CY5904" s="106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5"/>
        <v>415.15</v>
      </c>
      <c r="BO5905" s="106">
        <v>96.435000000000002</v>
      </c>
      <c r="BU5905" s="106">
        <v>98.1</v>
      </c>
      <c r="CA5905" s="106">
        <v>108.95</v>
      </c>
      <c r="CM5905" s="106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5"/>
        <v>-785.64</v>
      </c>
      <c r="BC5907" s="106">
        <v>-93.64</v>
      </c>
      <c r="BI5907" s="106">
        <v>-94.635000000000005</v>
      </c>
      <c r="BO5907" s="106">
        <v>-96.435000000000002</v>
      </c>
      <c r="BU5907" s="106">
        <v>-98.1</v>
      </c>
      <c r="CA5907" s="106">
        <v>-108.95</v>
      </c>
      <c r="CM5907" s="106">
        <v>-94.59</v>
      </c>
      <c r="CS5907" s="74">
        <v>-67.125</v>
      </c>
      <c r="CY5907" s="106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5"/>
        <v>-50.08</v>
      </c>
      <c r="M5908" s="92">
        <v>-8.81</v>
      </c>
      <c r="AC5908" s="106">
        <v>-8.5850000000000009</v>
      </c>
      <c r="CY5908" s="106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5"/>
        <v>-39.164999999999999</v>
      </c>
      <c r="AG5909" s="106">
        <v>-6.7</v>
      </c>
      <c r="AN5909" s="106">
        <v>-7.96</v>
      </c>
      <c r="AR5909" s="106">
        <v>-8.0950000000000006</v>
      </c>
      <c r="BC5909" s="106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5"/>
        <v>-68.83</v>
      </c>
      <c r="BI5910" s="106">
        <v>-8.8550000000000004</v>
      </c>
      <c r="DE5910" s="74">
        <v>-17.190000000000001</v>
      </c>
      <c r="DK5910" s="106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5"/>
        <v>-15.85</v>
      </c>
      <c r="AN5911" s="106">
        <v>-7.8150000000000004</v>
      </c>
      <c r="AR5911" s="106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5"/>
        <v>-44.524999999999999</v>
      </c>
      <c r="E5912" s="386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5"/>
        <v>-34.784999999999997</v>
      </c>
      <c r="CY5913" s="106">
        <v>-8.1850000000000005</v>
      </c>
      <c r="DA5913" s="126">
        <v>-8.57</v>
      </c>
      <c r="DE5913" s="74">
        <v>-8.6300000000000008</v>
      </c>
      <c r="DM5913" s="46">
        <v>-9.4</v>
      </c>
    </row>
    <row r="5914" spans="1:199" x14ac:dyDescent="0.25">
      <c r="A5914" s="127">
        <v>45999</v>
      </c>
      <c r="B5914" s="24" t="s">
        <v>171</v>
      </c>
      <c r="C5914" s="21">
        <f t="shared" si="105"/>
        <v>-14.765000000000001</v>
      </c>
      <c r="BC5914" s="106">
        <v>-7.88</v>
      </c>
      <c r="BI5914" s="106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5"/>
        <v>-8.7149999999999999</v>
      </c>
      <c r="DK5915" s="106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5"/>
        <v>-7.8949999999999996</v>
      </c>
      <c r="BC5917" s="106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5"/>
        <v>795.36</v>
      </c>
      <c r="BI5918" s="106">
        <v>70.13</v>
      </c>
      <c r="BO5918" s="106">
        <v>97.364999999999995</v>
      </c>
      <c r="BU5918" s="106">
        <v>64.444999999999993</v>
      </c>
      <c r="CA5918" s="106">
        <v>97.165000000000006</v>
      </c>
      <c r="CG5918" s="106">
        <v>172.97</v>
      </c>
      <c r="CS5918" s="74">
        <v>34.54</v>
      </c>
      <c r="CY5918" s="106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5"/>
        <v>-365.27</v>
      </c>
      <c r="CG5919" s="106">
        <v>-104.04</v>
      </c>
      <c r="CS5919" s="74">
        <v>-34.54</v>
      </c>
      <c r="CY5919" s="106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5"/>
        <v>-75.665000000000006</v>
      </c>
      <c r="BC5920" s="106">
        <v>-8.01</v>
      </c>
      <c r="BO5920" s="106">
        <f>-8.59-8.605-8.59</f>
        <v>-25.785</v>
      </c>
      <c r="CA5920" s="106">
        <f>-8.14-8.185-8.18</f>
        <v>-24.504999999999999</v>
      </c>
      <c r="CG5920" s="106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5"/>
        <v>-9.0850000000000009</v>
      </c>
      <c r="BI5921" s="106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5"/>
        <v>-8.8949999999999996</v>
      </c>
      <c r="BI5922" s="106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5"/>
        <v>-123.14</v>
      </c>
      <c r="AN5924" s="106">
        <v>-16.125</v>
      </c>
      <c r="AR5924" s="106">
        <v>-15.51</v>
      </c>
      <c r="AW5924" s="106">
        <v>-8.6300000000000008</v>
      </c>
      <c r="BC5924" s="106">
        <v>-7.87</v>
      </c>
      <c r="BI5924" s="106">
        <v>-16.675000000000001</v>
      </c>
      <c r="BO5924" s="106">
        <v>-17.364999999999998</v>
      </c>
      <c r="BU5924" s="106">
        <v>-16.07</v>
      </c>
      <c r="CA5924" s="106">
        <v>-16.36</v>
      </c>
      <c r="CM5924" s="106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5"/>
        <v>-24.71</v>
      </c>
      <c r="DA5925" s="126">
        <v>-8.09</v>
      </c>
      <c r="DK5925" s="106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5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5"/>
        <v>-16.82</v>
      </c>
      <c r="AW5927" s="106">
        <v>-8.7750000000000004</v>
      </c>
      <c r="BC5927" s="106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5"/>
        <v>-49.625</v>
      </c>
      <c r="BU5928" s="106">
        <v>-15.83</v>
      </c>
      <c r="CG5928" s="106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5"/>
        <v>-62.34</v>
      </c>
      <c r="BC5930" s="106">
        <v>-7.81</v>
      </c>
      <c r="BI5930" s="106">
        <v>-8.75</v>
      </c>
      <c r="BO5930" s="106">
        <f>-8.68-7.215</f>
        <v>-15.895</v>
      </c>
      <c r="BU5930" s="106">
        <f>-8.165-7.95</f>
        <v>-16.114999999999998</v>
      </c>
      <c r="CA5930" s="106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5"/>
        <v>-25.52</v>
      </c>
      <c r="BO5931" s="106">
        <v>-17.285</v>
      </c>
      <c r="BU5931" s="106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5"/>
        <v>-50.414999999999999</v>
      </c>
      <c r="CM5932" s="106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5"/>
        <v>-7</v>
      </c>
      <c r="BO5933" s="106">
        <v>-7</v>
      </c>
    </row>
    <row r="5934" spans="1:182" x14ac:dyDescent="0.25">
      <c r="A5934" s="127">
        <v>46006</v>
      </c>
      <c r="B5934" s="24" t="s">
        <v>113</v>
      </c>
      <c r="C5934" s="21">
        <f t="shared" si="105"/>
        <v>506.77</v>
      </c>
      <c r="BU5934" s="106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5"/>
        <v>0</v>
      </c>
      <c r="AW5935" s="106">
        <v>-8.68</v>
      </c>
      <c r="AY5935" s="126">
        <v>8.68</v>
      </c>
      <c r="BU5935" s="106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6">SUM(D5936:JT5936)</f>
        <v>-57.015000000000001</v>
      </c>
      <c r="AW5936" s="106">
        <v>-7.99</v>
      </c>
      <c r="BC5936" s="106">
        <v>-7.8849999999999998</v>
      </c>
      <c r="BI5936" s="106">
        <v>-8.91</v>
      </c>
      <c r="BO5936" s="106">
        <v>-6.81</v>
      </c>
      <c r="BU5936" s="106">
        <v>-8.1950000000000003</v>
      </c>
      <c r="CA5936" s="106">
        <v>-8.6850000000000005</v>
      </c>
      <c r="CM5936" s="106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6"/>
        <v>26.67</v>
      </c>
      <c r="AW5938" s="106">
        <v>-34.284999999999997</v>
      </c>
      <c r="CF5938" s="69">
        <v>33.880000000000003</v>
      </c>
      <c r="CR5938" s="375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6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7">SUM(D5940:JT5940)</f>
        <v>84.915000000000006</v>
      </c>
      <c r="E5940" s="386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7"/>
        <v>-16.84</v>
      </c>
      <c r="AR5941" s="106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7"/>
        <v>-33.715000000000003</v>
      </c>
      <c r="E5942" s="386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7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7"/>
        <v>-25.27</v>
      </c>
      <c r="BI5944" s="106">
        <v>-8.9</v>
      </c>
      <c r="BW5944" s="126">
        <v>-7.03</v>
      </c>
      <c r="CA5944" s="106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7"/>
        <v>-25.335000000000001</v>
      </c>
      <c r="CM5945" s="106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7"/>
        <v>-29.68</v>
      </c>
      <c r="BW5946" s="126">
        <v>-6.3</v>
      </c>
      <c r="CA5946" s="106">
        <v>-8.1349999999999998</v>
      </c>
      <c r="CF5946" s="69">
        <v>-8.4849999999999994</v>
      </c>
      <c r="CM5946" s="106">
        <v>-6.76</v>
      </c>
    </row>
    <row r="5947" spans="1:248" x14ac:dyDescent="0.25">
      <c r="A5947" s="127">
        <v>46008</v>
      </c>
      <c r="B5947" s="24" t="s">
        <v>39</v>
      </c>
      <c r="C5947" s="21">
        <f t="shared" si="107"/>
        <v>-67.105000000000004</v>
      </c>
      <c r="AC5947" s="106">
        <v>-7.665</v>
      </c>
      <c r="BI5947" s="106">
        <v>-8.9149999999999991</v>
      </c>
      <c r="BO5947" s="106">
        <v>-8.4949999999999992</v>
      </c>
      <c r="CA5947" s="106">
        <v>-8.1999999999999993</v>
      </c>
      <c r="CF5947" s="69">
        <f>-8.495-8.445-8.455</f>
        <v>-25.395</v>
      </c>
      <c r="CM5947" s="106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7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7"/>
        <v>28.52</v>
      </c>
      <c r="D5949" s="386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6"/>
        <v>438.58600000000001</v>
      </c>
      <c r="AR5950" s="106">
        <v>28.36</v>
      </c>
      <c r="BC5950" s="106">
        <v>31.91</v>
      </c>
      <c r="BI5950" s="106">
        <v>32.81</v>
      </c>
      <c r="BO5950" s="106">
        <v>34.305</v>
      </c>
      <c r="CA5950" s="106">
        <v>33.68</v>
      </c>
      <c r="CG5950" s="106">
        <v>34.19</v>
      </c>
      <c r="CM5950" s="106">
        <v>62.445</v>
      </c>
      <c r="CY5950" s="106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6"/>
        <v>-22.62</v>
      </c>
      <c r="D5951" s="386">
        <v>-16.399999999999999</v>
      </c>
      <c r="E5951" s="386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6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6"/>
        <v>-15.36</v>
      </c>
      <c r="CM5954" s="106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106">
        <v>-7.1150000000000002</v>
      </c>
      <c r="CR5955" s="375">
        <v>-8.5749999999999993</v>
      </c>
      <c r="CY5955" s="106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6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6"/>
        <v>-30.855</v>
      </c>
      <c r="BC5957" s="106">
        <v>-7.9850000000000003</v>
      </c>
      <c r="BI5957" s="106">
        <v>-7.7750000000000004</v>
      </c>
      <c r="BW5957" s="126">
        <v>-6.65</v>
      </c>
      <c r="CA5957" s="106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6"/>
        <v>-24.47</v>
      </c>
      <c r="BW5958" s="126">
        <v>-15.89</v>
      </c>
      <c r="CG5958" s="106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6"/>
        <v>-154.72</v>
      </c>
      <c r="AR5959" s="106">
        <v>-8.09</v>
      </c>
      <c r="AW5959" s="106">
        <v>-25.355</v>
      </c>
      <c r="BC5959" s="106">
        <v>-16.035</v>
      </c>
      <c r="BI5959" s="106">
        <v>-25.035</v>
      </c>
      <c r="BO5959" s="106">
        <v>-34.305</v>
      </c>
      <c r="BW5959" s="126">
        <v>-21.01</v>
      </c>
      <c r="CA5959" s="106">
        <v>-16.844999999999999</v>
      </c>
      <c r="CM5959" s="106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6"/>
        <v>-14.305</v>
      </c>
      <c r="AN5961" s="106">
        <v>-7.7149999999999999</v>
      </c>
      <c r="AR5961" s="106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6"/>
        <v>-24.45</v>
      </c>
      <c r="BC5962" s="106">
        <v>-7.89</v>
      </c>
      <c r="CA5962" s="106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6"/>
        <v>-16.515000000000001</v>
      </c>
      <c r="AC5967" s="106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6"/>
        <v>-25.1</v>
      </c>
      <c r="CM5968" s="106">
        <v>-16.614999999999998</v>
      </c>
      <c r="CR5968" s="375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6"/>
        <v>-15.664999999999999</v>
      </c>
      <c r="AW5969" s="106">
        <v>-8.16</v>
      </c>
      <c r="BC5969" s="106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6"/>
        <v>-61.64</v>
      </c>
      <c r="AC5970" s="106">
        <v>-6.5650000000000004</v>
      </c>
      <c r="AG5970" s="106">
        <v>-7.1550000000000002</v>
      </c>
      <c r="AN5970" s="106">
        <v>-8.3949999999999996</v>
      </c>
      <c r="AW5970" s="106">
        <v>-5.12</v>
      </c>
      <c r="CR5970" s="375">
        <v>-8.57</v>
      </c>
      <c r="CY5970" s="106">
        <v>-7.82</v>
      </c>
      <c r="DE5970" s="74">
        <v>-9.5</v>
      </c>
      <c r="DK5970" s="106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6"/>
        <v>1118.32</v>
      </c>
      <c r="AN5972" s="106">
        <v>35.17</v>
      </c>
      <c r="AR5972" s="106">
        <v>26.274999999999999</v>
      </c>
      <c r="AW5972" s="106">
        <v>31.54</v>
      </c>
      <c r="BC5972" s="106">
        <f>106.135+40.08</f>
        <v>146.215</v>
      </c>
      <c r="BI5972" s="106">
        <f>71.84+70.6</f>
        <v>142.44</v>
      </c>
      <c r="BO5972" s="106">
        <v>68.709999999999994</v>
      </c>
      <c r="BU5972" s="106">
        <v>63.63</v>
      </c>
      <c r="CA5972" s="106">
        <v>100.645</v>
      </c>
      <c r="CG5972" s="106">
        <v>69.290000000000006</v>
      </c>
      <c r="CM5972" s="106">
        <f>127.17</f>
        <v>127.17</v>
      </c>
      <c r="CS5972" s="74">
        <v>33.655000000000001</v>
      </c>
      <c r="CY5972" s="106">
        <f>76.265+38.735</f>
        <v>115</v>
      </c>
      <c r="DE5972" s="74">
        <v>34.744999999999997</v>
      </c>
      <c r="DK5972" s="106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8">SUM(D5973:JT5973)</f>
        <v>-41.914999999999999</v>
      </c>
      <c r="CS5973" s="74">
        <v>-8.5749999999999993</v>
      </c>
      <c r="CY5973" s="106">
        <v>-8.6449999999999996</v>
      </c>
      <c r="DE5973" s="74">
        <v>-17.425000000000001</v>
      </c>
      <c r="DK5973" s="106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9">SUM(D5974:JT5974)</f>
        <v>-24.49</v>
      </c>
      <c r="CR5974" s="375">
        <v>-8.5749999999999993</v>
      </c>
      <c r="CY5974" s="106">
        <v>-8.6449999999999996</v>
      </c>
      <c r="DK5974" s="106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9"/>
        <v>-581.69000000000005</v>
      </c>
      <c r="AC5975" s="106">
        <v>-34.484999999999999</v>
      </c>
      <c r="AG5975" s="106">
        <v>-30.184999999999999</v>
      </c>
      <c r="AN5975" s="106">
        <v>-35.17</v>
      </c>
      <c r="AR5975" s="106">
        <v>-26.274999999999999</v>
      </c>
      <c r="BC5975" s="106">
        <f>-31.915-31.945</f>
        <v>-63.86</v>
      </c>
      <c r="BI5975" s="106">
        <f>-31.395-31.255</f>
        <v>-62.65</v>
      </c>
      <c r="BU5975" s="106">
        <f>-31.905-31.725</f>
        <v>-63.63</v>
      </c>
      <c r="CA5975" s="106">
        <f>-33.465-33.525</f>
        <v>-66.989999999999995</v>
      </c>
      <c r="CG5975" s="106">
        <f>-34.555-34.735</f>
        <v>-69.290000000000006</v>
      </c>
      <c r="CM5975" s="106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106">
        <v>-8.0250000000000004</v>
      </c>
      <c r="AR5976" s="106">
        <v>-13.68</v>
      </c>
      <c r="AW5976" s="106">
        <v>-8.52</v>
      </c>
      <c r="BC5976" s="106">
        <v>-8.4700000000000006</v>
      </c>
      <c r="CM5976" s="106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9"/>
        <v>-166.465</v>
      </c>
      <c r="BC5977" s="106">
        <v>-32.65</v>
      </c>
      <c r="BI5977" s="106">
        <v>-32.86</v>
      </c>
      <c r="BO5977" s="106">
        <v>-34.35</v>
      </c>
      <c r="CM5977" s="106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9"/>
        <v>-8.5</v>
      </c>
      <c r="CY5978" s="106">
        <v>-8.5</v>
      </c>
    </row>
    <row r="5979" spans="1:253" x14ac:dyDescent="0.25">
      <c r="A5979" s="127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9"/>
        <v>-65.27</v>
      </c>
      <c r="BI5980" s="106">
        <v>-31.31</v>
      </c>
      <c r="BO5980" s="106">
        <v>-17.164999999999999</v>
      </c>
      <c r="CA5980" s="106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10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10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10"/>
        <v>-62.884999999999998</v>
      </c>
      <c r="AW5983" s="106">
        <v>-15.645</v>
      </c>
      <c r="BC5983" s="106">
        <v>-16.05</v>
      </c>
      <c r="CY5983" s="106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10"/>
        <v>-13.68</v>
      </c>
      <c r="AC5984" s="106">
        <v>-5.22</v>
      </c>
      <c r="CA5984" s="106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10"/>
        <v>-7.2249999999999996</v>
      </c>
      <c r="BO5985" s="106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106">
        <v>-7.89</v>
      </c>
      <c r="AW5986" s="106">
        <v>-5.68</v>
      </c>
      <c r="BC5986" s="106">
        <v>-7.58</v>
      </c>
      <c r="BI5986" s="106">
        <v>-7.7</v>
      </c>
      <c r="BO5986" s="106">
        <v>-8.61</v>
      </c>
      <c r="CA5986" s="106">
        <v>-8.4</v>
      </c>
      <c r="CM5986" s="106">
        <v>-7.83</v>
      </c>
      <c r="CY5986" s="106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106">
        <v>-7.9950000000000001</v>
      </c>
      <c r="BC5987" s="106">
        <v>-17.605</v>
      </c>
      <c r="BI5987" s="106">
        <v>-7.84</v>
      </c>
      <c r="BO5987" s="106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10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106">
        <v>0.45</v>
      </c>
      <c r="CY5988" s="106">
        <v>0.86499999999999999</v>
      </c>
      <c r="DK5988" s="106">
        <v>-1.075</v>
      </c>
      <c r="DM5988" s="46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106">
        <v>70.33</v>
      </c>
      <c r="AW5991" s="106">
        <v>64.474999999999994</v>
      </c>
      <c r="BC5991" s="106">
        <v>62.92</v>
      </c>
      <c r="BO5991" s="106">
        <v>86.84</v>
      </c>
      <c r="BU5991" s="106">
        <v>67.81</v>
      </c>
      <c r="CA5991" s="106">
        <v>83.644999999999996</v>
      </c>
      <c r="CM5991" s="106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11"/>
        <v>-204.14</v>
      </c>
      <c r="AG5993" s="106">
        <v>-35.784999999999997</v>
      </c>
      <c r="AN5993" s="106">
        <v>-35.15</v>
      </c>
      <c r="AQ5993" s="69">
        <v>8.3949999999999996</v>
      </c>
      <c r="AW5993" s="106">
        <v>-17.254999999999999</v>
      </c>
      <c r="BU5993" s="106">
        <v>-25.04</v>
      </c>
      <c r="CA5993" s="106">
        <v>-16.754999999999999</v>
      </c>
      <c r="CM5993" s="106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11"/>
        <v>-237.4</v>
      </c>
      <c r="AN5994" s="106">
        <v>-17.605</v>
      </c>
      <c r="AW5994" s="106">
        <v>-24.175000000000001</v>
      </c>
      <c r="BC5994" s="106">
        <v>-31.78</v>
      </c>
      <c r="BO5994" s="106">
        <v>-18.145</v>
      </c>
      <c r="CA5994" s="106">
        <v>-16.734999999999999</v>
      </c>
      <c r="CS5994" s="74">
        <v>-17</v>
      </c>
      <c r="CY5994" s="106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11"/>
        <v>-31.14</v>
      </c>
      <c r="BC5995" s="106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11"/>
        <v>-103.47499999999999</v>
      </c>
      <c r="AN5996" s="106">
        <v>-17.574999999999999</v>
      </c>
      <c r="AQ5996" s="69">
        <v>-8.3949999999999996</v>
      </c>
      <c r="BO5996" s="106">
        <v>-17.204999999999998</v>
      </c>
      <c r="BU5996" s="106">
        <v>-25.92</v>
      </c>
      <c r="CA5996" s="106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11"/>
        <v>-33.93</v>
      </c>
      <c r="BO5997" s="106">
        <f>-8.585-8.555</f>
        <v>-17.14</v>
      </c>
      <c r="CA5997" s="106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11"/>
        <v>-33.15</v>
      </c>
      <c r="BO5998" s="106">
        <v>-17.16</v>
      </c>
      <c r="CA5998" s="106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11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106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11"/>
        <v>-8.59</v>
      </c>
      <c r="BO6001" s="106">
        <v>-8.59</v>
      </c>
    </row>
    <row r="6002" spans="1:214" x14ac:dyDescent="0.25">
      <c r="A6002" s="127">
        <v>46024</v>
      </c>
      <c r="B6002" s="24" t="s">
        <v>20</v>
      </c>
      <c r="C6002" s="21">
        <f t="shared" si="111"/>
        <v>-25.655000000000001</v>
      </c>
      <c r="BO6002" s="106">
        <v>-8.6</v>
      </c>
      <c r="BU6002" s="106">
        <v>-8.4049999999999994</v>
      </c>
      <c r="CM6002" s="106">
        <v>-8.65</v>
      </c>
    </row>
    <row r="6003" spans="1:214" x14ac:dyDescent="0.25">
      <c r="A6003" s="127">
        <v>46024</v>
      </c>
      <c r="B6003" s="24" t="s">
        <v>24</v>
      </c>
      <c r="C6003" s="21">
        <f t="shared" si="111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11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11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11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11"/>
        <v>-31.42</v>
      </c>
      <c r="AW6007" s="106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106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11"/>
        <v>-15.2</v>
      </c>
      <c r="CF6009" s="69">
        <v>-8.42</v>
      </c>
      <c r="CM6009" s="106">
        <v>-6.78</v>
      </c>
    </row>
    <row r="6010" spans="1:214" x14ac:dyDescent="0.25">
      <c r="A6010" s="127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12"/>
        <v>-16.05</v>
      </c>
      <c r="AW6012" s="106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12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12"/>
        <v>892.51499999999999</v>
      </c>
      <c r="V6014" s="74">
        <v>49.58</v>
      </c>
      <c r="AW6014" s="106">
        <v>64.010000000000005</v>
      </c>
      <c r="BC6014" s="106">
        <v>60.86</v>
      </c>
      <c r="BU6014" s="106">
        <v>211.815</v>
      </c>
      <c r="CM6014" s="106">
        <v>100.15</v>
      </c>
      <c r="CS6014" s="74">
        <v>72.78</v>
      </c>
      <c r="CY6014" s="106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12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106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12"/>
        <v>-32.185000000000002</v>
      </c>
      <c r="AW6017" s="106">
        <v>-7.5049999999999999</v>
      </c>
      <c r="BB6017" s="69">
        <v>-8.4649999999999999</v>
      </c>
      <c r="CF6017" s="69">
        <v>-8.4849999999999994</v>
      </c>
      <c r="CM6017" s="106">
        <v>-7.73</v>
      </c>
    </row>
    <row r="6018" spans="1:247" x14ac:dyDescent="0.25">
      <c r="A6018" s="127">
        <v>46029</v>
      </c>
      <c r="B6018" s="24" t="s">
        <v>152</v>
      </c>
      <c r="C6018" s="21">
        <f t="shared" si="111"/>
        <v>-202.64500000000001</v>
      </c>
      <c r="AW6018" s="106">
        <v>-31.934999999999999</v>
      </c>
      <c r="DK6018" s="106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11"/>
        <v>-116.48</v>
      </c>
      <c r="AW6019" s="106">
        <v>-17.239999999999998</v>
      </c>
      <c r="BC6019" s="106">
        <v>-15.22</v>
      </c>
      <c r="BU6019" s="106">
        <v>-32.619999999999997</v>
      </c>
      <c r="CM6019" s="106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11"/>
        <v>-466.41</v>
      </c>
      <c r="V6020" s="74">
        <v>-7.4749999999999996</v>
      </c>
      <c r="AG6020" s="106">
        <v>-7.165</v>
      </c>
      <c r="AQ6020" s="69">
        <v>-8.44</v>
      </c>
      <c r="AW6020" s="106">
        <v>-32.075000000000003</v>
      </c>
      <c r="BC6020" s="106">
        <v>-30.234999999999999</v>
      </c>
      <c r="BN6020" s="69">
        <v>-51.225000000000001</v>
      </c>
      <c r="BU6020" s="106">
        <v>-67.209999999999994</v>
      </c>
      <c r="CF6020" s="69">
        <v>-33.884999999999998</v>
      </c>
      <c r="CM6020" s="106">
        <v>-32.645000000000003</v>
      </c>
      <c r="CS6020" s="74">
        <v>-35.844999999999999</v>
      </c>
      <c r="CY6020" s="106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106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11"/>
        <v>-42.405000000000001</v>
      </c>
      <c r="BC6022" s="106">
        <v>-7.64</v>
      </c>
      <c r="BU6022" s="106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106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11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11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11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11"/>
        <v>-91.81</v>
      </c>
      <c r="AW6028" s="106">
        <v>-7.9</v>
      </c>
      <c r="AY6028" s="126">
        <v>-8.68</v>
      </c>
      <c r="BB6028" s="69">
        <v>-16.984999999999999</v>
      </c>
      <c r="BN6028" s="69">
        <v>-8.5350000000000001</v>
      </c>
      <c r="BU6028" s="106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11"/>
        <v>-28.975000000000001</v>
      </c>
      <c r="CM6029" s="106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106">
        <v>26.98</v>
      </c>
      <c r="AW6030" s="106">
        <v>32.795000000000002</v>
      </c>
      <c r="BC6030" s="106">
        <f>38.005+23.06</f>
        <v>61.064999999999998</v>
      </c>
      <c r="CS6030" s="74">
        <f>44.55+61.63</f>
        <v>106.18</v>
      </c>
      <c r="CY6030" s="106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11"/>
        <v>1699.28</v>
      </c>
      <c r="AR6031" s="106">
        <v>29.2</v>
      </c>
      <c r="AW6031" s="106">
        <v>108.86499999999999</v>
      </c>
      <c r="BC6031" s="106">
        <v>108.325</v>
      </c>
      <c r="BI6031" s="106">
        <v>162.745</v>
      </c>
      <c r="BO6031" s="106">
        <v>174.39500000000001</v>
      </c>
      <c r="BU6031" s="106">
        <v>179.13</v>
      </c>
      <c r="CA6031" s="106">
        <v>165.72499999999999</v>
      </c>
      <c r="CG6031" s="106">
        <v>178.61500000000001</v>
      </c>
      <c r="CM6031" s="106">
        <v>167.61</v>
      </c>
      <c r="CY6031" s="106">
        <v>69.83</v>
      </c>
      <c r="DK6031" s="106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11"/>
        <v>-1719.4849999999999</v>
      </c>
      <c r="AR6032" s="106">
        <v>-56.18</v>
      </c>
      <c r="AW6032" s="106">
        <v>-92.52</v>
      </c>
      <c r="BC6032" s="106">
        <v>-108.325</v>
      </c>
      <c r="BI6032" s="106">
        <v>-162.745</v>
      </c>
      <c r="BO6032" s="106">
        <v>-174.39500000000001</v>
      </c>
      <c r="BU6032" s="106">
        <v>-62.185000000000002</v>
      </c>
      <c r="CA6032" s="106">
        <v>-132.595</v>
      </c>
      <c r="CG6032" s="106">
        <v>-129.85</v>
      </c>
      <c r="CM6032" s="106">
        <v>-132.92500000000001</v>
      </c>
      <c r="CS6032" s="74">
        <v>-106.18</v>
      </c>
      <c r="CY6032" s="106">
        <v>-132.035</v>
      </c>
      <c r="DK6032" s="106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11"/>
        <v>-132.46</v>
      </c>
      <c r="AW6033" s="106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11"/>
        <v>-63.15</v>
      </c>
      <c r="BC6034" s="106">
        <v>-30.02</v>
      </c>
      <c r="CA6034" s="106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11"/>
        <v>-95.21</v>
      </c>
      <c r="BU6035" s="106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11"/>
        <v>-32.04</v>
      </c>
      <c r="BC6038" s="106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11"/>
        <v>-15.12</v>
      </c>
      <c r="BC6039" s="106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106">
        <v>-8.3949999999999996</v>
      </c>
      <c r="BC6040" s="106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11"/>
        <v>-32.215000000000003</v>
      </c>
      <c r="AW6041" s="106">
        <v>-7.95</v>
      </c>
      <c r="BU6041" s="106">
        <v>-15.95</v>
      </c>
      <c r="CG6041" s="106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106">
        <f>-7.305-7.89</f>
        <v>-15.195</v>
      </c>
      <c r="CF6042" s="69">
        <v>-8.4499999999999993</v>
      </c>
      <c r="CY6042" s="106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11"/>
        <v>-8.57</v>
      </c>
      <c r="CM6043" s="106">
        <v>-8.57</v>
      </c>
    </row>
    <row r="6044" spans="1:131" x14ac:dyDescent="0.25">
      <c r="A6044" s="127">
        <v>46037</v>
      </c>
      <c r="B6044" s="24" t="s">
        <v>24</v>
      </c>
      <c r="C6044" s="21">
        <f t="shared" si="111"/>
        <v>-17.75</v>
      </c>
      <c r="BU6044" s="106">
        <v>-9.76</v>
      </c>
      <c r="CY6044" s="106">
        <v>-7.99</v>
      </c>
    </row>
    <row r="6045" spans="1:131" x14ac:dyDescent="0.25">
      <c r="A6045" s="127">
        <v>46037</v>
      </c>
      <c r="B6045" s="24" t="s">
        <v>48</v>
      </c>
      <c r="C6045" s="21">
        <f t="shared" si="111"/>
        <v>-0.185</v>
      </c>
      <c r="BU6045" s="106">
        <v>-8.125</v>
      </c>
      <c r="BZ6045" s="69">
        <v>16.829999999999998</v>
      </c>
      <c r="DM6045" s="46">
        <v>-8.89</v>
      </c>
    </row>
    <row r="6046" spans="1:131" x14ac:dyDescent="0.25">
      <c r="A6046" s="127">
        <v>46038</v>
      </c>
      <c r="B6046" s="24" t="s">
        <v>138</v>
      </c>
      <c r="C6046" s="21">
        <f t="shared" si="111"/>
        <v>-25.265000000000001</v>
      </c>
      <c r="BU6046" s="106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11"/>
        <v>-9.23</v>
      </c>
      <c r="BU6047" s="106">
        <v>-9.23</v>
      </c>
    </row>
    <row r="6048" spans="1:131" x14ac:dyDescent="0.25">
      <c r="A6048" s="127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11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11"/>
        <v>496.94499999999999</v>
      </c>
      <c r="AN6050" s="106">
        <v>32.159999999999997</v>
      </c>
      <c r="AR6050" s="106">
        <v>35.61</v>
      </c>
      <c r="AW6050" s="106">
        <v>33.555</v>
      </c>
      <c r="BI6050" s="106">
        <v>98.29</v>
      </c>
      <c r="BO6050" s="106">
        <v>67.825000000000003</v>
      </c>
      <c r="BU6050" s="106">
        <v>32.375</v>
      </c>
      <c r="CA6050" s="106">
        <v>97.99</v>
      </c>
      <c r="CG6050" s="106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11"/>
        <v>110.145</v>
      </c>
      <c r="BC6051" s="106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11"/>
        <v>-8.89</v>
      </c>
      <c r="AR6053" s="106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13">SUM(D6054:JT6054)</f>
        <v>-25.17</v>
      </c>
      <c r="BO6054" s="106">
        <v>-8.6150000000000002</v>
      </c>
      <c r="BU6054" s="106">
        <v>-8.1549999999999994</v>
      </c>
      <c r="CA6054" s="106">
        <v>-8.4</v>
      </c>
    </row>
    <row r="6055" spans="1:208" x14ac:dyDescent="0.25">
      <c r="A6055" s="127">
        <v>46042</v>
      </c>
      <c r="B6055" s="24" t="s">
        <v>138</v>
      </c>
      <c r="C6055" s="21">
        <f t="shared" si="113"/>
        <v>-23.065000000000001</v>
      </c>
      <c r="BC6055" s="106">
        <v>-6.8049999999999997</v>
      </c>
      <c r="BI6055" s="106">
        <v>-8.2149999999999999</v>
      </c>
      <c r="CA6055" s="106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13"/>
        <v>-16.254999999999999</v>
      </c>
      <c r="AW6056" s="106">
        <v>-9.4450000000000003</v>
      </c>
      <c r="BC6056" s="106">
        <v>-6.81</v>
      </c>
    </row>
    <row r="6057" spans="1:208" x14ac:dyDescent="0.25">
      <c r="A6057" s="127">
        <v>46042</v>
      </c>
      <c r="B6057" s="24" t="s">
        <v>17</v>
      </c>
      <c r="C6057" s="21">
        <f t="shared" si="113"/>
        <v>-31.905000000000001</v>
      </c>
      <c r="AN6057" s="106">
        <v>-8.2200000000000006</v>
      </c>
      <c r="AR6057" s="106">
        <v>-8.85</v>
      </c>
      <c r="AW6057" s="106">
        <v>-8.0399999999999991</v>
      </c>
      <c r="BC6057" s="106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13"/>
        <v>-25.42</v>
      </c>
      <c r="AR6058" s="106">
        <v>-0.5</v>
      </c>
      <c r="BI6058" s="106">
        <v>-8.2050000000000001</v>
      </c>
      <c r="BO6058" s="106">
        <v>-8.68</v>
      </c>
      <c r="CA6058" s="106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13"/>
        <v>-32.200000000000003</v>
      </c>
      <c r="AW6059" s="106">
        <v>-8.08</v>
      </c>
      <c r="BC6059" s="106">
        <v>-7.7450000000000001</v>
      </c>
      <c r="BI6059" s="106">
        <v>-8.2249999999999996</v>
      </c>
      <c r="BU6059" s="106">
        <v>-8.15</v>
      </c>
    </row>
    <row r="6060" spans="1:208" x14ac:dyDescent="0.25">
      <c r="A6060" s="127">
        <v>46042</v>
      </c>
      <c r="B6060" s="24" t="s">
        <v>133</v>
      </c>
      <c r="C6060" s="21">
        <f t="shared" si="113"/>
        <v>-123.08499999999999</v>
      </c>
      <c r="BI6060" s="106">
        <v>-32.594999999999999</v>
      </c>
      <c r="BO6060" s="106">
        <v>-24.15</v>
      </c>
      <c r="BU6060" s="106">
        <v>-8.17</v>
      </c>
      <c r="CG6060" s="106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13"/>
        <v>-99.415000000000006</v>
      </c>
      <c r="AN6061" s="106">
        <v>-6.7649999999999997</v>
      </c>
      <c r="AW6061" s="106">
        <v>-7.99</v>
      </c>
      <c r="BO6061" s="106">
        <v>-17.75</v>
      </c>
      <c r="CG6061" s="106">
        <v>-32.369999999999997</v>
      </c>
      <c r="CM6061" s="106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13"/>
        <v>-65.064999999999998</v>
      </c>
      <c r="BI6062" s="106">
        <v>-32.844999999999999</v>
      </c>
      <c r="CA6062" s="106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13"/>
        <v>-32.69</v>
      </c>
      <c r="AR6063" s="106">
        <v>-17.87</v>
      </c>
      <c r="BC6063" s="106">
        <v>-6.79</v>
      </c>
      <c r="CA6063" s="106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13"/>
        <v>-8.7449999999999992</v>
      </c>
      <c r="CM6064" s="106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13"/>
        <v>-31.71</v>
      </c>
      <c r="BC6065" s="106">
        <v>-6.8049999999999997</v>
      </c>
      <c r="BI6065" s="106">
        <v>-8.2050000000000001</v>
      </c>
      <c r="BO6065" s="106">
        <v>-8.6300000000000008</v>
      </c>
      <c r="CA6065" s="106">
        <v>-8.07</v>
      </c>
    </row>
    <row r="6066" spans="1:248" x14ac:dyDescent="0.25">
      <c r="A6066" s="127">
        <v>46043</v>
      </c>
      <c r="B6066" s="24" t="s">
        <v>218</v>
      </c>
      <c r="C6066" s="21">
        <f t="shared" si="113"/>
        <v>-15.67</v>
      </c>
      <c r="CA6066" s="106">
        <v>-8.4149999999999991</v>
      </c>
      <c r="CM6066" s="106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13"/>
        <v>-14.61</v>
      </c>
      <c r="AG6067" s="106">
        <v>-6.71</v>
      </c>
      <c r="BU6067" s="106">
        <v>-7.9</v>
      </c>
    </row>
    <row r="6068" spans="1:248" x14ac:dyDescent="0.25">
      <c r="A6068" s="127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13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13"/>
        <v>-32.869999999999997</v>
      </c>
      <c r="BU6071" s="106">
        <v>-15.78</v>
      </c>
      <c r="CA6071" s="106">
        <v>-8.75</v>
      </c>
      <c r="CG6071" s="106">
        <v>-8.34</v>
      </c>
    </row>
    <row r="6072" spans="1:248" x14ac:dyDescent="0.25">
      <c r="A6072" s="127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106">
        <v>-16.350000000000001</v>
      </c>
      <c r="CA6072" s="106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13"/>
        <v>898.07</v>
      </c>
      <c r="AR6073" s="106">
        <v>68.334999999999994</v>
      </c>
      <c r="AW6073" s="106">
        <f>31.705+32.74</f>
        <v>64.444999999999993</v>
      </c>
      <c r="BC6073" s="106">
        <v>112.47</v>
      </c>
      <c r="BI6073" s="106">
        <v>65.665000000000006</v>
      </c>
      <c r="BO6073" s="106">
        <v>104.30500000000001</v>
      </c>
      <c r="BU6073" s="106">
        <v>65.674999999999997</v>
      </c>
      <c r="CA6073" s="106">
        <v>79.444999999999993</v>
      </c>
      <c r="CG6073" s="106">
        <v>96.875</v>
      </c>
      <c r="CS6073" s="74">
        <v>32.39</v>
      </c>
      <c r="CY6073" s="106">
        <v>35.119999999999997</v>
      </c>
      <c r="DE6073" s="74">
        <v>35.585000000000001</v>
      </c>
      <c r="DK6073" s="106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13"/>
        <v>81.41</v>
      </c>
      <c r="BU6074" s="106">
        <v>81.41</v>
      </c>
    </row>
    <row r="6075" spans="1:248" x14ac:dyDescent="0.25">
      <c r="A6075" s="127">
        <v>46046</v>
      </c>
      <c r="B6075" s="24" t="s">
        <v>183</v>
      </c>
      <c r="C6075" s="21">
        <f t="shared" si="113"/>
        <v>-73.06</v>
      </c>
      <c r="CS6075" s="74">
        <v>-17.305</v>
      </c>
      <c r="CY6075" s="106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13"/>
        <v>-16.3</v>
      </c>
      <c r="BU6076" s="106">
        <v>-16.3</v>
      </c>
    </row>
    <row r="6077" spans="1:248" x14ac:dyDescent="0.25">
      <c r="A6077" s="127">
        <v>46048</v>
      </c>
      <c r="B6077" s="24" t="s">
        <v>239</v>
      </c>
      <c r="C6077" s="21">
        <f t="shared" si="113"/>
        <v>287.19</v>
      </c>
      <c r="BR6077" s="182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13"/>
        <v>-18.41</v>
      </c>
      <c r="E6078" s="386">
        <v>-18.41</v>
      </c>
    </row>
    <row r="6079" spans="1:248" x14ac:dyDescent="0.25">
      <c r="A6079" s="127">
        <v>46048</v>
      </c>
      <c r="B6079" s="24" t="s">
        <v>44</v>
      </c>
      <c r="C6079" s="21">
        <f t="shared" si="113"/>
        <v>-82.71</v>
      </c>
      <c r="M6079" s="92">
        <v>-0.15</v>
      </c>
      <c r="BU6079" s="106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13"/>
        <v>-457.185</v>
      </c>
      <c r="AR6080" s="106">
        <v>-34.585000000000001</v>
      </c>
      <c r="AW6080" s="106">
        <v>-31.725000000000001</v>
      </c>
      <c r="BC6080" s="106">
        <v>-48.15</v>
      </c>
      <c r="BI6080" s="106">
        <v>-32.799999999999997</v>
      </c>
      <c r="BO6080" s="106">
        <v>-25.96</v>
      </c>
      <c r="CA6080" s="106">
        <v>-63.314999999999998</v>
      </c>
      <c r="CG6080" s="106">
        <v>-64.644999999999996</v>
      </c>
      <c r="CM6080" s="106">
        <v>-33.450000000000003</v>
      </c>
      <c r="CS6080" s="74">
        <v>-8.58</v>
      </c>
      <c r="CY6080" s="106">
        <v>-26.405000000000001</v>
      </c>
      <c r="DE6080" s="74">
        <v>-35.085000000000001</v>
      </c>
      <c r="DK6080" s="106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13"/>
        <v>-80.045000000000002</v>
      </c>
      <c r="BR6081" s="182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13"/>
        <v>-53.4</v>
      </c>
      <c r="BR6082" s="182">
        <v>-53.4</v>
      </c>
    </row>
    <row r="6083" spans="1:137" x14ac:dyDescent="0.25">
      <c r="A6083" s="127">
        <v>46048</v>
      </c>
      <c r="B6083" s="24" t="s">
        <v>225</v>
      </c>
      <c r="C6083" s="21">
        <f t="shared" si="113"/>
        <v>-66.825000000000003</v>
      </c>
      <c r="AW6083" s="106">
        <v>-16.7</v>
      </c>
      <c r="BC6083" s="106">
        <v>-16.425000000000001</v>
      </c>
      <c r="BI6083" s="106">
        <v>-16.43</v>
      </c>
      <c r="BO6083" s="106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13"/>
        <v>-39.625</v>
      </c>
      <c r="BI6084" s="106">
        <v>-16.434999999999999</v>
      </c>
      <c r="BO6084" s="106">
        <v>-8.65</v>
      </c>
      <c r="CG6084" s="106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13"/>
        <v>-8.0449999999999999</v>
      </c>
      <c r="CA6085" s="106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13"/>
        <v>-99.27</v>
      </c>
      <c r="AW6086" s="106">
        <v>-16.02</v>
      </c>
      <c r="BC6086" s="106">
        <v>-16.215</v>
      </c>
      <c r="BU6086" s="106">
        <v>-16.335000000000001</v>
      </c>
      <c r="CG6086" s="106">
        <v>-16.11</v>
      </c>
      <c r="CM6086" s="106">
        <v>-25.875</v>
      </c>
      <c r="CY6086" s="106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13"/>
        <v>-34.29</v>
      </c>
      <c r="BO6087" s="106">
        <v>-17.975000000000001</v>
      </c>
      <c r="BU6087" s="106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13"/>
        <v>-61.305</v>
      </c>
      <c r="AM6088" s="69">
        <v>-8.4499999999999993</v>
      </c>
      <c r="AN6088" s="106">
        <v>-9.0449999999999999</v>
      </c>
      <c r="AR6088" s="106">
        <f>-6.455-9.225</f>
        <v>-15.68</v>
      </c>
      <c r="BC6088" s="106">
        <v>-7.875</v>
      </c>
      <c r="BR6088" s="182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13"/>
        <v>-16.114999999999998</v>
      </c>
      <c r="BC6090" s="106">
        <v>-7.9349999999999996</v>
      </c>
      <c r="BU6090" s="106">
        <v>-8.18</v>
      </c>
    </row>
    <row r="6091" spans="1:137" x14ac:dyDescent="0.25">
      <c r="A6091" s="127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13"/>
        <v>874.12</v>
      </c>
      <c r="AN6092" s="106">
        <v>99.47</v>
      </c>
      <c r="AR6092" s="106">
        <v>139.625</v>
      </c>
      <c r="AW6092" s="106">
        <v>65.03</v>
      </c>
      <c r="BC6092" s="106">
        <v>95.394999999999996</v>
      </c>
      <c r="CM6092" s="106">
        <v>98.515000000000001</v>
      </c>
      <c r="CS6092" s="74">
        <v>34.6</v>
      </c>
      <c r="CY6092" s="106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13"/>
        <v>-597.66</v>
      </c>
      <c r="V6094" s="74">
        <v>-34.32</v>
      </c>
      <c r="AN6094" s="106">
        <v>-99.47</v>
      </c>
      <c r="AR6094" s="106">
        <v>-103.96</v>
      </c>
      <c r="BC6094" s="106">
        <v>-62.79</v>
      </c>
      <c r="BO6094" s="106">
        <v>-17.295000000000002</v>
      </c>
      <c r="BR6094" s="182">
        <v>-120.12</v>
      </c>
      <c r="CS6094" s="74">
        <v>-25.95</v>
      </c>
      <c r="CY6094" s="106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13"/>
        <v>-16.895</v>
      </c>
      <c r="CM6095" s="106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13"/>
        <v>-536.995</v>
      </c>
      <c r="AR6096" s="106">
        <v>-35.664999999999999</v>
      </c>
      <c r="AW6096" s="106">
        <v>-32.604999999999997</v>
      </c>
      <c r="BC6096" s="106">
        <v>-32.604999999999997</v>
      </c>
      <c r="BU6096" s="106">
        <v>-32.484999999999999</v>
      </c>
      <c r="CM6096" s="106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13"/>
        <v>-22.805</v>
      </c>
      <c r="BU6097" s="106">
        <v>-9.2349999999999994</v>
      </c>
      <c r="CA6097" s="106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13"/>
        <v>-8.15</v>
      </c>
      <c r="AW6098" s="106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4"/>
        <v>-21.78</v>
      </c>
      <c r="BR6100" s="182">
        <v>-13.37</v>
      </c>
      <c r="BU6100" s="106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4"/>
        <v>-26.19</v>
      </c>
      <c r="AR6101" s="106">
        <v>-9.4499999999999993</v>
      </c>
      <c r="BO6101" s="106">
        <v>-8.6300000000000008</v>
      </c>
      <c r="BU6101" s="106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4"/>
        <v>-8.1199999999999992</v>
      </c>
      <c r="AW6102" s="106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4"/>
        <v>-32.880000000000003</v>
      </c>
      <c r="D6103" s="386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4"/>
        <v>-8.25</v>
      </c>
      <c r="CM6105" s="106">
        <v>-8.25</v>
      </c>
    </row>
    <row r="6106" spans="1:163" x14ac:dyDescent="0.25">
      <c r="A6106" s="127">
        <v>46053</v>
      </c>
      <c r="B6106" s="24" t="s">
        <v>113</v>
      </c>
      <c r="C6106" s="21">
        <f t="shared" si="113"/>
        <v>485.245</v>
      </c>
      <c r="AN6106" s="106">
        <v>33.14</v>
      </c>
      <c r="AW6106" s="106">
        <v>94.86</v>
      </c>
      <c r="CM6106" s="106">
        <v>82.42</v>
      </c>
      <c r="CS6106" s="74">
        <v>68.05</v>
      </c>
      <c r="CY6106" s="106">
        <v>35.33</v>
      </c>
      <c r="DE6106" s="74">
        <v>34.869999999999997</v>
      </c>
      <c r="DK6106" s="106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13"/>
        <v>-16.05</v>
      </c>
      <c r="AW6107" s="106">
        <v>-8.0950000000000006</v>
      </c>
      <c r="BC6107" s="106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13"/>
        <v>-93</v>
      </c>
      <c r="AN6108" s="106">
        <v>-7.915</v>
      </c>
      <c r="AR6108" s="106">
        <v>-8.6199999999999992</v>
      </c>
      <c r="AW6108" s="106">
        <f>-8.045-8.145</f>
        <v>-16.190000000000001</v>
      </c>
      <c r="BC6108" s="106">
        <v>-7.915</v>
      </c>
      <c r="CS6108" s="74">
        <f>-8.645-8.67</f>
        <v>-17.315000000000001</v>
      </c>
      <c r="CY6108" s="106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13"/>
        <v>-134.77000000000001</v>
      </c>
      <c r="AN6109" s="106">
        <v>-7.91</v>
      </c>
      <c r="CM6109" s="106">
        <f>-8.245-8.245-8.245</f>
        <v>-24.734999999999999</v>
      </c>
      <c r="CS6109" s="74">
        <v>-8.6649999999999991</v>
      </c>
      <c r="CY6109" s="106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13"/>
        <v>-8.5050000000000008</v>
      </c>
      <c r="BO6111" s="106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13"/>
        <v>-25.08</v>
      </c>
      <c r="AN6112" s="106">
        <v>-8.64</v>
      </c>
      <c r="AW6112" s="106">
        <v>-8.1850000000000005</v>
      </c>
      <c r="CM6112" s="106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13"/>
        <v>-16.350000000000001</v>
      </c>
      <c r="AW6113" s="106">
        <v>-8.1150000000000002</v>
      </c>
      <c r="CM6113" s="106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13"/>
        <v>-5.64</v>
      </c>
      <c r="AW6114" s="106">
        <v>-5.64</v>
      </c>
    </row>
    <row r="6115" spans="1:249" x14ac:dyDescent="0.25">
      <c r="A6115" s="127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13"/>
        <v>-60.05</v>
      </c>
      <c r="DK6117" s="106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13"/>
        <v>-15.815</v>
      </c>
      <c r="AG6120" s="106">
        <v>-7.14</v>
      </c>
      <c r="AN6120" s="106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8" si="115">SUM(D6121:JT6121)</f>
        <v>265.5</v>
      </c>
      <c r="BL6121" s="182">
        <v>32.494999999999997</v>
      </c>
      <c r="BR6121" s="182">
        <v>33.57</v>
      </c>
      <c r="BX6121" s="182">
        <v>66.63</v>
      </c>
      <c r="CD6121" s="182">
        <v>66.385000000000005</v>
      </c>
      <c r="CJ6121" s="182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5"/>
        <v>-66.290000000000006</v>
      </c>
      <c r="BX6122" s="182">
        <v>-16.62</v>
      </c>
      <c r="CD6122" s="182">
        <v>-16.635000000000002</v>
      </c>
      <c r="CJ6122" s="182">
        <v>-16.59</v>
      </c>
      <c r="CM6122" s="106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82">
        <v>-16.670000000000002</v>
      </c>
      <c r="CD6123" s="182">
        <v>-16.594999999999999</v>
      </c>
      <c r="CJ6123" s="182">
        <v>-16.63</v>
      </c>
      <c r="CM6123" s="106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5"/>
        <v>-41.244999999999997</v>
      </c>
      <c r="AW6124" s="106">
        <v>-8.0850000000000009</v>
      </c>
      <c r="BL6124" s="182">
        <v>-8.1150000000000002</v>
      </c>
      <c r="BR6124" s="182">
        <v>-8.3800000000000008</v>
      </c>
      <c r="BX6124" s="182">
        <v>-8.36</v>
      </c>
      <c r="CD6124" s="182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5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5"/>
        <v>-73.05</v>
      </c>
      <c r="AG6126" s="106">
        <v>-7.16</v>
      </c>
      <c r="AN6126" s="106">
        <v>-8.1300000000000008</v>
      </c>
      <c r="AW6126" s="106">
        <v>-8.0749999999999993</v>
      </c>
      <c r="BL6126" s="182">
        <v>-8.125</v>
      </c>
      <c r="BR6126" s="182">
        <v>-8.36</v>
      </c>
      <c r="CJ6126" s="182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5"/>
        <v>-16.414999999999999</v>
      </c>
      <c r="BL6127" s="182">
        <v>-8.1150000000000002</v>
      </c>
      <c r="BX6127" s="182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5"/>
        <v>-16.78</v>
      </c>
      <c r="BR6128" s="182">
        <v>-8.41</v>
      </c>
      <c r="BX6128" s="182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5"/>
        <v>-8.42</v>
      </c>
      <c r="BR6129" s="182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5"/>
        <v>812.55</v>
      </c>
      <c r="AN6130" s="106">
        <v>117.02500000000001</v>
      </c>
      <c r="CS6130" s="74">
        <v>172.69</v>
      </c>
      <c r="CY6130" s="106">
        <v>105.545</v>
      </c>
      <c r="DE6130" s="74">
        <v>139.38499999999999</v>
      </c>
      <c r="DK6130" s="106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5"/>
        <v>615.49</v>
      </c>
      <c r="Z6131" s="79">
        <v>34.015000000000001</v>
      </c>
      <c r="AC6131" s="106">
        <v>34</v>
      </c>
      <c r="AR6131" s="106">
        <v>31.4</v>
      </c>
      <c r="AW6131" s="106">
        <v>33.435000000000002</v>
      </c>
      <c r="BC6131" s="106">
        <v>69.155000000000001</v>
      </c>
      <c r="BI6131" s="106">
        <v>68.924999999999997</v>
      </c>
      <c r="BO6131" s="106">
        <f>34.63+35.215</f>
        <v>69.844999999999999</v>
      </c>
      <c r="BU6131" s="106">
        <v>68.69</v>
      </c>
      <c r="CA6131" s="106">
        <v>66.745000000000005</v>
      </c>
      <c r="CG6131" s="106">
        <v>69.745000000000005</v>
      </c>
      <c r="CM6131" s="106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5"/>
        <v>-67.62</v>
      </c>
      <c r="AN6133" s="106">
        <v>-8.5350000000000001</v>
      </c>
      <c r="AW6133" s="106">
        <f>-8.51-7.93</f>
        <v>-16.440000000000001</v>
      </c>
      <c r="BC6133" s="106">
        <v>-8.58</v>
      </c>
      <c r="BI6133" s="106">
        <f>-8.62-8.595</f>
        <v>-17.215</v>
      </c>
      <c r="BO6133" s="106">
        <v>-8.58</v>
      </c>
      <c r="CD6133" s="182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5"/>
        <v>-68.959999999999994</v>
      </c>
      <c r="BO6134" s="106">
        <f>-8.595-8.625</f>
        <v>-17.22</v>
      </c>
      <c r="BU6134" s="106">
        <f>-8.495-9.035</f>
        <v>-17.53</v>
      </c>
      <c r="CA6134" s="106">
        <f>-9.155-8.1</f>
        <v>-17.254999999999999</v>
      </c>
      <c r="CG6134" s="106">
        <v>-8.7100000000000009</v>
      </c>
      <c r="CM6134" s="106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5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5"/>
        <v>-16.91</v>
      </c>
      <c r="AW6136" s="106">
        <v>-8.19</v>
      </c>
      <c r="BC6136" s="106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5"/>
        <v>-34.024999999999999</v>
      </c>
      <c r="AW6137" s="106">
        <v>-16.995000000000001</v>
      </c>
      <c r="BO6137" s="106">
        <v>-8.4949999999999992</v>
      </c>
      <c r="BU6137" s="106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5"/>
        <v>-33.445</v>
      </c>
      <c r="AN6138" s="106">
        <v>-8.5350000000000001</v>
      </c>
      <c r="AW6138" s="106">
        <v>-8.11</v>
      </c>
      <c r="BC6138" s="106">
        <v>-8.66</v>
      </c>
      <c r="BL6138" s="182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5"/>
        <v>-175.83</v>
      </c>
      <c r="CA6139" s="106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5"/>
        <v>-130.005</v>
      </c>
      <c r="BI6140" s="106">
        <v>-25.844999999999999</v>
      </c>
      <c r="CG6140" s="106">
        <v>-34.884999999999998</v>
      </c>
      <c r="CM6140" s="106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5"/>
        <v>-58.55</v>
      </c>
      <c r="AN6141" s="106">
        <v>-8.5399999999999991</v>
      </c>
      <c r="CA6141" s="106">
        <v>-15.065</v>
      </c>
      <c r="CY6141" s="106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5"/>
        <v>-26.315000000000001</v>
      </c>
      <c r="CG6142" s="106">
        <v>-8.7449999999999992</v>
      </c>
      <c r="CY6142" s="106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106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106">
        <v>-7.88</v>
      </c>
    </row>
    <row r="6147" spans="1:230" x14ac:dyDescent="0.25">
      <c r="A6147" s="127">
        <v>46073</v>
      </c>
      <c r="B6147" s="24" t="s">
        <v>24</v>
      </c>
      <c r="C6147" s="21">
        <f t="shared" si="115"/>
        <v>-16.8</v>
      </c>
      <c r="BU6147" s="106">
        <v>-8.49</v>
      </c>
      <c r="BX6147" s="182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5"/>
        <v>-70.944999999999993</v>
      </c>
      <c r="BC6148" s="106">
        <v>-8.57</v>
      </c>
      <c r="BO6148" s="106">
        <v>-9.85</v>
      </c>
      <c r="CG6148" s="106">
        <v>-17.405000000000001</v>
      </c>
      <c r="CM6148" s="106">
        <v>-17.38</v>
      </c>
      <c r="CY6148" s="106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5"/>
        <v>-61.005000000000003</v>
      </c>
      <c r="CS6149" s="74">
        <v>-25.92</v>
      </c>
      <c r="CY6149" s="106">
        <v>-26.44</v>
      </c>
      <c r="DK6149" s="106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5"/>
        <v>-32.545000000000002</v>
      </c>
      <c r="AR6150" s="106">
        <v>-7.87</v>
      </c>
      <c r="AW6150" s="106">
        <v>-8.09</v>
      </c>
      <c r="BC6150" s="106">
        <v>-8.6850000000000005</v>
      </c>
      <c r="CA6150" s="106">
        <v>-7.9</v>
      </c>
    </row>
    <row r="6151" spans="1:230" x14ac:dyDescent="0.25">
      <c r="A6151" s="127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5"/>
        <v>-25.83</v>
      </c>
      <c r="BI6153" s="106">
        <v>-8.625</v>
      </c>
      <c r="BO6153" s="106">
        <v>-8.52</v>
      </c>
      <c r="CM6153" s="106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5"/>
        <v>-24.785</v>
      </c>
      <c r="AR6154" s="106">
        <v>-7.82</v>
      </c>
      <c r="BI6154" s="106">
        <v>-8.6150000000000002</v>
      </c>
      <c r="BO6154" s="106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5"/>
        <v>-7.24</v>
      </c>
      <c r="D6155" s="386">
        <v>-7.24</v>
      </c>
    </row>
    <row r="6156" spans="1:230" x14ac:dyDescent="0.25">
      <c r="A6156" s="127">
        <v>46077</v>
      </c>
      <c r="B6156" s="24" t="s">
        <v>113</v>
      </c>
      <c r="C6156" s="21">
        <f t="shared" si="115"/>
        <v>393.20499999999998</v>
      </c>
      <c r="EG6156" s="74">
        <v>393.20499999999998</v>
      </c>
    </row>
    <row r="6157" spans="1:230" x14ac:dyDescent="0.25">
      <c r="A6157" s="127">
        <v>46077</v>
      </c>
      <c r="B6157" s="24" t="s">
        <v>113</v>
      </c>
      <c r="C6157" s="21">
        <f t="shared" si="115"/>
        <v>103.25</v>
      </c>
      <c r="BI6157" s="106">
        <v>34.42</v>
      </c>
      <c r="BO6157" s="106">
        <v>33.869999999999997</v>
      </c>
      <c r="CG6157" s="106">
        <v>34.96</v>
      </c>
    </row>
    <row r="6158" spans="1:230" x14ac:dyDescent="0.25">
      <c r="A6158" s="127">
        <v>46078</v>
      </c>
      <c r="B6158" s="24" t="s">
        <v>113</v>
      </c>
      <c r="C6158" s="21">
        <f t="shared" si="115"/>
        <v>367.52</v>
      </c>
      <c r="AR6158" s="106">
        <v>31.48</v>
      </c>
      <c r="AW6158" s="106">
        <v>33.685000000000002</v>
      </c>
      <c r="BC6158" s="106">
        <v>31.385000000000002</v>
      </c>
      <c r="BI6158" s="106">
        <v>34.56</v>
      </c>
      <c r="CA6158" s="106">
        <v>135.16499999999999</v>
      </c>
      <c r="CM6158" s="106">
        <v>34.909999999999997</v>
      </c>
      <c r="CY6158" s="106">
        <v>34.15</v>
      </c>
      <c r="DU6158" s="106">
        <v>32.185000000000002</v>
      </c>
    </row>
    <row r="6159" spans="1:230" x14ac:dyDescent="0.25">
      <c r="A6159" s="127">
        <v>46078</v>
      </c>
      <c r="B6159" s="24" t="s">
        <v>184</v>
      </c>
      <c r="C6159" s="21">
        <f t="shared" si="115"/>
        <v>-456.59</v>
      </c>
      <c r="AR6159" s="106">
        <v>-15.715</v>
      </c>
      <c r="AW6159" s="106">
        <v>-33.685000000000002</v>
      </c>
      <c r="BC6159" s="106">
        <v>-31.385000000000002</v>
      </c>
      <c r="BI6159" s="106">
        <v>-34.56</v>
      </c>
      <c r="CA6159" s="106">
        <v>-101.47499999999999</v>
      </c>
      <c r="CM6159" s="106">
        <v>-34.909999999999997</v>
      </c>
      <c r="CS6159" s="74">
        <v>-34.615000000000002</v>
      </c>
      <c r="CY6159" s="106">
        <v>-34.15</v>
      </c>
      <c r="DE6159" s="74">
        <v>-34.880000000000003</v>
      </c>
      <c r="DK6159" s="106">
        <v>-69.03</v>
      </c>
      <c r="DU6159" s="106">
        <v>-32.185000000000002</v>
      </c>
    </row>
    <row r="6160" spans="1:230" x14ac:dyDescent="0.25">
      <c r="A6160" s="127">
        <v>46078</v>
      </c>
      <c r="B6160" s="24" t="s">
        <v>184</v>
      </c>
      <c r="C6160" s="21">
        <f t="shared" si="115"/>
        <v>-15.765000000000001</v>
      </c>
      <c r="AR6160" s="106">
        <v>-15.765000000000001</v>
      </c>
    </row>
    <row r="6161" spans="1:131" x14ac:dyDescent="0.25">
      <c r="A6161" s="127">
        <v>46078</v>
      </c>
      <c r="B6161" s="24" t="s">
        <v>218</v>
      </c>
      <c r="C6161" s="21">
        <f t="shared" si="115"/>
        <v>-43.14</v>
      </c>
      <c r="AN6161" s="106">
        <v>-8.5250000000000004</v>
      </c>
      <c r="BI6161" s="106">
        <v>-8.61</v>
      </c>
      <c r="BO6161" s="106">
        <v>-8.48</v>
      </c>
      <c r="CG6161" s="106">
        <v>-8.77</v>
      </c>
      <c r="CS6161" s="74">
        <v>-8.7550000000000008</v>
      </c>
    </row>
    <row r="6162" spans="1:131" x14ac:dyDescent="0.25">
      <c r="A6162" s="127">
        <v>46079</v>
      </c>
      <c r="B6162" s="24" t="s">
        <v>192</v>
      </c>
      <c r="C6162" s="21">
        <f t="shared" si="115"/>
        <v>-8.625</v>
      </c>
      <c r="BI6162" s="106">
        <v>-8.625</v>
      </c>
    </row>
    <row r="6163" spans="1:131" x14ac:dyDescent="0.25">
      <c r="A6163" s="127">
        <v>46079</v>
      </c>
      <c r="B6163" s="24" t="s">
        <v>48</v>
      </c>
      <c r="C6163" s="21">
        <f t="shared" si="115"/>
        <v>17.274999999999999</v>
      </c>
      <c r="O6163" s="375">
        <f>8.66+8.615</f>
        <v>17.274999999999999</v>
      </c>
    </row>
    <row r="6164" spans="1:131" x14ac:dyDescent="0.25">
      <c r="A6164" s="127">
        <v>46080</v>
      </c>
      <c r="B6164" s="24" t="s">
        <v>48</v>
      </c>
      <c r="C6164" s="21">
        <f t="shared" si="115"/>
        <v>-16.93</v>
      </c>
      <c r="AN6164" s="106">
        <v>-16.93</v>
      </c>
    </row>
    <row r="6165" spans="1:131" x14ac:dyDescent="0.25">
      <c r="A6165" s="127">
        <v>46080</v>
      </c>
      <c r="B6165" s="24" t="s">
        <v>184</v>
      </c>
      <c r="C6165" s="21">
        <f t="shared" si="115"/>
        <v>-112.515</v>
      </c>
      <c r="CY6165" s="106">
        <v>-8.8049999999999997</v>
      </c>
      <c r="DE6165" s="74">
        <v>-35.075000000000003</v>
      </c>
      <c r="DK6165" s="106">
        <v>-25.91</v>
      </c>
      <c r="DM6165" s="46">
        <v>-8.9</v>
      </c>
      <c r="EA6165" s="74">
        <v>-33.825000000000003</v>
      </c>
    </row>
    <row r="6166" spans="1:131" x14ac:dyDescent="0.25">
      <c r="A6166" s="127">
        <v>46080</v>
      </c>
      <c r="B6166" s="24" t="s">
        <v>213</v>
      </c>
      <c r="C6166" s="21">
        <f t="shared" si="115"/>
        <v>-41.44</v>
      </c>
      <c r="O6166" s="375">
        <v>-7.68</v>
      </c>
      <c r="BI6166" s="106">
        <v>-8.6</v>
      </c>
      <c r="BU6166" s="106">
        <v>-8.5</v>
      </c>
      <c r="CG6166" s="106">
        <v>-8.7050000000000001</v>
      </c>
      <c r="CM6166" s="106">
        <v>-7.9550000000000001</v>
      </c>
    </row>
    <row r="6167" spans="1:131" x14ac:dyDescent="0.25">
      <c r="A6167" s="127">
        <v>46080</v>
      </c>
      <c r="B6167" s="24" t="s">
        <v>184</v>
      </c>
      <c r="C6167" s="21">
        <f t="shared" si="115"/>
        <v>-65.795000000000002</v>
      </c>
      <c r="S6167" s="74">
        <v>-13.62</v>
      </c>
      <c r="AN6167" s="106">
        <v>-16.55</v>
      </c>
      <c r="BO6167" s="106">
        <v>-8.42</v>
      </c>
      <c r="CA6167" s="106">
        <v>-9.5649999999999995</v>
      </c>
      <c r="CG6167" s="106">
        <v>-8.7750000000000004</v>
      </c>
      <c r="DE6167" s="74">
        <v>-8.8650000000000002</v>
      </c>
    </row>
    <row r="6168" spans="1:131" x14ac:dyDescent="0.25">
      <c r="A6168" s="127">
        <v>46080</v>
      </c>
      <c r="B6168" s="24" t="s">
        <v>301</v>
      </c>
      <c r="C6168" s="21">
        <f t="shared" si="115"/>
        <v>-0.98</v>
      </c>
      <c r="O6168" s="375">
        <v>-0.98</v>
      </c>
    </row>
    <row r="6169" spans="1:131" x14ac:dyDescent="0.25">
      <c r="A6169" s="127">
        <v>46080</v>
      </c>
      <c r="B6169" s="24" t="s">
        <v>224</v>
      </c>
      <c r="C6169" s="21">
        <f t="shared" si="115"/>
        <v>-17.335000000000001</v>
      </c>
      <c r="BU6169" s="106">
        <v>-8.89</v>
      </c>
      <c r="CA6169" s="106">
        <v>-8.4450000000000003</v>
      </c>
    </row>
    <row r="6170" spans="1:131" x14ac:dyDescent="0.25">
      <c r="A6170" s="127">
        <v>46081</v>
      </c>
      <c r="B6170" s="24" t="s">
        <v>302</v>
      </c>
      <c r="C6170" s="21">
        <f t="shared" si="115"/>
        <v>-126.38500000000001</v>
      </c>
      <c r="AW6170" s="106">
        <v>-8.07</v>
      </c>
      <c r="BC6170" s="106">
        <v>-8.6</v>
      </c>
      <c r="BI6170" s="106">
        <v>-17.21</v>
      </c>
      <c r="BO6170" s="106">
        <v>-16.97</v>
      </c>
      <c r="BU6170" s="106">
        <v>-16.745000000000001</v>
      </c>
      <c r="CA6170" s="106">
        <v>-25.245000000000001</v>
      </c>
      <c r="CD6170" s="182">
        <v>-16.579999999999998</v>
      </c>
      <c r="CG6170" s="106">
        <v>-8.7100000000000009</v>
      </c>
      <c r="CM6170" s="106">
        <v>-8.2550000000000008</v>
      </c>
    </row>
    <row r="6171" spans="1:131" x14ac:dyDescent="0.25">
      <c r="A6171" s="127">
        <v>46083</v>
      </c>
      <c r="B6171" s="24" t="s">
        <v>303</v>
      </c>
      <c r="C6171" s="21">
        <f t="shared" si="115"/>
        <v>-33.945</v>
      </c>
      <c r="AR6171" s="106">
        <v>-7.83</v>
      </c>
      <c r="BC6171" s="106">
        <v>-8.61</v>
      </c>
      <c r="BO6171" s="106">
        <v>-8.83</v>
      </c>
      <c r="CM6171" s="106">
        <v>-8.6750000000000007</v>
      </c>
    </row>
    <row r="6172" spans="1:131" x14ac:dyDescent="0.25">
      <c r="A6172" s="127">
        <v>46084</v>
      </c>
      <c r="B6172" s="24" t="s">
        <v>138</v>
      </c>
      <c r="C6172" s="21">
        <f t="shared" si="115"/>
        <v>-17.260000000000002</v>
      </c>
      <c r="CS6172" s="74">
        <v>-17.260000000000002</v>
      </c>
    </row>
    <row r="6173" spans="1:131" x14ac:dyDescent="0.25">
      <c r="A6173" s="127">
        <v>46087</v>
      </c>
      <c r="B6173" s="24" t="s">
        <v>138</v>
      </c>
      <c r="C6173" s="21">
        <f t="shared" si="115"/>
        <v>-8.1300000000000008</v>
      </c>
      <c r="AW6173" s="106">
        <v>-8.1300000000000008</v>
      </c>
    </row>
    <row r="6174" spans="1:131" x14ac:dyDescent="0.25">
      <c r="A6174" s="127">
        <v>46087</v>
      </c>
      <c r="B6174" s="24" t="s">
        <v>225</v>
      </c>
      <c r="C6174" s="21">
        <f t="shared" si="115"/>
        <v>-8.5350000000000001</v>
      </c>
      <c r="Z6174" s="79">
        <v>-8.5350000000000001</v>
      </c>
    </row>
    <row r="6175" spans="1:131" x14ac:dyDescent="0.25">
      <c r="A6175" s="127">
        <v>46087</v>
      </c>
      <c r="B6175" s="24" t="s">
        <v>184</v>
      </c>
      <c r="C6175" s="21">
        <f t="shared" si="115"/>
        <v>-32.465000000000003</v>
      </c>
      <c r="AN6175" s="106">
        <v>-32.465000000000003</v>
      </c>
    </row>
    <row r="6176" spans="1:131" x14ac:dyDescent="0.25">
      <c r="A6176" s="127">
        <v>46087</v>
      </c>
      <c r="B6176" s="24" t="s">
        <v>224</v>
      </c>
      <c r="C6176" s="21">
        <f t="shared" si="115"/>
        <v>-17.28</v>
      </c>
      <c r="AC6176" s="106">
        <v>-8.5500000000000007</v>
      </c>
      <c r="BC6176" s="106">
        <v>-8.73</v>
      </c>
    </row>
    <row r="6177" spans="1:256" x14ac:dyDescent="0.25">
      <c r="A6177" s="127">
        <v>46087</v>
      </c>
      <c r="B6177" s="24" t="s">
        <v>17</v>
      </c>
      <c r="C6177" s="21">
        <f t="shared" si="115"/>
        <v>-50.67</v>
      </c>
      <c r="CY6177" s="106">
        <v>-8.7949999999999999</v>
      </c>
      <c r="DE6177" s="74">
        <v>-17.324999999999999</v>
      </c>
      <c r="DM6177" s="46">
        <v>-24.55</v>
      </c>
    </row>
    <row r="6178" spans="1:256" x14ac:dyDescent="0.25">
      <c r="A6178" s="127">
        <v>46090</v>
      </c>
      <c r="B6178" s="24" t="s">
        <v>48</v>
      </c>
      <c r="C6178" s="21">
        <f t="shared" si="115"/>
        <v>-5.08</v>
      </c>
      <c r="S6178" s="74">
        <v>-5.08</v>
      </c>
    </row>
    <row r="6179" spans="1:256" x14ac:dyDescent="0.25">
      <c r="A6179" s="127">
        <v>46090</v>
      </c>
      <c r="B6179" s="24" t="s">
        <v>115</v>
      </c>
      <c r="C6179" s="21">
        <f t="shared" si="115"/>
        <v>60.664999999999999</v>
      </c>
      <c r="D6179" s="386">
        <v>34.064999999999998</v>
      </c>
      <c r="E6179" s="386">
        <v>26.6</v>
      </c>
    </row>
    <row r="6180" spans="1:256" x14ac:dyDescent="0.25">
      <c r="A6180" s="127">
        <v>46091</v>
      </c>
      <c r="B6180" s="24" t="s">
        <v>202</v>
      </c>
      <c r="C6180" s="21">
        <f t="shared" si="115"/>
        <v>-26.6</v>
      </c>
      <c r="E6180" s="386">
        <v>-26.6</v>
      </c>
    </row>
    <row r="6181" spans="1:256" x14ac:dyDescent="0.25">
      <c r="A6181" s="127">
        <v>46091</v>
      </c>
      <c r="B6181" s="24" t="s">
        <v>115</v>
      </c>
      <c r="C6181" s="21">
        <f t="shared" si="115"/>
        <v>41.86</v>
      </c>
      <c r="E6181" s="386">
        <v>41.86</v>
      </c>
    </row>
    <row r="6182" spans="1:256" x14ac:dyDescent="0.25">
      <c r="A6182" s="127">
        <v>46093</v>
      </c>
      <c r="B6182" s="24" t="s">
        <v>184</v>
      </c>
      <c r="C6182" s="21">
        <f t="shared" si="115"/>
        <v>-64.48</v>
      </c>
      <c r="IV6182" s="378">
        <v>-64.48</v>
      </c>
    </row>
    <row r="6183" spans="1:256" x14ac:dyDescent="0.25">
      <c r="A6183" s="127">
        <v>46094</v>
      </c>
      <c r="B6183" s="24" t="s">
        <v>184</v>
      </c>
      <c r="C6183" s="21">
        <f t="shared" si="115"/>
        <v>-25.745000000000001</v>
      </c>
      <c r="AC6183" s="106">
        <v>-17.22</v>
      </c>
      <c r="AN6183" s="106">
        <v>-8.5250000000000004</v>
      </c>
    </row>
    <row r="6184" spans="1:256" x14ac:dyDescent="0.25">
      <c r="A6184" s="127">
        <v>46094</v>
      </c>
      <c r="B6184" s="24" t="s">
        <v>146</v>
      </c>
      <c r="C6184" s="21">
        <f t="shared" si="115"/>
        <v>101.395</v>
      </c>
      <c r="DO6184" s="375">
        <v>67.569999999999993</v>
      </c>
      <c r="DT6184" s="69">
        <v>33.825000000000003</v>
      </c>
    </row>
    <row r="6185" spans="1:256" x14ac:dyDescent="0.25">
      <c r="A6185" s="127">
        <v>46094</v>
      </c>
      <c r="B6185" s="24" t="s">
        <v>197</v>
      </c>
      <c r="C6185" s="21">
        <f t="shared" si="115"/>
        <v>-118.075</v>
      </c>
      <c r="DO6185" s="375">
        <v>-50.555</v>
      </c>
      <c r="DT6185" s="69">
        <v>-33.825000000000003</v>
      </c>
      <c r="EA6185" s="74">
        <f>-8.29-8.83-8.26-8.315</f>
        <v>-33.695</v>
      </c>
    </row>
    <row r="6186" spans="1:256" x14ac:dyDescent="0.25">
      <c r="A6186" s="127">
        <v>46095</v>
      </c>
      <c r="B6186" s="24" t="s">
        <v>127</v>
      </c>
      <c r="C6186" s="21">
        <f t="shared" si="115"/>
        <v>-17.274999999999999</v>
      </c>
      <c r="CS6186" s="74">
        <v>-17.274999999999999</v>
      </c>
    </row>
    <row r="6187" spans="1:256" x14ac:dyDescent="0.25">
      <c r="A6187" s="127">
        <v>46097</v>
      </c>
      <c r="B6187" s="24" t="s">
        <v>162</v>
      </c>
      <c r="C6187" s="21">
        <f t="shared" si="115"/>
        <v>-8.42</v>
      </c>
      <c r="AN6187" s="106">
        <v>-8.42</v>
      </c>
    </row>
    <row r="6188" spans="1:256" x14ac:dyDescent="0.25">
      <c r="A6188" s="127">
        <v>46097</v>
      </c>
      <c r="B6188" s="24" t="s">
        <v>48</v>
      </c>
      <c r="C6188" s="21">
        <f t="shared" si="115"/>
        <v>-8.49</v>
      </c>
      <c r="DO6188" s="375">
        <v>-8.49</v>
      </c>
    </row>
    <row r="6189" spans="1:256" x14ac:dyDescent="0.25">
      <c r="A6189" s="127">
        <v>46097</v>
      </c>
      <c r="B6189" s="24" t="s">
        <v>48</v>
      </c>
      <c r="C6189" s="21">
        <f t="shared" ref="C6189:C6252" si="116">SUM(D6189:JT6189)</f>
        <v>288.435</v>
      </c>
      <c r="AV6189" s="69">
        <v>16.86</v>
      </c>
      <c r="BB6189" s="69">
        <v>33.744999999999997</v>
      </c>
      <c r="BH6189" s="69">
        <v>50.835000000000001</v>
      </c>
      <c r="BN6189" s="69">
        <v>33.76</v>
      </c>
      <c r="BT6189" s="69">
        <v>34.33</v>
      </c>
      <c r="BZ6189" s="69">
        <v>51</v>
      </c>
      <c r="CF6189" s="69">
        <v>33.784999999999997</v>
      </c>
      <c r="CL6189" s="69">
        <v>17.28</v>
      </c>
      <c r="CR6189" s="375">
        <v>16.84</v>
      </c>
    </row>
    <row r="6190" spans="1:256" x14ac:dyDescent="0.25">
      <c r="A6190" s="127">
        <v>46097</v>
      </c>
      <c r="B6190" s="24" t="s">
        <v>17</v>
      </c>
      <c r="C6190" s="21">
        <f t="shared" si="116"/>
        <v>-42.695</v>
      </c>
      <c r="BH6190" s="69">
        <v>-8.49</v>
      </c>
      <c r="BT6190" s="69">
        <v>-8.59</v>
      </c>
      <c r="BZ6190" s="69">
        <v>-8.5399999999999991</v>
      </c>
      <c r="CF6190" s="69">
        <v>-8.44</v>
      </c>
      <c r="CL6190" s="69">
        <v>-8.6349999999999998</v>
      </c>
    </row>
    <row r="6191" spans="1:256" x14ac:dyDescent="0.25">
      <c r="A6191" s="127">
        <v>46097</v>
      </c>
      <c r="B6191" s="24" t="s">
        <v>213</v>
      </c>
      <c r="C6191" s="21">
        <f t="shared" si="116"/>
        <v>-68.290000000000006</v>
      </c>
      <c r="BT6191" s="69">
        <v>-17.170000000000002</v>
      </c>
      <c r="BZ6191" s="69">
        <v>-34.215000000000003</v>
      </c>
      <c r="CF6191" s="69">
        <v>-16.905000000000001</v>
      </c>
    </row>
    <row r="6192" spans="1:256" x14ac:dyDescent="0.25">
      <c r="A6192" s="127">
        <v>46097</v>
      </c>
      <c r="B6192" s="24" t="s">
        <v>213</v>
      </c>
      <c r="C6192" s="21">
        <f>SUM(D6192:JT6192)</f>
        <v>-67.599999999999994</v>
      </c>
      <c r="BB6192" s="69">
        <v>-33.744999999999997</v>
      </c>
      <c r="BH6192" s="69">
        <v>-33.854999999999997</v>
      </c>
    </row>
    <row r="6193" spans="1:137" x14ac:dyDescent="0.25">
      <c r="A6193" s="127">
        <v>46097</v>
      </c>
      <c r="B6193" s="24" t="s">
        <v>218</v>
      </c>
      <c r="C6193" s="21">
        <f>SUM(D6193:JT6193)</f>
        <v>-33.835000000000001</v>
      </c>
      <c r="AV6193" s="69">
        <v>-8.4149999999999991</v>
      </c>
      <c r="BZ6193" s="69">
        <v>-8.2449999999999992</v>
      </c>
      <c r="CR6193" s="375">
        <v>-8.42</v>
      </c>
      <c r="DE6193" s="74">
        <v>-8.7550000000000008</v>
      </c>
    </row>
    <row r="6194" spans="1:137" x14ac:dyDescent="0.25">
      <c r="A6194" s="127">
        <v>46098</v>
      </c>
      <c r="B6194" s="24" t="s">
        <v>33</v>
      </c>
      <c r="C6194" s="21">
        <f>SUM(D6194:JT6194)</f>
        <v>-17.035</v>
      </c>
      <c r="BN6194" s="69">
        <v>-8.4649999999999999</v>
      </c>
      <c r="BT6194" s="69">
        <v>-8.57</v>
      </c>
    </row>
    <row r="6195" spans="1:137" x14ac:dyDescent="0.25">
      <c r="A6195" s="127">
        <v>46098</v>
      </c>
      <c r="B6195" s="24" t="s">
        <v>224</v>
      </c>
      <c r="C6195" s="21">
        <f>SUM(D6195:JT6195)</f>
        <v>-25.375</v>
      </c>
      <c r="AV6195" s="69">
        <v>-8.4450000000000003</v>
      </c>
      <c r="BH6195" s="69">
        <v>-8.49</v>
      </c>
      <c r="CF6195" s="69">
        <v>-8.44</v>
      </c>
    </row>
    <row r="6196" spans="1:137" x14ac:dyDescent="0.25">
      <c r="A6196" s="127">
        <v>46105</v>
      </c>
      <c r="B6196" s="24" t="s">
        <v>115</v>
      </c>
      <c r="C6196" s="21">
        <f t="shared" si="116"/>
        <v>-281.01499999999999</v>
      </c>
      <c r="EG6196" s="74">
        <v>-281.01499999999999</v>
      </c>
    </row>
    <row r="6197" spans="1:137" x14ac:dyDescent="0.25">
      <c r="A6197" s="127">
        <v>46105</v>
      </c>
      <c r="B6197" s="24" t="s">
        <v>115</v>
      </c>
      <c r="C6197" s="21">
        <f t="shared" si="116"/>
        <v>443.34500000000003</v>
      </c>
      <c r="AZ6197" s="182">
        <v>33.86</v>
      </c>
      <c r="BF6197" s="182">
        <v>34.534999999999997</v>
      </c>
      <c r="BL6197" s="182">
        <v>69.34</v>
      </c>
      <c r="BR6197" s="182">
        <v>68.204999999999998</v>
      </c>
      <c r="BX6197" s="182">
        <v>69.844999999999999</v>
      </c>
      <c r="CD6197" s="182">
        <v>66.625</v>
      </c>
      <c r="CJ6197" s="182">
        <v>67.444999999999993</v>
      </c>
      <c r="CP6197" s="182">
        <v>33.49</v>
      </c>
    </row>
    <row r="6198" spans="1:137" x14ac:dyDescent="0.25">
      <c r="C6198" s="21">
        <f t="shared" si="116"/>
        <v>0</v>
      </c>
    </row>
    <row r="6199" spans="1:137" x14ac:dyDescent="0.25">
      <c r="C6199" s="21">
        <f t="shared" si="116"/>
        <v>0</v>
      </c>
    </row>
    <row r="6200" spans="1:137" x14ac:dyDescent="0.25">
      <c r="C6200" s="21">
        <f t="shared" si="116"/>
        <v>0</v>
      </c>
    </row>
    <row r="6201" spans="1:137" x14ac:dyDescent="0.25">
      <c r="C6201" s="21">
        <f t="shared" si="116"/>
        <v>0</v>
      </c>
    </row>
    <row r="6202" spans="1:137" x14ac:dyDescent="0.25">
      <c r="C6202" s="21">
        <f t="shared" si="116"/>
        <v>0</v>
      </c>
    </row>
    <row r="6203" spans="1:137" x14ac:dyDescent="0.25">
      <c r="C6203" s="21">
        <f t="shared" si="116"/>
        <v>0</v>
      </c>
    </row>
    <row r="6204" spans="1:137" x14ac:dyDescent="0.25">
      <c r="C6204" s="21">
        <f t="shared" si="116"/>
        <v>0</v>
      </c>
    </row>
    <row r="6205" spans="1:137" x14ac:dyDescent="0.25">
      <c r="C6205" s="21">
        <f t="shared" si="116"/>
        <v>0</v>
      </c>
    </row>
    <row r="6206" spans="1:137" x14ac:dyDescent="0.25">
      <c r="C6206" s="21">
        <f t="shared" si="116"/>
        <v>0</v>
      </c>
    </row>
    <row r="6207" spans="1:137" x14ac:dyDescent="0.25">
      <c r="C6207" s="21">
        <f t="shared" si="116"/>
        <v>0</v>
      </c>
    </row>
    <row r="6208" spans="1:137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si="116"/>
        <v>0</v>
      </c>
    </row>
    <row r="6249" spans="3:3" x14ac:dyDescent="0.25">
      <c r="C6249" s="21">
        <f t="shared" si="116"/>
        <v>0</v>
      </c>
    </row>
    <row r="6250" spans="3:3" x14ac:dyDescent="0.25">
      <c r="C6250" s="21">
        <f t="shared" si="116"/>
        <v>0</v>
      </c>
    </row>
    <row r="6251" spans="3:3" x14ac:dyDescent="0.25">
      <c r="C6251" s="21">
        <f t="shared" si="116"/>
        <v>0</v>
      </c>
    </row>
    <row r="6252" spans="3:3" x14ac:dyDescent="0.25">
      <c r="C6252" s="21">
        <f t="shared" si="116"/>
        <v>0</v>
      </c>
    </row>
    <row r="6253" spans="3:3" x14ac:dyDescent="0.25">
      <c r="C6253" s="21">
        <f t="shared" ref="C6253:C6316" si="117">SUM(D6253:JT6253)</f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si="117"/>
        <v>0</v>
      </c>
    </row>
    <row r="6313" spans="3:3" x14ac:dyDescent="0.25">
      <c r="C6313" s="21">
        <f t="shared" si="117"/>
        <v>0</v>
      </c>
    </row>
    <row r="6314" spans="3:3" x14ac:dyDescent="0.25">
      <c r="C6314" s="21">
        <f t="shared" si="117"/>
        <v>0</v>
      </c>
    </row>
    <row r="6315" spans="3:3" x14ac:dyDescent="0.25">
      <c r="C6315" s="21">
        <f t="shared" si="117"/>
        <v>0</v>
      </c>
    </row>
    <row r="6316" spans="3:3" x14ac:dyDescent="0.25">
      <c r="C6316" s="21">
        <f t="shared" si="117"/>
        <v>0</v>
      </c>
    </row>
    <row r="6317" spans="3:3" x14ac:dyDescent="0.25">
      <c r="C6317" s="21">
        <f t="shared" ref="C6317:C6380" si="118">SUM(D6317:JT6317)</f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si="118"/>
        <v>0</v>
      </c>
    </row>
    <row r="6377" spans="3:3" x14ac:dyDescent="0.25">
      <c r="C6377" s="21">
        <f t="shared" si="118"/>
        <v>0</v>
      </c>
    </row>
    <row r="6378" spans="3:3" x14ac:dyDescent="0.25">
      <c r="C6378" s="21">
        <f t="shared" si="118"/>
        <v>0</v>
      </c>
    </row>
    <row r="6379" spans="3:3" x14ac:dyDescent="0.25">
      <c r="C6379" s="21">
        <f t="shared" si="118"/>
        <v>0</v>
      </c>
    </row>
    <row r="6380" spans="3:3" x14ac:dyDescent="0.25">
      <c r="C6380" s="21">
        <f t="shared" si="118"/>
        <v>0</v>
      </c>
    </row>
    <row r="6381" spans="3:3" x14ac:dyDescent="0.25">
      <c r="C6381" s="21">
        <f t="shared" ref="C6381:C6444" si="119">SUM(D6381:JT6381)</f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si="119"/>
        <v>0</v>
      </c>
    </row>
    <row r="6441" spans="3:3" x14ac:dyDescent="0.25">
      <c r="C6441" s="21">
        <f t="shared" si="119"/>
        <v>0</v>
      </c>
    </row>
    <row r="6442" spans="3:3" x14ac:dyDescent="0.25">
      <c r="C6442" s="21">
        <f t="shared" si="119"/>
        <v>0</v>
      </c>
    </row>
    <row r="6443" spans="3:3" x14ac:dyDescent="0.25">
      <c r="C6443" s="21">
        <f t="shared" si="119"/>
        <v>0</v>
      </c>
    </row>
    <row r="6444" spans="3:3" x14ac:dyDescent="0.25">
      <c r="C6444" s="21">
        <f t="shared" si="119"/>
        <v>0</v>
      </c>
    </row>
    <row r="6445" spans="3:3" x14ac:dyDescent="0.25">
      <c r="C6445" s="21">
        <f t="shared" ref="C6445:C6508" si="120">SUM(D6445:JT6445)</f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  <row r="6504" spans="3:3" x14ac:dyDescent="0.25">
      <c r="C6504" s="21">
        <f t="shared" si="120"/>
        <v>0</v>
      </c>
    </row>
    <row r="6505" spans="3:3" x14ac:dyDescent="0.25">
      <c r="C6505" s="21">
        <f t="shared" si="120"/>
        <v>0</v>
      </c>
    </row>
    <row r="6506" spans="3:3" x14ac:dyDescent="0.25">
      <c r="C6506" s="21">
        <f t="shared" si="120"/>
        <v>0</v>
      </c>
    </row>
    <row r="6507" spans="3:3" x14ac:dyDescent="0.25">
      <c r="C6507" s="21">
        <f t="shared" si="120"/>
        <v>0</v>
      </c>
    </row>
    <row r="6508" spans="3:3" x14ac:dyDescent="0.25">
      <c r="C6508" s="21">
        <f t="shared" si="120"/>
        <v>0</v>
      </c>
    </row>
  </sheetData>
  <sortState ref="A6191:IW6194">
    <sortCondition ref="A6191:A6194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38" t="s">
        <v>10</v>
      </c>
      <c r="C3" s="438"/>
      <c r="D3" s="245"/>
    </row>
    <row r="4" spans="1:4" ht="20.100000000000001" customHeight="1" x14ac:dyDescent="0.25">
      <c r="A4" s="245"/>
      <c r="B4" s="438"/>
      <c r="C4" s="438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/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8" t="s">
        <v>240</v>
      </c>
      <c r="B1" s="368" t="s">
        <v>241</v>
      </c>
      <c r="C1" s="368" t="s">
        <v>220</v>
      </c>
      <c r="D1" s="367" t="s">
        <v>2</v>
      </c>
      <c r="E1" s="367" t="s">
        <v>3</v>
      </c>
      <c r="F1" s="367" t="s">
        <v>113</v>
      </c>
      <c r="G1" s="367" t="s">
        <v>5</v>
      </c>
      <c r="H1" s="367" t="s">
        <v>6</v>
      </c>
      <c r="I1" s="367" t="s">
        <v>115</v>
      </c>
      <c r="J1" s="368" t="s">
        <v>4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67" t="s">
        <v>242</v>
      </c>
      <c r="B2" s="368" t="s">
        <v>128</v>
      </c>
      <c r="C2" s="369">
        <v>102</v>
      </c>
      <c r="D2" s="308"/>
      <c r="E2" s="308"/>
      <c r="F2" s="308"/>
      <c r="G2" s="308"/>
      <c r="H2" s="308"/>
      <c r="I2" s="308">
        <f>'STOK DETAY'!D6</f>
        <v>34.064999999999998</v>
      </c>
      <c r="J2" s="330">
        <f t="shared" ref="J2:J33" si="0">SUM(D2:I2)</f>
        <v>34.064999999999998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67" t="s">
        <v>243</v>
      </c>
      <c r="B3" s="368" t="s">
        <v>128</v>
      </c>
      <c r="C3" s="369">
        <v>102</v>
      </c>
      <c r="D3" s="308"/>
      <c r="E3" s="308"/>
      <c r="F3" s="308"/>
      <c r="G3" s="308"/>
      <c r="H3" s="308"/>
      <c r="I3" s="308">
        <f>'STOK DETAY'!E6</f>
        <v>41.86</v>
      </c>
      <c r="J3" s="330">
        <f t="shared" si="0"/>
        <v>41.86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67" t="s">
        <v>244</v>
      </c>
      <c r="B4" s="368" t="s">
        <v>128</v>
      </c>
      <c r="C4" s="369">
        <v>102</v>
      </c>
      <c r="D4" s="308"/>
      <c r="E4" s="308"/>
      <c r="F4" s="308"/>
      <c r="G4" s="308"/>
      <c r="H4" s="308"/>
      <c r="I4" s="308">
        <f>'STOK DETAY'!F6</f>
        <v>0</v>
      </c>
      <c r="J4" s="330">
        <f t="shared" si="0"/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67" t="s">
        <v>245</v>
      </c>
      <c r="B5" s="368" t="s">
        <v>128</v>
      </c>
      <c r="C5" s="369"/>
      <c r="D5" s="330"/>
      <c r="E5" s="330"/>
      <c r="F5" s="330"/>
      <c r="G5" s="330"/>
      <c r="H5" s="330"/>
      <c r="I5" s="330">
        <f>'STOK DETAY'!G6</f>
        <v>0</v>
      </c>
      <c r="J5" s="330">
        <f t="shared" si="0"/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67" t="s">
        <v>246</v>
      </c>
      <c r="B6" s="368" t="s">
        <v>55</v>
      </c>
      <c r="C6" s="369">
        <v>312</v>
      </c>
      <c r="D6" s="308"/>
      <c r="E6" s="308"/>
      <c r="F6" s="308">
        <f>'STOK DETAY'!H6</f>
        <v>92.75</v>
      </c>
      <c r="G6" s="308"/>
      <c r="H6" s="308"/>
      <c r="I6" s="308"/>
      <c r="J6" s="330">
        <f t="shared" si="0"/>
        <v>92.75</v>
      </c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67" t="s">
        <v>247</v>
      </c>
      <c r="B7" s="368" t="s">
        <v>55</v>
      </c>
      <c r="C7" s="369">
        <v>113</v>
      </c>
      <c r="D7" s="330"/>
      <c r="E7" s="330"/>
      <c r="F7" s="330">
        <f>'STOK DETAY'!I6</f>
        <v>38.11</v>
      </c>
      <c r="G7" s="330"/>
      <c r="H7" s="330"/>
      <c r="I7" s="330"/>
      <c r="J7" s="330">
        <f t="shared" si="0"/>
        <v>38.11</v>
      </c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67" t="s">
        <v>248</v>
      </c>
      <c r="B8" s="368" t="s">
        <v>55</v>
      </c>
      <c r="C8" s="369">
        <v>103</v>
      </c>
      <c r="D8" s="330"/>
      <c r="E8" s="330">
        <f>'STOK DETAY'!L6</f>
        <v>0</v>
      </c>
      <c r="F8" s="330">
        <f>'STOK DETAY'!M6</f>
        <v>0</v>
      </c>
      <c r="G8" s="330"/>
      <c r="H8" s="330"/>
      <c r="I8" s="330"/>
      <c r="J8" s="330">
        <f t="shared" si="0"/>
        <v>0</v>
      </c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67" t="s">
        <v>249</v>
      </c>
      <c r="B9" s="368" t="s">
        <v>55</v>
      </c>
      <c r="C9" s="369">
        <v>103</v>
      </c>
      <c r="D9" s="330">
        <f>'STOK DETAY'!N6</f>
        <v>0</v>
      </c>
      <c r="E9" s="330">
        <f>'STOK DETAY'!O6</f>
        <v>8.6150000000000002</v>
      </c>
      <c r="F9" s="330">
        <f>'STOK DETAY'!P6</f>
        <v>0</v>
      </c>
      <c r="G9" s="330"/>
      <c r="H9" s="330">
        <f>'STOK DETAY'!Q6</f>
        <v>0</v>
      </c>
      <c r="I9" s="330">
        <f>'STOK DETAY'!R6</f>
        <v>0</v>
      </c>
      <c r="J9" s="330">
        <f t="shared" si="0"/>
        <v>8.6150000000000002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67" t="s">
        <v>250</v>
      </c>
      <c r="B10" s="368" t="s">
        <v>143</v>
      </c>
      <c r="C10" s="369"/>
      <c r="D10" s="330"/>
      <c r="E10" s="330"/>
      <c r="F10" s="330">
        <f>'STOK DETAY'!S6</f>
        <v>93.21</v>
      </c>
      <c r="G10" s="330"/>
      <c r="H10" s="330"/>
      <c r="I10" s="330"/>
      <c r="J10" s="330">
        <f t="shared" si="0"/>
        <v>93.21</v>
      </c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67" t="s">
        <v>251</v>
      </c>
      <c r="B11" s="368" t="s">
        <v>55</v>
      </c>
      <c r="C11" s="369">
        <v>201</v>
      </c>
      <c r="D11" s="330">
        <f>'STOK DETAY'!T6</f>
        <v>0</v>
      </c>
      <c r="E11" s="330">
        <f>'STOK DETAY'!U6</f>
        <v>0</v>
      </c>
      <c r="F11" s="334">
        <f>'STOK DETAY'!V6</f>
        <v>54.594999999999999</v>
      </c>
      <c r="G11" s="330"/>
      <c r="H11" s="330"/>
      <c r="I11" s="330">
        <f>'STOK DETAY'!W6</f>
        <v>0</v>
      </c>
      <c r="J11" s="330">
        <f t="shared" si="0"/>
        <v>54.594999999999999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67" t="s">
        <v>252</v>
      </c>
      <c r="B12" s="368" t="s">
        <v>55</v>
      </c>
      <c r="C12" s="369">
        <v>201</v>
      </c>
      <c r="D12" s="330">
        <f>'STOK DETAY'!X6</f>
        <v>0</v>
      </c>
      <c r="E12" s="330">
        <f>'STOK DETAY'!Y6</f>
        <v>0</v>
      </c>
      <c r="F12" s="330">
        <f>'STOK DETAY'!Z6</f>
        <v>8.3550000000000004</v>
      </c>
      <c r="G12" s="330"/>
      <c r="H12" s="330"/>
      <c r="I12" s="330"/>
      <c r="J12" s="330">
        <f t="shared" si="0"/>
        <v>8.3550000000000004</v>
      </c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67" t="s">
        <v>242</v>
      </c>
      <c r="B13" s="368" t="s">
        <v>55</v>
      </c>
      <c r="C13" s="369">
        <v>202</v>
      </c>
      <c r="D13" s="330">
        <f>'STOK DETAY'!AA6</f>
        <v>0</v>
      </c>
      <c r="E13" s="330">
        <f>'STOK DETAY'!AB6</f>
        <v>0</v>
      </c>
      <c r="F13" s="330">
        <f>'STOK DETAY'!AC6</f>
        <v>0</v>
      </c>
      <c r="G13" s="330"/>
      <c r="H13" s="330"/>
      <c r="I13" s="330">
        <f>'STOK DETAY'!AD6</f>
        <v>0</v>
      </c>
      <c r="J13" s="330">
        <f t="shared" si="0"/>
        <v>0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67" t="s">
        <v>253</v>
      </c>
      <c r="B14" s="368" t="s">
        <v>55</v>
      </c>
      <c r="C14" s="369">
        <v>202</v>
      </c>
      <c r="D14" s="330">
        <f>'STOK DETAY'!AE6</f>
        <v>0</v>
      </c>
      <c r="E14" s="330">
        <f>'STOK DETAY'!AF6</f>
        <v>0</v>
      </c>
      <c r="F14" s="330">
        <f>'STOK DETAY'!AG6</f>
        <v>0</v>
      </c>
      <c r="G14" s="330">
        <f>'STOK DETAY'!AH6</f>
        <v>0</v>
      </c>
      <c r="H14" s="330">
        <f>'STOK DETAY'!AI6</f>
        <v>0</v>
      </c>
      <c r="I14" s="330">
        <f>'STOK DETAY'!AJ6</f>
        <v>0</v>
      </c>
      <c r="J14" s="330">
        <f t="shared" si="0"/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67" t="s">
        <v>254</v>
      </c>
      <c r="B15" s="368" t="s">
        <v>55</v>
      </c>
      <c r="C15" s="369"/>
      <c r="D15" s="330"/>
      <c r="E15" s="330"/>
      <c r="F15" s="330">
        <f>'STOK DETAY'!AK6</f>
        <v>24.27</v>
      </c>
      <c r="G15" s="330"/>
      <c r="H15" s="330"/>
      <c r="I15" s="330"/>
      <c r="J15" s="330">
        <f t="shared" si="0"/>
        <v>24.27</v>
      </c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67" t="s">
        <v>243</v>
      </c>
      <c r="B16" s="368" t="s">
        <v>55</v>
      </c>
      <c r="C16" s="369">
        <v>203</v>
      </c>
      <c r="D16" s="330">
        <f>'STOK DETAY'!AL6</f>
        <v>0</v>
      </c>
      <c r="E16" s="330">
        <f>'STOK DETAY'!AM6</f>
        <v>0</v>
      </c>
      <c r="F16" s="330">
        <f>'STOK DETAY'!AN6</f>
        <v>0</v>
      </c>
      <c r="G16" s="330"/>
      <c r="H16" s="330">
        <f>'STOK DETAY'!AO6</f>
        <v>0</v>
      </c>
      <c r="I16" s="330"/>
      <c r="J16" s="330">
        <f t="shared" si="0"/>
        <v>0</v>
      </c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67" t="s">
        <v>255</v>
      </c>
      <c r="B17" s="368" t="s">
        <v>55</v>
      </c>
      <c r="C17" s="369">
        <v>203</v>
      </c>
      <c r="D17" s="330">
        <f>'STOK DETAY'!AP6</f>
        <v>0</v>
      </c>
      <c r="E17" s="330">
        <f>'STOK DETAY'!AQ6</f>
        <v>0</v>
      </c>
      <c r="F17" s="330">
        <f>'STOK DETAY'!AR6</f>
        <v>0</v>
      </c>
      <c r="G17" s="330">
        <f>'STOK DETAY'!AS6</f>
        <v>0</v>
      </c>
      <c r="H17" s="330">
        <f>'STOK DETAY'!AT6</f>
        <v>0</v>
      </c>
      <c r="I17" s="330"/>
      <c r="J17" s="330">
        <f t="shared" si="0"/>
        <v>0</v>
      </c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67" t="s">
        <v>244</v>
      </c>
      <c r="B18" s="368" t="s">
        <v>55</v>
      </c>
      <c r="C18" s="369">
        <v>301</v>
      </c>
      <c r="D18" s="330">
        <f>'STOK DETAY'!AU6</f>
        <v>0</v>
      </c>
      <c r="E18" s="330">
        <f>'STOK DETAY'!AV6</f>
        <v>0</v>
      </c>
      <c r="F18" s="330">
        <f>'STOK DETAY'!AW6</f>
        <v>0</v>
      </c>
      <c r="G18" s="330">
        <f>'STOK DETAY'!AX6</f>
        <v>0</v>
      </c>
      <c r="H18" s="330">
        <f>'STOK DETAY'!AY6</f>
        <v>0</v>
      </c>
      <c r="I18" s="330">
        <f>'STOK DETAY'!AZ6</f>
        <v>33.86</v>
      </c>
      <c r="J18" s="330">
        <f t="shared" si="0"/>
        <v>33.86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67" t="s">
        <v>256</v>
      </c>
      <c r="B19" s="368" t="s">
        <v>55</v>
      </c>
      <c r="C19" s="369">
        <v>301</v>
      </c>
      <c r="D19" s="330">
        <f>'STOK DETAY'!BA6</f>
        <v>0</v>
      </c>
      <c r="E19" s="330">
        <f>'STOK DETAY'!BB6</f>
        <v>0</v>
      </c>
      <c r="F19" s="330">
        <f>'STOK DETAY'!BC6</f>
        <v>0</v>
      </c>
      <c r="G19" s="330"/>
      <c r="H19" s="330">
        <f>'STOK DETAY'!BE6</f>
        <v>0</v>
      </c>
      <c r="I19" s="330">
        <f>'STOK DETAY'!BF6</f>
        <v>34.534999999999997</v>
      </c>
      <c r="J19" s="330">
        <f t="shared" si="0"/>
        <v>34.534999999999997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67" t="s">
        <v>257</v>
      </c>
      <c r="B20" s="368" t="s">
        <v>55</v>
      </c>
      <c r="C20" s="369">
        <v>302</v>
      </c>
      <c r="D20" s="330">
        <f>'STOK DETAY'!BG6</f>
        <v>0</v>
      </c>
      <c r="E20" s="330">
        <f>'STOK DETAY'!BH6</f>
        <v>0</v>
      </c>
      <c r="F20" s="330">
        <f>'STOK DETAY'!BI6</f>
        <v>0</v>
      </c>
      <c r="G20" s="330">
        <f>'STOK DETAY'!BJ6</f>
        <v>0</v>
      </c>
      <c r="H20" s="330">
        <f>'STOK DETAY'!BK6</f>
        <v>0</v>
      </c>
      <c r="I20" s="330">
        <f>'STOK DETAY'!BL6</f>
        <v>69.34</v>
      </c>
      <c r="J20" s="330">
        <f t="shared" si="0"/>
        <v>69.34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67" t="s">
        <v>258</v>
      </c>
      <c r="B21" s="368" t="s">
        <v>55</v>
      </c>
      <c r="C21" s="369">
        <v>302</v>
      </c>
      <c r="D21" s="330">
        <f>'STOK DETAY'!BM6</f>
        <v>0</v>
      </c>
      <c r="E21" s="330">
        <f>'STOK DETAY'!BN6</f>
        <v>25.295000000000002</v>
      </c>
      <c r="F21" s="330">
        <f>'STOK DETAY'!BO6</f>
        <v>0</v>
      </c>
      <c r="G21" s="330">
        <f>'STOK DETAY'!BP6</f>
        <v>0</v>
      </c>
      <c r="H21" s="330">
        <f>'STOK DETAY'!BQ6</f>
        <v>0</v>
      </c>
      <c r="I21" s="330">
        <f>'STOK DETAY'!BR6</f>
        <v>68.204999999999998</v>
      </c>
      <c r="J21" s="330">
        <f t="shared" si="0"/>
        <v>93.5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67" t="s">
        <v>259</v>
      </c>
      <c r="B22" s="368" t="s">
        <v>55</v>
      </c>
      <c r="C22" s="369">
        <v>303</v>
      </c>
      <c r="D22" s="330">
        <f>'STOK DETAY'!BS6</f>
        <v>0</v>
      </c>
      <c r="E22" s="330">
        <f>'STOK DETAY'!BT6</f>
        <v>0</v>
      </c>
      <c r="F22" s="330">
        <f>'STOK DETAY'!BU6</f>
        <v>0</v>
      </c>
      <c r="G22" s="330">
        <f>'STOK DETAY'!BV6</f>
        <v>0</v>
      </c>
      <c r="H22" s="330">
        <f>'STOK DETAY'!BW6</f>
        <v>0</v>
      </c>
      <c r="I22" s="330">
        <f>'STOK DETAY'!BX6</f>
        <v>69.844999999999999</v>
      </c>
      <c r="J22" s="330">
        <f t="shared" si="0"/>
        <v>69.844999999999999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67" t="s">
        <v>260</v>
      </c>
      <c r="B23" s="368" t="s">
        <v>55</v>
      </c>
      <c r="C23" s="369">
        <v>303</v>
      </c>
      <c r="D23" s="330">
        <f>'STOK DETAY'!BY6</f>
        <v>0</v>
      </c>
      <c r="E23" s="330">
        <f>'STOK DETAY'!BZ6</f>
        <v>0</v>
      </c>
      <c r="F23" s="330">
        <f>'STOK DETAY'!CA6</f>
        <v>0</v>
      </c>
      <c r="G23" s="330">
        <f>'STOK DETAY'!CB6</f>
        <v>0</v>
      </c>
      <c r="H23" s="330">
        <f>'STOK DETAY'!CC6</f>
        <v>0</v>
      </c>
      <c r="I23" s="330">
        <f>'STOK DETAY'!CD6</f>
        <v>66.625</v>
      </c>
      <c r="J23" s="330">
        <f t="shared" si="0"/>
        <v>66.625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67" t="s">
        <v>261</v>
      </c>
      <c r="B24" s="368" t="s">
        <v>55</v>
      </c>
      <c r="C24" s="369">
        <v>401</v>
      </c>
      <c r="D24" s="330">
        <f>'STOK DETAY'!CE6</f>
        <v>0</v>
      </c>
      <c r="E24" s="330">
        <f>'STOK DETAY'!CF6</f>
        <v>0</v>
      </c>
      <c r="F24" s="330">
        <f>'STOK DETAY'!CG6</f>
        <v>0</v>
      </c>
      <c r="G24" s="330">
        <f>'STOK DETAY'!CH6</f>
        <v>0</v>
      </c>
      <c r="H24" s="330">
        <f>'STOK DETAY'!CI6</f>
        <v>0</v>
      </c>
      <c r="I24" s="330">
        <f>'STOK DETAY'!CJ6</f>
        <v>67.444999999999993</v>
      </c>
      <c r="J24" s="330">
        <f t="shared" si="0"/>
        <v>67.444999999999993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67" t="s">
        <v>262</v>
      </c>
      <c r="B25" s="368" t="s">
        <v>55</v>
      </c>
      <c r="C25" s="369">
        <v>401</v>
      </c>
      <c r="D25" s="330">
        <f>'STOK DETAY'!CK6</f>
        <v>0</v>
      </c>
      <c r="E25" s="330">
        <f>'STOK DETAY'!CL6</f>
        <v>8.6449999999999996</v>
      </c>
      <c r="F25" s="330">
        <f>'STOK DETAY'!CM6</f>
        <v>0</v>
      </c>
      <c r="G25" s="330">
        <f>'STOK DETAY'!CN6</f>
        <v>0</v>
      </c>
      <c r="H25" s="330">
        <f>'STOK DETAY'!CO6</f>
        <v>0</v>
      </c>
      <c r="I25" s="330">
        <f>'STOK DETAY'!CP6</f>
        <v>33.49</v>
      </c>
      <c r="J25" s="330">
        <f t="shared" si="0"/>
        <v>42.134999999999998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67" t="s">
        <v>263</v>
      </c>
      <c r="B26" s="368" t="s">
        <v>55</v>
      </c>
      <c r="C26" s="369">
        <v>402</v>
      </c>
      <c r="D26" s="330">
        <f>'STOK DETAY'!CQ6</f>
        <v>0</v>
      </c>
      <c r="E26" s="330">
        <f>'STOK DETAY'!CR6</f>
        <v>8.42</v>
      </c>
      <c r="F26" s="330">
        <f>'STOK DETAY'!CS6</f>
        <v>42.22</v>
      </c>
      <c r="G26" s="330">
        <f>'STOK DETAY'!CT6</f>
        <v>0</v>
      </c>
      <c r="H26" s="330">
        <f>'STOK DETAY'!CU6</f>
        <v>0</v>
      </c>
      <c r="I26" s="330">
        <f>'STOK DETAY'!CV6</f>
        <v>0</v>
      </c>
      <c r="J26" s="330">
        <f t="shared" si="0"/>
        <v>50.64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67" t="s">
        <v>264</v>
      </c>
      <c r="B27" s="368" t="s">
        <v>55</v>
      </c>
      <c r="C27" s="369">
        <v>402</v>
      </c>
      <c r="D27" s="330">
        <f>'STOK DETAY'!CW6</f>
        <v>0</v>
      </c>
      <c r="E27" s="330">
        <f>'STOK DETAY'!CX6</f>
        <v>0</v>
      </c>
      <c r="F27" s="330">
        <f>'STOK DETAY'!CY6</f>
        <v>0</v>
      </c>
      <c r="G27" s="330">
        <f>'STOK DETAY'!CZ6</f>
        <v>0</v>
      </c>
      <c r="H27" s="330">
        <f>'STOK DETAY'!DA6</f>
        <v>0</v>
      </c>
      <c r="I27" s="330">
        <f>'STOK DETAY'!DB6</f>
        <v>0</v>
      </c>
      <c r="J27" s="330">
        <f t="shared" si="0"/>
        <v>0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67" t="s">
        <v>265</v>
      </c>
      <c r="B28" s="368" t="s">
        <v>55</v>
      </c>
      <c r="C28" s="369">
        <v>403</v>
      </c>
      <c r="D28" s="330">
        <f>'STOK DETAY'!DC6</f>
        <v>0</v>
      </c>
      <c r="E28" s="330">
        <f>'STOK DETAY'!DD6</f>
        <v>0</v>
      </c>
      <c r="F28" s="330">
        <f>'STOK DETAY'!DE6</f>
        <v>25.734999999999999</v>
      </c>
      <c r="G28" s="330">
        <f>'STOK DETAY'!DF6</f>
        <v>0</v>
      </c>
      <c r="H28" s="330">
        <f>'STOK DETAY'!DG6</f>
        <v>0</v>
      </c>
      <c r="I28" s="330"/>
      <c r="J28" s="330">
        <f t="shared" si="0"/>
        <v>25.734999999999999</v>
      </c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67" t="s">
        <v>266</v>
      </c>
      <c r="B29" s="368" t="s">
        <v>55</v>
      </c>
      <c r="C29" s="369">
        <v>403</v>
      </c>
      <c r="D29" s="330">
        <f>'STOK DETAY'!DI6</f>
        <v>0</v>
      </c>
      <c r="E29" s="330">
        <f>'STOK DETAY'!DJ6</f>
        <v>0</v>
      </c>
      <c r="F29" s="330">
        <f>'STOK DETAY'!DK6</f>
        <v>0</v>
      </c>
      <c r="G29" s="330">
        <f>'STOK DETAY'!DL6</f>
        <v>0</v>
      </c>
      <c r="H29" s="330">
        <f>'STOK DETAY'!DM6</f>
        <v>0</v>
      </c>
      <c r="I29" s="330"/>
      <c r="J29" s="330">
        <f t="shared" si="0"/>
        <v>0</v>
      </c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67" t="s">
        <v>267</v>
      </c>
      <c r="B30" s="368" t="s">
        <v>55</v>
      </c>
      <c r="C30" s="369">
        <v>501</v>
      </c>
      <c r="D30" s="330">
        <f>'STOK DETAY'!DN6</f>
        <v>0</v>
      </c>
      <c r="E30" s="330">
        <f>'STOK DETAY'!DO6</f>
        <v>8.5250000000000004</v>
      </c>
      <c r="F30" s="330">
        <f>'STOK DETAY'!DP6</f>
        <v>8.8049999999999997</v>
      </c>
      <c r="G30" s="330">
        <f>'STOK DETAY'!DQ6</f>
        <v>0</v>
      </c>
      <c r="H30" s="330">
        <f>'STOK DETAY'!DR6</f>
        <v>0</v>
      </c>
      <c r="I30" s="330"/>
      <c r="J30" s="330">
        <f t="shared" si="0"/>
        <v>17.329999999999998</v>
      </c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67" t="s">
        <v>268</v>
      </c>
      <c r="B31" s="368" t="s">
        <v>55</v>
      </c>
      <c r="C31" s="369">
        <v>501</v>
      </c>
      <c r="D31" s="330">
        <f>'STOK DETAY'!DS6</f>
        <v>0</v>
      </c>
      <c r="E31" s="330">
        <f>'STOK DETAY'!DT6</f>
        <v>0</v>
      </c>
      <c r="F31" s="330">
        <f>'STOK DETAY'!DU6</f>
        <v>0</v>
      </c>
      <c r="G31" s="330">
        <f>'STOK DETAY'!DV6</f>
        <v>0</v>
      </c>
      <c r="H31" s="330">
        <f>'STOK DETAY'!DW6</f>
        <v>0</v>
      </c>
      <c r="I31" s="330">
        <f>'STOK DETAY'!DX6</f>
        <v>0</v>
      </c>
      <c r="J31" s="330">
        <f t="shared" si="0"/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67" t="s">
        <v>269</v>
      </c>
      <c r="B32" s="368" t="s">
        <v>55</v>
      </c>
      <c r="C32" s="369">
        <v>502</v>
      </c>
      <c r="D32" s="330">
        <f>'STOK DETAY'!DY6</f>
        <v>0</v>
      </c>
      <c r="E32" s="330">
        <f>'STOK DETAY'!DZ6</f>
        <v>0</v>
      </c>
      <c r="F32" s="330">
        <f>'STOK DETAY'!EA6</f>
        <v>8.3800000000000008</v>
      </c>
      <c r="G32" s="330">
        <f>'STOK DETAY'!EB6</f>
        <v>0</v>
      </c>
      <c r="H32" s="330">
        <f>'STOK DETAY'!EC6</f>
        <v>0</v>
      </c>
      <c r="I32" s="330">
        <f>'STOK DETAY'!ED6</f>
        <v>0</v>
      </c>
      <c r="J32" s="330">
        <f t="shared" si="0"/>
        <v>8.3800000000000008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67" t="s">
        <v>270</v>
      </c>
      <c r="B33" s="368" t="s">
        <v>55</v>
      </c>
      <c r="C33" s="369">
        <v>502</v>
      </c>
      <c r="D33" s="330">
        <f>'STOK DETAY'!EE6</f>
        <v>0</v>
      </c>
      <c r="E33" s="330">
        <f>'STOK DETAY'!EF6</f>
        <v>0</v>
      </c>
      <c r="F33" s="330">
        <f>'STOK DETAY'!EG6</f>
        <v>380.73</v>
      </c>
      <c r="G33" s="330">
        <f>'STOK DETAY'!EH6</f>
        <v>1.75</v>
      </c>
      <c r="H33" s="330">
        <f>'STOK DETAY'!EI6</f>
        <v>8.44</v>
      </c>
      <c r="I33" s="330"/>
      <c r="J33" s="330">
        <f t="shared" si="0"/>
        <v>390.92</v>
      </c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67" t="s">
        <v>271</v>
      </c>
      <c r="B34" s="368" t="s">
        <v>55</v>
      </c>
      <c r="C34" s="369">
        <v>503</v>
      </c>
      <c r="D34" s="330">
        <f>'STOK DETAY'!EJ6</f>
        <v>0</v>
      </c>
      <c r="E34" s="330">
        <f>'STOK DETAY'!EK6</f>
        <v>0</v>
      </c>
      <c r="F34" s="330">
        <f>'STOK DETAY'!EL6</f>
        <v>0</v>
      </c>
      <c r="G34" s="330"/>
      <c r="H34" s="330">
        <f>'STOK DETAY'!EM6</f>
        <v>68.8</v>
      </c>
      <c r="I34" s="330"/>
      <c r="J34" s="330">
        <f t="shared" ref="J34:J65" si="1">SUM(D34:I34)</f>
        <v>68.8</v>
      </c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67" t="s">
        <v>272</v>
      </c>
      <c r="B35" s="368" t="s">
        <v>55</v>
      </c>
      <c r="C35" s="369">
        <v>503</v>
      </c>
      <c r="D35" s="330">
        <f>'STOK DETAY'!EN6</f>
        <v>0</v>
      </c>
      <c r="E35" s="330">
        <f>'STOK DETAY'!EO6</f>
        <v>0</v>
      </c>
      <c r="F35" s="330">
        <f>'STOK DETAY'!EP6</f>
        <v>16.170000000000002</v>
      </c>
      <c r="G35" s="330"/>
      <c r="H35" s="330">
        <f>'STOK DETAY'!EQ6</f>
        <v>0</v>
      </c>
      <c r="I35" s="330"/>
      <c r="J35" s="330">
        <f t="shared" si="1"/>
        <v>16.170000000000002</v>
      </c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67" t="s">
        <v>273</v>
      </c>
      <c r="B36" s="368" t="s">
        <v>55</v>
      </c>
      <c r="C36" s="369"/>
      <c r="D36" s="330">
        <f>'STOK DETAY'!ER6</f>
        <v>0</v>
      </c>
      <c r="E36" s="330">
        <f>'STOK DETAY'!ES6</f>
        <v>0</v>
      </c>
      <c r="F36" s="330">
        <f>'STOK DETAY'!ET6</f>
        <v>0</v>
      </c>
      <c r="G36" s="330"/>
      <c r="H36" s="330">
        <f>'STOK DETAY'!EU6</f>
        <v>0</v>
      </c>
      <c r="I36" s="330"/>
      <c r="J36" s="330">
        <f t="shared" si="1"/>
        <v>0</v>
      </c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67" t="s">
        <v>274</v>
      </c>
      <c r="B37" s="368" t="s">
        <v>55</v>
      </c>
      <c r="C37" s="369">
        <v>211</v>
      </c>
      <c r="D37" s="330"/>
      <c r="E37" s="330"/>
      <c r="F37" s="330"/>
      <c r="G37" s="330"/>
      <c r="H37" s="330">
        <f>'STOK DETAY'!EV6</f>
        <v>27.65</v>
      </c>
      <c r="I37" s="330"/>
      <c r="J37" s="330">
        <f t="shared" si="1"/>
        <v>27.65</v>
      </c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67" t="s">
        <v>275</v>
      </c>
      <c r="B38" s="368" t="s">
        <v>55</v>
      </c>
      <c r="C38" s="369"/>
      <c r="D38" s="330"/>
      <c r="E38" s="330">
        <f>'STOK DETAY'!EW6</f>
        <v>0</v>
      </c>
      <c r="F38" s="330"/>
      <c r="G38" s="330"/>
      <c r="H38" s="330"/>
      <c r="I38" s="330"/>
      <c r="J38" s="330">
        <f t="shared" si="1"/>
        <v>0</v>
      </c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67" t="s">
        <v>276</v>
      </c>
      <c r="B39" s="368" t="s">
        <v>55</v>
      </c>
      <c r="C39" s="369"/>
      <c r="D39" s="330"/>
      <c r="E39" s="330">
        <f>'STOK DETAY'!EY6</f>
        <v>0</v>
      </c>
      <c r="F39" s="330">
        <f>'STOK DETAY'!EZ6</f>
        <v>0</v>
      </c>
      <c r="G39" s="330"/>
      <c r="H39" s="330"/>
      <c r="I39" s="330"/>
      <c r="J39" s="330">
        <f t="shared" si="1"/>
        <v>0</v>
      </c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67" t="s">
        <v>277</v>
      </c>
      <c r="B40" s="368" t="s">
        <v>55</v>
      </c>
      <c r="C40" s="369"/>
      <c r="D40" s="330">
        <f>'STOK DETAY'!FA6</f>
        <v>0</v>
      </c>
      <c r="E40" s="330">
        <f>'STOK DETAY'!FB6</f>
        <v>0</v>
      </c>
      <c r="F40" s="330">
        <f>'STOK DETAY'!FC6</f>
        <v>0</v>
      </c>
      <c r="G40" s="330"/>
      <c r="H40" s="330">
        <f>'STOK DETAY'!FD6</f>
        <v>0</v>
      </c>
      <c r="I40" s="330"/>
      <c r="J40" s="330">
        <f t="shared" si="1"/>
        <v>0</v>
      </c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67" t="s">
        <v>278</v>
      </c>
      <c r="B41" s="368" t="s">
        <v>55</v>
      </c>
      <c r="C41" s="369"/>
      <c r="D41" s="330"/>
      <c r="E41" s="330"/>
      <c r="F41" s="330"/>
      <c r="G41" s="330"/>
      <c r="H41" s="330">
        <f>'STOK DETAY'!FE6</f>
        <v>28</v>
      </c>
      <c r="I41" s="330"/>
      <c r="J41" s="330">
        <f t="shared" si="1"/>
        <v>28</v>
      </c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67" t="s">
        <v>279</v>
      </c>
      <c r="B42" s="368" t="s">
        <v>55</v>
      </c>
      <c r="C42" s="369"/>
      <c r="D42" s="330"/>
      <c r="E42" s="330">
        <f>'STOK DETAY'!FF6</f>
        <v>0</v>
      </c>
      <c r="F42" s="330">
        <f>'STOK DETAY'!FG6</f>
        <v>103.66500000000001</v>
      </c>
      <c r="G42" s="330"/>
      <c r="H42" s="330">
        <f>'STOK DETAY'!FH6</f>
        <v>0</v>
      </c>
      <c r="I42" s="330"/>
      <c r="J42" s="330">
        <f t="shared" si="1"/>
        <v>103.66500000000001</v>
      </c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67" t="s">
        <v>280</v>
      </c>
      <c r="B43" s="368" t="s">
        <v>55</v>
      </c>
      <c r="C43" s="369"/>
      <c r="D43" s="330"/>
      <c r="E43" s="330">
        <f>'STOK DETAY'!FJ6</f>
        <v>0</v>
      </c>
      <c r="F43" s="330">
        <f>'STOK DETAY'!FK6</f>
        <v>0</v>
      </c>
      <c r="G43" s="330"/>
      <c r="H43" s="330">
        <f>'STOK DETAY'!FL6</f>
        <v>0</v>
      </c>
      <c r="I43" s="330"/>
      <c r="J43" s="330">
        <f t="shared" si="1"/>
        <v>0</v>
      </c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67" t="s">
        <v>281</v>
      </c>
      <c r="B44" s="368" t="s">
        <v>55</v>
      </c>
      <c r="C44" s="369"/>
      <c r="D44" s="330">
        <f>'STOK DETAY'!FM6</f>
        <v>0</v>
      </c>
      <c r="E44" s="330"/>
      <c r="F44" s="330"/>
      <c r="G44" s="330"/>
      <c r="H44" s="330">
        <f>'STOK DETAY'!FN6</f>
        <v>45.85</v>
      </c>
      <c r="I44" s="330"/>
      <c r="J44" s="330">
        <f t="shared" si="1"/>
        <v>45.85</v>
      </c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67" t="s">
        <v>282</v>
      </c>
      <c r="B45" s="368" t="s">
        <v>55</v>
      </c>
      <c r="C45" s="369"/>
      <c r="D45" s="330"/>
      <c r="E45" s="330"/>
      <c r="F45" s="330"/>
      <c r="G45" s="330"/>
      <c r="H45" s="330">
        <f>'STOK DETAY'!FO6</f>
        <v>0</v>
      </c>
      <c r="I45" s="330"/>
      <c r="J45" s="330">
        <f t="shared" si="1"/>
        <v>0</v>
      </c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67" t="s">
        <v>283</v>
      </c>
      <c r="B46" s="368" t="s">
        <v>55</v>
      </c>
      <c r="C46" s="369"/>
      <c r="D46" s="330"/>
      <c r="E46" s="330"/>
      <c r="F46" s="330"/>
      <c r="G46" s="330"/>
      <c r="H46" s="330">
        <f>'STOK DETAY'!FP6</f>
        <v>0</v>
      </c>
      <c r="I46" s="330"/>
      <c r="J46" s="330">
        <f t="shared" si="1"/>
        <v>0</v>
      </c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67" t="s">
        <v>284</v>
      </c>
      <c r="B47" s="368" t="s">
        <v>55</v>
      </c>
      <c r="C47" s="369"/>
      <c r="D47" s="330">
        <f>'STOK DETAY'!FQ6</f>
        <v>0</v>
      </c>
      <c r="E47" s="330">
        <f>'STOK DETAY'!FR6</f>
        <v>0</v>
      </c>
      <c r="F47" s="330">
        <f>'STOK DETAY'!FS6</f>
        <v>0</v>
      </c>
      <c r="G47" s="330"/>
      <c r="H47" s="330"/>
      <c r="I47" s="330">
        <f>'STOK DETAY'!FT6</f>
        <v>0</v>
      </c>
      <c r="J47" s="330">
        <f t="shared" si="1"/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67" t="s">
        <v>245</v>
      </c>
      <c r="B48" s="368" t="s">
        <v>55</v>
      </c>
      <c r="C48" s="369"/>
      <c r="D48" s="330"/>
      <c r="E48" s="330">
        <f>'STOK DETAY'!FU6</f>
        <v>0</v>
      </c>
      <c r="F48" s="330">
        <f>'STOK DETAY'!FV6</f>
        <v>0</v>
      </c>
      <c r="G48" s="330"/>
      <c r="H48" s="330">
        <f>'STOK DETAY'!FW6</f>
        <v>45.4</v>
      </c>
      <c r="I48" s="330"/>
      <c r="J48" s="330">
        <f t="shared" si="1"/>
        <v>45.4</v>
      </c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67" t="s">
        <v>285</v>
      </c>
      <c r="B49" s="368" t="s">
        <v>55</v>
      </c>
      <c r="C49" s="369">
        <v>113</v>
      </c>
      <c r="D49" s="330">
        <f>'STOK DETAY'!FX6</f>
        <v>9.1999999999999993</v>
      </c>
      <c r="E49" s="330"/>
      <c r="F49" s="330"/>
      <c r="G49" s="330"/>
      <c r="H49" s="330">
        <f>'STOK DETAY'!FY6</f>
        <v>0</v>
      </c>
      <c r="I49" s="330">
        <f>'STOK DETAY'!FZ6</f>
        <v>0</v>
      </c>
      <c r="J49" s="330">
        <f t="shared" si="1"/>
        <v>9.1999999999999993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67" t="s">
        <v>286</v>
      </c>
      <c r="B50" s="368" t="s">
        <v>55</v>
      </c>
      <c r="C50" s="369"/>
      <c r="D50" s="330"/>
      <c r="E50" s="330">
        <f>'STOK DETAY'!GA6</f>
        <v>0</v>
      </c>
      <c r="F50" s="330">
        <f>'STOK DETAY'!GB6</f>
        <v>0</v>
      </c>
      <c r="G50" s="330"/>
      <c r="H50" s="330">
        <f>'STOK DETAY'!GC6</f>
        <v>89.45</v>
      </c>
      <c r="I50" s="330">
        <f>'STOK DETAY'!GD6</f>
        <v>0</v>
      </c>
      <c r="J50" s="330">
        <f t="shared" si="1"/>
        <v>89.45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67" t="s">
        <v>287</v>
      </c>
      <c r="B51" s="368" t="s">
        <v>55</v>
      </c>
      <c r="C51" s="369">
        <v>211</v>
      </c>
      <c r="D51" s="330"/>
      <c r="E51" s="330">
        <f>'STOK DETAY'!GE6</f>
        <v>0</v>
      </c>
      <c r="F51" s="330"/>
      <c r="G51" s="330"/>
      <c r="H51" s="330">
        <f>'STOK DETAY'!GF6</f>
        <v>21.45</v>
      </c>
      <c r="I51" s="330"/>
      <c r="J51" s="330">
        <f t="shared" si="1"/>
        <v>21.45</v>
      </c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67" t="s">
        <v>288</v>
      </c>
      <c r="B52" s="368" t="s">
        <v>55</v>
      </c>
      <c r="C52" s="369"/>
      <c r="D52" s="330"/>
      <c r="E52" s="330"/>
      <c r="F52" s="330"/>
      <c r="G52" s="330"/>
      <c r="H52" s="330">
        <f>'STOK DETAY'!GG6</f>
        <v>0</v>
      </c>
      <c r="I52" s="330"/>
      <c r="J52" s="330">
        <f t="shared" si="1"/>
        <v>0</v>
      </c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67" t="s">
        <v>289</v>
      </c>
      <c r="B53" s="368" t="s">
        <v>55</v>
      </c>
      <c r="C53" s="369"/>
      <c r="D53" s="330"/>
      <c r="E53" s="330"/>
      <c r="F53" s="330"/>
      <c r="G53" s="330"/>
      <c r="H53" s="330">
        <f>'STOK DETAY'!GI6</f>
        <v>0</v>
      </c>
      <c r="I53" s="330"/>
      <c r="J53" s="330">
        <f t="shared" si="1"/>
        <v>0</v>
      </c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7" t="s">
        <v>290</v>
      </c>
      <c r="B54" s="368" t="s">
        <v>30</v>
      </c>
      <c r="C54" s="369">
        <v>611</v>
      </c>
      <c r="D54" s="330">
        <f>'STOK DETAY'!GJ6</f>
        <v>0</v>
      </c>
      <c r="E54" s="330"/>
      <c r="F54" s="330">
        <f>'STOK DETAY'!GK6</f>
        <v>76.703000000000003</v>
      </c>
      <c r="G54" s="330"/>
      <c r="H54" s="330"/>
      <c r="I54" s="330"/>
      <c r="J54" s="330">
        <f t="shared" si="1"/>
        <v>76.703000000000003</v>
      </c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67" t="s">
        <v>246</v>
      </c>
      <c r="B55" s="332" t="s">
        <v>30</v>
      </c>
      <c r="C55" s="369"/>
      <c r="D55" s="330">
        <f>'STOK DETAY'!GL6</f>
        <v>0</v>
      </c>
      <c r="E55" s="330"/>
      <c r="F55" s="330">
        <f>'STOK DETAY'!GM6</f>
        <v>0</v>
      </c>
      <c r="G55" s="330"/>
      <c r="H55" s="330"/>
      <c r="I55" s="330"/>
      <c r="J55" s="330">
        <f t="shared" si="1"/>
        <v>0</v>
      </c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67" t="s">
        <v>291</v>
      </c>
      <c r="B56" s="332" t="s">
        <v>30</v>
      </c>
      <c r="C56" s="369">
        <v>601</v>
      </c>
      <c r="D56" s="330"/>
      <c r="E56" s="330"/>
      <c r="F56" s="330">
        <f>'STOK DETAY'!GO6</f>
        <v>0</v>
      </c>
      <c r="G56" s="330"/>
      <c r="H56" s="330"/>
      <c r="I56" s="330"/>
      <c r="J56" s="330">
        <f t="shared" si="1"/>
        <v>0</v>
      </c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67" t="s">
        <v>292</v>
      </c>
      <c r="B57" s="368" t="s">
        <v>30</v>
      </c>
      <c r="C57" s="369"/>
      <c r="D57" s="330">
        <f>'STOK DETAY'!GP6</f>
        <v>0</v>
      </c>
      <c r="E57" s="330"/>
      <c r="F57" s="330">
        <f>'STOK DETAY'!GQ6</f>
        <v>0</v>
      </c>
      <c r="G57" s="330"/>
      <c r="H57" s="330"/>
      <c r="I57" s="330"/>
      <c r="J57" s="330">
        <f t="shared" si="1"/>
        <v>0</v>
      </c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67" t="s">
        <v>293</v>
      </c>
      <c r="B58" s="368" t="s">
        <v>30</v>
      </c>
      <c r="C58" s="369"/>
      <c r="D58" s="330">
        <f>'STOK DETAY'!GR6</f>
        <v>0</v>
      </c>
      <c r="E58" s="330"/>
      <c r="F58" s="330">
        <f>'STOK DETAY'!GS6</f>
        <v>0</v>
      </c>
      <c r="G58" s="330"/>
      <c r="H58" s="330"/>
      <c r="I58" s="330"/>
      <c r="J58" s="330">
        <f t="shared" si="1"/>
        <v>0</v>
      </c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67" t="s">
        <v>294</v>
      </c>
      <c r="B59" s="368" t="s">
        <v>30</v>
      </c>
      <c r="C59" s="369"/>
      <c r="D59" s="330"/>
      <c r="E59" s="330"/>
      <c r="F59" s="330">
        <f>'STOK DETAY'!GU6</f>
        <v>0</v>
      </c>
      <c r="G59" s="330"/>
      <c r="H59" s="330"/>
      <c r="I59" s="330"/>
      <c r="J59" s="330">
        <f t="shared" si="1"/>
        <v>0</v>
      </c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67" t="s">
        <v>295</v>
      </c>
      <c r="B60" s="368" t="s">
        <v>30</v>
      </c>
      <c r="C60" s="369"/>
      <c r="D60" s="330">
        <f>'STOK DETAY'!GV6</f>
        <v>0</v>
      </c>
      <c r="E60" s="330"/>
      <c r="F60" s="330">
        <f>'STOK DETAY'!GW6</f>
        <v>0</v>
      </c>
      <c r="G60" s="330"/>
      <c r="H60" s="330"/>
      <c r="I60" s="330"/>
      <c r="J60" s="330">
        <f t="shared" si="1"/>
        <v>0</v>
      </c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67" t="s">
        <v>296</v>
      </c>
      <c r="B61" s="368" t="s">
        <v>30</v>
      </c>
      <c r="C61" s="369"/>
      <c r="D61" s="330"/>
      <c r="E61" s="330"/>
      <c r="F61" s="330">
        <f>'STOK DETAY'!GX6</f>
        <v>0</v>
      </c>
      <c r="G61" s="330"/>
      <c r="H61" s="330"/>
      <c r="I61" s="330"/>
      <c r="J61" s="330">
        <f t="shared" si="1"/>
        <v>0</v>
      </c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67" t="s">
        <v>248</v>
      </c>
      <c r="B62" s="368" t="s">
        <v>30</v>
      </c>
      <c r="C62" s="369"/>
      <c r="D62" s="330">
        <f>'STOK DETAY'!GY6</f>
        <v>0</v>
      </c>
      <c r="E62" s="330"/>
      <c r="F62" s="330">
        <f>'STOK DETAY'!GZ6</f>
        <v>0</v>
      </c>
      <c r="G62" s="330"/>
      <c r="H62" s="330"/>
      <c r="I62" s="330">
        <f>'STOK DETAY'!HA6</f>
        <v>0</v>
      </c>
      <c r="J62" s="330">
        <f t="shared" si="1"/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67" t="s">
        <v>297</v>
      </c>
      <c r="B63" s="368" t="s">
        <v>30</v>
      </c>
      <c r="C63" s="369"/>
      <c r="D63" s="330">
        <f>'STOK DETAY'!HB6</f>
        <v>0</v>
      </c>
      <c r="E63" s="330"/>
      <c r="F63" s="330"/>
      <c r="G63" s="330"/>
      <c r="H63" s="330"/>
      <c r="I63" s="330"/>
      <c r="J63" s="330">
        <f t="shared" si="1"/>
        <v>0</v>
      </c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67" t="s">
        <v>249</v>
      </c>
      <c r="B64" s="368" t="s">
        <v>30</v>
      </c>
      <c r="C64" s="369"/>
      <c r="D64" s="330">
        <f>'STOK DETAY'!HC6</f>
        <v>0</v>
      </c>
      <c r="E64" s="330"/>
      <c r="F64" s="330">
        <f>'STOK DETAY'!HD6</f>
        <v>0</v>
      </c>
      <c r="G64" s="330"/>
      <c r="H64" s="330"/>
      <c r="I64" s="330"/>
      <c r="J64" s="330">
        <f t="shared" si="1"/>
        <v>0</v>
      </c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67" t="s">
        <v>250</v>
      </c>
      <c r="B65" s="368" t="s">
        <v>30</v>
      </c>
      <c r="C65" s="369"/>
      <c r="D65" s="330">
        <f>'STOK DETAY'!HE6</f>
        <v>0</v>
      </c>
      <c r="E65" s="330"/>
      <c r="F65" s="330">
        <f>'STOK DETAY'!HF6</f>
        <v>67.03</v>
      </c>
      <c r="G65" s="330"/>
      <c r="H65" s="330"/>
      <c r="I65" s="330"/>
      <c r="J65" s="330">
        <f t="shared" si="1"/>
        <v>67.03</v>
      </c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67" t="s">
        <v>251</v>
      </c>
      <c r="B66" s="368" t="s">
        <v>30</v>
      </c>
      <c r="C66" s="369"/>
      <c r="D66" s="330">
        <f>'STOK DETAY'!HG6</f>
        <v>0</v>
      </c>
      <c r="E66" s="330"/>
      <c r="F66" s="330">
        <f>'STOK DETAY'!HH6</f>
        <v>0</v>
      </c>
      <c r="G66" s="330"/>
      <c r="H66" s="330"/>
      <c r="I66" s="330">
        <f>'STOK DETAY'!HI6</f>
        <v>13.32</v>
      </c>
      <c r="J66" s="330">
        <f t="shared" ref="J66:J96" si="2">SUM(D66:I66)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67" t="s">
        <v>298</v>
      </c>
      <c r="B67" s="368" t="s">
        <v>30</v>
      </c>
      <c r="C67" s="369">
        <v>613</v>
      </c>
      <c r="D67" s="330"/>
      <c r="E67" s="330"/>
      <c r="F67" s="330">
        <f>'STOK DETAY'!HJ6</f>
        <v>8.9849999999999994</v>
      </c>
      <c r="G67" s="330"/>
      <c r="H67" s="330"/>
      <c r="I67" s="330"/>
      <c r="J67" s="330">
        <f t="shared" si="2"/>
        <v>8.9849999999999994</v>
      </c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67" t="s">
        <v>299</v>
      </c>
      <c r="B68" s="368" t="s">
        <v>30</v>
      </c>
      <c r="C68" s="369"/>
      <c r="D68" s="330">
        <f>'STOK DETAY'!HK6</f>
        <v>0</v>
      </c>
      <c r="E68" s="330"/>
      <c r="F68" s="330"/>
      <c r="G68" s="330"/>
      <c r="H68" s="330"/>
      <c r="I68" s="330"/>
      <c r="J68" s="330">
        <f t="shared" si="2"/>
        <v>0</v>
      </c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67" t="s">
        <v>252</v>
      </c>
      <c r="B69" s="368" t="s">
        <v>30</v>
      </c>
      <c r="C69" s="369"/>
      <c r="D69" s="330">
        <f>'STOK DETAY'!HL6</f>
        <v>0</v>
      </c>
      <c r="E69" s="330"/>
      <c r="F69" s="330">
        <f>'STOK DETAY'!HM6</f>
        <v>0</v>
      </c>
      <c r="G69" s="330"/>
      <c r="H69" s="330"/>
      <c r="I69" s="330">
        <f>'STOK DETAY'!HN6</f>
        <v>0</v>
      </c>
      <c r="J69" s="330">
        <f t="shared" si="2"/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67" t="s">
        <v>300</v>
      </c>
      <c r="B70" s="368" t="s">
        <v>30</v>
      </c>
      <c r="C70" s="369">
        <v>612</v>
      </c>
      <c r="D70" s="330">
        <f>'STOK DETAY'!HO6</f>
        <v>0</v>
      </c>
      <c r="E70" s="330"/>
      <c r="F70" s="330">
        <f>'STOK DETAY'!HP6</f>
        <v>51.43</v>
      </c>
      <c r="G70" s="330"/>
      <c r="H70" s="330"/>
      <c r="I70" s="330"/>
      <c r="J70" s="330">
        <f t="shared" si="2"/>
        <v>51.43</v>
      </c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67" t="s">
        <v>242</v>
      </c>
      <c r="B71" s="368" t="s">
        <v>30</v>
      </c>
      <c r="C71" s="369"/>
      <c r="D71" s="330">
        <f>'STOK DETAY'!HQ6</f>
        <v>0</v>
      </c>
      <c r="E71" s="330"/>
      <c r="F71" s="330">
        <f>'STOK DETAY'!HR6</f>
        <v>0</v>
      </c>
      <c r="G71" s="330"/>
      <c r="H71" s="330"/>
      <c r="I71" s="330"/>
      <c r="J71" s="330">
        <f t="shared" si="2"/>
        <v>0</v>
      </c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67" t="s">
        <v>253</v>
      </c>
      <c r="B72" s="368" t="s">
        <v>30</v>
      </c>
      <c r="C72" s="369">
        <v>213</v>
      </c>
      <c r="D72" s="330">
        <f>'STOK DETAY'!HS6</f>
        <v>93.39</v>
      </c>
      <c r="E72" s="330"/>
      <c r="F72" s="330"/>
      <c r="G72" s="330"/>
      <c r="H72" s="330"/>
      <c r="I72" s="330"/>
      <c r="J72" s="330">
        <f t="shared" si="2"/>
        <v>93.39</v>
      </c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67" t="s">
        <v>253</v>
      </c>
      <c r="B73" s="368" t="s">
        <v>129</v>
      </c>
      <c r="C73" s="369">
        <v>213</v>
      </c>
      <c r="D73" s="330"/>
      <c r="E73" s="330"/>
      <c r="F73" s="330">
        <f>'STOK DETAY'!HT6</f>
        <v>31.1</v>
      </c>
      <c r="G73" s="330"/>
      <c r="H73" s="330"/>
      <c r="I73" s="330"/>
      <c r="J73" s="330">
        <f t="shared" si="2"/>
        <v>31.1</v>
      </c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67" t="s">
        <v>243</v>
      </c>
      <c r="B74" s="368" t="s">
        <v>30</v>
      </c>
      <c r="C74" s="369"/>
      <c r="D74" s="330">
        <f>'STOK DETAY'!HU6</f>
        <v>0</v>
      </c>
      <c r="E74" s="330"/>
      <c r="F74" s="330">
        <f>'STOK DETAY'!HV6</f>
        <v>0</v>
      </c>
      <c r="G74" s="330"/>
      <c r="H74" s="330"/>
      <c r="I74" s="330"/>
      <c r="J74" s="330">
        <f t="shared" si="2"/>
        <v>0</v>
      </c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67" t="s">
        <v>255</v>
      </c>
      <c r="B75" s="368" t="s">
        <v>30</v>
      </c>
      <c r="C75" s="369"/>
      <c r="D75" s="330">
        <f>'STOK DETAY'!HW6</f>
        <v>0</v>
      </c>
      <c r="E75" s="330"/>
      <c r="F75" s="330">
        <f>'STOK DETAY'!HX6</f>
        <v>0</v>
      </c>
      <c r="G75" s="330"/>
      <c r="H75" s="330"/>
      <c r="I75" s="330"/>
      <c r="J75" s="330">
        <f t="shared" si="2"/>
        <v>0</v>
      </c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67" t="s">
        <v>244</v>
      </c>
      <c r="B76" s="368" t="s">
        <v>30</v>
      </c>
      <c r="C76" s="369"/>
      <c r="D76" s="330">
        <f>'STOK DETAY'!HY6</f>
        <v>8.94</v>
      </c>
      <c r="E76" s="330"/>
      <c r="F76" s="330"/>
      <c r="G76" s="330"/>
      <c r="H76" s="330"/>
      <c r="I76" s="330"/>
      <c r="J76" s="330">
        <f t="shared" si="2"/>
        <v>8.94</v>
      </c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67" t="s">
        <v>256</v>
      </c>
      <c r="B77" s="368" t="s">
        <v>30</v>
      </c>
      <c r="C77" s="369">
        <v>411</v>
      </c>
      <c r="D77" s="330"/>
      <c r="E77" s="330"/>
      <c r="F77" s="330">
        <f>'STOK DETAY'!IA6</f>
        <v>83.82</v>
      </c>
      <c r="G77" s="330"/>
      <c r="H77" s="330"/>
      <c r="I77" s="330"/>
      <c r="J77" s="330">
        <f t="shared" si="2"/>
        <v>83.82</v>
      </c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67" t="s">
        <v>257</v>
      </c>
      <c r="B78" s="368" t="s">
        <v>30</v>
      </c>
      <c r="C78" s="369"/>
      <c r="D78" s="330">
        <f>'STOK DETAY'!IB6</f>
        <v>0</v>
      </c>
      <c r="E78" s="330"/>
      <c r="F78" s="330">
        <f>'STOK DETAY'!IC6</f>
        <v>0</v>
      </c>
      <c r="G78" s="330"/>
      <c r="H78" s="330"/>
      <c r="I78" s="330"/>
      <c r="J78" s="330">
        <f t="shared" si="2"/>
        <v>0</v>
      </c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67" t="s">
        <v>258</v>
      </c>
      <c r="B79" s="368" t="s">
        <v>30</v>
      </c>
      <c r="C79" s="369"/>
      <c r="D79" s="330">
        <f>'STOK DETAY'!ID6</f>
        <v>0</v>
      </c>
      <c r="E79" s="330"/>
      <c r="F79" s="330">
        <f>'STOK DETAY'!IE6</f>
        <v>2.42</v>
      </c>
      <c r="G79" s="330"/>
      <c r="H79" s="330"/>
      <c r="I79" s="330"/>
      <c r="J79" s="330">
        <f t="shared" si="2"/>
        <v>2.42</v>
      </c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67" t="s">
        <v>259</v>
      </c>
      <c r="B80" s="368" t="s">
        <v>30</v>
      </c>
      <c r="C80" s="369"/>
      <c r="D80" s="330">
        <f>'STOK DETAY'!IF6</f>
        <v>0</v>
      </c>
      <c r="E80" s="330"/>
      <c r="F80" s="330"/>
      <c r="G80" s="330"/>
      <c r="H80" s="330"/>
      <c r="I80" s="330"/>
      <c r="J80" s="330">
        <f t="shared" si="2"/>
        <v>0</v>
      </c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67" t="s">
        <v>260</v>
      </c>
      <c r="B81" s="332" t="s">
        <v>30</v>
      </c>
      <c r="C81" s="369">
        <v>611</v>
      </c>
      <c r="D81" s="330">
        <f>'STOK DETAY'!IG6</f>
        <v>127.11</v>
      </c>
      <c r="E81" s="330"/>
      <c r="F81" s="330"/>
      <c r="G81" s="330"/>
      <c r="H81" s="330"/>
      <c r="I81" s="330"/>
      <c r="J81" s="330">
        <f t="shared" si="2"/>
        <v>127.11</v>
      </c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67" t="s">
        <v>261</v>
      </c>
      <c r="B82" s="368" t="s">
        <v>30</v>
      </c>
      <c r="C82" s="369">
        <v>613</v>
      </c>
      <c r="D82" s="330">
        <f>'STOK DETAY'!IH6</f>
        <v>128.26</v>
      </c>
      <c r="E82" s="330"/>
      <c r="F82" s="330"/>
      <c r="G82" s="330"/>
      <c r="H82" s="330"/>
      <c r="I82" s="330"/>
      <c r="J82" s="330">
        <f t="shared" si="2"/>
        <v>128.26</v>
      </c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67" t="s">
        <v>262</v>
      </c>
      <c r="B83" s="368" t="s">
        <v>30</v>
      </c>
      <c r="C83" s="369"/>
      <c r="D83" s="330"/>
      <c r="E83" s="330"/>
      <c r="F83" s="330">
        <f>'STOK DETAY'!II6</f>
        <v>29.6</v>
      </c>
      <c r="G83" s="330"/>
      <c r="H83" s="330"/>
      <c r="I83" s="330"/>
      <c r="J83" s="330">
        <f t="shared" si="2"/>
        <v>29.6</v>
      </c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67" t="s">
        <v>251</v>
      </c>
      <c r="B84" s="368" t="s">
        <v>10</v>
      </c>
      <c r="C84" s="369">
        <v>511</v>
      </c>
      <c r="D84" s="330"/>
      <c r="E84" s="330">
        <f>'STOK DETAY'!IJ6</f>
        <v>3.28</v>
      </c>
      <c r="F84" s="330"/>
      <c r="G84" s="330"/>
      <c r="H84" s="330"/>
      <c r="I84" s="330"/>
      <c r="J84" s="330">
        <f t="shared" si="2"/>
        <v>3.28</v>
      </c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67" t="s">
        <v>243</v>
      </c>
      <c r="B85" s="368" t="s">
        <v>10</v>
      </c>
      <c r="C85" s="369">
        <v>511</v>
      </c>
      <c r="D85" s="330"/>
      <c r="E85" s="330">
        <f>'STOK DETAY'!IK6</f>
        <v>63.54</v>
      </c>
      <c r="F85" s="330"/>
      <c r="G85" s="330"/>
      <c r="H85" s="330"/>
      <c r="I85" s="330"/>
      <c r="J85" s="330">
        <f t="shared" si="2"/>
        <v>63.54</v>
      </c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67" t="s">
        <v>255</v>
      </c>
      <c r="B86" s="368" t="s">
        <v>10</v>
      </c>
      <c r="C86" s="369">
        <v>511</v>
      </c>
      <c r="D86" s="330"/>
      <c r="E86" s="330">
        <f>'STOK DETAY'!IL6</f>
        <v>10.45</v>
      </c>
      <c r="F86" s="330"/>
      <c r="G86" s="330"/>
      <c r="H86" s="330"/>
      <c r="I86" s="330"/>
      <c r="J86" s="330">
        <f t="shared" si="2"/>
        <v>10.45</v>
      </c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67" t="s">
        <v>244</v>
      </c>
      <c r="B87" s="368" t="s">
        <v>10</v>
      </c>
      <c r="C87" s="369">
        <v>101</v>
      </c>
      <c r="D87" s="330">
        <f>'STOK DETAY'!IM6</f>
        <v>0</v>
      </c>
      <c r="E87" s="330"/>
      <c r="F87" s="330"/>
      <c r="G87" s="330"/>
      <c r="H87" s="330"/>
      <c r="I87" s="330"/>
      <c r="J87" s="330">
        <f t="shared" si="2"/>
        <v>0</v>
      </c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67" t="s">
        <v>257</v>
      </c>
      <c r="B88" s="368" t="s">
        <v>10</v>
      </c>
      <c r="C88" s="369">
        <v>101</v>
      </c>
      <c r="D88" s="330">
        <f>'STOK DETAY'!IN6</f>
        <v>0</v>
      </c>
      <c r="E88" s="330"/>
      <c r="F88" s="330"/>
      <c r="G88" s="330"/>
      <c r="H88" s="330"/>
      <c r="I88" s="330">
        <f>'STOK DETAY'!IO6</f>
        <v>457.2</v>
      </c>
      <c r="J88" s="330">
        <f t="shared" si="2"/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67" t="s">
        <v>263</v>
      </c>
      <c r="B89" s="368" t="s">
        <v>10</v>
      </c>
      <c r="C89" s="369">
        <v>511</v>
      </c>
      <c r="D89" s="330"/>
      <c r="E89" s="330">
        <f>'STOK DETAY'!IP6</f>
        <v>2.5</v>
      </c>
      <c r="F89" s="330"/>
      <c r="G89" s="330"/>
      <c r="H89" s="330"/>
      <c r="I89" s="330"/>
      <c r="J89" s="330">
        <f t="shared" si="2"/>
        <v>2.5</v>
      </c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67" t="s">
        <v>267</v>
      </c>
      <c r="B90" s="368" t="s">
        <v>10</v>
      </c>
      <c r="C90" s="369">
        <v>511</v>
      </c>
      <c r="D90" s="330"/>
      <c r="E90" s="330">
        <f>'STOK DETAY'!IQ6</f>
        <v>14.7</v>
      </c>
      <c r="F90" s="330"/>
      <c r="G90" s="330"/>
      <c r="H90" s="330"/>
      <c r="I90" s="330"/>
      <c r="J90" s="330">
        <f t="shared" si="2"/>
        <v>14.7</v>
      </c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67" t="s">
        <v>269</v>
      </c>
      <c r="B91" s="368" t="s">
        <v>10</v>
      </c>
      <c r="C91" s="369">
        <v>511</v>
      </c>
      <c r="D91" s="330"/>
      <c r="E91" s="330">
        <f>'STOK DETAY'!IR6</f>
        <v>2.85</v>
      </c>
      <c r="F91" s="330"/>
      <c r="G91" s="330"/>
      <c r="H91" s="330"/>
      <c r="I91" s="330"/>
      <c r="J91" s="330">
        <f t="shared" si="2"/>
        <v>2.85</v>
      </c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67" t="s">
        <v>271</v>
      </c>
      <c r="B92" s="368" t="s">
        <v>10</v>
      </c>
      <c r="C92" s="369">
        <v>511</v>
      </c>
      <c r="D92" s="330"/>
      <c r="E92" s="330">
        <f>'STOK DETAY'!IS6</f>
        <v>6.83</v>
      </c>
      <c r="F92" s="330"/>
      <c r="G92" s="330"/>
      <c r="H92" s="330"/>
      <c r="I92" s="330"/>
      <c r="J92" s="330">
        <f t="shared" si="2"/>
        <v>6.83</v>
      </c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67" t="s">
        <v>275</v>
      </c>
      <c r="B93" s="368" t="s">
        <v>10</v>
      </c>
      <c r="C93" s="369">
        <v>511</v>
      </c>
      <c r="D93" s="330"/>
      <c r="E93" s="330">
        <f>'STOK DETAY'!IT6</f>
        <v>9.2200000000000006</v>
      </c>
      <c r="F93" s="330"/>
      <c r="G93" s="330"/>
      <c r="H93" s="330"/>
      <c r="I93" s="330"/>
      <c r="J93" s="330">
        <f t="shared" si="2"/>
        <v>9.2200000000000006</v>
      </c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67" t="s">
        <v>276</v>
      </c>
      <c r="B94" s="368" t="s">
        <v>10</v>
      </c>
      <c r="C94" s="369">
        <v>511</v>
      </c>
      <c r="D94" s="330"/>
      <c r="E94" s="330">
        <f>'STOK DETAY'!IU6</f>
        <v>18.5</v>
      </c>
      <c r="F94" s="330"/>
      <c r="G94" s="330"/>
      <c r="H94" s="330"/>
      <c r="I94" s="330"/>
      <c r="J94" s="330">
        <f t="shared" si="2"/>
        <v>18.5</v>
      </c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67" t="s">
        <v>277</v>
      </c>
      <c r="B95" s="368" t="s">
        <v>10</v>
      </c>
      <c r="C95" s="369">
        <v>511</v>
      </c>
      <c r="D95" s="330"/>
      <c r="E95" s="330">
        <f>'STOK DETAY'!IV6</f>
        <v>0</v>
      </c>
      <c r="F95" s="330"/>
      <c r="G95" s="330"/>
      <c r="H95" s="330"/>
      <c r="I95" s="330"/>
      <c r="J95" s="330">
        <f t="shared" si="2"/>
        <v>0</v>
      </c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67" t="s">
        <v>288</v>
      </c>
      <c r="B96" s="368" t="s">
        <v>10</v>
      </c>
      <c r="C96" s="369">
        <v>511</v>
      </c>
      <c r="D96" s="330"/>
      <c r="E96" s="330">
        <f>'STOK DETAY'!IW6</f>
        <v>52.36</v>
      </c>
      <c r="F96" s="330"/>
      <c r="G96" s="330"/>
      <c r="H96" s="330"/>
      <c r="I96" s="330"/>
      <c r="J96" s="330">
        <f t="shared" si="2"/>
        <v>52.36</v>
      </c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7"/>
      <c r="H110" s="167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D95:I96 D2:I82">
    <cfRule type="cellIs" dxfId="2" priority="3" operator="equal">
      <formula>0</formula>
    </cfRule>
  </conditionalFormatting>
  <conditionalFormatting sqref="D84:I94">
    <cfRule type="cellIs" dxfId="1" priority="2" operator="between">
      <formula>-0.1</formula>
      <formula>0.1</formula>
    </cfRule>
  </conditionalFormatting>
  <conditionalFormatting sqref="D83:I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2026-03-12T08:15:33Z</cp:lastPrinted>
  <dcterms:created xsi:type="dcterms:W3CDTF">2020-02-24T10:22:08Z</dcterms:created>
  <dcterms:modified xsi:type="dcterms:W3CDTF">2026-03-24T12:48:55Z</dcterms:modified>
</cp:coreProperties>
</file>